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9080" windowHeight="11655" tabRatio="894" firstSheet="1" activeTab="1"/>
  </bookViews>
  <sheets>
    <sheet name="__FDSCACHE__" sheetId="7" state="veryHidden" r:id="rId1"/>
    <sheet name="ImportantDisclosures" sheetId="93" r:id="rId2"/>
    <sheet name="IS" sheetId="83" r:id="rId3"/>
    <sheet name="MW-Cache" sheetId="9" state="veryHidden" r:id="rId4"/>
    <sheet name="BS" sheetId="2" r:id="rId5"/>
    <sheet name="CFS" sheetId="3" r:id="rId6"/>
    <sheet name="BU Segment" sheetId="53" r:id="rId7"/>
    <sheet name="MCHP-MSCC Accretion Analysis" sheetId="90" r:id="rId8"/>
    <sheet name="IndexInformation" sheetId="94" r:id="rId9"/>
    <sheet name="ModPubIndex" sheetId="95" r:id="rId10"/>
  </sheets>
  <definedNames>
    <definedName name="__FDS_HYPERLINK_TOGGLE_STATE__" hidden="1">"ON"</definedName>
    <definedName name="__FDS_UNIQUE_RANGE_ID_GENERATOR_COUNTER" hidden="1">1</definedName>
    <definedName name="_bdm.286F36F53C7C409EA9772B14169B7864.edm" hidden="1">#REF!</definedName>
    <definedName name="_bdm.72992B73BB9C496690C7A8995EECEAEA.edm" localSheetId="2" hidden="1">IS!$B$5:$DB$97</definedName>
    <definedName name="_bdm.8949CA62BFE94AD2B1AF20C73D2FB203.edm" localSheetId="2" hidden="1">IS!$A$5:$DB$97</definedName>
    <definedName name="_bdm.A0A92BDCCA17485D9FFD842F6AD6598F.edm" hidden="1">BS!$1:$1048576</definedName>
    <definedName name="_bdm.AC7CCE2D50AD4CCCA71D1A3BAF07D94D.edm" localSheetId="4" hidden="1">BS!$B$5:$DB$44</definedName>
    <definedName name="_bdm.B6C14E1DF2B6432EB01E007A19C4AE5B.edm" hidden="1">CFS!$1:$1048576</definedName>
    <definedName name="_bdm.C2DEECB236ED4B70BE058ED50C8D1C30.edm" localSheetId="5" hidden="1">CFS!$B$5:$DB$54</definedName>
    <definedName name="_bdm.E1FA59610312481F98399947F0B24C64.edm" localSheetId="2" hidden="1">IS!$B$5:$AU$97</definedName>
    <definedName name="_Order1" hidden="1">255</definedName>
    <definedName name="AdditionalInstructions">IndexInformation!$B$42</definedName>
    <definedName name="Address" localSheetId="1">ImportantDisclosures!$A$2:$A$2</definedName>
    <definedName name="ANA" localSheetId="9">ModPubIndex!$A$7</definedName>
    <definedName name="anscount" hidden="1">1</definedName>
    <definedName name="Authors" localSheetId="1">ImportantDisclosures!$A$7</definedName>
    <definedName name="Authors" localSheetId="8">IndexInformation!$B$18</definedName>
    <definedName name="BRO" localSheetId="9">ModPubIndex!$A$1</definedName>
    <definedName name="BS" localSheetId="6">BS!$B$49:$DI$49</definedName>
    <definedName name="BS">BS!$B$46:$DC$46</definedName>
    <definedName name="CopyrightStamp">ImportantDisclosures!$A$27</definedName>
    <definedName name="COU" localSheetId="9">ModPubIndex!$A$5</definedName>
    <definedName name="CQEnd" localSheetId="8">IndexInformation!$B$31</definedName>
    <definedName name="Currency" localSheetId="8">IndexInformation!$B$24</definedName>
    <definedName name="CurrentStockPrice" localSheetId="8">IndexInformation!$B$23</definedName>
    <definedName name="CurrQtrEPS" localSheetId="8">IndexInformation!$B$29</definedName>
    <definedName name="CurrYearEPS" localSheetId="8">IndexInformation!$B$11</definedName>
    <definedName name="CurrYearTotalRevenue" localSheetId="8">IndexInformation!$B$10</definedName>
    <definedName name="CurrYearTotalRevenueActual" localSheetId="8">IndexInformation!$B$32</definedName>
    <definedName name="CUSIP" localSheetId="8">IndexInformation!$B$20</definedName>
    <definedName name="CYEnd" localSheetId="8">IndexInformation!$B$30</definedName>
    <definedName name="Date" localSheetId="1">ImportantDisclosures!$A$8</definedName>
    <definedName name="Deleted" localSheetId="8">IndexInformation!$B$27</definedName>
    <definedName name="Description" localSheetId="8">IndexInformation!$B$7</definedName>
    <definedName name="Discipline" localSheetId="8">IndexInformation!$B$3</definedName>
    <definedName name="DISCIPLINE" localSheetId="9">ModPubIndex!$A$12</definedName>
    <definedName name="DisclosuresText">ImportantDisclosures!$A$22</definedName>
    <definedName name="Distribution" localSheetId="8">IndexInformation!$B$26</definedName>
    <definedName name="DistTable" localSheetId="1">ImportantDisclosures!#REF!</definedName>
    <definedName name="DistTablePreamble" localSheetId="1">ImportantDisclosures!#REF!</definedName>
    <definedName name="DOCDAT" localSheetId="9">ModPubIndex!$A$2</definedName>
    <definedName name="DOCTIME" localSheetId="9">ModPubIndex!$A$3</definedName>
    <definedName name="DocType" localSheetId="8">IndexInformation!$B$5</definedName>
    <definedName name="EMAIL_ALERT" localSheetId="9">ModPubIndex!$A$10</definedName>
    <definedName name="EmailAlert" localSheetId="8">IndexInformation!$B$28</definedName>
    <definedName name="FiveYearGrowthRate" localSheetId="8">IndexInformation!$B$16</definedName>
    <definedName name="FollowingYearEPS" localSheetId="8">IndexInformation!$B$15</definedName>
    <definedName name="FollowingYearTotalRevenue" localSheetId="8">IndexInformation!$B$14</definedName>
    <definedName name="FollowingYearTotalRevenueActual" localSheetId="8">IndexInformation!$B$34</definedName>
    <definedName name="HL" localSheetId="9">ModPubIndex!$A$8</definedName>
    <definedName name="IND" localSheetId="9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KeepVersions" localSheetId="8">IndexInformation!$B$8</definedName>
    <definedName name="LanguageCode">IndexInformation!$B$38</definedName>
    <definedName name="LastCell" localSheetId="1">ImportantDisclosures!$A$22</definedName>
    <definedName name="Linking_11">IS!$B$5:$CN$97</definedName>
    <definedName name="Linking_12">BS!$B$5:$CN$44</definedName>
    <definedName name="Linking_13">CFS!$B$5:$CN$54</definedName>
    <definedName name="Linking_15">IS!$B$5:$CO$97</definedName>
    <definedName name="Linking_16">BS!$B$5:$BO$44</definedName>
    <definedName name="Linking_17">CFS!$B$5:$CO$54</definedName>
    <definedName name="Linking_19">BS!$B$5:$BS$44</definedName>
    <definedName name="Linking_2">#REF!</definedName>
    <definedName name="Linking_21">IS!$B$5:$CP$97</definedName>
    <definedName name="Linking_22">CFS!$B$5:$CP$54</definedName>
    <definedName name="Linking_23">IS!$B$5:$BS$97</definedName>
    <definedName name="Linking_24">IS!$B$5:$DH$97</definedName>
    <definedName name="Linking_25">BS!$B$5:$BW$44</definedName>
    <definedName name="Linking_26">'MCHP-MSCC Accretion Analysis'!$B$3:$E$29</definedName>
    <definedName name="Linking_27">'MCHP-MSCC Accretion Analysis'!$H$31:$L$44</definedName>
    <definedName name="Linking_28">'MCHP-MSCC Accretion Analysis'!$H$31:$L$57</definedName>
    <definedName name="Linking_3">BS!$B$5:$DE$44</definedName>
    <definedName name="Linking_4">BS!$B$5:$CM$44</definedName>
    <definedName name="Linking_5">IS!$B$5:$DF$97</definedName>
    <definedName name="Linking_6">BS!$B$5:$DF$44</definedName>
    <definedName name="Linking_7">CFS!$B$5:$DF$54</definedName>
    <definedName name="Linking_Range_1">#REF!</definedName>
    <definedName name="Linking_Range_11">#REF!</definedName>
    <definedName name="Linking_Range_18">#REF!</definedName>
    <definedName name="Linking_Range_19">#REF!</definedName>
    <definedName name="Linking_Range_2">BS!$B$5:$DB$44</definedName>
    <definedName name="Linking_Range_20">BS!$B$5:$CL$44</definedName>
    <definedName name="Linking_Range_21">CFS!$B$5:$CL$54</definedName>
    <definedName name="Linking_Range_25">BS!$B$5:$BC$44</definedName>
    <definedName name="Linking_Range_26">CFS!$B$6:$BC$57</definedName>
    <definedName name="Linking_Range_27">CFS!$B$5:$BC$54</definedName>
    <definedName name="Linking_Range_3">CFS!$B$5:$DB$54</definedName>
    <definedName name="Linking_Range_30">BS!$B$5:$BG$44</definedName>
    <definedName name="Linking_Range_33">BS!$B$5:$BG$71</definedName>
    <definedName name="Linking_Range_4">#REF!</definedName>
    <definedName name="Linking_Range_40">BS!$B$6:$BK$44</definedName>
    <definedName name="Linking_Range_41">CFS!$B$5:$CM$54</definedName>
    <definedName name="Linking_Range_43">#REF!</definedName>
    <definedName name="Linking_Range_44">BS!$B$5:$BK$44</definedName>
    <definedName name="Linking_Range_5">BS!$B$5:$CJ$44</definedName>
    <definedName name="Linking_Range_6">CFS!$B$5:$CJ$54</definedName>
    <definedName name="Linking_Range_7">BS!$B$5:$CK$44</definedName>
    <definedName name="Linking_Range_8">#REF!</definedName>
    <definedName name="Linking_Range_9">CFS!$B$5:$CK$54</definedName>
    <definedName name="Linking_Text_1">1.3513</definedName>
    <definedName name="MacroVersion" localSheetId="8">IndexInformation!$B$1</definedName>
    <definedName name="ModelPrice" localSheetId="1">ImportantDisclosures!$A$14</definedName>
    <definedName name="Multiplier" localSheetId="8">IndexInformation!$B$35</definedName>
    <definedName name="NextYearEPS" localSheetId="8">IndexInformation!$B$13</definedName>
    <definedName name="NextYearTotalRevenue" localSheetId="8">IndexInformation!$B$12</definedName>
    <definedName name="NextYearTotalRevenueActual" localSheetId="8">IndexInformation!$B$33</definedName>
    <definedName name="ObjectType">IndexInformation!$B$37</definedName>
    <definedName name="PANA" localSheetId="9">ModPubIndex!$A$11</definedName>
    <definedName name="PathName" localSheetId="8">IndexInformation!$B$25</definedName>
    <definedName name="PRODUCT" localSheetId="9">ModPubIndex!$A$6</definedName>
    <definedName name="PSYM" localSheetId="9">ModPubIndex!$A$4</definedName>
    <definedName name="PublishDate" localSheetId="8">IndexInformation!$B$2</definedName>
    <definedName name="Rating" localSheetId="8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searchTopic" localSheetId="8">IndexInformation!$B$4</definedName>
    <definedName name="RIC" localSheetId="8">IndexInformation!$B$21</definedName>
    <definedName name="SECSettlement" localSheetId="1">ImportantDisclosures!#REF!</definedName>
    <definedName name="SEDOL" localSheetId="8">IndexInformation!$B$22</definedName>
    <definedName name="sencount" hidden="1">1</definedName>
    <definedName name="SourceDefined" localSheetId="1">ImportantDisclosures!$A$19</definedName>
    <definedName name="StockRating" localSheetId="1">ImportantDisclosures!$A$11</definedName>
    <definedName name="SubjectCode" localSheetId="8">IndexInformation!$B$6</definedName>
    <definedName name="SubmitterUserId">IndexInformation!$B$39</definedName>
    <definedName name="SUPPRESSED" localSheetId="9">ModPubIndex!$A$13</definedName>
    <definedName name="TargetPrice" localSheetId="1">ImportantDisclosures!$A$15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8">IndexInformation!$B$19</definedName>
    <definedName name="UpdateReason" localSheetId="8">IndexInformation!$B$17</definedName>
    <definedName name="USRegDisclosures" localSheetId="1">ImportantDisclosures!#REF!</definedName>
  </definedNames>
  <calcPr calcId="145621"/>
</workbook>
</file>

<file path=xl/calcChain.xml><?xml version="1.0" encoding="utf-8"?>
<calcChain xmlns="http://schemas.openxmlformats.org/spreadsheetml/2006/main">
  <c r="I36" i="90" l="1"/>
  <c r="E27" i="90" l="1"/>
  <c r="D15" i="90" l="1"/>
  <c r="I52" i="90" l="1"/>
  <c r="I47" i="90"/>
  <c r="J43" i="90" l="1"/>
  <c r="K43" i="90" s="1"/>
  <c r="I54" i="90"/>
  <c r="J44" i="90"/>
  <c r="K44" i="90" s="1"/>
  <c r="I55" i="90" l="1"/>
  <c r="I49" i="90"/>
  <c r="I50" i="90" s="1"/>
  <c r="I56" i="90" s="1"/>
  <c r="I57" i="90" l="1"/>
  <c r="D8" i="90"/>
  <c r="D6" i="90" s="1"/>
  <c r="C27" i="90"/>
  <c r="C11" i="90"/>
  <c r="C8" i="90"/>
  <c r="C4" i="90"/>
  <c r="C9" i="90" l="1"/>
  <c r="C14" i="90"/>
  <c r="C15" i="90" s="1"/>
  <c r="D11" i="90"/>
  <c r="D12" i="90" s="1"/>
  <c r="E4" i="90"/>
  <c r="C6" i="90"/>
  <c r="C12" i="90"/>
  <c r="E11" i="90" l="1"/>
  <c r="E6" i="90"/>
  <c r="I37" i="90"/>
  <c r="E12" i="90" l="1"/>
  <c r="E8" i="90"/>
  <c r="BN79" i="3"/>
  <c r="BN78" i="3" s="1"/>
  <c r="BN71" i="3"/>
  <c r="BN69" i="3"/>
  <c r="BN72" i="3" s="1"/>
  <c r="BN65" i="3"/>
  <c r="BN62" i="3"/>
  <c r="BN64" i="3" s="1"/>
  <c r="BN56" i="3"/>
  <c r="BN52" i="3"/>
  <c r="BN49" i="3"/>
  <c r="BN46" i="3"/>
  <c r="BN45" i="3"/>
  <c r="BN44" i="3"/>
  <c r="BN43" i="3"/>
  <c r="BN42" i="3"/>
  <c r="BN41" i="3"/>
  <c r="BN40" i="3"/>
  <c r="BN39" i="3"/>
  <c r="BN47" i="3" s="1"/>
  <c r="BN35" i="3"/>
  <c r="BN34" i="3"/>
  <c r="BN33" i="3"/>
  <c r="BN32" i="3"/>
  <c r="BN31" i="3"/>
  <c r="BN30" i="3"/>
  <c r="BN29" i="3"/>
  <c r="BN36" i="3" s="1"/>
  <c r="BN25" i="3"/>
  <c r="BN24" i="3"/>
  <c r="BN23" i="3"/>
  <c r="BN22" i="3"/>
  <c r="BN21" i="3"/>
  <c r="BN20" i="3"/>
  <c r="BN18" i="3"/>
  <c r="BN17" i="3"/>
  <c r="BN16" i="3"/>
  <c r="BN15" i="3"/>
  <c r="BN14" i="3"/>
  <c r="BN13" i="3"/>
  <c r="BN12" i="3"/>
  <c r="BN11" i="3"/>
  <c r="BN141" i="3"/>
  <c r="BN135" i="3"/>
  <c r="BN113" i="3"/>
  <c r="BN110" i="3"/>
  <c r="BN151" i="3"/>
  <c r="BN142" i="3"/>
  <c r="BN131" i="3"/>
  <c r="BN61" i="2"/>
  <c r="BN65" i="2" s="1"/>
  <c r="E9" i="90" l="1"/>
  <c r="E14" i="90"/>
  <c r="CN6" i="83"/>
  <c r="CO6" i="83"/>
  <c r="CP6" i="83"/>
  <c r="E15" i="90" l="1"/>
  <c r="BQ53" i="2" l="1"/>
  <c r="BP53" i="2"/>
  <c r="CM6" i="83" l="1"/>
  <c r="CL6" i="83"/>
  <c r="CK6" i="83"/>
  <c r="CJ6" i="83"/>
  <c r="CP181" i="83"/>
  <c r="CO181" i="83"/>
  <c r="DH181" i="83" s="1"/>
  <c r="CN181" i="83"/>
  <c r="DG181" i="83" s="1"/>
  <c r="CM181" i="83"/>
  <c r="DF181" i="83" s="1"/>
  <c r="CL181" i="83"/>
  <c r="DE181" i="83" s="1"/>
  <c r="CK181" i="83"/>
  <c r="DD181" i="83" s="1"/>
  <c r="CJ181" i="83"/>
  <c r="DC181" i="83" s="1"/>
  <c r="CI181" i="83"/>
  <c r="CH181" i="83"/>
  <c r="DA181" i="83" s="1"/>
  <c r="CG181" i="83"/>
  <c r="CZ181" i="83" s="1"/>
  <c r="CF181" i="83"/>
  <c r="CY181" i="83" s="1"/>
  <c r="CE181" i="83"/>
  <c r="CX181" i="83" s="1"/>
  <c r="CD181" i="83"/>
  <c r="CW181" i="83" s="1"/>
  <c r="CC181" i="83"/>
  <c r="CV181" i="83" s="1"/>
  <c r="CB181" i="83"/>
  <c r="CU181" i="83" s="1"/>
  <c r="CA181" i="83"/>
  <c r="CT181" i="83" s="1"/>
  <c r="BZ181" i="83"/>
  <c r="CS181" i="83" s="1"/>
  <c r="BY181" i="83"/>
  <c r="CR181" i="83" s="1"/>
  <c r="BW181" i="83"/>
  <c r="BV181" i="83"/>
  <c r="BU181" i="83"/>
  <c r="BT181" i="83"/>
  <c r="BS181" i="83"/>
  <c r="BR181" i="83"/>
  <c r="BQ181" i="83"/>
  <c r="BP181" i="83"/>
  <c r="BO181" i="83"/>
  <c r="BN181" i="83"/>
  <c r="BM181" i="83"/>
  <c r="BL181" i="83"/>
  <c r="BK181" i="83"/>
  <c r="BJ181" i="83"/>
  <c r="BI181" i="83"/>
  <c r="BH181" i="83"/>
  <c r="BG181" i="83"/>
  <c r="BF181" i="83"/>
  <c r="BE181" i="83"/>
  <c r="BD181" i="83"/>
  <c r="BC181" i="83"/>
  <c r="BB181" i="83"/>
  <c r="BA181" i="83"/>
  <c r="AZ181" i="83"/>
  <c r="AY181" i="83"/>
  <c r="AX181" i="83"/>
  <c r="AW181" i="83"/>
  <c r="AV181" i="83"/>
  <c r="AU181" i="83"/>
  <c r="AT181" i="83"/>
  <c r="AS181" i="83"/>
  <c r="AR181" i="83"/>
  <c r="AQ181" i="83"/>
  <c r="AP181" i="83"/>
  <c r="AO181" i="83"/>
  <c r="AN181" i="83"/>
  <c r="AM181" i="83"/>
  <c r="AL181" i="83"/>
  <c r="AK181" i="83"/>
  <c r="AJ181" i="83"/>
  <c r="AI181" i="83"/>
  <c r="AH181" i="83"/>
  <c r="AG181" i="83"/>
  <c r="AF181" i="83"/>
  <c r="AE181" i="83"/>
  <c r="AD181" i="83"/>
  <c r="AC181" i="83"/>
  <c r="AB181" i="83"/>
  <c r="AA181" i="83"/>
  <c r="Z181" i="83"/>
  <c r="Y181" i="83"/>
  <c r="X181" i="83"/>
  <c r="W181" i="83"/>
  <c r="V181" i="83"/>
  <c r="U181" i="83"/>
  <c r="T181" i="83"/>
  <c r="S181" i="83"/>
  <c r="R181" i="83"/>
  <c r="Q181" i="83"/>
  <c r="P181" i="83"/>
  <c r="O181" i="83"/>
  <c r="N181" i="83"/>
  <c r="M181" i="83"/>
  <c r="L181" i="83"/>
  <c r="K181" i="83"/>
  <c r="J181" i="83"/>
  <c r="I181" i="83"/>
  <c r="H181" i="83"/>
  <c r="G181" i="83"/>
  <c r="F181" i="83"/>
  <c r="E181" i="83"/>
  <c r="D181" i="83"/>
  <c r="BN173" i="83"/>
  <c r="BM173" i="83"/>
  <c r="BL173" i="83"/>
  <c r="BK173" i="83"/>
  <c r="DF173" i="83" s="1"/>
  <c r="BJ173" i="83"/>
  <c r="BI173" i="83"/>
  <c r="BH173" i="83"/>
  <c r="BG173" i="83"/>
  <c r="DE173" i="83" s="1"/>
  <c r="BF173" i="83"/>
  <c r="BE173" i="83"/>
  <c r="BD173" i="83"/>
  <c r="BC173" i="83"/>
  <c r="DD173" i="83" s="1"/>
  <c r="BB173" i="83"/>
  <c r="BA173" i="83"/>
  <c r="AZ173" i="83"/>
  <c r="AX173" i="83"/>
  <c r="AW173" i="83"/>
  <c r="AV173" i="83"/>
  <c r="AT173" i="83"/>
  <c r="AS173" i="83"/>
  <c r="AR173" i="83"/>
  <c r="AP173" i="83"/>
  <c r="AO173" i="83"/>
  <c r="AN173" i="83"/>
  <c r="AM173" i="83"/>
  <c r="AL173" i="83"/>
  <c r="AK173" i="83"/>
  <c r="AJ173" i="83"/>
  <c r="CG173" i="83" s="1"/>
  <c r="AI173" i="83"/>
  <c r="AH173" i="83"/>
  <c r="AG173" i="83"/>
  <c r="AF173" i="83"/>
  <c r="CF173" i="83" s="1"/>
  <c r="AE173" i="83"/>
  <c r="AD173" i="83"/>
  <c r="AC173" i="83"/>
  <c r="AB173" i="83"/>
  <c r="CE173" i="83" s="1"/>
  <c r="AA173" i="83"/>
  <c r="Z173" i="83"/>
  <c r="Y173" i="83"/>
  <c r="X173" i="83"/>
  <c r="CD173" i="83" s="1"/>
  <c r="W173" i="83"/>
  <c r="V173" i="83"/>
  <c r="U173" i="83"/>
  <c r="T173" i="83"/>
  <c r="CC173" i="83" s="1"/>
  <c r="S173" i="83"/>
  <c r="R173" i="83"/>
  <c r="Q173" i="83"/>
  <c r="P173" i="83"/>
  <c r="CB173" i="83" s="1"/>
  <c r="N173" i="83"/>
  <c r="M173" i="83"/>
  <c r="L173" i="83"/>
  <c r="J173" i="83"/>
  <c r="I173" i="83"/>
  <c r="H173" i="83"/>
  <c r="F173" i="83"/>
  <c r="E173" i="83"/>
  <c r="D173" i="83"/>
  <c r="DH169" i="83"/>
  <c r="DG169" i="83"/>
  <c r="DF169" i="83"/>
  <c r="DE169" i="83"/>
  <c r="DD169" i="83"/>
  <c r="DC169" i="83"/>
  <c r="DB169" i="83"/>
  <c r="DA169" i="83"/>
  <c r="CZ169" i="83"/>
  <c r="CY169" i="83"/>
  <c r="CX169" i="83"/>
  <c r="CW169" i="83"/>
  <c r="CV169" i="83"/>
  <c r="CU169" i="83"/>
  <c r="CT169" i="83"/>
  <c r="CS169" i="83"/>
  <c r="CR169" i="83"/>
  <c r="CP169" i="83"/>
  <c r="CO169" i="83"/>
  <c r="CN169" i="83"/>
  <c r="CM169" i="83"/>
  <c r="CL169" i="83"/>
  <c r="CK169" i="83"/>
  <c r="CJ169" i="83"/>
  <c r="CI169" i="83"/>
  <c r="CH169" i="83"/>
  <c r="CG169" i="83"/>
  <c r="CF169" i="83"/>
  <c r="CE169" i="83"/>
  <c r="CD169" i="83"/>
  <c r="CC169" i="83"/>
  <c r="CB169" i="83"/>
  <c r="CA169" i="83"/>
  <c r="BZ169" i="83"/>
  <c r="BY169" i="83"/>
  <c r="BW169" i="83"/>
  <c r="BV169" i="83"/>
  <c r="BU169" i="83"/>
  <c r="BT169" i="83"/>
  <c r="BS169" i="83"/>
  <c r="BR169" i="83"/>
  <c r="BQ169" i="83"/>
  <c r="BP169" i="83"/>
  <c r="BO169" i="83"/>
  <c r="BN169" i="83"/>
  <c r="BM169" i="83"/>
  <c r="BL169" i="83"/>
  <c r="BK169" i="83"/>
  <c r="BJ169" i="83"/>
  <c r="BI169" i="83"/>
  <c r="BH169" i="83"/>
  <c r="BG169" i="83"/>
  <c r="BF169" i="83"/>
  <c r="BE169" i="83"/>
  <c r="BD169" i="83"/>
  <c r="BC169" i="83"/>
  <c r="BB169" i="83"/>
  <c r="BA169" i="83"/>
  <c r="AZ169" i="83"/>
  <c r="AY169" i="83"/>
  <c r="AX169" i="83"/>
  <c r="AW169" i="83"/>
  <c r="AV169" i="83"/>
  <c r="AU169" i="83"/>
  <c r="AT169" i="83"/>
  <c r="AS169" i="83"/>
  <c r="AR169" i="83"/>
  <c r="AQ169" i="83"/>
  <c r="AP169" i="83"/>
  <c r="AO169" i="83"/>
  <c r="AN169" i="83"/>
  <c r="AM169" i="83"/>
  <c r="AL169" i="83"/>
  <c r="AK169" i="83"/>
  <c r="AJ169" i="83"/>
  <c r="AI169" i="83"/>
  <c r="AH169" i="83"/>
  <c r="AG169" i="83"/>
  <c r="AF169" i="83"/>
  <c r="AE169" i="83"/>
  <c r="AD169" i="83"/>
  <c r="AC169" i="83"/>
  <c r="AB169" i="83"/>
  <c r="AA169" i="83"/>
  <c r="Z169" i="83"/>
  <c r="Y169" i="83"/>
  <c r="X169" i="83"/>
  <c r="W169" i="83"/>
  <c r="V169" i="83"/>
  <c r="U169" i="83"/>
  <c r="T169" i="83"/>
  <c r="S169" i="83"/>
  <c r="R169" i="83"/>
  <c r="Q169" i="83"/>
  <c r="P169" i="83"/>
  <c r="O169" i="83"/>
  <c r="N169" i="83"/>
  <c r="M169" i="83"/>
  <c r="L169" i="83"/>
  <c r="K169" i="83"/>
  <c r="J169" i="83"/>
  <c r="I169" i="83"/>
  <c r="H169" i="83"/>
  <c r="G169" i="83"/>
  <c r="F169" i="83"/>
  <c r="E169" i="83"/>
  <c r="D169" i="83"/>
  <c r="BN164" i="83"/>
  <c r="BM164" i="83"/>
  <c r="BL164" i="83"/>
  <c r="BK164" i="83"/>
  <c r="BJ164" i="83"/>
  <c r="BI164" i="83"/>
  <c r="CM164" i="83" s="1"/>
  <c r="BH164" i="83"/>
  <c r="BG164" i="83"/>
  <c r="BF164" i="83"/>
  <c r="BE164" i="83"/>
  <c r="CL164" i="83" s="1"/>
  <c r="BD164" i="83"/>
  <c r="BC164" i="83"/>
  <c r="BB164" i="83"/>
  <c r="BA164" i="83"/>
  <c r="CK164" i="83" s="1"/>
  <c r="AZ164" i="83"/>
  <c r="AX164" i="83"/>
  <c r="AW164" i="83"/>
  <c r="AV164" i="83"/>
  <c r="AT164" i="83"/>
  <c r="AT165" i="83" s="1"/>
  <c r="AS164" i="83"/>
  <c r="AS165" i="83" s="1"/>
  <c r="AR164" i="83"/>
  <c r="AR165" i="83" s="1"/>
  <c r="AR157" i="83" s="1"/>
  <c r="AP164" i="83"/>
  <c r="AP165" i="83" s="1"/>
  <c r="AO164" i="83"/>
  <c r="AO165" i="83" s="1"/>
  <c r="AN164" i="83"/>
  <c r="AM164" i="83"/>
  <c r="AM165" i="83" s="1"/>
  <c r="AL164" i="83"/>
  <c r="AL165" i="83" s="1"/>
  <c r="AK164" i="83"/>
  <c r="AK165" i="83" s="1"/>
  <c r="AJ164" i="83"/>
  <c r="AJ165" i="83" s="1"/>
  <c r="AI164" i="83"/>
  <c r="AI165" i="83" s="1"/>
  <c r="AI157" i="83" s="1"/>
  <c r="AH164" i="83"/>
  <c r="AH165" i="83" s="1"/>
  <c r="AG164" i="83"/>
  <c r="AG165" i="83" s="1"/>
  <c r="AF164" i="83"/>
  <c r="AE164" i="83"/>
  <c r="AE165" i="83" s="1"/>
  <c r="AD164" i="83"/>
  <c r="AD165" i="83" s="1"/>
  <c r="AC164" i="83"/>
  <c r="AC165" i="83" s="1"/>
  <c r="AB164" i="83"/>
  <c r="AB165" i="83" s="1"/>
  <c r="AA164" i="83"/>
  <c r="AA165" i="83" s="1"/>
  <c r="AA157" i="83" s="1"/>
  <c r="Z164" i="83"/>
  <c r="Z165" i="83" s="1"/>
  <c r="Y164" i="83"/>
  <c r="Y165" i="83" s="1"/>
  <c r="X164" i="83"/>
  <c r="W164" i="83"/>
  <c r="W165" i="83" s="1"/>
  <c r="V164" i="83"/>
  <c r="V165" i="83" s="1"/>
  <c r="V157" i="83" s="1"/>
  <c r="U164" i="83"/>
  <c r="U165" i="83" s="1"/>
  <c r="T164" i="83"/>
  <c r="T165" i="83" s="1"/>
  <c r="T157" i="83" s="1"/>
  <c r="S164" i="83"/>
  <c r="S165" i="83" s="1"/>
  <c r="S157" i="83" s="1"/>
  <c r="R164" i="83"/>
  <c r="R165" i="83" s="1"/>
  <c r="R157" i="83" s="1"/>
  <c r="Q164" i="83"/>
  <c r="Q165" i="83" s="1"/>
  <c r="P164" i="83"/>
  <c r="N164" i="83"/>
  <c r="N165" i="83" s="1"/>
  <c r="M164" i="83"/>
  <c r="M165" i="83" s="1"/>
  <c r="M157" i="83" s="1"/>
  <c r="L164" i="83"/>
  <c r="L165" i="83" s="1"/>
  <c r="J164" i="83"/>
  <c r="J165" i="83" s="1"/>
  <c r="J157" i="83" s="1"/>
  <c r="I164" i="83"/>
  <c r="I165" i="83" s="1"/>
  <c r="I157" i="83" s="1"/>
  <c r="H164" i="83"/>
  <c r="H165" i="83" s="1"/>
  <c r="H157" i="83" s="1"/>
  <c r="F164" i="83"/>
  <c r="F165" i="83" s="1"/>
  <c r="E164" i="83"/>
  <c r="E165" i="83" s="1"/>
  <c r="E157" i="83" s="1"/>
  <c r="D164" i="83"/>
  <c r="D165" i="83" s="1"/>
  <c r="DF164" i="83"/>
  <c r="DA163" i="83"/>
  <c r="CZ163" i="83"/>
  <c r="CY163" i="83"/>
  <c r="CX163" i="83"/>
  <c r="CW163" i="83"/>
  <c r="CV163" i="83"/>
  <c r="CU163" i="83"/>
  <c r="CT163" i="83"/>
  <c r="CS163" i="83"/>
  <c r="CR163" i="83"/>
  <c r="CI163" i="83"/>
  <c r="CH163" i="83"/>
  <c r="CG163" i="83"/>
  <c r="CF163" i="83"/>
  <c r="CE163" i="83"/>
  <c r="CD163" i="83"/>
  <c r="CC163" i="83"/>
  <c r="CB163" i="83"/>
  <c r="CA163" i="83"/>
  <c r="BZ163" i="83"/>
  <c r="BY163" i="83"/>
  <c r="BW163" i="83"/>
  <c r="BV163" i="83"/>
  <c r="BU163" i="83"/>
  <c r="BT163" i="83"/>
  <c r="BS163" i="83"/>
  <c r="BR163" i="83"/>
  <c r="BQ163" i="83"/>
  <c r="BP163" i="83"/>
  <c r="BO163" i="83"/>
  <c r="BN163" i="83"/>
  <c r="BN165" i="83" s="1"/>
  <c r="BM163" i="83"/>
  <c r="BK163" i="83"/>
  <c r="BJ163" i="83"/>
  <c r="BJ165" i="83" s="1"/>
  <c r="BI163" i="83"/>
  <c r="BG163" i="83"/>
  <c r="BD163" i="83"/>
  <c r="BD165" i="83" s="1"/>
  <c r="BD157" i="83" s="1"/>
  <c r="BC163" i="83"/>
  <c r="BB163" i="83"/>
  <c r="BB165" i="83" s="1"/>
  <c r="BA163" i="83"/>
  <c r="AZ163" i="83"/>
  <c r="AZ165" i="83" s="1"/>
  <c r="AZ148" i="83" s="1"/>
  <c r="AY163" i="83"/>
  <c r="AX163" i="83"/>
  <c r="AW163" i="83"/>
  <c r="AW165" i="83" s="1"/>
  <c r="AW148" i="83" s="1"/>
  <c r="AV163" i="83"/>
  <c r="BJ157" i="83"/>
  <c r="BB157" i="83"/>
  <c r="AZ157" i="83"/>
  <c r="AT157" i="83"/>
  <c r="AO157" i="83"/>
  <c r="AM157" i="83"/>
  <c r="AK157" i="83"/>
  <c r="AG157" i="83"/>
  <c r="AE157" i="83"/>
  <c r="AC157" i="83"/>
  <c r="Y157" i="83"/>
  <c r="W157" i="83"/>
  <c r="U157" i="83"/>
  <c r="Q157" i="83"/>
  <c r="N157" i="83"/>
  <c r="L157" i="83"/>
  <c r="F157" i="83"/>
  <c r="D157" i="83"/>
  <c r="AC150" i="83"/>
  <c r="AC159" i="83" s="1"/>
  <c r="AB150" i="83"/>
  <c r="AB159" i="83" s="1"/>
  <c r="AA150" i="83"/>
  <c r="AA159" i="83" s="1"/>
  <c r="Z150" i="83"/>
  <c r="Z159" i="83" s="1"/>
  <c r="X150" i="83"/>
  <c r="X159" i="83" s="1"/>
  <c r="W150" i="83"/>
  <c r="W159" i="83" s="1"/>
  <c r="V150" i="83"/>
  <c r="V159" i="83" s="1"/>
  <c r="U150" i="83"/>
  <c r="T150" i="83"/>
  <c r="S150" i="83"/>
  <c r="S159" i="83" s="1"/>
  <c r="R150" i="83"/>
  <c r="R159" i="83" s="1"/>
  <c r="Q150" i="83"/>
  <c r="Q159" i="83" s="1"/>
  <c r="P150" i="83"/>
  <c r="P159" i="83" s="1"/>
  <c r="O150" i="83"/>
  <c r="O159" i="83" s="1"/>
  <c r="N150" i="83"/>
  <c r="N159" i="83" s="1"/>
  <c r="M150" i="83"/>
  <c r="M159" i="83" s="1"/>
  <c r="K150" i="83"/>
  <c r="K159" i="83" s="1"/>
  <c r="J150" i="83"/>
  <c r="J159" i="83" s="1"/>
  <c r="I150" i="83"/>
  <c r="I159" i="83" s="1"/>
  <c r="H150" i="83"/>
  <c r="H159" i="83" s="1"/>
  <c r="G150" i="83"/>
  <c r="G159" i="83" s="1"/>
  <c r="F150" i="83"/>
  <c r="F159" i="83" s="1"/>
  <c r="E150" i="83"/>
  <c r="E159" i="83" s="1"/>
  <c r="D150" i="83"/>
  <c r="D159" i="83" s="1"/>
  <c r="BJ148" i="83"/>
  <c r="BB148" i="83"/>
  <c r="AT148" i="83"/>
  <c r="AR148" i="83"/>
  <c r="AO148" i="83"/>
  <c r="AM148" i="83"/>
  <c r="AK148" i="83"/>
  <c r="AI148" i="83"/>
  <c r="AG148" i="83"/>
  <c r="AE148" i="83"/>
  <c r="AC148" i="83"/>
  <c r="AA148" i="83"/>
  <c r="Y148" i="83"/>
  <c r="W148" i="83"/>
  <c r="U148" i="83"/>
  <c r="S148" i="83"/>
  <c r="Q148" i="83"/>
  <c r="N148" i="83"/>
  <c r="L148" i="83"/>
  <c r="I148" i="83"/>
  <c r="F148" i="83"/>
  <c r="D148" i="83"/>
  <c r="DH144" i="83"/>
  <c r="DG144" i="83"/>
  <c r="DF144" i="83"/>
  <c r="DE144" i="83"/>
  <c r="DD144" i="83"/>
  <c r="DC144" i="83"/>
  <c r="DB144" i="83"/>
  <c r="DA144" i="83"/>
  <c r="CZ144" i="83"/>
  <c r="CY144" i="83"/>
  <c r="CX144" i="83"/>
  <c r="CW144" i="83"/>
  <c r="CV144" i="83"/>
  <c r="CU144" i="83"/>
  <c r="CT144" i="83"/>
  <c r="CS144" i="83"/>
  <c r="CR144" i="83"/>
  <c r="CP144" i="83"/>
  <c r="CO144" i="83"/>
  <c r="CN144" i="83"/>
  <c r="CM144" i="83"/>
  <c r="CL144" i="83"/>
  <c r="CK144" i="83"/>
  <c r="CJ144" i="83"/>
  <c r="CI144" i="83"/>
  <c r="CH144" i="83"/>
  <c r="CG144" i="83"/>
  <c r="CF144" i="83"/>
  <c r="CE144" i="83"/>
  <c r="CD144" i="83"/>
  <c r="CC144" i="83"/>
  <c r="CB144" i="83"/>
  <c r="CA144" i="83"/>
  <c r="BZ144" i="83"/>
  <c r="BY144" i="83"/>
  <c r="BW144" i="83"/>
  <c r="BV144" i="83"/>
  <c r="BU144" i="83"/>
  <c r="BT144" i="83"/>
  <c r="BS144" i="83"/>
  <c r="BR144" i="83"/>
  <c r="BQ144" i="83"/>
  <c r="BP144" i="83"/>
  <c r="BO144" i="83"/>
  <c r="BN144" i="83"/>
  <c r="BM144" i="83"/>
  <c r="BL144" i="83"/>
  <c r="BK144" i="83"/>
  <c r="BJ144" i="83"/>
  <c r="BI144" i="83"/>
  <c r="BH144" i="83"/>
  <c r="BG144" i="83"/>
  <c r="BF144" i="83"/>
  <c r="BE144" i="83"/>
  <c r="BD144" i="83"/>
  <c r="BC144" i="83"/>
  <c r="BB144" i="83"/>
  <c r="BA144" i="83"/>
  <c r="AZ144" i="83"/>
  <c r="AY144" i="83"/>
  <c r="AX144" i="83"/>
  <c r="AW144" i="83"/>
  <c r="AV144" i="83"/>
  <c r="AU144" i="83"/>
  <c r="AT144" i="83"/>
  <c r="AS144" i="83"/>
  <c r="AR144" i="83"/>
  <c r="AQ144" i="83"/>
  <c r="AP144" i="83"/>
  <c r="AO144" i="83"/>
  <c r="AN144" i="83"/>
  <c r="AM144" i="83"/>
  <c r="AL144" i="83"/>
  <c r="AK144" i="83"/>
  <c r="AJ144" i="83"/>
  <c r="AI144" i="83"/>
  <c r="AH144" i="83"/>
  <c r="AG144" i="83"/>
  <c r="AF144" i="83"/>
  <c r="AE144" i="83"/>
  <c r="AD144" i="83"/>
  <c r="AC144" i="83"/>
  <c r="AB144" i="83"/>
  <c r="AA144" i="83"/>
  <c r="Z144" i="83"/>
  <c r="Y144" i="83"/>
  <c r="X144" i="83"/>
  <c r="W144" i="83"/>
  <c r="V144" i="83"/>
  <c r="U144" i="83"/>
  <c r="T144" i="83"/>
  <c r="S144" i="83"/>
  <c r="R144" i="83"/>
  <c r="Q144" i="83"/>
  <c r="P144" i="83"/>
  <c r="O144" i="83"/>
  <c r="N144" i="83"/>
  <c r="M144" i="83"/>
  <c r="L144" i="83"/>
  <c r="K144" i="83"/>
  <c r="J144" i="83"/>
  <c r="I144" i="83"/>
  <c r="H144" i="83"/>
  <c r="G144" i="83"/>
  <c r="F144" i="83"/>
  <c r="E144" i="83"/>
  <c r="D144" i="83"/>
  <c r="BD125" i="83"/>
  <c r="BC125" i="83"/>
  <c r="BA125" i="83"/>
  <c r="AZ125" i="83"/>
  <c r="AX125" i="83"/>
  <c r="AW125" i="83"/>
  <c r="AV125" i="83"/>
  <c r="AT125" i="83"/>
  <c r="AS125" i="83"/>
  <c r="AR125" i="83"/>
  <c r="AP125" i="83"/>
  <c r="AO125" i="83"/>
  <c r="AN125" i="83"/>
  <c r="AL125" i="83"/>
  <c r="AK125" i="83"/>
  <c r="AJ125" i="83"/>
  <c r="AH125" i="83"/>
  <c r="AG125" i="83"/>
  <c r="AF125" i="83"/>
  <c r="AE125" i="83"/>
  <c r="AD125" i="83"/>
  <c r="AC125" i="83"/>
  <c r="AB125" i="83"/>
  <c r="AA125" i="83"/>
  <c r="Z125" i="83"/>
  <c r="Y125" i="83"/>
  <c r="X125" i="83"/>
  <c r="W125" i="83"/>
  <c r="V125" i="83"/>
  <c r="U125" i="83"/>
  <c r="T125" i="83"/>
  <c r="S125" i="83"/>
  <c r="R125" i="83"/>
  <c r="Q125" i="83"/>
  <c r="P125" i="83"/>
  <c r="N125" i="83"/>
  <c r="M125" i="83"/>
  <c r="L125" i="83"/>
  <c r="J125" i="83"/>
  <c r="I125" i="83"/>
  <c r="H125" i="83"/>
  <c r="F125" i="83"/>
  <c r="E125" i="83"/>
  <c r="D125" i="83"/>
  <c r="DH124" i="83"/>
  <c r="DG124" i="83"/>
  <c r="DF124" i="83"/>
  <c r="DE124" i="83"/>
  <c r="DD124" i="83"/>
  <c r="DC124" i="83"/>
  <c r="DB124" i="83"/>
  <c r="DA124" i="83"/>
  <c r="CZ124" i="83"/>
  <c r="CY124" i="83"/>
  <c r="CX124" i="83"/>
  <c r="CW124" i="83"/>
  <c r="CV124" i="83"/>
  <c r="CU124" i="83"/>
  <c r="CT124" i="83"/>
  <c r="CS124" i="83"/>
  <c r="CR124" i="83"/>
  <c r="CM125" i="83"/>
  <c r="CP124" i="83"/>
  <c r="CO124" i="83"/>
  <c r="CN124" i="83"/>
  <c r="CM124" i="83"/>
  <c r="CL124" i="83"/>
  <c r="CK124" i="83"/>
  <c r="CJ124" i="83"/>
  <c r="CI124" i="83"/>
  <c r="CH124" i="83"/>
  <c r="CG124" i="83"/>
  <c r="CF124" i="83"/>
  <c r="CE124" i="83"/>
  <c r="CD124" i="83"/>
  <c r="CC124" i="83"/>
  <c r="CB124" i="83"/>
  <c r="CA124" i="83"/>
  <c r="BZ124" i="83"/>
  <c r="BY124" i="83"/>
  <c r="BN125" i="83"/>
  <c r="BN126" i="83" s="1"/>
  <c r="BM125" i="83"/>
  <c r="BL125" i="83"/>
  <c r="BL126" i="83" s="1"/>
  <c r="BW124" i="83"/>
  <c r="BV124" i="83"/>
  <c r="BU124" i="83"/>
  <c r="BT124" i="83"/>
  <c r="BS124" i="83"/>
  <c r="BR124" i="83"/>
  <c r="BQ124" i="83"/>
  <c r="BP124" i="83"/>
  <c r="BO124" i="83"/>
  <c r="BN124" i="83"/>
  <c r="BM124" i="83"/>
  <c r="BL124" i="83"/>
  <c r="BK124" i="83"/>
  <c r="BJ124" i="83"/>
  <c r="BI124" i="83"/>
  <c r="BH124" i="83"/>
  <c r="BG124" i="83"/>
  <c r="BF124" i="83"/>
  <c r="BE124" i="83"/>
  <c r="BD124" i="83"/>
  <c r="BC124" i="83"/>
  <c r="BB124" i="83"/>
  <c r="BA124" i="83"/>
  <c r="AZ124" i="83"/>
  <c r="AY124" i="83"/>
  <c r="AX124" i="83"/>
  <c r="AW124" i="83"/>
  <c r="AV124" i="83"/>
  <c r="AU124" i="83"/>
  <c r="AT124" i="83"/>
  <c r="AS124" i="83"/>
  <c r="AR124" i="83"/>
  <c r="AQ124" i="83"/>
  <c r="AP124" i="83"/>
  <c r="AO124" i="83"/>
  <c r="AN124" i="83"/>
  <c r="AM124" i="83"/>
  <c r="AL124" i="83"/>
  <c r="AK124" i="83"/>
  <c r="AJ124" i="83"/>
  <c r="AI124" i="83"/>
  <c r="AH124" i="83"/>
  <c r="AG124" i="83"/>
  <c r="AF124" i="83"/>
  <c r="AE124" i="83"/>
  <c r="AD124" i="83"/>
  <c r="AC124" i="83"/>
  <c r="AB124" i="83"/>
  <c r="AA124" i="83"/>
  <c r="Z124" i="83"/>
  <c r="Y124" i="83"/>
  <c r="X124" i="83"/>
  <c r="W124" i="83"/>
  <c r="V124" i="83"/>
  <c r="U124" i="83"/>
  <c r="T124" i="83"/>
  <c r="S124" i="83"/>
  <c r="R124" i="83"/>
  <c r="Q124" i="83"/>
  <c r="P124" i="83"/>
  <c r="O124" i="83"/>
  <c r="N124" i="83"/>
  <c r="M124" i="83"/>
  <c r="L124" i="83"/>
  <c r="K124" i="83"/>
  <c r="J124" i="83"/>
  <c r="I124" i="83"/>
  <c r="H124" i="83"/>
  <c r="G124" i="83"/>
  <c r="F124" i="83"/>
  <c r="E124" i="83"/>
  <c r="D124" i="83"/>
  <c r="BN119" i="83"/>
  <c r="BN156" i="83" s="1"/>
  <c r="BM119" i="83"/>
  <c r="BM156" i="83" s="1"/>
  <c r="BL119" i="83"/>
  <c r="BL156" i="83" s="1"/>
  <c r="BK119" i="83"/>
  <c r="BK156" i="83" s="1"/>
  <c r="BJ119" i="83"/>
  <c r="BJ156" i="83" s="1"/>
  <c r="BI119" i="83"/>
  <c r="BI156" i="83" s="1"/>
  <c r="BH119" i="83"/>
  <c r="BH156" i="83" s="1"/>
  <c r="CM156" i="83" s="1"/>
  <c r="BG119" i="83"/>
  <c r="BG156" i="83" s="1"/>
  <c r="BF119" i="83"/>
  <c r="BF156" i="83" s="1"/>
  <c r="BE119" i="83"/>
  <c r="BE156" i="83" s="1"/>
  <c r="BD119" i="83"/>
  <c r="BD156" i="83" s="1"/>
  <c r="CL156" i="83" s="1"/>
  <c r="BC119" i="83"/>
  <c r="BC156" i="83" s="1"/>
  <c r="BB119" i="83"/>
  <c r="BB156" i="83" s="1"/>
  <c r="BA119" i="83"/>
  <c r="BA156" i="83" s="1"/>
  <c r="AZ119" i="83"/>
  <c r="AZ156" i="83" s="1"/>
  <c r="CK156" i="83" s="1"/>
  <c r="AY119" i="83"/>
  <c r="AY156" i="83" s="1"/>
  <c r="AX119" i="83"/>
  <c r="AX156" i="83" s="1"/>
  <c r="AW119" i="83"/>
  <c r="AW156" i="83" s="1"/>
  <c r="AV119" i="83"/>
  <c r="AV156" i="83" s="1"/>
  <c r="CJ156" i="83" s="1"/>
  <c r="AU119" i="83"/>
  <c r="AU156" i="83" s="1"/>
  <c r="AT119" i="83"/>
  <c r="AT156" i="83" s="1"/>
  <c r="AS119" i="83"/>
  <c r="AS156" i="83" s="1"/>
  <c r="AR119" i="83"/>
  <c r="AR156" i="83" s="1"/>
  <c r="CI156" i="83" s="1"/>
  <c r="AP119" i="83"/>
  <c r="AP156" i="83" s="1"/>
  <c r="AO119" i="83"/>
  <c r="AO156" i="83" s="1"/>
  <c r="AN119" i="83"/>
  <c r="AN156" i="83" s="1"/>
  <c r="AM119" i="83"/>
  <c r="AM156" i="83" s="1"/>
  <c r="AL119" i="83"/>
  <c r="AL156" i="83" s="1"/>
  <c r="AK119" i="83"/>
  <c r="AK156" i="83" s="1"/>
  <c r="AJ119" i="83"/>
  <c r="AJ156" i="83" s="1"/>
  <c r="AH119" i="83"/>
  <c r="AH156" i="83" s="1"/>
  <c r="AG119" i="83"/>
  <c r="AG156" i="83" s="1"/>
  <c r="AF119" i="83"/>
  <c r="AF156" i="83" s="1"/>
  <c r="AE119" i="83"/>
  <c r="AE156" i="83" s="1"/>
  <c r="AD119" i="83"/>
  <c r="AD156" i="83" s="1"/>
  <c r="AC119" i="83"/>
  <c r="AC156" i="83" s="1"/>
  <c r="AB119" i="83"/>
  <c r="AB156" i="83" s="1"/>
  <c r="CE156" i="83" s="1"/>
  <c r="AA119" i="83"/>
  <c r="AA156" i="83" s="1"/>
  <c r="Z119" i="83"/>
  <c r="Z156" i="83" s="1"/>
  <c r="Y119" i="83"/>
  <c r="Y156" i="83" s="1"/>
  <c r="X119" i="83"/>
  <c r="X156" i="83" s="1"/>
  <c r="CD156" i="83" s="1"/>
  <c r="W119" i="83"/>
  <c r="W156" i="83" s="1"/>
  <c r="V119" i="83"/>
  <c r="V156" i="83" s="1"/>
  <c r="U119" i="83"/>
  <c r="U156" i="83" s="1"/>
  <c r="T119" i="83"/>
  <c r="T156" i="83" s="1"/>
  <c r="CC156" i="83" s="1"/>
  <c r="S119" i="83"/>
  <c r="S156" i="83" s="1"/>
  <c r="R119" i="83"/>
  <c r="R156" i="83" s="1"/>
  <c r="Q119" i="83"/>
  <c r="Q156" i="83" s="1"/>
  <c r="P119" i="83"/>
  <c r="P156" i="83" s="1"/>
  <c r="CB156" i="83" s="1"/>
  <c r="O119" i="83"/>
  <c r="O156" i="83" s="1"/>
  <c r="N119" i="83"/>
  <c r="N156" i="83" s="1"/>
  <c r="M119" i="83"/>
  <c r="M156" i="83" s="1"/>
  <c r="L119" i="83"/>
  <c r="L156" i="83" s="1"/>
  <c r="CA156" i="83" s="1"/>
  <c r="K119" i="83"/>
  <c r="K156" i="83" s="1"/>
  <c r="J119" i="83"/>
  <c r="J156" i="83" s="1"/>
  <c r="I119" i="83"/>
  <c r="I156" i="83" s="1"/>
  <c r="H119" i="83"/>
  <c r="H156" i="83" s="1"/>
  <c r="BZ156" i="83" s="1"/>
  <c r="G119" i="83"/>
  <c r="G156" i="83" s="1"/>
  <c r="F119" i="83"/>
  <c r="F156" i="83" s="1"/>
  <c r="E119" i="83"/>
  <c r="E156" i="83" s="1"/>
  <c r="D119" i="83"/>
  <c r="D156" i="83" s="1"/>
  <c r="BY156" i="83" s="1"/>
  <c r="AQ118" i="83"/>
  <c r="AQ117" i="83"/>
  <c r="DA117" i="83" s="1"/>
  <c r="AQ116" i="83"/>
  <c r="AQ115" i="83"/>
  <c r="AQ114" i="83"/>
  <c r="AI118" i="83"/>
  <c r="CF118" i="83" s="1"/>
  <c r="AI117" i="83"/>
  <c r="AI116" i="83"/>
  <c r="AI119" i="83" s="1"/>
  <c r="AI156" i="83" s="1"/>
  <c r="CY156" i="83" s="1"/>
  <c r="AI115" i="83"/>
  <c r="AI114" i="83"/>
  <c r="DF120" i="83"/>
  <c r="DE120" i="83"/>
  <c r="DD120" i="83"/>
  <c r="DC120" i="83"/>
  <c r="DB120" i="83"/>
  <c r="DA120" i="83"/>
  <c r="CZ120" i="83"/>
  <c r="CY120" i="83"/>
  <c r="CX120" i="83"/>
  <c r="CW120" i="83"/>
  <c r="CV120" i="83"/>
  <c r="CT120" i="83"/>
  <c r="CS120" i="83"/>
  <c r="CR120" i="83"/>
  <c r="DF118" i="83"/>
  <c r="DE118" i="83"/>
  <c r="DD118" i="83"/>
  <c r="DC118" i="83"/>
  <c r="DB118" i="83"/>
  <c r="DA118" i="83"/>
  <c r="CZ118" i="83"/>
  <c r="CY118" i="83"/>
  <c r="CX118" i="83"/>
  <c r="CW118" i="83"/>
  <c r="CV118" i="83"/>
  <c r="CU118" i="83"/>
  <c r="CT118" i="83"/>
  <c r="CS118" i="83"/>
  <c r="CR118" i="83"/>
  <c r="DF117" i="83"/>
  <c r="DE117" i="83"/>
  <c r="DD117" i="83"/>
  <c r="DC117" i="83"/>
  <c r="DB117" i="83"/>
  <c r="CZ117" i="83"/>
  <c r="CY117" i="83"/>
  <c r="CX117" i="83"/>
  <c r="CW117" i="83"/>
  <c r="CV117" i="83"/>
  <c r="CU117" i="83"/>
  <c r="CT117" i="83"/>
  <c r="CS117" i="83"/>
  <c r="CR117" i="83"/>
  <c r="DF116" i="83"/>
  <c r="DE116" i="83"/>
  <c r="DD116" i="83"/>
  <c r="DC116" i="83"/>
  <c r="DB116" i="83"/>
  <c r="DA116" i="83"/>
  <c r="CZ116" i="83"/>
  <c r="CX116" i="83"/>
  <c r="CW116" i="83"/>
  <c r="CV116" i="83"/>
  <c r="CU116" i="83"/>
  <c r="CT116" i="83"/>
  <c r="CS116" i="83"/>
  <c r="CR116" i="83"/>
  <c r="DH115" i="83"/>
  <c r="DG115" i="83"/>
  <c r="DF115" i="83"/>
  <c r="DE115" i="83"/>
  <c r="DD115" i="83"/>
  <c r="DC115" i="83"/>
  <c r="DB115" i="83"/>
  <c r="DA115" i="83"/>
  <c r="CZ115" i="83"/>
  <c r="CY115" i="83"/>
  <c r="CX115" i="83"/>
  <c r="CW115" i="83"/>
  <c r="CV115" i="83"/>
  <c r="CU115" i="83"/>
  <c r="CT115" i="83"/>
  <c r="CS115" i="83"/>
  <c r="CR115" i="83"/>
  <c r="DH114" i="83"/>
  <c r="DG114" i="83"/>
  <c r="DF114" i="83"/>
  <c r="DE114" i="83"/>
  <c r="DD114" i="83"/>
  <c r="DC114" i="83"/>
  <c r="DB114" i="83"/>
  <c r="DA114" i="83"/>
  <c r="CZ114" i="83"/>
  <c r="CY114" i="83"/>
  <c r="CX114" i="83"/>
  <c r="CW114" i="83"/>
  <c r="CV114" i="83"/>
  <c r="CU114" i="83"/>
  <c r="CT114" i="83"/>
  <c r="CS114" i="83"/>
  <c r="CR114" i="83"/>
  <c r="CM120" i="83"/>
  <c r="CL120" i="83"/>
  <c r="CK120" i="83"/>
  <c r="CJ120" i="83"/>
  <c r="CI120" i="83"/>
  <c r="CH120" i="83"/>
  <c r="CG120" i="83"/>
  <c r="CF120" i="83"/>
  <c r="CE120" i="83"/>
  <c r="CD120" i="83"/>
  <c r="CB120" i="83"/>
  <c r="CA120" i="83"/>
  <c r="BZ120" i="83"/>
  <c r="BY120" i="83"/>
  <c r="CJ119" i="83"/>
  <c r="CM118" i="83"/>
  <c r="CL118" i="83"/>
  <c r="CK118" i="83"/>
  <c r="CJ118" i="83"/>
  <c r="CI118" i="83"/>
  <c r="CH118" i="83"/>
  <c r="CG118" i="83"/>
  <c r="CE118" i="83"/>
  <c r="CD118" i="83"/>
  <c r="CC118" i="83"/>
  <c r="CB118" i="83"/>
  <c r="CA118" i="83"/>
  <c r="BZ118" i="83"/>
  <c r="BY118" i="83"/>
  <c r="CM117" i="83"/>
  <c r="CL117" i="83"/>
  <c r="CK117" i="83"/>
  <c r="CJ117" i="83"/>
  <c r="CI117" i="83"/>
  <c r="CG117" i="83"/>
  <c r="CF117" i="83"/>
  <c r="CE117" i="83"/>
  <c r="CD117" i="83"/>
  <c r="CC117" i="83"/>
  <c r="CB117" i="83"/>
  <c r="CA117" i="83"/>
  <c r="BZ117" i="83"/>
  <c r="BY117" i="83"/>
  <c r="CM116" i="83"/>
  <c r="CL116" i="83"/>
  <c r="CK116" i="83"/>
  <c r="CJ116" i="83"/>
  <c r="CI116" i="83"/>
  <c r="CH116" i="83"/>
  <c r="CG116" i="83"/>
  <c r="CF116" i="83"/>
  <c r="CE116" i="83"/>
  <c r="CD116" i="83"/>
  <c r="CD119" i="83" s="1"/>
  <c r="CC116" i="83"/>
  <c r="CB116" i="83"/>
  <c r="CB119" i="83" s="1"/>
  <c r="CA116" i="83"/>
  <c r="BZ116" i="83"/>
  <c r="BZ119" i="83" s="1"/>
  <c r="BY116" i="83"/>
  <c r="CP115" i="83"/>
  <c r="CO115" i="83"/>
  <c r="CN115" i="83"/>
  <c r="CM115" i="83"/>
  <c r="CL115" i="83"/>
  <c r="CK115" i="83"/>
  <c r="CJ115" i="83"/>
  <c r="CI115" i="83"/>
  <c r="CH115" i="83"/>
  <c r="CG115" i="83"/>
  <c r="CF115" i="83"/>
  <c r="CE115" i="83"/>
  <c r="CD115" i="83"/>
  <c r="CC115" i="83"/>
  <c r="CB115" i="83"/>
  <c r="CA115" i="83"/>
  <c r="BZ115" i="83"/>
  <c r="BY115" i="83"/>
  <c r="CP114" i="83"/>
  <c r="CO114" i="83"/>
  <c r="CN114" i="83"/>
  <c r="CM114" i="83"/>
  <c r="BO118" i="83"/>
  <c r="BO117" i="83"/>
  <c r="CN117" i="83" s="1"/>
  <c r="BO116" i="83"/>
  <c r="BW115" i="83"/>
  <c r="BV115" i="83"/>
  <c r="BU115" i="83"/>
  <c r="BT115" i="83"/>
  <c r="BS115" i="83"/>
  <c r="BR115" i="83"/>
  <c r="BQ115" i="83"/>
  <c r="BP115" i="83"/>
  <c r="BO115" i="83"/>
  <c r="BW114" i="83"/>
  <c r="BV114" i="83"/>
  <c r="BU114" i="83"/>
  <c r="BT114" i="83"/>
  <c r="BS114" i="83"/>
  <c r="BR114" i="83"/>
  <c r="BQ114" i="83"/>
  <c r="BP114" i="83"/>
  <c r="BO114" i="83"/>
  <c r="BN115" i="83"/>
  <c r="BM115" i="83"/>
  <c r="BL115" i="83"/>
  <c r="BK115" i="83"/>
  <c r="BJ115" i="83"/>
  <c r="BI115" i="83"/>
  <c r="BH115" i="83"/>
  <c r="BG115" i="83"/>
  <c r="BF115" i="83"/>
  <c r="BE115" i="83"/>
  <c r="BD115" i="83"/>
  <c r="BC115" i="83"/>
  <c r="BB115" i="83"/>
  <c r="BA115" i="83"/>
  <c r="AZ115" i="83"/>
  <c r="AY115" i="83"/>
  <c r="AX115" i="83"/>
  <c r="AW115" i="83"/>
  <c r="AV115" i="83"/>
  <c r="AU115" i="83"/>
  <c r="AT115" i="83"/>
  <c r="AS115" i="83"/>
  <c r="AR115" i="83"/>
  <c r="BN114" i="83"/>
  <c r="BM114" i="83"/>
  <c r="BL114" i="83"/>
  <c r="BK114" i="83"/>
  <c r="BJ114" i="83"/>
  <c r="BI114" i="83"/>
  <c r="BH114" i="83"/>
  <c r="BG114" i="83"/>
  <c r="BF114" i="83"/>
  <c r="BE114" i="83"/>
  <c r="BD114" i="83"/>
  <c r="BC114" i="83"/>
  <c r="BB114" i="83"/>
  <c r="BA114" i="83"/>
  <c r="AZ114" i="83"/>
  <c r="AY114" i="83"/>
  <c r="AX114" i="83"/>
  <c r="AW114" i="83"/>
  <c r="AV114" i="83"/>
  <c r="AU114" i="83"/>
  <c r="AT114" i="83"/>
  <c r="AS114" i="83"/>
  <c r="AR114" i="83"/>
  <c r="AP115" i="83"/>
  <c r="AO115" i="83"/>
  <c r="AN115" i="83"/>
  <c r="AM115" i="83"/>
  <c r="AL115" i="83"/>
  <c r="AK115" i="83"/>
  <c r="AJ115" i="83"/>
  <c r="AP114" i="83"/>
  <c r="AO114" i="83"/>
  <c r="AN114" i="83"/>
  <c r="AM114" i="83"/>
  <c r="AL114" i="83"/>
  <c r="AK114" i="83"/>
  <c r="AJ114" i="83"/>
  <c r="AH115" i="83"/>
  <c r="AG115" i="83"/>
  <c r="AF115" i="83"/>
  <c r="AE115" i="83"/>
  <c r="AD115" i="83"/>
  <c r="AC115" i="83"/>
  <c r="AB115" i="83"/>
  <c r="AA115" i="83"/>
  <c r="Z115" i="83"/>
  <c r="Y115" i="83"/>
  <c r="X115" i="83"/>
  <c r="W115" i="83"/>
  <c r="V115" i="83"/>
  <c r="U115" i="83"/>
  <c r="T115" i="83"/>
  <c r="S115" i="83"/>
  <c r="R115" i="83"/>
  <c r="Q115" i="83"/>
  <c r="P115" i="83"/>
  <c r="O115" i="83"/>
  <c r="N115" i="83"/>
  <c r="M115" i="83"/>
  <c r="L115" i="83"/>
  <c r="K115" i="83"/>
  <c r="J115" i="83"/>
  <c r="I115" i="83"/>
  <c r="H115" i="83"/>
  <c r="G115" i="83"/>
  <c r="F115" i="83"/>
  <c r="E115" i="83"/>
  <c r="D115" i="83"/>
  <c r="AH114" i="83"/>
  <c r="AG114" i="83"/>
  <c r="AF114" i="83"/>
  <c r="AE114" i="83"/>
  <c r="AD114" i="83"/>
  <c r="AC114" i="83"/>
  <c r="AB114" i="83"/>
  <c r="AA114" i="83"/>
  <c r="Z114" i="83"/>
  <c r="Y114" i="83"/>
  <c r="X114" i="83"/>
  <c r="W114" i="83"/>
  <c r="V114" i="83"/>
  <c r="U114" i="83"/>
  <c r="T114" i="83"/>
  <c r="S114" i="83"/>
  <c r="R114" i="83"/>
  <c r="Q114" i="83"/>
  <c r="P114" i="83"/>
  <c r="O114" i="83"/>
  <c r="N114" i="83"/>
  <c r="M114" i="83"/>
  <c r="L114" i="83"/>
  <c r="K114" i="83"/>
  <c r="J114" i="83"/>
  <c r="I114" i="83"/>
  <c r="H114" i="83"/>
  <c r="G114" i="83"/>
  <c r="F114" i="83"/>
  <c r="E114" i="83"/>
  <c r="D114" i="83"/>
  <c r="DF110" i="83"/>
  <c r="DE110" i="83"/>
  <c r="CM110" i="83"/>
  <c r="CL110" i="83"/>
  <c r="BO110" i="83"/>
  <c r="BN108" i="83"/>
  <c r="BM108" i="83"/>
  <c r="BL108" i="83"/>
  <c r="BK108" i="83"/>
  <c r="BJ108" i="83"/>
  <c r="BI108" i="83"/>
  <c r="BG108" i="83"/>
  <c r="BF108" i="83"/>
  <c r="BE108" i="83"/>
  <c r="BC108" i="83"/>
  <c r="BB108" i="83"/>
  <c r="BA108" i="83"/>
  <c r="AY108" i="83"/>
  <c r="AX108" i="83"/>
  <c r="AW108" i="83"/>
  <c r="AU108" i="83"/>
  <c r="AL108" i="83"/>
  <c r="AK108" i="83"/>
  <c r="AJ108" i="83"/>
  <c r="AI108" i="83"/>
  <c r="AH108" i="83"/>
  <c r="AG108" i="83"/>
  <c r="AF108" i="83"/>
  <c r="AE108" i="83"/>
  <c r="AD108" i="83"/>
  <c r="AC108" i="83"/>
  <c r="AB108" i="83"/>
  <c r="AA108" i="83"/>
  <c r="Z108" i="83"/>
  <c r="Y108" i="83"/>
  <c r="X108" i="83"/>
  <c r="W108" i="83"/>
  <c r="V108" i="83"/>
  <c r="U108" i="83"/>
  <c r="T108" i="83"/>
  <c r="S108" i="83"/>
  <c r="R108" i="83"/>
  <c r="Q108" i="83"/>
  <c r="P108" i="83"/>
  <c r="O108" i="83"/>
  <c r="N108" i="83"/>
  <c r="M108" i="83"/>
  <c r="L108" i="83"/>
  <c r="K108" i="83"/>
  <c r="J108" i="83"/>
  <c r="I108" i="83"/>
  <c r="H108" i="83"/>
  <c r="G108" i="83"/>
  <c r="F108" i="83"/>
  <c r="E108" i="83"/>
  <c r="D108" i="83"/>
  <c r="DF105" i="83"/>
  <c r="DE105" i="83"/>
  <c r="DD105" i="83"/>
  <c r="DC105" i="83"/>
  <c r="DB105" i="83"/>
  <c r="DA105" i="83"/>
  <c r="CZ105" i="83"/>
  <c r="CY105" i="83"/>
  <c r="CX105" i="83"/>
  <c r="CW105" i="83"/>
  <c r="CV105" i="83"/>
  <c r="CU105" i="83"/>
  <c r="CT105" i="83"/>
  <c r="CS105" i="83"/>
  <c r="CR105" i="83"/>
  <c r="DF104" i="83"/>
  <c r="DF108" i="83" s="1"/>
  <c r="DE104" i="83"/>
  <c r="DE108" i="83" s="1"/>
  <c r="DD104" i="83"/>
  <c r="DD108" i="83" s="1"/>
  <c r="DC104" i="83"/>
  <c r="DC108" i="83" s="1"/>
  <c r="DB104" i="83"/>
  <c r="DB108" i="83" s="1"/>
  <c r="DA104" i="83"/>
  <c r="DA108" i="83" s="1"/>
  <c r="CZ104" i="83"/>
  <c r="CZ108" i="83" s="1"/>
  <c r="CY104" i="83"/>
  <c r="CY108" i="83" s="1"/>
  <c r="CX104" i="83"/>
  <c r="CX108" i="83" s="1"/>
  <c r="CW104" i="83"/>
  <c r="CW108" i="83" s="1"/>
  <c r="CV104" i="83"/>
  <c r="CV108" i="83" s="1"/>
  <c r="CU104" i="83"/>
  <c r="CU108" i="83" s="1"/>
  <c r="CT104" i="83"/>
  <c r="CT108" i="83" s="1"/>
  <c r="CS104" i="83"/>
  <c r="CS108" i="83" s="1"/>
  <c r="CR104" i="83"/>
  <c r="CR108" i="83" s="1"/>
  <c r="DF103" i="83"/>
  <c r="DE103" i="83"/>
  <c r="DD103" i="83"/>
  <c r="DC103" i="83"/>
  <c r="DB103" i="83"/>
  <c r="DA103" i="83"/>
  <c r="CZ103" i="83"/>
  <c r="CY103" i="83"/>
  <c r="CX103" i="83"/>
  <c r="CW103" i="83"/>
  <c r="CV103" i="83"/>
  <c r="CU103" i="83"/>
  <c r="CT103" i="83"/>
  <c r="CS103" i="83"/>
  <c r="CR103" i="83"/>
  <c r="DH102" i="83"/>
  <c r="DG102" i="83"/>
  <c r="DF102" i="83"/>
  <c r="DE102" i="83"/>
  <c r="DD102" i="83"/>
  <c r="DC102" i="83"/>
  <c r="DB102" i="83"/>
  <c r="DA102" i="83"/>
  <c r="CZ102" i="83"/>
  <c r="CY102" i="83"/>
  <c r="CX102" i="83"/>
  <c r="CW102" i="83"/>
  <c r="CV102" i="83"/>
  <c r="CU102" i="83"/>
  <c r="CT102" i="83"/>
  <c r="CS102" i="83"/>
  <c r="CR102" i="83"/>
  <c r="CM105" i="83"/>
  <c r="CL105" i="83"/>
  <c r="CK105" i="83"/>
  <c r="CJ105" i="83"/>
  <c r="CI105" i="83"/>
  <c r="CH105" i="83"/>
  <c r="CG105" i="83"/>
  <c r="CF105" i="83"/>
  <c r="CE105" i="83"/>
  <c r="CD105" i="83"/>
  <c r="CC105" i="83"/>
  <c r="CB105" i="83"/>
  <c r="CA105" i="83"/>
  <c r="BZ105" i="83"/>
  <c r="BY105" i="83"/>
  <c r="CM104" i="83"/>
  <c r="CM108" i="83" s="1"/>
  <c r="CL104" i="83"/>
  <c r="CL108" i="83" s="1"/>
  <c r="CK104" i="83"/>
  <c r="CK108" i="83" s="1"/>
  <c r="CJ104" i="83"/>
  <c r="CJ108" i="83" s="1"/>
  <c r="CI104" i="83"/>
  <c r="CI108" i="83" s="1"/>
  <c r="CH104" i="83"/>
  <c r="CH108" i="83" s="1"/>
  <c r="CG104" i="83"/>
  <c r="CG108" i="83" s="1"/>
  <c r="CF104" i="83"/>
  <c r="CF108" i="83" s="1"/>
  <c r="CE104" i="83"/>
  <c r="CE108" i="83" s="1"/>
  <c r="CD104" i="83"/>
  <c r="CD108" i="83" s="1"/>
  <c r="CC104" i="83"/>
  <c r="CC108" i="83" s="1"/>
  <c r="CB104" i="83"/>
  <c r="CB108" i="83" s="1"/>
  <c r="CA104" i="83"/>
  <c r="CA108" i="83" s="1"/>
  <c r="BZ104" i="83"/>
  <c r="BZ108" i="83" s="1"/>
  <c r="BY104" i="83"/>
  <c r="BY108" i="83" s="1"/>
  <c r="CM103" i="83"/>
  <c r="CL103" i="83"/>
  <c r="CK103" i="83"/>
  <c r="CJ103" i="83"/>
  <c r="CI103" i="83"/>
  <c r="CH103" i="83"/>
  <c r="CG103" i="83"/>
  <c r="CF103" i="83"/>
  <c r="CE103" i="83"/>
  <c r="CD103" i="83"/>
  <c r="CC103" i="83"/>
  <c r="CB103" i="83"/>
  <c r="CA103" i="83"/>
  <c r="BZ103" i="83"/>
  <c r="BY103" i="83"/>
  <c r="CP102" i="83"/>
  <c r="CO102" i="83"/>
  <c r="CN102" i="83"/>
  <c r="CM102" i="83"/>
  <c r="CL102" i="83"/>
  <c r="CK102" i="83"/>
  <c r="CJ102" i="83"/>
  <c r="CI102" i="83"/>
  <c r="CH102" i="83"/>
  <c r="CG102" i="83"/>
  <c r="CF102" i="83"/>
  <c r="CE102" i="83"/>
  <c r="CD102" i="83"/>
  <c r="CC102" i="83"/>
  <c r="CB102" i="83"/>
  <c r="CA102" i="83"/>
  <c r="BZ102" i="83"/>
  <c r="BY102" i="83"/>
  <c r="CN105" i="83"/>
  <c r="BW102" i="83"/>
  <c r="BV102" i="83"/>
  <c r="BU102" i="83"/>
  <c r="BT102" i="83"/>
  <c r="BS102" i="83"/>
  <c r="BR102" i="83"/>
  <c r="BQ102" i="83"/>
  <c r="BP102" i="83"/>
  <c r="BO102" i="83"/>
  <c r="BN102" i="83"/>
  <c r="BM102" i="83"/>
  <c r="BL102" i="83"/>
  <c r="BK102" i="83"/>
  <c r="BJ102" i="83"/>
  <c r="BI102" i="83"/>
  <c r="BH102" i="83"/>
  <c r="BG102" i="83"/>
  <c r="BF102" i="83"/>
  <c r="BE102" i="83"/>
  <c r="BD102" i="83"/>
  <c r="BC102" i="83"/>
  <c r="BB102" i="83"/>
  <c r="BA102" i="83"/>
  <c r="AZ102" i="83"/>
  <c r="AY102" i="83"/>
  <c r="AX102" i="83"/>
  <c r="AW102" i="83"/>
  <c r="AV102" i="83"/>
  <c r="AU102" i="83"/>
  <c r="AT102" i="83"/>
  <c r="AS102" i="83"/>
  <c r="AR102" i="83"/>
  <c r="AQ102" i="83"/>
  <c r="AP102" i="83"/>
  <c r="AO102" i="83"/>
  <c r="AN102" i="83"/>
  <c r="AM102" i="83"/>
  <c r="AL102" i="83"/>
  <c r="AK102" i="83"/>
  <c r="AJ102" i="83"/>
  <c r="AI102" i="83"/>
  <c r="AH102" i="83"/>
  <c r="AG102" i="83"/>
  <c r="AF102" i="83"/>
  <c r="AE102" i="83"/>
  <c r="AD102" i="83"/>
  <c r="AC102" i="83"/>
  <c r="AB102" i="83"/>
  <c r="AA102" i="83"/>
  <c r="Z102" i="83"/>
  <c r="Y102" i="83"/>
  <c r="X102" i="83"/>
  <c r="W102" i="83"/>
  <c r="V102" i="83"/>
  <c r="U102" i="83"/>
  <c r="T102" i="83"/>
  <c r="S102" i="83"/>
  <c r="R102" i="83"/>
  <c r="Q102" i="83"/>
  <c r="P102" i="83"/>
  <c r="O102" i="83"/>
  <c r="N102" i="83"/>
  <c r="M102" i="83"/>
  <c r="L102" i="83"/>
  <c r="K102" i="83"/>
  <c r="J102" i="83"/>
  <c r="I102" i="83"/>
  <c r="H102" i="83"/>
  <c r="G102" i="83"/>
  <c r="F102" i="83"/>
  <c r="E102" i="83"/>
  <c r="D102" i="83"/>
  <c r="BY159" i="83" l="1"/>
  <c r="BZ159" i="83"/>
  <c r="BD148" i="83"/>
  <c r="CC164" i="83"/>
  <c r="CU164" i="83"/>
  <c r="DD164" i="83"/>
  <c r="DE164" i="83"/>
  <c r="CG164" i="83"/>
  <c r="CY164" i="83"/>
  <c r="AW157" i="83"/>
  <c r="CF119" i="83"/>
  <c r="CH119" i="83"/>
  <c r="CL119" i="83"/>
  <c r="DB119" i="83"/>
  <c r="DD119" i="83"/>
  <c r="DF119" i="83"/>
  <c r="P165" i="83"/>
  <c r="CB164" i="83"/>
  <c r="CB165" i="83" s="1"/>
  <c r="CC157" i="83"/>
  <c r="X165" i="83"/>
  <c r="CV164" i="83"/>
  <c r="CV165" i="83" s="1"/>
  <c r="CD164" i="83"/>
  <c r="Z157" i="83"/>
  <c r="Z148" i="83"/>
  <c r="AB157" i="83"/>
  <c r="AB148" i="83"/>
  <c r="AD157" i="83"/>
  <c r="AD148" i="83"/>
  <c r="AF165" i="83"/>
  <c r="CX164" i="83"/>
  <c r="CX165" i="83" s="1"/>
  <c r="CF164" i="83"/>
  <c r="CF165" i="83" s="1"/>
  <c r="AH157" i="83"/>
  <c r="AH148" i="83"/>
  <c r="AJ157" i="83"/>
  <c r="CY157" i="83" s="1"/>
  <c r="AJ148" i="83"/>
  <c r="CG148" i="83" s="1"/>
  <c r="AL157" i="83"/>
  <c r="AL148" i="83"/>
  <c r="AN165" i="83"/>
  <c r="CZ164" i="83"/>
  <c r="CZ165" i="83" s="1"/>
  <c r="AP157" i="83"/>
  <c r="AP148" i="83"/>
  <c r="AS157" i="83"/>
  <c r="AS148" i="83"/>
  <c r="BP117" i="83"/>
  <c r="BY119" i="83"/>
  <c r="CA119" i="83"/>
  <c r="CC119" i="83"/>
  <c r="CE119" i="83"/>
  <c r="CG119" i="83"/>
  <c r="CH117" i="83"/>
  <c r="CI119" i="83"/>
  <c r="CK119" i="83"/>
  <c r="CM119" i="83"/>
  <c r="CS119" i="83"/>
  <c r="CU119" i="83"/>
  <c r="CW119" i="83"/>
  <c r="CY116" i="83"/>
  <c r="CY119" i="83" s="1"/>
  <c r="DA119" i="83"/>
  <c r="DC119" i="83"/>
  <c r="DE119" i="83"/>
  <c r="CR119" i="83"/>
  <c r="CT119" i="83"/>
  <c r="CV119" i="83"/>
  <c r="CX119" i="83"/>
  <c r="CZ119" i="83"/>
  <c r="AQ119" i="83"/>
  <c r="AQ156" i="83" s="1"/>
  <c r="DA156" i="83" s="1"/>
  <c r="CG156" i="83"/>
  <c r="U120" i="83"/>
  <c r="BM126" i="83"/>
  <c r="E148" i="83"/>
  <c r="H148" i="83"/>
  <c r="J148" i="83"/>
  <c r="M148" i="83"/>
  <c r="R148" i="83"/>
  <c r="T148" i="83"/>
  <c r="V148" i="83"/>
  <c r="CW148" i="83"/>
  <c r="CY148" i="83"/>
  <c r="AV165" i="83"/>
  <c r="AX165" i="83"/>
  <c r="BI165" i="83"/>
  <c r="BK165" i="83"/>
  <c r="BN157" i="83"/>
  <c r="BN148" i="83"/>
  <c r="CC165" i="83"/>
  <c r="CG165" i="83"/>
  <c r="CE164" i="83"/>
  <c r="CE165" i="83" s="1"/>
  <c r="CW164" i="83"/>
  <c r="CW165" i="83" s="1"/>
  <c r="CB159" i="83"/>
  <c r="DC163" i="83"/>
  <c r="BA165" i="83"/>
  <c r="BC165" i="83"/>
  <c r="BM165" i="83"/>
  <c r="DG163" i="83"/>
  <c r="CD165" i="83"/>
  <c r="CU165" i="83"/>
  <c r="CY165" i="83"/>
  <c r="CU173" i="83"/>
  <c r="CV173" i="83"/>
  <c r="CW173" i="83"/>
  <c r="CX173" i="83"/>
  <c r="CY173" i="83"/>
  <c r="CZ173" i="83"/>
  <c r="CK173" i="83"/>
  <c r="CL173" i="83"/>
  <c r="CM173" i="83"/>
  <c r="BO104" i="83"/>
  <c r="BP105" i="83"/>
  <c r="BP110" i="83"/>
  <c r="BP116" i="83"/>
  <c r="BQ117" i="83"/>
  <c r="BR117" i="83" s="1"/>
  <c r="BS117" i="83" s="1"/>
  <c r="BP118" i="83"/>
  <c r="BO119" i="83"/>
  <c r="CR156" i="83"/>
  <c r="CS156" i="83"/>
  <c r="CT156" i="83"/>
  <c r="CU156" i="83"/>
  <c r="CV156" i="83"/>
  <c r="CW156" i="83"/>
  <c r="CX156" i="83"/>
  <c r="CZ156" i="83"/>
  <c r="DB156" i="83"/>
  <c r="DC156" i="83"/>
  <c r="DD156" i="83"/>
  <c r="DE156" i="83"/>
  <c r="DF156" i="83"/>
  <c r="T120" i="83"/>
  <c r="T159" i="83" s="1"/>
  <c r="CN110" i="83"/>
  <c r="CN116" i="83"/>
  <c r="CN118" i="83"/>
  <c r="CF156" i="83"/>
  <c r="CH156" i="83"/>
  <c r="CE148" i="83"/>
  <c r="CR159" i="83"/>
  <c r="CT159" i="83"/>
  <c r="U159" i="83"/>
  <c r="BZ150" i="83"/>
  <c r="CB150" i="83"/>
  <c r="CR150" i="83"/>
  <c r="CT150" i="83"/>
  <c r="CU157" i="83"/>
  <c r="CW157" i="83"/>
  <c r="BY150" i="83"/>
  <c r="CC150" i="83"/>
  <c r="CU150" i="83"/>
  <c r="CK163" i="83"/>
  <c r="CK165" i="83" s="1"/>
  <c r="CO163" i="83"/>
  <c r="DB163" i="83"/>
  <c r="DH163" i="83"/>
  <c r="BG165" i="83"/>
  <c r="CJ163" i="83"/>
  <c r="CP163" i="83"/>
  <c r="CU148" i="83" l="1"/>
  <c r="CC159" i="83"/>
  <c r="CU159" i="83"/>
  <c r="DG117" i="83"/>
  <c r="BC157" i="83"/>
  <c r="BC148" i="83"/>
  <c r="BI157" i="83"/>
  <c r="BI148" i="83"/>
  <c r="AV157" i="83"/>
  <c r="AV148" i="83"/>
  <c r="AF157" i="83"/>
  <c r="AF148" i="83"/>
  <c r="CE157" i="83"/>
  <c r="P157" i="83"/>
  <c r="CB157" i="83" s="1"/>
  <c r="P148" i="83"/>
  <c r="CB148" i="83" s="1"/>
  <c r="CC148" i="83"/>
  <c r="CO117" i="83"/>
  <c r="BM157" i="83"/>
  <c r="BM148" i="83"/>
  <c r="BA157" i="83"/>
  <c r="BA148" i="83"/>
  <c r="BK157" i="83"/>
  <c r="BK148" i="83"/>
  <c r="AX157" i="83"/>
  <c r="AX148" i="83"/>
  <c r="AN157" i="83"/>
  <c r="CZ157" i="83" s="1"/>
  <c r="AN148" i="83"/>
  <c r="CZ148" i="83" s="1"/>
  <c r="CG157" i="83"/>
  <c r="X157" i="83"/>
  <c r="X148" i="83"/>
  <c r="BG157" i="83"/>
  <c r="BG148" i="83"/>
  <c r="CU120" i="83"/>
  <c r="CC120" i="83"/>
  <c r="BO156" i="83"/>
  <c r="CN119" i="83"/>
  <c r="BO120" i="83"/>
  <c r="BO91" i="83" s="1"/>
  <c r="BT117" i="83"/>
  <c r="BQ110" i="83"/>
  <c r="BR110" i="83" s="1"/>
  <c r="BS110" i="83" s="1"/>
  <c r="BQ105" i="83"/>
  <c r="BQ118" i="83"/>
  <c r="BR118" i="83" s="1"/>
  <c r="BS118" i="83" s="1"/>
  <c r="BP119" i="83"/>
  <c r="BQ116" i="83"/>
  <c r="BO108" i="83"/>
  <c r="CN104" i="83"/>
  <c r="CN108" i="83" s="1"/>
  <c r="BP104" i="83"/>
  <c r="BO103" i="83"/>
  <c r="DF91" i="83"/>
  <c r="DE91" i="83"/>
  <c r="DD91" i="83"/>
  <c r="DC91" i="83"/>
  <c r="DB91" i="83"/>
  <c r="DA91" i="83"/>
  <c r="CZ91" i="83"/>
  <c r="CY91" i="83"/>
  <c r="CX91" i="83"/>
  <c r="CW91" i="83"/>
  <c r="CV91" i="83"/>
  <c r="CU91" i="83"/>
  <c r="CT91" i="83"/>
  <c r="CS91" i="83"/>
  <c r="CR91" i="83"/>
  <c r="CM91" i="83"/>
  <c r="CL91" i="83"/>
  <c r="CK91" i="83"/>
  <c r="CJ91" i="83"/>
  <c r="CI91" i="83"/>
  <c r="CH91" i="83"/>
  <c r="CG91" i="83"/>
  <c r="CF91" i="83"/>
  <c r="CE91" i="83"/>
  <c r="CD91" i="83"/>
  <c r="CC91" i="83"/>
  <c r="CB91" i="83"/>
  <c r="CA91" i="83"/>
  <c r="BZ91" i="83"/>
  <c r="BY91" i="83"/>
  <c r="BN91" i="83"/>
  <c r="BM91" i="83"/>
  <c r="BL91" i="83"/>
  <c r="BK91" i="83"/>
  <c r="BJ91" i="83"/>
  <c r="BI91" i="83"/>
  <c r="BH91" i="83"/>
  <c r="BG91" i="83"/>
  <c r="BF91" i="83"/>
  <c r="BE91" i="83"/>
  <c r="BD91" i="83"/>
  <c r="BC91" i="83"/>
  <c r="BB91" i="83"/>
  <c r="BA91" i="83"/>
  <c r="AZ91" i="83"/>
  <c r="AY91" i="83"/>
  <c r="AX91" i="83"/>
  <c r="AW91" i="83"/>
  <c r="AV91" i="83"/>
  <c r="AU91" i="83"/>
  <c r="AT91" i="83"/>
  <c r="AS91" i="83"/>
  <c r="AR91" i="83"/>
  <c r="AQ91" i="83"/>
  <c r="AP91" i="83"/>
  <c r="AO91" i="83"/>
  <c r="AN91" i="83"/>
  <c r="AM91" i="83"/>
  <c r="AL91" i="83"/>
  <c r="AK91" i="83"/>
  <c r="AJ91" i="83"/>
  <c r="AI91" i="83"/>
  <c r="AH91" i="83"/>
  <c r="AG91" i="83"/>
  <c r="AF91" i="83"/>
  <c r="AE91" i="83"/>
  <c r="AD91" i="83"/>
  <c r="AC91" i="83"/>
  <c r="AB91" i="83"/>
  <c r="AA91" i="83"/>
  <c r="Z91" i="83"/>
  <c r="Y91" i="83"/>
  <c r="X91" i="83"/>
  <c r="W91" i="83"/>
  <c r="V91" i="83"/>
  <c r="U91" i="83"/>
  <c r="T91" i="83"/>
  <c r="S91" i="83"/>
  <c r="R91" i="83"/>
  <c r="Q91" i="83"/>
  <c r="P91" i="83"/>
  <c r="O91" i="83"/>
  <c r="N91" i="83"/>
  <c r="M91" i="83"/>
  <c r="L91" i="83"/>
  <c r="K91" i="83"/>
  <c r="J91" i="83"/>
  <c r="I91" i="83"/>
  <c r="H91" i="83"/>
  <c r="G91" i="83"/>
  <c r="F91" i="83"/>
  <c r="E91" i="83"/>
  <c r="D91" i="83"/>
  <c r="DH84" i="83"/>
  <c r="DG84" i="83"/>
  <c r="DF84" i="83"/>
  <c r="DE84" i="83"/>
  <c r="DD84" i="83"/>
  <c r="DC84" i="83"/>
  <c r="CP84" i="83"/>
  <c r="CO84" i="83"/>
  <c r="CN84" i="83"/>
  <c r="CM84" i="83"/>
  <c r="CL84" i="83"/>
  <c r="CK84" i="83"/>
  <c r="AC81" i="83"/>
  <c r="AC137" i="83" s="1"/>
  <c r="AB81" i="83"/>
  <c r="AB137" i="83" s="1"/>
  <c r="Z81" i="83"/>
  <c r="Z137" i="83" s="1"/>
  <c r="X81" i="83"/>
  <c r="X137" i="83" s="1"/>
  <c r="W81" i="83"/>
  <c r="W137" i="83" s="1"/>
  <c r="V81" i="83"/>
  <c r="V137" i="83" s="1"/>
  <c r="U81" i="83"/>
  <c r="U137" i="83" s="1"/>
  <c r="T81" i="83"/>
  <c r="T137" i="83" s="1"/>
  <c r="S81" i="83"/>
  <c r="S137" i="83" s="1"/>
  <c r="R81" i="83"/>
  <c r="R137" i="83" s="1"/>
  <c r="Q81" i="83"/>
  <c r="Q137" i="83" s="1"/>
  <c r="P81" i="83"/>
  <c r="P137" i="83" s="1"/>
  <c r="N81" i="83"/>
  <c r="N137" i="83" s="1"/>
  <c r="M81" i="83"/>
  <c r="M137" i="83" s="1"/>
  <c r="J81" i="83"/>
  <c r="J137" i="83" s="1"/>
  <c r="I81" i="83"/>
  <c r="I137" i="83" s="1"/>
  <c r="H81" i="83"/>
  <c r="H137" i="83" s="1"/>
  <c r="F81" i="83"/>
  <c r="F137" i="83" s="1"/>
  <c r="E81" i="83"/>
  <c r="E137" i="83" s="1"/>
  <c r="CU80" i="83"/>
  <c r="CT80" i="83"/>
  <c r="CR80" i="83"/>
  <c r="CC80" i="83"/>
  <c r="CB80" i="83"/>
  <c r="BZ80" i="83"/>
  <c r="BY80" i="83"/>
  <c r="BN80" i="83"/>
  <c r="BN150" i="83" s="1"/>
  <c r="BN159" i="83" s="1"/>
  <c r="BM80" i="83"/>
  <c r="BM150" i="83" s="1"/>
  <c r="BM159" i="83" s="1"/>
  <c r="BL80" i="83"/>
  <c r="BL150" i="83" s="1"/>
  <c r="BK80" i="83"/>
  <c r="BK150" i="83" s="1"/>
  <c r="BJ80" i="83"/>
  <c r="BJ150" i="83" s="1"/>
  <c r="BJ159" i="83" s="1"/>
  <c r="BI80" i="83"/>
  <c r="BI150" i="83" s="1"/>
  <c r="BI159" i="83" s="1"/>
  <c r="BH80" i="83"/>
  <c r="BH150" i="83" s="1"/>
  <c r="BG80" i="83"/>
  <c r="BG150" i="83" s="1"/>
  <c r="BF80" i="83"/>
  <c r="BF150" i="83" s="1"/>
  <c r="BF159" i="83" s="1"/>
  <c r="BE80" i="83"/>
  <c r="BE150" i="83" s="1"/>
  <c r="BE159" i="83" s="1"/>
  <c r="BD80" i="83"/>
  <c r="BD150" i="83" s="1"/>
  <c r="BC80" i="83"/>
  <c r="BC150" i="83" s="1"/>
  <c r="BB80" i="83"/>
  <c r="BB150" i="83" s="1"/>
  <c r="BB159" i="83" s="1"/>
  <c r="BA80" i="83"/>
  <c r="BA150" i="83" s="1"/>
  <c r="BA159" i="83" s="1"/>
  <c r="AZ80" i="83"/>
  <c r="AZ150" i="83" s="1"/>
  <c r="AY80" i="83"/>
  <c r="AY150" i="83" s="1"/>
  <c r="AX80" i="83"/>
  <c r="AX150" i="83" s="1"/>
  <c r="AX159" i="83" s="1"/>
  <c r="AW80" i="83"/>
  <c r="AW150" i="83" s="1"/>
  <c r="AW159" i="83" s="1"/>
  <c r="AV80" i="83"/>
  <c r="AV150" i="83" s="1"/>
  <c r="AU80" i="83"/>
  <c r="AU150" i="83" s="1"/>
  <c r="AT80" i="83"/>
  <c r="AT150" i="83" s="1"/>
  <c r="AT159" i="83" s="1"/>
  <c r="AS80" i="83"/>
  <c r="AS150" i="83" s="1"/>
  <c r="AS159" i="83" s="1"/>
  <c r="AR80" i="83"/>
  <c r="AR150" i="83" s="1"/>
  <c r="AQ80" i="83"/>
  <c r="AQ150" i="83" s="1"/>
  <c r="AP80" i="83"/>
  <c r="AP150" i="83" s="1"/>
  <c r="AP159" i="83" s="1"/>
  <c r="AO80" i="83"/>
  <c r="AO150" i="83" s="1"/>
  <c r="AO159" i="83" s="1"/>
  <c r="AN80" i="83"/>
  <c r="AN150" i="83" s="1"/>
  <c r="AM80" i="83"/>
  <c r="AM150" i="83" s="1"/>
  <c r="AL80" i="83"/>
  <c r="AL150" i="83" s="1"/>
  <c r="AL159" i="83" s="1"/>
  <c r="AK80" i="83"/>
  <c r="AK150" i="83" s="1"/>
  <c r="AK159" i="83" s="1"/>
  <c r="AJ80" i="83"/>
  <c r="AJ150" i="83" s="1"/>
  <c r="AI80" i="83"/>
  <c r="AI150" i="83" s="1"/>
  <c r="AH80" i="83"/>
  <c r="AH150" i="83" s="1"/>
  <c r="AH159" i="83" s="1"/>
  <c r="AG80" i="83"/>
  <c r="AG150" i="83" s="1"/>
  <c r="AG159" i="83" s="1"/>
  <c r="AF80" i="83"/>
  <c r="AF150" i="83" s="1"/>
  <c r="AE80" i="83"/>
  <c r="AE150" i="83" s="1"/>
  <c r="AD80" i="83"/>
  <c r="AD150" i="83" s="1"/>
  <c r="Y80" i="83"/>
  <c r="Y150" i="83" s="1"/>
  <c r="L80" i="83"/>
  <c r="L150" i="83" s="1"/>
  <c r="DD77" i="83"/>
  <c r="DA77" i="83"/>
  <c r="CW77" i="83"/>
  <c r="CV77" i="83"/>
  <c r="CU77" i="83"/>
  <c r="CL77" i="83"/>
  <c r="CK77" i="83"/>
  <c r="CJ77" i="83"/>
  <c r="CF77" i="83"/>
  <c r="CC77" i="83"/>
  <c r="CB77" i="83"/>
  <c r="BZ77" i="83"/>
  <c r="BZ81" i="83" s="1"/>
  <c r="BL77" i="83"/>
  <c r="BL81" i="83" s="1"/>
  <c r="BH77" i="83"/>
  <c r="BH81" i="83" s="1"/>
  <c r="AY77" i="83"/>
  <c r="AU77" i="83"/>
  <c r="DB77" i="83" s="1"/>
  <c r="AQ77" i="83"/>
  <c r="AM77" i="83"/>
  <c r="CZ77" i="83" s="1"/>
  <c r="AI77" i="83"/>
  <c r="AE77" i="83"/>
  <c r="CX77" i="83" s="1"/>
  <c r="AA77" i="83"/>
  <c r="AA81" i="83" s="1"/>
  <c r="O77" i="83"/>
  <c r="CT77" i="83" s="1"/>
  <c r="K77" i="83"/>
  <c r="K81" i="83" s="1"/>
  <c r="G77" i="83"/>
  <c r="CR77" i="83" s="1"/>
  <c r="D77" i="83"/>
  <c r="D81" i="83" s="1"/>
  <c r="BM72" i="83"/>
  <c r="BM136" i="83" s="1"/>
  <c r="BI72" i="83"/>
  <c r="BI136" i="83" s="1"/>
  <c r="BG72" i="83"/>
  <c r="BG136" i="83" s="1"/>
  <c r="BE72" i="83"/>
  <c r="BE136" i="83" s="1"/>
  <c r="BC72" i="83"/>
  <c r="BC136" i="83" s="1"/>
  <c r="AW72" i="83"/>
  <c r="AW136" i="83" s="1"/>
  <c r="AV72" i="83"/>
  <c r="AV136" i="83" s="1"/>
  <c r="AT72" i="83"/>
  <c r="AT136" i="83" s="1"/>
  <c r="AS72" i="83"/>
  <c r="AS136" i="83" s="1"/>
  <c r="AR72" i="83"/>
  <c r="AR136" i="83" s="1"/>
  <c r="AP72" i="83"/>
  <c r="AP136" i="83" s="1"/>
  <c r="AN72" i="83"/>
  <c r="AN136" i="83" s="1"/>
  <c r="AH72" i="83"/>
  <c r="AH136" i="83" s="1"/>
  <c r="AC72" i="83"/>
  <c r="AC136" i="83" s="1"/>
  <c r="AB72" i="83"/>
  <c r="AB136" i="83" s="1"/>
  <c r="Z72" i="83"/>
  <c r="Z136" i="83" s="1"/>
  <c r="Y72" i="83"/>
  <c r="Y136" i="83" s="1"/>
  <c r="X72" i="83"/>
  <c r="X136" i="83" s="1"/>
  <c r="W72" i="83"/>
  <c r="W136" i="83" s="1"/>
  <c r="V72" i="83"/>
  <c r="V136" i="83" s="1"/>
  <c r="U72" i="83"/>
  <c r="U136" i="83" s="1"/>
  <c r="T72" i="83"/>
  <c r="T136" i="83" s="1"/>
  <c r="R72" i="83"/>
  <c r="R136" i="83" s="1"/>
  <c r="Q72" i="83"/>
  <c r="Q136" i="83" s="1"/>
  <c r="P72" i="83"/>
  <c r="P136" i="83" s="1"/>
  <c r="N72" i="83"/>
  <c r="N136" i="83" s="1"/>
  <c r="M72" i="83"/>
  <c r="M136" i="83" s="1"/>
  <c r="L72" i="83"/>
  <c r="L136" i="83" s="1"/>
  <c r="J72" i="83"/>
  <c r="J136" i="83" s="1"/>
  <c r="I72" i="83"/>
  <c r="I136" i="83" s="1"/>
  <c r="H72" i="83"/>
  <c r="H136" i="83" s="1"/>
  <c r="F72" i="83"/>
  <c r="F136" i="83" s="1"/>
  <c r="E72" i="83"/>
  <c r="E136" i="83" s="1"/>
  <c r="D72" i="83"/>
  <c r="D136" i="83" s="1"/>
  <c r="BN71" i="83"/>
  <c r="BL71" i="83"/>
  <c r="BK71" i="83"/>
  <c r="DF71" i="83" s="1"/>
  <c r="BJ71" i="83"/>
  <c r="BH71" i="83"/>
  <c r="CM71" i="83" s="1"/>
  <c r="BF71" i="83"/>
  <c r="BD71" i="83"/>
  <c r="BC71" i="83"/>
  <c r="BB71" i="83"/>
  <c r="CK71" i="83" s="1"/>
  <c r="AY71" i="83"/>
  <c r="AX71" i="83"/>
  <c r="DB71" i="83" s="1"/>
  <c r="AO71" i="83"/>
  <c r="AO72" i="83" s="1"/>
  <c r="AO136" i="83" s="1"/>
  <c r="AG71" i="83"/>
  <c r="AF71" i="83"/>
  <c r="AE71" i="83"/>
  <c r="CE71" i="83" s="1"/>
  <c r="AD71" i="83"/>
  <c r="O71" i="83"/>
  <c r="CA71" i="83" s="1"/>
  <c r="O70" i="83"/>
  <c r="O69" i="83"/>
  <c r="CA69" i="83" s="1"/>
  <c r="O68" i="83"/>
  <c r="CA68" i="83" s="1"/>
  <c r="O67" i="83"/>
  <c r="K71" i="83"/>
  <c r="CS71" i="83" s="1"/>
  <c r="K70" i="83"/>
  <c r="CS70" i="83" s="1"/>
  <c r="K69" i="83"/>
  <c r="CS69" i="83" s="1"/>
  <c r="K68" i="83"/>
  <c r="CS68" i="83" s="1"/>
  <c r="K67" i="83"/>
  <c r="BP70" i="83"/>
  <c r="AU70" i="83"/>
  <c r="CI70" i="83" s="1"/>
  <c r="AU69" i="83"/>
  <c r="AU68" i="83"/>
  <c r="AU67" i="83"/>
  <c r="AQ70" i="83"/>
  <c r="CH70" i="83" s="1"/>
  <c r="AQ69" i="83"/>
  <c r="DA69" i="83" s="1"/>
  <c r="AQ68" i="83"/>
  <c r="AQ67" i="83"/>
  <c r="AM71" i="83"/>
  <c r="CZ71" i="83" s="1"/>
  <c r="AL71" i="83"/>
  <c r="AK71" i="83"/>
  <c r="CG71" i="83" s="1"/>
  <c r="AJ71" i="83"/>
  <c r="AL70" i="83"/>
  <c r="AL72" i="83" s="1"/>
  <c r="AL136" i="83" s="1"/>
  <c r="AK70" i="83"/>
  <c r="AK72" i="83" s="1"/>
  <c r="AK136" i="83" s="1"/>
  <c r="AJ70" i="83"/>
  <c r="AJ72" i="83" s="1"/>
  <c r="AJ136" i="83" s="1"/>
  <c r="AI70" i="83"/>
  <c r="AI69" i="83"/>
  <c r="CY69" i="83" s="1"/>
  <c r="AI68" i="83"/>
  <c r="AE70" i="83"/>
  <c r="CX70" i="83" s="1"/>
  <c r="AE69" i="83"/>
  <c r="CE69" i="83" s="1"/>
  <c r="AE68" i="83"/>
  <c r="CX68" i="83" s="1"/>
  <c r="AA70" i="83"/>
  <c r="AA69" i="83"/>
  <c r="CW69" i="83" s="1"/>
  <c r="AA68" i="83"/>
  <c r="S70" i="83"/>
  <c r="CU70" i="83" s="1"/>
  <c r="S69" i="83"/>
  <c r="S68" i="83"/>
  <c r="G70" i="83"/>
  <c r="CR70" i="83" s="1"/>
  <c r="G69" i="83"/>
  <c r="CR69" i="83" s="1"/>
  <c r="G68" i="83"/>
  <c r="G67" i="83"/>
  <c r="AY69" i="83"/>
  <c r="DC69" i="83" s="1"/>
  <c r="AM69" i="83"/>
  <c r="CZ69" i="83" s="1"/>
  <c r="AM68" i="83"/>
  <c r="CZ68" i="83" s="1"/>
  <c r="AM67" i="83"/>
  <c r="CZ67" i="83" s="1"/>
  <c r="BN68" i="83"/>
  <c r="BM68" i="83"/>
  <c r="DF68" i="83" s="1"/>
  <c r="BL68" i="83"/>
  <c r="BJ68" i="83"/>
  <c r="BJ66" i="83" s="1"/>
  <c r="BI68" i="83"/>
  <c r="BH68" i="83"/>
  <c r="CM68" i="83" s="1"/>
  <c r="BF68" i="83"/>
  <c r="BE68" i="83"/>
  <c r="DD68" i="83" s="1"/>
  <c r="BD68" i="83"/>
  <c r="BB68" i="83"/>
  <c r="BB72" i="83" s="1"/>
  <c r="BB136" i="83" s="1"/>
  <c r="BA68" i="83"/>
  <c r="BA72" i="83" s="1"/>
  <c r="BA136" i="83" s="1"/>
  <c r="AZ68" i="83"/>
  <c r="AZ72" i="83" s="1"/>
  <c r="AZ136" i="83" s="1"/>
  <c r="AY67" i="83"/>
  <c r="AY72" i="83" s="1"/>
  <c r="AY136" i="83" s="1"/>
  <c r="DH71" i="83"/>
  <c r="DG71" i="83"/>
  <c r="DD71" i="83"/>
  <c r="DA71" i="83"/>
  <c r="CX71" i="83"/>
  <c r="CW71" i="83"/>
  <c r="CV71" i="83"/>
  <c r="CU71" i="83"/>
  <c r="CT71" i="83"/>
  <c r="CR71" i="83"/>
  <c r="DF70" i="83"/>
  <c r="DE70" i="83"/>
  <c r="DD70" i="83"/>
  <c r="DC70" i="83"/>
  <c r="CW70" i="83"/>
  <c r="CV70" i="83"/>
  <c r="CT70" i="83"/>
  <c r="DH69" i="83"/>
  <c r="DG69" i="83"/>
  <c r="DF69" i="83"/>
  <c r="DE69" i="83"/>
  <c r="DD69" i="83"/>
  <c r="DB69" i="83"/>
  <c r="CV69" i="83"/>
  <c r="CU69" i="83"/>
  <c r="CT69" i="83"/>
  <c r="DH68" i="83"/>
  <c r="DG68" i="83"/>
  <c r="DE68" i="83"/>
  <c r="DB68" i="83"/>
  <c r="DA68" i="83"/>
  <c r="CY68" i="83"/>
  <c r="CV68" i="83"/>
  <c r="CT68" i="83"/>
  <c r="CR68" i="83"/>
  <c r="DF67" i="83"/>
  <c r="DE67" i="83"/>
  <c r="DE66" i="83" s="1"/>
  <c r="DD67" i="83"/>
  <c r="CY67" i="83"/>
  <c r="CX67" i="83"/>
  <c r="CW67" i="83"/>
  <c r="CV67" i="83"/>
  <c r="CU67" i="83"/>
  <c r="CS67" i="83"/>
  <c r="CP71" i="83"/>
  <c r="CO71" i="83"/>
  <c r="CN71" i="83"/>
  <c r="CL71" i="83"/>
  <c r="CJ71" i="83"/>
  <c r="CI71" i="83"/>
  <c r="CH71" i="83"/>
  <c r="CF71" i="83"/>
  <c r="CD71" i="83"/>
  <c r="CC71" i="83"/>
  <c r="CB71" i="83"/>
  <c r="BZ71" i="83"/>
  <c r="BY71" i="83"/>
  <c r="CN70" i="83"/>
  <c r="CM70" i="83"/>
  <c r="CL70" i="83"/>
  <c r="CK70" i="83"/>
  <c r="CJ70" i="83"/>
  <c r="CE70" i="83"/>
  <c r="CD70" i="83"/>
  <c r="CC70" i="83"/>
  <c r="CA70" i="83"/>
  <c r="BY70" i="83"/>
  <c r="CP69" i="83"/>
  <c r="CO69" i="83"/>
  <c r="CN69" i="83"/>
  <c r="CM69" i="83"/>
  <c r="CL69" i="83"/>
  <c r="CK69" i="83"/>
  <c r="CI69" i="83"/>
  <c r="CC69" i="83"/>
  <c r="CB69" i="83"/>
  <c r="CP68" i="83"/>
  <c r="CO68" i="83"/>
  <c r="CL68" i="83"/>
  <c r="CJ68" i="83"/>
  <c r="CI68" i="83"/>
  <c r="CH68" i="83"/>
  <c r="CG68" i="83"/>
  <c r="CF68" i="83"/>
  <c r="CE68" i="83"/>
  <c r="CC68" i="83"/>
  <c r="BY68" i="83"/>
  <c r="CM67" i="83"/>
  <c r="CL67" i="83"/>
  <c r="CK67" i="83"/>
  <c r="CJ67" i="83"/>
  <c r="CF67" i="83"/>
  <c r="CE67" i="83"/>
  <c r="CD67" i="83"/>
  <c r="CC67" i="83"/>
  <c r="CB67" i="83"/>
  <c r="BZ67" i="83"/>
  <c r="BO67" i="83"/>
  <c r="BN66" i="83"/>
  <c r="BM66" i="83"/>
  <c r="BL66" i="83"/>
  <c r="BK66" i="83"/>
  <c r="BI66" i="83"/>
  <c r="BG66" i="83"/>
  <c r="BF66" i="83"/>
  <c r="BE66" i="83"/>
  <c r="BD66" i="83"/>
  <c r="BC66" i="83"/>
  <c r="BA66" i="83"/>
  <c r="AX66" i="83"/>
  <c r="AW66" i="83"/>
  <c r="AV66" i="83"/>
  <c r="AT66" i="83"/>
  <c r="AS66" i="83"/>
  <c r="AR66" i="83"/>
  <c r="AP66" i="83"/>
  <c r="AO66" i="83"/>
  <c r="AN66" i="83"/>
  <c r="AK66" i="83"/>
  <c r="AH66" i="83"/>
  <c r="AG66" i="83"/>
  <c r="AF66" i="83"/>
  <c r="AD66" i="83"/>
  <c r="AC66" i="83"/>
  <c r="AB66" i="83"/>
  <c r="Z66" i="83"/>
  <c r="Y66" i="83"/>
  <c r="X66" i="83"/>
  <c r="W66" i="83"/>
  <c r="V66" i="83"/>
  <c r="U66" i="83"/>
  <c r="T66" i="83"/>
  <c r="R66" i="83"/>
  <c r="Q66" i="83"/>
  <c r="P66" i="83"/>
  <c r="N66" i="83"/>
  <c r="M66" i="83"/>
  <c r="L66" i="83"/>
  <c r="J66" i="83"/>
  <c r="I66" i="83"/>
  <c r="H66" i="83"/>
  <c r="F66" i="83"/>
  <c r="E66" i="83"/>
  <c r="D66" i="83"/>
  <c r="O55" i="83"/>
  <c r="O54" i="83"/>
  <c r="CA54" i="83" s="1"/>
  <c r="O53" i="83"/>
  <c r="O52" i="83"/>
  <c r="G55" i="83"/>
  <c r="CR55" i="83" s="1"/>
  <c r="G54" i="83"/>
  <c r="BY54" i="83" s="1"/>
  <c r="G53" i="83"/>
  <c r="CR53" i="83" s="1"/>
  <c r="G52" i="83"/>
  <c r="K54" i="83"/>
  <c r="CS54" i="83" s="1"/>
  <c r="K53" i="83"/>
  <c r="K52" i="83"/>
  <c r="AY53" i="83"/>
  <c r="CJ53" i="83" s="1"/>
  <c r="AY52" i="83"/>
  <c r="AU53" i="83"/>
  <c r="DB53" i="83" s="1"/>
  <c r="AU52" i="83"/>
  <c r="AQ53" i="83"/>
  <c r="AQ52" i="83"/>
  <c r="AQ51" i="83" s="1"/>
  <c r="AM53" i="83"/>
  <c r="CZ53" i="83" s="1"/>
  <c r="DH55" i="83"/>
  <c r="DG55" i="83"/>
  <c r="DF55" i="83"/>
  <c r="DE55" i="83"/>
  <c r="DD55" i="83"/>
  <c r="DC55" i="83"/>
  <c r="DB55" i="83"/>
  <c r="DA55" i="83"/>
  <c r="CZ55" i="83"/>
  <c r="CY55" i="83"/>
  <c r="CX55" i="83"/>
  <c r="CW55" i="83"/>
  <c r="CV55" i="83"/>
  <c r="CU55" i="83"/>
  <c r="CT55" i="83"/>
  <c r="CS55" i="83"/>
  <c r="DH54" i="83"/>
  <c r="DG54" i="83"/>
  <c r="DF54" i="83"/>
  <c r="DE54" i="83"/>
  <c r="DD54" i="83"/>
  <c r="DC54" i="83"/>
  <c r="DB54" i="83"/>
  <c r="DA54" i="83"/>
  <c r="CZ54" i="83"/>
  <c r="CY54" i="83"/>
  <c r="CX54" i="83"/>
  <c r="CW54" i="83"/>
  <c r="CV54" i="83"/>
  <c r="CU54" i="83"/>
  <c r="CT54" i="83"/>
  <c r="CR54" i="83"/>
  <c r="DF53" i="83"/>
  <c r="DE53" i="83"/>
  <c r="DD53" i="83"/>
  <c r="DC53" i="83"/>
  <c r="DA53" i="83"/>
  <c r="CY53" i="83"/>
  <c r="CX53" i="83"/>
  <c r="CW53" i="83"/>
  <c r="CV53" i="83"/>
  <c r="CU53" i="83"/>
  <c r="CT53" i="83"/>
  <c r="CS53" i="83"/>
  <c r="DF52" i="83"/>
  <c r="DE52" i="83"/>
  <c r="DD52" i="83"/>
  <c r="DB52" i="83"/>
  <c r="CZ52" i="83"/>
  <c r="CY52" i="83"/>
  <c r="CX52" i="83"/>
  <c r="CW52" i="83"/>
  <c r="CV52" i="83"/>
  <c r="CU52" i="83"/>
  <c r="CS52" i="83"/>
  <c r="CP55" i="83"/>
  <c r="CO55" i="83"/>
  <c r="CN55" i="83"/>
  <c r="CM55" i="83"/>
  <c r="CL55" i="83"/>
  <c r="CK55" i="83"/>
  <c r="CJ55" i="83"/>
  <c r="CI55" i="83"/>
  <c r="CH55" i="83"/>
  <c r="CG55" i="83"/>
  <c r="CF55" i="83"/>
  <c r="CE55" i="83"/>
  <c r="CD55" i="83"/>
  <c r="CC55" i="83"/>
  <c r="CB55" i="83"/>
  <c r="CA55" i="83"/>
  <c r="BZ55" i="83"/>
  <c r="BY55" i="83"/>
  <c r="CP54" i="83"/>
  <c r="CO54" i="83"/>
  <c r="CN54" i="83"/>
  <c r="CM54" i="83"/>
  <c r="CL54" i="83"/>
  <c r="CK54" i="83"/>
  <c r="CJ54" i="83"/>
  <c r="CI54" i="83"/>
  <c r="CH54" i="83"/>
  <c r="CG54" i="83"/>
  <c r="CF54" i="83"/>
  <c r="CE54" i="83"/>
  <c r="CD54" i="83"/>
  <c r="CC54" i="83"/>
  <c r="CB54" i="83"/>
  <c r="BZ54" i="83"/>
  <c r="CM53" i="83"/>
  <c r="CL53" i="83"/>
  <c r="CK53" i="83"/>
  <c r="CI53" i="83"/>
  <c r="CH53" i="83"/>
  <c r="CG53" i="83"/>
  <c r="CF53" i="83"/>
  <c r="CE53" i="83"/>
  <c r="CD53" i="83"/>
  <c r="CC53" i="83"/>
  <c r="CB53" i="83"/>
  <c r="CA53" i="83"/>
  <c r="BZ53" i="83"/>
  <c r="BY53" i="83"/>
  <c r="CM52" i="83"/>
  <c r="CL52" i="83"/>
  <c r="CK52" i="83"/>
  <c r="CJ52" i="83"/>
  <c r="CI52" i="83"/>
  <c r="CG52" i="83"/>
  <c r="CF52" i="83"/>
  <c r="CE52" i="83"/>
  <c r="CD52" i="83"/>
  <c r="CC52" i="83"/>
  <c r="CB52" i="83"/>
  <c r="CA52" i="83"/>
  <c r="BY52" i="83"/>
  <c r="CN52" i="83"/>
  <c r="BO51" i="83"/>
  <c r="BN51" i="83"/>
  <c r="BM51" i="83"/>
  <c r="BM57" i="83" s="1"/>
  <c r="BL51" i="83"/>
  <c r="BL57" i="83" s="1"/>
  <c r="BK51" i="83"/>
  <c r="BK57" i="83" s="1"/>
  <c r="BJ51" i="83"/>
  <c r="BJ57" i="83" s="1"/>
  <c r="BI51" i="83"/>
  <c r="BI57" i="83" s="1"/>
  <c r="BH51" i="83"/>
  <c r="BH57" i="83" s="1"/>
  <c r="BG51" i="83"/>
  <c r="BF51" i="83"/>
  <c r="BF57" i="83" s="1"/>
  <c r="BE51" i="83"/>
  <c r="CL51" i="83" s="1"/>
  <c r="BD51" i="83"/>
  <c r="BC51" i="83"/>
  <c r="BC57" i="83" s="1"/>
  <c r="BB51" i="83"/>
  <c r="BB57" i="83" s="1"/>
  <c r="BA51" i="83"/>
  <c r="BA57" i="83" s="1"/>
  <c r="AZ51" i="83"/>
  <c r="AZ57" i="83" s="1"/>
  <c r="AX51" i="83"/>
  <c r="AX149" i="83" s="1"/>
  <c r="AX158" i="83" s="1"/>
  <c r="AW51" i="83"/>
  <c r="AV51" i="83"/>
  <c r="AT51" i="83"/>
  <c r="AS51" i="83"/>
  <c r="AS57" i="83" s="1"/>
  <c r="AR51" i="83"/>
  <c r="AR57" i="83" s="1"/>
  <c r="AP51" i="83"/>
  <c r="AO51" i="83"/>
  <c r="AO149" i="83" s="1"/>
  <c r="AO158" i="83" s="1"/>
  <c r="AN51" i="83"/>
  <c r="AM51" i="83"/>
  <c r="AL51" i="83"/>
  <c r="AL149" i="83" s="1"/>
  <c r="AL158" i="83" s="1"/>
  <c r="AK51" i="83"/>
  <c r="AJ51" i="83"/>
  <c r="AJ149" i="83" s="1"/>
  <c r="AI51" i="83"/>
  <c r="AH51" i="83"/>
  <c r="AG51" i="83"/>
  <c r="AF51" i="83"/>
  <c r="AF149" i="83" s="1"/>
  <c r="AE51" i="83"/>
  <c r="AD51" i="83"/>
  <c r="AD149" i="83" s="1"/>
  <c r="AD158" i="83" s="1"/>
  <c r="AC51" i="83"/>
  <c r="AB51" i="83"/>
  <c r="AA51" i="83"/>
  <c r="Z51" i="83"/>
  <c r="Y51" i="83"/>
  <c r="X51" i="83"/>
  <c r="W51" i="83"/>
  <c r="V51" i="83"/>
  <c r="U51" i="83"/>
  <c r="T51" i="83"/>
  <c r="S51" i="83"/>
  <c r="R51" i="83"/>
  <c r="Q51" i="83"/>
  <c r="P51" i="83"/>
  <c r="N51" i="83"/>
  <c r="M51" i="83"/>
  <c r="M57" i="83" s="1"/>
  <c r="L51" i="83"/>
  <c r="J51" i="83"/>
  <c r="I51" i="83"/>
  <c r="H51" i="83"/>
  <c r="H57" i="83" s="1"/>
  <c r="F51" i="83"/>
  <c r="E51" i="83"/>
  <c r="E57" i="83" s="1"/>
  <c r="D51" i="83"/>
  <c r="BN48" i="83"/>
  <c r="BN49" i="83" s="1"/>
  <c r="BM48" i="83"/>
  <c r="BM49" i="83" s="1"/>
  <c r="BK48" i="83"/>
  <c r="BK49" i="83" s="1"/>
  <c r="BJ48" i="83"/>
  <c r="BJ49" i="83" s="1"/>
  <c r="BI48" i="83"/>
  <c r="BI49" i="83" s="1"/>
  <c r="BG48" i="83"/>
  <c r="BG49" i="83" s="1"/>
  <c r="BD48" i="83"/>
  <c r="BD49" i="83" s="1"/>
  <c r="BC48" i="83"/>
  <c r="BC49" i="83" s="1"/>
  <c r="BB48" i="83"/>
  <c r="BB49" i="83" s="1"/>
  <c r="BA48" i="83"/>
  <c r="BA49" i="83" s="1"/>
  <c r="AZ48" i="83"/>
  <c r="AZ49" i="83" s="1"/>
  <c r="AX48" i="83"/>
  <c r="AX49" i="83" s="1"/>
  <c r="AW48" i="83"/>
  <c r="AW49" i="83" s="1"/>
  <c r="AV48" i="83"/>
  <c r="AV49" i="83" s="1"/>
  <c r="AT48" i="83"/>
  <c r="AT49" i="83" s="1"/>
  <c r="AS48" i="83"/>
  <c r="AS49" i="83" s="1"/>
  <c r="AR48" i="83"/>
  <c r="AR49" i="83" s="1"/>
  <c r="AP48" i="83"/>
  <c r="AP49" i="83" s="1"/>
  <c r="AO48" i="83"/>
  <c r="AO49" i="83" s="1"/>
  <c r="AN48" i="83"/>
  <c r="AN49" i="83" s="1"/>
  <c r="AL48" i="83"/>
  <c r="AL49" i="83" s="1"/>
  <c r="AK48" i="83"/>
  <c r="AK49" i="83" s="1"/>
  <c r="AJ48" i="83"/>
  <c r="AJ49" i="83" s="1"/>
  <c r="AH48" i="83"/>
  <c r="AH49" i="83" s="1"/>
  <c r="AG48" i="83"/>
  <c r="AG49" i="83" s="1"/>
  <c r="AF48" i="83"/>
  <c r="AF49" i="83" s="1"/>
  <c r="AE48" i="83"/>
  <c r="AE49" i="83" s="1"/>
  <c r="AD48" i="83"/>
  <c r="AD49" i="83" s="1"/>
  <c r="AC48" i="83"/>
  <c r="AC49" i="83" s="1"/>
  <c r="AB48" i="83"/>
  <c r="AB49" i="83" s="1"/>
  <c r="AA48" i="83"/>
  <c r="AA49" i="83" s="1"/>
  <c r="Z48" i="83"/>
  <c r="Z49" i="83" s="1"/>
  <c r="Y48" i="83"/>
  <c r="Y49" i="83" s="1"/>
  <c r="X48" i="83"/>
  <c r="X49" i="83" s="1"/>
  <c r="W48" i="83"/>
  <c r="W49" i="83" s="1"/>
  <c r="V48" i="83"/>
  <c r="V49" i="83" s="1"/>
  <c r="U48" i="83"/>
  <c r="U49" i="83" s="1"/>
  <c r="T48" i="83"/>
  <c r="T49" i="83" s="1"/>
  <c r="S48" i="83"/>
  <c r="S49" i="83" s="1"/>
  <c r="R48" i="83"/>
  <c r="R49" i="83" s="1"/>
  <c r="Q48" i="83"/>
  <c r="Q49" i="83" s="1"/>
  <c r="P48" i="83"/>
  <c r="P49" i="83" s="1"/>
  <c r="N48" i="83"/>
  <c r="N49" i="83" s="1"/>
  <c r="M48" i="83"/>
  <c r="M49" i="83" s="1"/>
  <c r="L48" i="83"/>
  <c r="L49" i="83" s="1"/>
  <c r="J48" i="83"/>
  <c r="J49" i="83" s="1"/>
  <c r="I48" i="83"/>
  <c r="I49" i="83" s="1"/>
  <c r="H48" i="83"/>
  <c r="H49" i="83" s="1"/>
  <c r="F48" i="83"/>
  <c r="F49" i="83" s="1"/>
  <c r="E48" i="83"/>
  <c r="E49" i="83" s="1"/>
  <c r="D48" i="83"/>
  <c r="D49" i="83" s="1"/>
  <c r="DH47" i="83"/>
  <c r="DG47" i="83"/>
  <c r="DC47" i="83"/>
  <c r="DB47" i="83"/>
  <c r="DA47" i="83"/>
  <c r="CZ47" i="83"/>
  <c r="CY47" i="83"/>
  <c r="CX47" i="83"/>
  <c r="CW47" i="83"/>
  <c r="CV47" i="83"/>
  <c r="CU47" i="83"/>
  <c r="CP47" i="83"/>
  <c r="CO47" i="83"/>
  <c r="CK47" i="83"/>
  <c r="CJ47" i="83"/>
  <c r="CI47" i="83"/>
  <c r="CH47" i="83"/>
  <c r="CG47" i="83"/>
  <c r="CF47" i="83"/>
  <c r="CE47" i="83"/>
  <c r="CD47" i="83"/>
  <c r="CC47" i="83"/>
  <c r="CB47" i="83"/>
  <c r="BL47" i="83"/>
  <c r="DF47" i="83" s="1"/>
  <c r="BH47" i="83"/>
  <c r="BH163" i="83" s="1"/>
  <c r="BF47" i="83"/>
  <c r="BF163" i="83" s="1"/>
  <c r="BF165" i="83" s="1"/>
  <c r="BE47" i="83"/>
  <c r="CL47" i="83" s="1"/>
  <c r="O47" i="83"/>
  <c r="CT47" i="83" s="1"/>
  <c r="K47" i="83"/>
  <c r="CS47" i="83" s="1"/>
  <c r="G47" i="83"/>
  <c r="CR47" i="83" s="1"/>
  <c r="DG45" i="83"/>
  <c r="DF45" i="83"/>
  <c r="DE45" i="83"/>
  <c r="CO45" i="83"/>
  <c r="CN45" i="83"/>
  <c r="CM45" i="83"/>
  <c r="BV45" i="83"/>
  <c r="DH45" i="83" s="1"/>
  <c r="BU45" i="83"/>
  <c r="BN42" i="83"/>
  <c r="BM42" i="83"/>
  <c r="BK42" i="83"/>
  <c r="BJ42" i="83"/>
  <c r="BI42" i="83"/>
  <c r="BN39" i="83"/>
  <c r="BM39" i="83"/>
  <c r="BL39" i="83"/>
  <c r="BK39" i="83"/>
  <c r="BJ39" i="83"/>
  <c r="BI39" i="83"/>
  <c r="BH39" i="83"/>
  <c r="BG39" i="83"/>
  <c r="BF39" i="83"/>
  <c r="BE39" i="83"/>
  <c r="BD39" i="83"/>
  <c r="BC39" i="83"/>
  <c r="BB39" i="83"/>
  <c r="BA39" i="83"/>
  <c r="AZ39" i="83"/>
  <c r="AX39" i="83"/>
  <c r="AW39" i="83"/>
  <c r="AV39" i="83"/>
  <c r="AT39" i="83"/>
  <c r="AS39" i="83"/>
  <c r="AR39" i="83"/>
  <c r="AP39" i="83"/>
  <c r="AO39" i="83"/>
  <c r="AN39" i="83"/>
  <c r="AL39" i="83"/>
  <c r="AK39" i="83"/>
  <c r="AJ39" i="83"/>
  <c r="AH39" i="83"/>
  <c r="AG39" i="83"/>
  <c r="AF39" i="83"/>
  <c r="AE39" i="83"/>
  <c r="AD39" i="83"/>
  <c r="AC39" i="83"/>
  <c r="AB39" i="83"/>
  <c r="AA39" i="83"/>
  <c r="Z39" i="83"/>
  <c r="Y39" i="83"/>
  <c r="X39" i="83"/>
  <c r="W39" i="83"/>
  <c r="V39" i="83"/>
  <c r="U39" i="83"/>
  <c r="T39" i="83"/>
  <c r="S39" i="83"/>
  <c r="R39" i="83"/>
  <c r="Q39" i="83"/>
  <c r="P39" i="83"/>
  <c r="N39" i="83"/>
  <c r="M39" i="83"/>
  <c r="L39" i="83"/>
  <c r="J39" i="83"/>
  <c r="I39" i="83"/>
  <c r="H39" i="83"/>
  <c r="F39" i="83"/>
  <c r="E39" i="83"/>
  <c r="D39" i="83"/>
  <c r="DF38" i="83"/>
  <c r="DE38" i="83"/>
  <c r="DD38" i="83"/>
  <c r="CZ38" i="83"/>
  <c r="CZ48" i="83" s="1"/>
  <c r="CX38" i="83"/>
  <c r="CX48" i="83" s="1"/>
  <c r="CW38" i="83"/>
  <c r="CW48" i="83" s="1"/>
  <c r="CV38" i="83"/>
  <c r="CV48" i="83" s="1"/>
  <c r="CU38" i="83"/>
  <c r="CU48" i="83" s="1"/>
  <c r="CR38" i="83"/>
  <c r="CM38" i="83"/>
  <c r="CL38" i="83"/>
  <c r="CL48" i="83" s="1"/>
  <c r="CK38" i="83"/>
  <c r="CK48" i="83" s="1"/>
  <c r="CI38" i="83"/>
  <c r="CI48" i="83" s="1"/>
  <c r="CE38" i="83"/>
  <c r="CE48" i="83" s="1"/>
  <c r="CD38" i="83"/>
  <c r="CC38" i="83"/>
  <c r="CC48" i="83" s="1"/>
  <c r="CB38" i="83"/>
  <c r="CA38" i="83"/>
  <c r="AY38" i="83"/>
  <c r="AY48" i="83" s="1"/>
  <c r="AU38" i="83"/>
  <c r="AU48" i="83" s="1"/>
  <c r="AQ38" i="83"/>
  <c r="AQ48" i="83" s="1"/>
  <c r="AM38" i="83"/>
  <c r="AM48" i="83" s="1"/>
  <c r="AI38" i="83"/>
  <c r="AI48" i="83" s="1"/>
  <c r="O38" i="83"/>
  <c r="O48" i="83" s="1"/>
  <c r="K38" i="83"/>
  <c r="K48" i="83" s="1"/>
  <c r="G38" i="83"/>
  <c r="G48" i="83" s="1"/>
  <c r="BN35" i="83"/>
  <c r="BN58" i="83" s="1"/>
  <c r="BN130" i="83" s="1"/>
  <c r="BN131" i="83" s="1"/>
  <c r="BM35" i="83"/>
  <c r="BM36" i="83" s="1"/>
  <c r="BL35" i="83"/>
  <c r="BL30" i="83" s="1"/>
  <c r="BK35" i="83"/>
  <c r="BK36" i="83" s="1"/>
  <c r="BJ35" i="83"/>
  <c r="BJ58" i="83" s="1"/>
  <c r="BJ130" i="83" s="1"/>
  <c r="BJ131" i="83" s="1"/>
  <c r="BI35" i="83"/>
  <c r="BI36" i="83" s="1"/>
  <c r="BG35" i="83"/>
  <c r="BG36" i="83" s="1"/>
  <c r="BF35" i="83"/>
  <c r="BE35" i="83"/>
  <c r="BE36" i="83" s="1"/>
  <c r="BD35" i="83"/>
  <c r="BC35" i="83"/>
  <c r="BC36" i="83" s="1"/>
  <c r="BB35" i="83"/>
  <c r="BA35" i="83"/>
  <c r="BA36" i="83" s="1"/>
  <c r="AZ35" i="83"/>
  <c r="AX35" i="83"/>
  <c r="AX58" i="83" s="1"/>
  <c r="AX130" i="83" s="1"/>
  <c r="AX131" i="83" s="1"/>
  <c r="AW35" i="83"/>
  <c r="AW36" i="83" s="1"/>
  <c r="AV35" i="83"/>
  <c r="AV58" i="83" s="1"/>
  <c r="AV130" i="83" s="1"/>
  <c r="AV131" i="83" s="1"/>
  <c r="AT35" i="83"/>
  <c r="AS35" i="83"/>
  <c r="AS36" i="83" s="1"/>
  <c r="AR35" i="83"/>
  <c r="AP35" i="83"/>
  <c r="AP58" i="83" s="1"/>
  <c r="AP130" i="83" s="1"/>
  <c r="AP131" i="83" s="1"/>
  <c r="AO35" i="83"/>
  <c r="AO36" i="83" s="1"/>
  <c r="AN35" i="83"/>
  <c r="AN58" i="83" s="1"/>
  <c r="AN130" i="83" s="1"/>
  <c r="AN131" i="83" s="1"/>
  <c r="AL35" i="83"/>
  <c r="AK35" i="83"/>
  <c r="AK36" i="83" s="1"/>
  <c r="AJ35" i="83"/>
  <c r="AH35" i="83"/>
  <c r="AH58" i="83" s="1"/>
  <c r="AH130" i="83" s="1"/>
  <c r="AH131" i="83" s="1"/>
  <c r="AG35" i="83"/>
  <c r="AG36" i="83" s="1"/>
  <c r="AF35" i="83"/>
  <c r="AF58" i="83" s="1"/>
  <c r="AF130" i="83" s="1"/>
  <c r="AF131" i="83" s="1"/>
  <c r="AE35" i="83"/>
  <c r="AE36" i="83" s="1"/>
  <c r="AD35" i="83"/>
  <c r="AD58" i="83" s="1"/>
  <c r="AD130" i="83" s="1"/>
  <c r="AD131" i="83" s="1"/>
  <c r="AC35" i="83"/>
  <c r="AC36" i="83" s="1"/>
  <c r="AB35" i="83"/>
  <c r="AB58" i="83" s="1"/>
  <c r="AB130" i="83" s="1"/>
  <c r="AB131" i="83" s="1"/>
  <c r="AA35" i="83"/>
  <c r="AA36" i="83" s="1"/>
  <c r="Z35" i="83"/>
  <c r="Z58" i="83" s="1"/>
  <c r="Z130" i="83" s="1"/>
  <c r="Z131" i="83" s="1"/>
  <c r="Y35" i="83"/>
  <c r="Y36" i="83" s="1"/>
  <c r="X35" i="83"/>
  <c r="X58" i="83" s="1"/>
  <c r="X130" i="83" s="1"/>
  <c r="X131" i="83" s="1"/>
  <c r="W35" i="83"/>
  <c r="W36" i="83" s="1"/>
  <c r="V35" i="83"/>
  <c r="V58" i="83" s="1"/>
  <c r="V130" i="83" s="1"/>
  <c r="V131" i="83" s="1"/>
  <c r="U35" i="83"/>
  <c r="U36" i="83" s="1"/>
  <c r="T35" i="83"/>
  <c r="T58" i="83" s="1"/>
  <c r="T130" i="83" s="1"/>
  <c r="T131" i="83" s="1"/>
  <c r="S35" i="83"/>
  <c r="S36" i="83" s="1"/>
  <c r="R35" i="83"/>
  <c r="R58" i="83" s="1"/>
  <c r="R130" i="83" s="1"/>
  <c r="R131" i="83" s="1"/>
  <c r="Q35" i="83"/>
  <c r="Q36" i="83" s="1"/>
  <c r="P35" i="83"/>
  <c r="P58" i="83" s="1"/>
  <c r="P130" i="83" s="1"/>
  <c r="P131" i="83" s="1"/>
  <c r="N35" i="83"/>
  <c r="M35" i="83"/>
  <c r="M36" i="83" s="1"/>
  <c r="L35" i="83"/>
  <c r="J35" i="83"/>
  <c r="J58" i="83" s="1"/>
  <c r="J130" i="83" s="1"/>
  <c r="J131" i="83" s="1"/>
  <c r="I35" i="83"/>
  <c r="I36" i="83" s="1"/>
  <c r="H35" i="83"/>
  <c r="H58" i="83" s="1"/>
  <c r="H130" i="83" s="1"/>
  <c r="H131" i="83" s="1"/>
  <c r="F35" i="83"/>
  <c r="E35" i="83"/>
  <c r="E36" i="83" s="1"/>
  <c r="D35" i="83"/>
  <c r="DH34" i="83"/>
  <c r="DG34" i="83"/>
  <c r="DF34" i="83"/>
  <c r="DD34" i="83"/>
  <c r="DC34" i="83"/>
  <c r="DB34" i="83"/>
  <c r="DA34" i="83"/>
  <c r="CZ34" i="83"/>
  <c r="CY34" i="83"/>
  <c r="CX34" i="83"/>
  <c r="CW34" i="83"/>
  <c r="CV34" i="83"/>
  <c r="CU34" i="83"/>
  <c r="CP34" i="83"/>
  <c r="CO34" i="83"/>
  <c r="CN34" i="83"/>
  <c r="CL34" i="83"/>
  <c r="CK34" i="83"/>
  <c r="CJ34" i="83"/>
  <c r="CI34" i="83"/>
  <c r="CH34" i="83"/>
  <c r="CG34" i="83"/>
  <c r="CF34" i="83"/>
  <c r="CE34" i="83"/>
  <c r="CD34" i="83"/>
  <c r="CC34" i="83"/>
  <c r="CB34" i="83"/>
  <c r="BH34" i="83"/>
  <c r="BH35" i="83" s="1"/>
  <c r="BH30" i="83" s="1"/>
  <c r="O34" i="83"/>
  <c r="CT34" i="83" s="1"/>
  <c r="K34" i="83"/>
  <c r="G34" i="83"/>
  <c r="CR34" i="83" s="1"/>
  <c r="DG32" i="83"/>
  <c r="DF32" i="83"/>
  <c r="DE32" i="83"/>
  <c r="CO32" i="83"/>
  <c r="CN32" i="83"/>
  <c r="CM32" i="83"/>
  <c r="BU32" i="83"/>
  <c r="BM30" i="83"/>
  <c r="BK30" i="83"/>
  <c r="BI30" i="83"/>
  <c r="BN27" i="83"/>
  <c r="BM27" i="83"/>
  <c r="BL27" i="83"/>
  <c r="BK27" i="83"/>
  <c r="BJ27" i="83"/>
  <c r="BI27" i="83"/>
  <c r="BH27" i="83"/>
  <c r="BG27" i="83"/>
  <c r="BF27" i="83"/>
  <c r="BE27" i="83"/>
  <c r="BD27" i="83"/>
  <c r="BC27" i="83"/>
  <c r="BB27" i="83"/>
  <c r="BA27" i="83"/>
  <c r="AZ27" i="83"/>
  <c r="AX27" i="83"/>
  <c r="AW27" i="83"/>
  <c r="AV27" i="83"/>
  <c r="AT27" i="83"/>
  <c r="AS27" i="83"/>
  <c r="AR27" i="83"/>
  <c r="AP27" i="83"/>
  <c r="AO27" i="83"/>
  <c r="AN27" i="83"/>
  <c r="AL27" i="83"/>
  <c r="AK27" i="83"/>
  <c r="AJ27" i="83"/>
  <c r="AH27" i="83"/>
  <c r="AG27" i="83"/>
  <c r="AF27" i="83"/>
  <c r="AE27" i="83"/>
  <c r="AD27" i="83"/>
  <c r="AC27" i="83"/>
  <c r="AB27" i="83"/>
  <c r="AA27" i="83"/>
  <c r="Z27" i="83"/>
  <c r="Y27" i="83"/>
  <c r="X27" i="83"/>
  <c r="W27" i="83"/>
  <c r="V27" i="83"/>
  <c r="U27" i="83"/>
  <c r="T27" i="83"/>
  <c r="S27" i="83"/>
  <c r="R27" i="83"/>
  <c r="Q27" i="83"/>
  <c r="P27" i="83"/>
  <c r="N27" i="83"/>
  <c r="M27" i="83"/>
  <c r="L27" i="83"/>
  <c r="J27" i="83"/>
  <c r="I27" i="83"/>
  <c r="H27" i="83"/>
  <c r="F27" i="83"/>
  <c r="E27" i="83"/>
  <c r="D27" i="83"/>
  <c r="DF26" i="83"/>
  <c r="DE26" i="83"/>
  <c r="DD26" i="83"/>
  <c r="DC26" i="83"/>
  <c r="CY26" i="83"/>
  <c r="CX26" i="83"/>
  <c r="CW26" i="83"/>
  <c r="CV26" i="83"/>
  <c r="CU26" i="83"/>
  <c r="CM26" i="83"/>
  <c r="CL26" i="83"/>
  <c r="CK26" i="83"/>
  <c r="CH26" i="83"/>
  <c r="CE26" i="83"/>
  <c r="CD26" i="83"/>
  <c r="CC26" i="83"/>
  <c r="CB26" i="83"/>
  <c r="BZ26" i="83"/>
  <c r="AY26" i="83"/>
  <c r="CJ26" i="83" s="1"/>
  <c r="AU26" i="83"/>
  <c r="AQ26" i="83"/>
  <c r="DA26" i="83" s="1"/>
  <c r="AM26" i="83"/>
  <c r="AI26" i="83"/>
  <c r="CF26" i="83" s="1"/>
  <c r="O26" i="83"/>
  <c r="K26" i="83"/>
  <c r="CS26" i="83" s="1"/>
  <c r="G26" i="83"/>
  <c r="BN20" i="83"/>
  <c r="BM20" i="83"/>
  <c r="BM60" i="83" s="1"/>
  <c r="BL20" i="83"/>
  <c r="BL60" i="83" s="1"/>
  <c r="BK20" i="83"/>
  <c r="BK60" i="83" s="1"/>
  <c r="BJ20" i="83"/>
  <c r="BJ60" i="83" s="1"/>
  <c r="BI20" i="83"/>
  <c r="BI60" i="83" s="1"/>
  <c r="BH20" i="83"/>
  <c r="BH60" i="83" s="1"/>
  <c r="BG20" i="83"/>
  <c r="BF20" i="83"/>
  <c r="BF60" i="83" s="1"/>
  <c r="BE20" i="83"/>
  <c r="BD20" i="83"/>
  <c r="BC20" i="83"/>
  <c r="BC60" i="83" s="1"/>
  <c r="BB20" i="83"/>
  <c r="BB60" i="83" s="1"/>
  <c r="BA20" i="83"/>
  <c r="BA60" i="83" s="1"/>
  <c r="AZ20" i="83"/>
  <c r="AZ60" i="83" s="1"/>
  <c r="AX20" i="83"/>
  <c r="AW20" i="83"/>
  <c r="AV20" i="83"/>
  <c r="AT20" i="83"/>
  <c r="AS20" i="83"/>
  <c r="AS60" i="83" s="1"/>
  <c r="AR20" i="83"/>
  <c r="AR60" i="83" s="1"/>
  <c r="AP20" i="83"/>
  <c r="AO20" i="83"/>
  <c r="AN20" i="83"/>
  <c r="AL20" i="83"/>
  <c r="AK20" i="83"/>
  <c r="AJ20" i="83"/>
  <c r="AH20" i="83"/>
  <c r="AG20" i="83"/>
  <c r="AF20" i="83"/>
  <c r="AE20" i="83"/>
  <c r="AD20" i="83"/>
  <c r="AC20" i="83"/>
  <c r="AB20" i="83"/>
  <c r="AA20" i="83"/>
  <c r="Z20" i="83"/>
  <c r="Y20" i="83"/>
  <c r="X20" i="83"/>
  <c r="W20" i="83"/>
  <c r="V20" i="83"/>
  <c r="U20" i="83"/>
  <c r="T20" i="83"/>
  <c r="S20" i="83"/>
  <c r="R20" i="83"/>
  <c r="Q20" i="83"/>
  <c r="P20" i="83"/>
  <c r="N20" i="83"/>
  <c r="M20" i="83"/>
  <c r="M60" i="83" s="1"/>
  <c r="L20" i="83"/>
  <c r="J20" i="83"/>
  <c r="I20" i="83"/>
  <c r="H20" i="83"/>
  <c r="H60" i="83" s="1"/>
  <c r="F20" i="83"/>
  <c r="E20" i="83"/>
  <c r="E60" i="83" s="1"/>
  <c r="D20" i="83"/>
  <c r="BN18" i="83"/>
  <c r="BN23" i="83" s="1"/>
  <c r="BM18" i="83"/>
  <c r="BM23" i="83" s="1"/>
  <c r="BL18" i="83"/>
  <c r="BL23" i="83" s="1"/>
  <c r="BD18" i="83"/>
  <c r="BD23" i="83" s="1"/>
  <c r="BA18" i="83"/>
  <c r="BA23" i="83" s="1"/>
  <c r="AX18" i="83"/>
  <c r="AX23" i="83" s="1"/>
  <c r="AW18" i="83"/>
  <c r="AW23" i="83" s="1"/>
  <c r="AV18" i="83"/>
  <c r="AV23" i="83" s="1"/>
  <c r="AT18" i="83"/>
  <c r="AT23" i="83" s="1"/>
  <c r="AP18" i="83"/>
  <c r="AP23" i="83" s="1"/>
  <c r="AO18" i="83"/>
  <c r="AO23" i="83" s="1"/>
  <c r="AN18" i="83"/>
  <c r="AN23" i="83" s="1"/>
  <c r="AL18" i="83"/>
  <c r="AL23" i="83" s="1"/>
  <c r="AK18" i="83"/>
  <c r="AK23" i="83" s="1"/>
  <c r="AJ18" i="83"/>
  <c r="AJ23" i="83" s="1"/>
  <c r="AH18" i="83"/>
  <c r="AH23" i="83" s="1"/>
  <c r="AG18" i="83"/>
  <c r="AG23" i="83" s="1"/>
  <c r="AF18" i="83"/>
  <c r="AF23" i="83" s="1"/>
  <c r="AE18" i="83"/>
  <c r="AE23" i="83" s="1"/>
  <c r="AD18" i="83"/>
  <c r="AD23" i="83" s="1"/>
  <c r="AC18" i="83"/>
  <c r="AC23" i="83" s="1"/>
  <c r="AB18" i="83"/>
  <c r="AB23" i="83" s="1"/>
  <c r="AA18" i="83"/>
  <c r="AA23" i="83" s="1"/>
  <c r="Z18" i="83"/>
  <c r="Z23" i="83" s="1"/>
  <c r="Y18" i="83"/>
  <c r="Y23" i="83" s="1"/>
  <c r="X18" i="83"/>
  <c r="X23" i="83" s="1"/>
  <c r="W18" i="83"/>
  <c r="W23" i="83" s="1"/>
  <c r="V18" i="83"/>
  <c r="V23" i="83" s="1"/>
  <c r="U18" i="83"/>
  <c r="U23" i="83" s="1"/>
  <c r="T18" i="83"/>
  <c r="T23" i="83" s="1"/>
  <c r="S18" i="83"/>
  <c r="S23" i="83" s="1"/>
  <c r="R18" i="83"/>
  <c r="R23" i="83" s="1"/>
  <c r="Q18" i="83"/>
  <c r="Q23" i="83" s="1"/>
  <c r="P18" i="83"/>
  <c r="P23" i="83" s="1"/>
  <c r="N18" i="83"/>
  <c r="N23" i="83" s="1"/>
  <c r="M18" i="83"/>
  <c r="M23" i="83" s="1"/>
  <c r="L18" i="83"/>
  <c r="L23" i="83" s="1"/>
  <c r="J18" i="83"/>
  <c r="J23" i="83" s="1"/>
  <c r="I18" i="83"/>
  <c r="I23" i="83" s="1"/>
  <c r="F18" i="83"/>
  <c r="F23" i="83" s="1"/>
  <c r="E18" i="83"/>
  <c r="E23" i="83" s="1"/>
  <c r="D18" i="83"/>
  <c r="D23" i="83" s="1"/>
  <c r="DH17" i="83"/>
  <c r="DG17" i="83"/>
  <c r="DF17" i="83"/>
  <c r="DB17" i="83"/>
  <c r="CZ17" i="83"/>
  <c r="CY17" i="83"/>
  <c r="CX17" i="83"/>
  <c r="CW17" i="83"/>
  <c r="CV17" i="83"/>
  <c r="CU17" i="83"/>
  <c r="CS17" i="83"/>
  <c r="CP17" i="83"/>
  <c r="CO17" i="83"/>
  <c r="CN17" i="83"/>
  <c r="CJ17" i="83"/>
  <c r="CH17" i="83"/>
  <c r="CG17" i="83"/>
  <c r="CF17" i="83"/>
  <c r="CE17" i="83"/>
  <c r="CD17" i="83"/>
  <c r="CC17" i="83"/>
  <c r="CB17" i="83"/>
  <c r="BK17" i="83"/>
  <c r="BJ17" i="83"/>
  <c r="BJ149" i="83" s="1"/>
  <c r="BJ158" i="83" s="1"/>
  <c r="BI17" i="83"/>
  <c r="BH17" i="83"/>
  <c r="BG17" i="83"/>
  <c r="BF17" i="83"/>
  <c r="BE17" i="83"/>
  <c r="BC17" i="83"/>
  <c r="BC149" i="83" s="1"/>
  <c r="BB17" i="83"/>
  <c r="AZ17" i="83"/>
  <c r="DC17" i="83" s="1"/>
  <c r="AS17" i="83"/>
  <c r="AR17" i="83"/>
  <c r="DA17" i="83" s="1"/>
  <c r="O17" i="83"/>
  <c r="CA17" i="83" s="1"/>
  <c r="H17" i="83"/>
  <c r="BZ17" i="83" s="1"/>
  <c r="G17" i="83"/>
  <c r="BY17" i="83" s="1"/>
  <c r="DH15" i="83"/>
  <c r="DG15" i="83"/>
  <c r="DF15" i="83"/>
  <c r="DE15" i="83"/>
  <c r="CP15" i="83"/>
  <c r="CO15" i="83"/>
  <c r="CN15" i="83"/>
  <c r="CM15" i="83"/>
  <c r="DF13" i="83"/>
  <c r="DF18" i="83" s="1"/>
  <c r="DE13" i="83"/>
  <c r="DD13" i="83"/>
  <c r="CZ13" i="83"/>
  <c r="CZ18" i="83" s="1"/>
  <c r="CX13" i="83"/>
  <c r="CW13" i="83"/>
  <c r="CW18" i="83" s="1"/>
  <c r="CV13" i="83"/>
  <c r="CU13" i="83"/>
  <c r="CR13" i="83"/>
  <c r="CM13" i="83"/>
  <c r="CL13" i="83"/>
  <c r="CK13" i="83"/>
  <c r="CI13" i="83"/>
  <c r="CE13" i="83"/>
  <c r="CE18" i="83" s="1"/>
  <c r="CD13" i="83"/>
  <c r="CC13" i="83"/>
  <c r="CB13" i="83"/>
  <c r="CA13" i="83"/>
  <c r="AY13" i="83"/>
  <c r="AY18" i="83" s="1"/>
  <c r="AU13" i="83"/>
  <c r="AU18" i="83" s="1"/>
  <c r="AQ13" i="83"/>
  <c r="AQ18" i="83" s="1"/>
  <c r="AM13" i="83"/>
  <c r="AM18" i="83" s="1"/>
  <c r="AI13" i="83"/>
  <c r="AI18" i="83" s="1"/>
  <c r="O13" i="83"/>
  <c r="K13" i="83"/>
  <c r="K18" i="83" s="1"/>
  <c r="G13" i="83"/>
  <c r="G18" i="83" s="1"/>
  <c r="BN11" i="83"/>
  <c r="BM11" i="83"/>
  <c r="BL11" i="83"/>
  <c r="BK11" i="83"/>
  <c r="BJ11" i="83"/>
  <c r="BI11" i="83"/>
  <c r="BH11" i="83"/>
  <c r="BG11" i="83"/>
  <c r="BF11" i="83"/>
  <c r="BE11" i="83"/>
  <c r="BD11" i="83"/>
  <c r="BB11" i="83"/>
  <c r="BA11" i="83"/>
  <c r="AZ11" i="83"/>
  <c r="AX11" i="83"/>
  <c r="AW11" i="83"/>
  <c r="AV11" i="83"/>
  <c r="AT11" i="83"/>
  <c r="AS11" i="83"/>
  <c r="AR11" i="83"/>
  <c r="AP11" i="83"/>
  <c r="AO11" i="83"/>
  <c r="AN11" i="83"/>
  <c r="AL11" i="83"/>
  <c r="AK11" i="83"/>
  <c r="AJ11" i="83"/>
  <c r="AH11" i="83"/>
  <c r="AG11" i="83"/>
  <c r="AF11" i="83"/>
  <c r="AE11" i="83"/>
  <c r="AD11" i="83"/>
  <c r="AC11" i="83"/>
  <c r="AB11" i="83"/>
  <c r="AA11" i="83"/>
  <c r="Z11" i="83"/>
  <c r="Y11" i="83"/>
  <c r="X11" i="83"/>
  <c r="W11" i="83"/>
  <c r="V11" i="83"/>
  <c r="U11" i="83"/>
  <c r="T11" i="83"/>
  <c r="BN10" i="83"/>
  <c r="BN40" i="83" s="1"/>
  <c r="BM10" i="83"/>
  <c r="BM40" i="83" s="1"/>
  <c r="BL10" i="83"/>
  <c r="BL40" i="83" s="1"/>
  <c r="BK10" i="83"/>
  <c r="BK40" i="83" s="1"/>
  <c r="BJ10" i="83"/>
  <c r="BJ40" i="83" s="1"/>
  <c r="BI10" i="83"/>
  <c r="BI40" i="83" s="1"/>
  <c r="BH10" i="83"/>
  <c r="BH40" i="83" s="1"/>
  <c r="BG10" i="83"/>
  <c r="BG40" i="83" s="1"/>
  <c r="BF10" i="83"/>
  <c r="BF40" i="83" s="1"/>
  <c r="BE10" i="83"/>
  <c r="BE40" i="83" s="1"/>
  <c r="BD10" i="83"/>
  <c r="BD40" i="83" s="1"/>
  <c r="BC10" i="83"/>
  <c r="BC40" i="83" s="1"/>
  <c r="BB10" i="83"/>
  <c r="BB40" i="83" s="1"/>
  <c r="BA10" i="83"/>
  <c r="BA40" i="83" s="1"/>
  <c r="AX10" i="83"/>
  <c r="AX40" i="83" s="1"/>
  <c r="AW10" i="83"/>
  <c r="AW40" i="83" s="1"/>
  <c r="AT10" i="83"/>
  <c r="AT40" i="83" s="1"/>
  <c r="AS10" i="83"/>
  <c r="AS40" i="83" s="1"/>
  <c r="AP10" i="83"/>
  <c r="AP40" i="83" s="1"/>
  <c r="AO10" i="83"/>
  <c r="AO40" i="83" s="1"/>
  <c r="AL10" i="83"/>
  <c r="AL40" i="83" s="1"/>
  <c r="AK10" i="83"/>
  <c r="AK40" i="83" s="1"/>
  <c r="AH10" i="83"/>
  <c r="AH40" i="83" s="1"/>
  <c r="AG10" i="83"/>
  <c r="AG40" i="83" s="1"/>
  <c r="AF10" i="83"/>
  <c r="AF40" i="83" s="1"/>
  <c r="AE10" i="83"/>
  <c r="AE40" i="83" s="1"/>
  <c r="AD10" i="83"/>
  <c r="AD40" i="83" s="1"/>
  <c r="AC10" i="83"/>
  <c r="AC40" i="83" s="1"/>
  <c r="AB10" i="83"/>
  <c r="AB40" i="83" s="1"/>
  <c r="AA10" i="83"/>
  <c r="AA40" i="83" s="1"/>
  <c r="Z10" i="83"/>
  <c r="Z40" i="83" s="1"/>
  <c r="Y10" i="83"/>
  <c r="Y40" i="83" s="1"/>
  <c r="X10" i="83"/>
  <c r="X40" i="83" s="1"/>
  <c r="W10" i="83"/>
  <c r="W40" i="83" s="1"/>
  <c r="V10" i="83"/>
  <c r="V40" i="83" s="1"/>
  <c r="U10" i="83"/>
  <c r="U40" i="83" s="1"/>
  <c r="T10" i="83"/>
  <c r="T40" i="83" s="1"/>
  <c r="S10" i="83"/>
  <c r="S40" i="83" s="1"/>
  <c r="R10" i="83"/>
  <c r="R40" i="83" s="1"/>
  <c r="Q10" i="83"/>
  <c r="Q40" i="83" s="1"/>
  <c r="N10" i="83"/>
  <c r="N40" i="83" s="1"/>
  <c r="M10" i="83"/>
  <c r="M40" i="83" s="1"/>
  <c r="J10" i="83"/>
  <c r="J40" i="83" s="1"/>
  <c r="I10" i="83"/>
  <c r="I40" i="83" s="1"/>
  <c r="F10" i="83"/>
  <c r="F40" i="83" s="1"/>
  <c r="E10" i="83"/>
  <c r="E40" i="83" s="1"/>
  <c r="BY69" i="83" l="1"/>
  <c r="CG69" i="83"/>
  <c r="DA70" i="83"/>
  <c r="AA66" i="83"/>
  <c r="AI66" i="83"/>
  <c r="AQ66" i="83"/>
  <c r="AU66" i="83"/>
  <c r="BZ69" i="83"/>
  <c r="DB70" i="83"/>
  <c r="S66" i="83"/>
  <c r="CL72" i="83"/>
  <c r="CL136" i="83" s="1"/>
  <c r="CH67" i="83"/>
  <c r="CD68" i="83"/>
  <c r="CS66" i="83"/>
  <c r="CX69" i="83"/>
  <c r="CY70" i="83"/>
  <c r="CJ69" i="83"/>
  <c r="CF70" i="83"/>
  <c r="DA67" i="83"/>
  <c r="DA72" i="83" s="1"/>
  <c r="DA136" i="83" s="1"/>
  <c r="CW68" i="83"/>
  <c r="AE66" i="83"/>
  <c r="CC66" i="83"/>
  <c r="DC67" i="83"/>
  <c r="CL66" i="83"/>
  <c r="CJ72" i="83"/>
  <c r="CJ136" i="83" s="1"/>
  <c r="CE66" i="83"/>
  <c r="CY66" i="83"/>
  <c r="AY66" i="83"/>
  <c r="G66" i="83"/>
  <c r="S72" i="83"/>
  <c r="S136" i="83" s="1"/>
  <c r="DA66" i="83"/>
  <c r="CS72" i="83"/>
  <c r="CS136" i="83" s="1"/>
  <c r="O66" i="83"/>
  <c r="CC51" i="83"/>
  <c r="CC57" i="83" s="1"/>
  <c r="CE51" i="83"/>
  <c r="CE57" i="83" s="1"/>
  <c r="DE51" i="83"/>
  <c r="AU51" i="83"/>
  <c r="DB51" i="83" s="1"/>
  <c r="G51" i="83"/>
  <c r="O51" i="83"/>
  <c r="CT51" i="83" s="1"/>
  <c r="K51" i="83"/>
  <c r="CR48" i="83"/>
  <c r="BY47" i="83"/>
  <c r="CK148" i="83"/>
  <c r="O18" i="83"/>
  <c r="CC18" i="83"/>
  <c r="CU18" i="83"/>
  <c r="CT17" i="83"/>
  <c r="CA18" i="83"/>
  <c r="CM34" i="83"/>
  <c r="DF48" i="83"/>
  <c r="CM66" i="83"/>
  <c r="CW66" i="83"/>
  <c r="CD157" i="83"/>
  <c r="CV157" i="83"/>
  <c r="CF157" i="83"/>
  <c r="CX157" i="83"/>
  <c r="BY13" i="83"/>
  <c r="BY18" i="83" s="1"/>
  <c r="CB18" i="83"/>
  <c r="CD18" i="83"/>
  <c r="CG13" i="83"/>
  <c r="CG18" i="83" s="1"/>
  <c r="CT13" i="83"/>
  <c r="CT18" i="83" s="1"/>
  <c r="CV18" i="83"/>
  <c r="CX18" i="83"/>
  <c r="DB13" i="83"/>
  <c r="DB18" i="83" s="1"/>
  <c r="BB149" i="83"/>
  <c r="BB158" i="83" s="1"/>
  <c r="BK149" i="83"/>
  <c r="BK158" i="83" s="1"/>
  <c r="BJ30" i="83"/>
  <c r="DE30" i="83" s="1"/>
  <c r="BN30" i="83"/>
  <c r="D58" i="83"/>
  <c r="D130" i="83" s="1"/>
  <c r="D131" i="83" s="1"/>
  <c r="F58" i="83"/>
  <c r="F130" i="83" s="1"/>
  <c r="F131" i="83" s="1"/>
  <c r="L58" i="83"/>
  <c r="L130" i="83" s="1"/>
  <c r="L131" i="83" s="1"/>
  <c r="N58" i="83"/>
  <c r="N130" i="83" s="1"/>
  <c r="N131" i="83" s="1"/>
  <c r="AJ58" i="83"/>
  <c r="AJ130" i="83" s="1"/>
  <c r="AJ131" i="83" s="1"/>
  <c r="AL58" i="83"/>
  <c r="AL130" i="83" s="1"/>
  <c r="AL131" i="83" s="1"/>
  <c r="AR58" i="83"/>
  <c r="AR130" i="83" s="1"/>
  <c r="AR131" i="83" s="1"/>
  <c r="AT58" i="83"/>
  <c r="AT130" i="83" s="1"/>
  <c r="AT131" i="83" s="1"/>
  <c r="AZ58" i="83"/>
  <c r="AZ130" i="83" s="1"/>
  <c r="AZ131" i="83" s="1"/>
  <c r="BB58" i="83"/>
  <c r="BB130" i="83" s="1"/>
  <c r="BB131" i="83" s="1"/>
  <c r="BD58" i="83"/>
  <c r="BD130" i="83" s="1"/>
  <c r="BD131" i="83" s="1"/>
  <c r="BY38" i="83"/>
  <c r="BY48" i="83" s="1"/>
  <c r="CB48" i="83"/>
  <c r="CD48" i="83"/>
  <c r="CG38" i="83"/>
  <c r="CG48" i="83" s="1"/>
  <c r="CT38" i="83"/>
  <c r="CT48" i="83" s="1"/>
  <c r="DB38" i="83"/>
  <c r="DB48" i="83" s="1"/>
  <c r="CA47" i="83"/>
  <c r="CA48" i="83" s="1"/>
  <c r="AE149" i="83"/>
  <c r="AG149" i="83"/>
  <c r="AG158" i="83" s="1"/>
  <c r="AK149" i="83"/>
  <c r="AK158" i="83" s="1"/>
  <c r="AM149" i="83"/>
  <c r="AM158" i="83" s="1"/>
  <c r="BD149" i="83"/>
  <c r="BN149" i="83"/>
  <c r="BN158" i="83" s="1"/>
  <c r="BZ52" i="83"/>
  <c r="CH52" i="83"/>
  <c r="CR52" i="83"/>
  <c r="CT52" i="83"/>
  <c r="AY51" i="83"/>
  <c r="AJ66" i="83"/>
  <c r="AL66" i="83"/>
  <c r="AZ66" i="83"/>
  <c r="BB66" i="83"/>
  <c r="BH66" i="83"/>
  <c r="BH74" i="83" s="1"/>
  <c r="BH78" i="83" s="1"/>
  <c r="BY67" i="83"/>
  <c r="CA67" i="83"/>
  <c r="CC72" i="83"/>
  <c r="CC136" i="83" s="1"/>
  <c r="CE72" i="83"/>
  <c r="CE136" i="83" s="1"/>
  <c r="CG67" i="83"/>
  <c r="CI67" i="83"/>
  <c r="CM72" i="83"/>
  <c r="CM136" i="83" s="1"/>
  <c r="BZ68" i="83"/>
  <c r="CB68" i="83"/>
  <c r="CN68" i="83"/>
  <c r="CD69" i="83"/>
  <c r="CD66" i="83" s="1"/>
  <c r="CF69" i="83"/>
  <c r="CF66" i="83" s="1"/>
  <c r="CH69" i="83"/>
  <c r="CH72" i="83" s="1"/>
  <c r="CH136" i="83" s="1"/>
  <c r="BZ70" i="83"/>
  <c r="CB70" i="83"/>
  <c r="CR67" i="83"/>
  <c r="CR72" i="83" s="1"/>
  <c r="CR136" i="83" s="1"/>
  <c r="CT67" i="83"/>
  <c r="DB67" i="83"/>
  <c r="CU68" i="83"/>
  <c r="DC68" i="83"/>
  <c r="DC66" i="83" s="1"/>
  <c r="AQ72" i="83"/>
  <c r="AQ136" i="83" s="1"/>
  <c r="K66" i="83"/>
  <c r="AI81" i="83"/>
  <c r="AQ81" i="83"/>
  <c r="AQ137" i="83" s="1"/>
  <c r="AY81" i="83"/>
  <c r="CB81" i="83"/>
  <c r="CD77" i="83"/>
  <c r="CH77" i="83"/>
  <c r="CS77" i="83"/>
  <c r="CY77" i="83"/>
  <c r="DC77" i="83"/>
  <c r="DG110" i="83"/>
  <c r="CO110" i="83"/>
  <c r="CV148" i="83"/>
  <c r="CD148" i="83"/>
  <c r="CK157" i="83"/>
  <c r="CX148" i="83"/>
  <c r="CF148" i="83"/>
  <c r="E127" i="83"/>
  <c r="E24" i="83"/>
  <c r="I127" i="83"/>
  <c r="I24" i="83"/>
  <c r="L127" i="83"/>
  <c r="L63" i="83"/>
  <c r="L24" i="83"/>
  <c r="N127" i="83"/>
  <c r="N24" i="83"/>
  <c r="Q127" i="83"/>
  <c r="Q24" i="83"/>
  <c r="S127" i="83"/>
  <c r="S24" i="83"/>
  <c r="U127" i="83"/>
  <c r="U24" i="83"/>
  <c r="W127" i="83"/>
  <c r="W24" i="83"/>
  <c r="Y127" i="83"/>
  <c r="Y24" i="83"/>
  <c r="AA127" i="83"/>
  <c r="AA24" i="83"/>
  <c r="AC127" i="83"/>
  <c r="AC24" i="83"/>
  <c r="AE127" i="83"/>
  <c r="AE24" i="83"/>
  <c r="AG127" i="83"/>
  <c r="AG24" i="83"/>
  <c r="AJ127" i="83"/>
  <c r="AJ24" i="83"/>
  <c r="AL127" i="83"/>
  <c r="AL63" i="83"/>
  <c r="AL24" i="83"/>
  <c r="AO127" i="83"/>
  <c r="AO24" i="83"/>
  <c r="AT127" i="83"/>
  <c r="AT24" i="83"/>
  <c r="AW127" i="83"/>
  <c r="AW24" i="83"/>
  <c r="BA127" i="83"/>
  <c r="BA24" i="83"/>
  <c r="BL127" i="83"/>
  <c r="BL24" i="83"/>
  <c r="BN127" i="83"/>
  <c r="BN63" i="83"/>
  <c r="BN24" i="83"/>
  <c r="D127" i="83"/>
  <c r="D24" i="83"/>
  <c r="F127" i="83"/>
  <c r="F63" i="83"/>
  <c r="F24" i="83"/>
  <c r="J127" i="83"/>
  <c r="J63" i="83"/>
  <c r="J24" i="83"/>
  <c r="M127" i="83"/>
  <c r="M24" i="83"/>
  <c r="P127" i="83"/>
  <c r="P63" i="83"/>
  <c r="P24" i="83"/>
  <c r="R127" i="83"/>
  <c r="R63" i="83"/>
  <c r="R24" i="83"/>
  <c r="T127" i="83"/>
  <c r="T63" i="83"/>
  <c r="T24" i="83"/>
  <c r="V127" i="83"/>
  <c r="V63" i="83"/>
  <c r="V24" i="83"/>
  <c r="X127" i="83"/>
  <c r="X63" i="83"/>
  <c r="X24" i="83"/>
  <c r="Z127" i="83"/>
  <c r="Z63" i="83"/>
  <c r="Z24" i="83"/>
  <c r="AB127" i="83"/>
  <c r="AB63" i="83"/>
  <c r="AB24" i="83"/>
  <c r="AD127" i="83"/>
  <c r="AD63" i="83"/>
  <c r="AD24" i="83"/>
  <c r="AF127" i="83"/>
  <c r="AF63" i="83"/>
  <c r="AF24" i="83"/>
  <c r="AH127" i="83"/>
  <c r="AH63" i="83"/>
  <c r="AH24" i="83"/>
  <c r="AK127" i="83"/>
  <c r="AK24" i="83"/>
  <c r="AN127" i="83"/>
  <c r="AN63" i="83"/>
  <c r="AN24" i="83"/>
  <c r="AP127" i="83"/>
  <c r="AP63" i="83"/>
  <c r="AP24" i="83"/>
  <c r="AV127" i="83"/>
  <c r="AV63" i="83"/>
  <c r="AV24" i="83"/>
  <c r="AX127" i="83"/>
  <c r="AX63" i="83"/>
  <c r="AX24" i="83"/>
  <c r="BD127" i="83"/>
  <c r="BD63" i="83"/>
  <c r="BD24" i="83"/>
  <c r="BM127" i="83"/>
  <c r="BM24" i="83"/>
  <c r="BZ13" i="83"/>
  <c r="BZ18" i="83" s="1"/>
  <c r="CF13" i="83"/>
  <c r="CF18" i="83" s="1"/>
  <c r="CH13" i="83"/>
  <c r="CH18" i="83" s="1"/>
  <c r="CJ13" i="83"/>
  <c r="CJ18" i="83" s="1"/>
  <c r="CS13" i="83"/>
  <c r="CS18" i="83" s="1"/>
  <c r="CY13" i="83"/>
  <c r="CY18" i="83" s="1"/>
  <c r="DA13" i="83"/>
  <c r="DA18" i="83" s="1"/>
  <c r="DC13" i="83"/>
  <c r="DC18" i="83" s="1"/>
  <c r="AS149" i="83"/>
  <c r="AS158" i="83" s="1"/>
  <c r="AS88" i="83"/>
  <c r="BG149" i="83"/>
  <c r="BG88" i="83"/>
  <c r="BI149" i="83"/>
  <c r="BI158" i="83" s="1"/>
  <c r="BI88" i="83"/>
  <c r="CL17" i="83"/>
  <c r="CL18" i="83" s="1"/>
  <c r="DE17" i="83"/>
  <c r="DE18" i="83" s="1"/>
  <c r="AS18" i="83"/>
  <c r="AS23" i="83" s="1"/>
  <c r="BC18" i="83"/>
  <c r="BC23" i="83" s="1"/>
  <c r="BE18" i="83"/>
  <c r="BE23" i="83" s="1"/>
  <c r="BG18" i="83"/>
  <c r="BI18" i="83"/>
  <c r="BI23" i="83" s="1"/>
  <c r="BK18" i="83"/>
  <c r="E74" i="83"/>
  <c r="E61" i="83"/>
  <c r="M74" i="83"/>
  <c r="M61" i="83"/>
  <c r="AS74" i="83"/>
  <c r="AS61" i="83"/>
  <c r="BA74" i="83"/>
  <c r="BA61" i="83"/>
  <c r="BC74" i="83"/>
  <c r="BC61" i="83"/>
  <c r="BI74" i="83"/>
  <c r="BI61" i="83"/>
  <c r="BK74" i="83"/>
  <c r="BK61" i="83"/>
  <c r="BM74" i="83"/>
  <c r="BM61" i="83"/>
  <c r="E21" i="83"/>
  <c r="I21" i="83"/>
  <c r="M21" i="83"/>
  <c r="Q21" i="83"/>
  <c r="S21" i="83"/>
  <c r="U21" i="83"/>
  <c r="W21" i="83"/>
  <c r="Y21" i="83"/>
  <c r="AA21" i="83"/>
  <c r="AC21" i="83"/>
  <c r="AE21" i="83"/>
  <c r="AG21" i="83"/>
  <c r="AK21" i="83"/>
  <c r="AO21" i="83"/>
  <c r="AS21" i="83"/>
  <c r="AW21" i="83"/>
  <c r="BA21" i="83"/>
  <c r="BC21" i="83"/>
  <c r="BE21" i="83"/>
  <c r="BG21" i="83"/>
  <c r="BI21" i="83"/>
  <c r="BK21" i="83"/>
  <c r="BM21" i="83"/>
  <c r="BG23" i="83"/>
  <c r="BK23" i="83"/>
  <c r="K35" i="83"/>
  <c r="K57" i="83"/>
  <c r="AI35" i="83"/>
  <c r="AI57" i="83"/>
  <c r="AQ35" i="83"/>
  <c r="AQ57" i="83"/>
  <c r="AY35" i="83"/>
  <c r="AY57" i="83"/>
  <c r="BY26" i="83"/>
  <c r="CA26" i="83"/>
  <c r="CG26" i="83"/>
  <c r="CI26" i="83"/>
  <c r="CR26" i="83"/>
  <c r="CT26" i="83"/>
  <c r="CV35" i="83"/>
  <c r="CX35" i="83"/>
  <c r="CZ26" i="83"/>
  <c r="DB26" i="83"/>
  <c r="DD35" i="83"/>
  <c r="DF35" i="83"/>
  <c r="E28" i="83"/>
  <c r="I28" i="83"/>
  <c r="M28" i="83"/>
  <c r="Q28" i="83"/>
  <c r="S28" i="83"/>
  <c r="U28" i="83"/>
  <c r="W28" i="83"/>
  <c r="Y28" i="83"/>
  <c r="AA28" i="83"/>
  <c r="AC28" i="83"/>
  <c r="AE28" i="83"/>
  <c r="AG28" i="83"/>
  <c r="AK28" i="83"/>
  <c r="AO28" i="83"/>
  <c r="AS28" i="83"/>
  <c r="AW28" i="83"/>
  <c r="BA28" i="83"/>
  <c r="BC28" i="83"/>
  <c r="BE28" i="83"/>
  <c r="BG28" i="83"/>
  <c r="BI28" i="83"/>
  <c r="BK28" i="83"/>
  <c r="BM28" i="83"/>
  <c r="DF30" i="83"/>
  <c r="CM30" i="83"/>
  <c r="BV32" i="83"/>
  <c r="CP32" i="83" s="1"/>
  <c r="BH36" i="83"/>
  <c r="CA34" i="83"/>
  <c r="CC35" i="83"/>
  <c r="CK35" i="83"/>
  <c r="DC51" i="83"/>
  <c r="H149" i="83"/>
  <c r="H88" i="83"/>
  <c r="AR149" i="83"/>
  <c r="AR88" i="83"/>
  <c r="AZ149" i="83"/>
  <c r="AZ88" i="83"/>
  <c r="BC158" i="83"/>
  <c r="CI17" i="83"/>
  <c r="CI18" i="83" s="1"/>
  <c r="CK17" i="83"/>
  <c r="CK18" i="83" s="1"/>
  <c r="CM17" i="83"/>
  <c r="CM18" i="83" s="1"/>
  <c r="CR17" i="83"/>
  <c r="CR18" i="83" s="1"/>
  <c r="DD17" i="83"/>
  <c r="DD18" i="83" s="1"/>
  <c r="H18" i="83"/>
  <c r="H23" i="83" s="1"/>
  <c r="AR18" i="83"/>
  <c r="AR23" i="83" s="1"/>
  <c r="AZ18" i="83"/>
  <c r="AZ23" i="83" s="1"/>
  <c r="BB18" i="83"/>
  <c r="BB23" i="83" s="1"/>
  <c r="BF18" i="83"/>
  <c r="BF23" i="83" s="1"/>
  <c r="BH18" i="83"/>
  <c r="BH23" i="83" s="1"/>
  <c r="BJ18" i="83"/>
  <c r="BJ23" i="83" s="1"/>
  <c r="H74" i="83"/>
  <c r="H61" i="83"/>
  <c r="AR74" i="83"/>
  <c r="AR61" i="83"/>
  <c r="AZ74" i="83"/>
  <c r="AZ61" i="83"/>
  <c r="BB74" i="83"/>
  <c r="BB61" i="83"/>
  <c r="BF74" i="83"/>
  <c r="BF61" i="83"/>
  <c r="BH61" i="83"/>
  <c r="BJ74" i="83"/>
  <c r="BJ61" i="83"/>
  <c r="BL74" i="83"/>
  <c r="BL61" i="83"/>
  <c r="D21" i="83"/>
  <c r="F21" i="83"/>
  <c r="H21" i="83"/>
  <c r="J21" i="83"/>
  <c r="L21" i="83"/>
  <c r="N21" i="83"/>
  <c r="P21" i="83"/>
  <c r="R21" i="83"/>
  <c r="T21" i="83"/>
  <c r="V21" i="83"/>
  <c r="X21" i="83"/>
  <c r="Z21" i="83"/>
  <c r="AB21" i="83"/>
  <c r="AD21" i="83"/>
  <c r="AF21" i="83"/>
  <c r="AH21" i="83"/>
  <c r="AJ21" i="83"/>
  <c r="AL21" i="83"/>
  <c r="AN21" i="83"/>
  <c r="AP21" i="83"/>
  <c r="AR21" i="83"/>
  <c r="AT21" i="83"/>
  <c r="AV21" i="83"/>
  <c r="AX21" i="83"/>
  <c r="AZ21" i="83"/>
  <c r="BB21" i="83"/>
  <c r="BD21" i="83"/>
  <c r="BF21" i="83"/>
  <c r="BH21" i="83"/>
  <c r="BJ21" i="83"/>
  <c r="BL21" i="83"/>
  <c r="BN21" i="83"/>
  <c r="G35" i="83"/>
  <c r="G57" i="83"/>
  <c r="O35" i="83"/>
  <c r="O57" i="83"/>
  <c r="AM35" i="83"/>
  <c r="AM57" i="83"/>
  <c r="AU35" i="83"/>
  <c r="AU57" i="83"/>
  <c r="CB35" i="83"/>
  <c r="CD35" i="83"/>
  <c r="CF35" i="83"/>
  <c r="CH35" i="83"/>
  <c r="CJ35" i="83"/>
  <c r="CL57" i="83"/>
  <c r="CL35" i="83"/>
  <c r="CU35" i="83"/>
  <c r="CW35" i="83"/>
  <c r="CY35" i="83"/>
  <c r="DA35" i="83"/>
  <c r="DC35" i="83"/>
  <c r="DE57" i="83"/>
  <c r="F28" i="83"/>
  <c r="J28" i="83"/>
  <c r="N28" i="83"/>
  <c r="R28" i="83"/>
  <c r="T28" i="83"/>
  <c r="V28" i="83"/>
  <c r="X28" i="83"/>
  <c r="Z28" i="83"/>
  <c r="AB28" i="83"/>
  <c r="AD28" i="83"/>
  <c r="AF28" i="83"/>
  <c r="AH28" i="83"/>
  <c r="AL28" i="83"/>
  <c r="AP28" i="83"/>
  <c r="AT28" i="83"/>
  <c r="AX28" i="83"/>
  <c r="BB28" i="83"/>
  <c r="BD28" i="83"/>
  <c r="BF28" i="83"/>
  <c r="BH28" i="83"/>
  <c r="BJ28" i="83"/>
  <c r="BL28" i="83"/>
  <c r="BN28" i="83"/>
  <c r="BY34" i="83"/>
  <c r="CE35" i="83"/>
  <c r="CM35" i="83"/>
  <c r="BL58" i="83"/>
  <c r="BL130" i="83" s="1"/>
  <c r="BL131" i="83" s="1"/>
  <c r="AQ88" i="83"/>
  <c r="DA51" i="83"/>
  <c r="BZ34" i="83"/>
  <c r="BZ35" i="83" s="1"/>
  <c r="CS34" i="83"/>
  <c r="CS35" i="83" s="1"/>
  <c r="DE34" i="83"/>
  <c r="DE35" i="83" s="1"/>
  <c r="D36" i="83"/>
  <c r="F36" i="83"/>
  <c r="H36" i="83"/>
  <c r="J36" i="83"/>
  <c r="L36" i="83"/>
  <c r="N36" i="83"/>
  <c r="P36" i="83"/>
  <c r="R36" i="83"/>
  <c r="T36" i="83"/>
  <c r="V36" i="83"/>
  <c r="X36" i="83"/>
  <c r="Z36" i="83"/>
  <c r="AB36" i="83"/>
  <c r="AD36" i="83"/>
  <c r="AF36" i="83"/>
  <c r="AH36" i="83"/>
  <c r="AJ36" i="83"/>
  <c r="AL36" i="83"/>
  <c r="AN36" i="83"/>
  <c r="AP36" i="83"/>
  <c r="AR36" i="83"/>
  <c r="AT36" i="83"/>
  <c r="AV36" i="83"/>
  <c r="AX36" i="83"/>
  <c r="AZ36" i="83"/>
  <c r="BB36" i="83"/>
  <c r="BD36" i="83"/>
  <c r="BF36" i="83"/>
  <c r="BJ36" i="83"/>
  <c r="BL36" i="83"/>
  <c r="BN36" i="83"/>
  <c r="BZ38" i="83"/>
  <c r="CF38" i="83"/>
  <c r="CH38" i="83"/>
  <c r="CJ38" i="83"/>
  <c r="CS38" i="83"/>
  <c r="CY38" i="83"/>
  <c r="DA38" i="83"/>
  <c r="DC38" i="83"/>
  <c r="G88" i="83"/>
  <c r="BF157" i="83"/>
  <c r="BF148" i="83"/>
  <c r="BF149" i="83" s="1"/>
  <c r="BF158" i="83" s="1"/>
  <c r="BL163" i="83"/>
  <c r="BZ47" i="83"/>
  <c r="CN47" i="83"/>
  <c r="DE47" i="83"/>
  <c r="DE48" i="83" s="1"/>
  <c r="BF48" i="83"/>
  <c r="BF49" i="83" s="1"/>
  <c r="BH48" i="83"/>
  <c r="BL48" i="83"/>
  <c r="D149" i="83"/>
  <c r="D88" i="83"/>
  <c r="F149" i="83"/>
  <c r="F158" i="83" s="1"/>
  <c r="F88" i="83"/>
  <c r="I149" i="83"/>
  <c r="I158" i="83" s="1"/>
  <c r="I88" i="83"/>
  <c r="L149" i="83"/>
  <c r="L88" i="83"/>
  <c r="N149" i="83"/>
  <c r="N158" i="83" s="1"/>
  <c r="N88" i="83"/>
  <c r="Q149" i="83"/>
  <c r="Q158" i="83" s="1"/>
  <c r="Q88" i="83"/>
  <c r="S149" i="83"/>
  <c r="S88" i="83"/>
  <c r="U149" i="83"/>
  <c r="U158" i="83" s="1"/>
  <c r="U88" i="83"/>
  <c r="W149" i="83"/>
  <c r="W88" i="83"/>
  <c r="Y149" i="83"/>
  <c r="Y158" i="83" s="1"/>
  <c r="Y88" i="83"/>
  <c r="AA149" i="83"/>
  <c r="AA88" i="83"/>
  <c r="AC149" i="83"/>
  <c r="AC158" i="83" s="1"/>
  <c r="AC88" i="83"/>
  <c r="AE158" i="83"/>
  <c r="AI149" i="83"/>
  <c r="AI88" i="83"/>
  <c r="AT149" i="83"/>
  <c r="AT158" i="83" s="1"/>
  <c r="AT88" i="83"/>
  <c r="AW149" i="83"/>
  <c r="AW158" i="83" s="1"/>
  <c r="AW88" i="83"/>
  <c r="BD158" i="83"/>
  <c r="BO173" i="83"/>
  <c r="BO164" i="83"/>
  <c r="BQ52" i="83"/>
  <c r="BY51" i="83"/>
  <c r="CA51" i="83"/>
  <c r="CG51" i="83"/>
  <c r="CI51" i="83"/>
  <c r="CK51" i="83"/>
  <c r="CK57" i="83" s="1"/>
  <c r="CM51" i="83"/>
  <c r="CM57" i="83" s="1"/>
  <c r="CR51" i="83"/>
  <c r="CV51" i="83"/>
  <c r="CV57" i="83" s="1"/>
  <c r="CX51" i="83"/>
  <c r="CX57" i="83" s="1"/>
  <c r="CZ51" i="83"/>
  <c r="DD51" i="83"/>
  <c r="DD57" i="83" s="1"/>
  <c r="DF51" i="83"/>
  <c r="DF57" i="83" s="1"/>
  <c r="DA52" i="83"/>
  <c r="DC52" i="83"/>
  <c r="AU173" i="83"/>
  <c r="AU164" i="83"/>
  <c r="K173" i="83"/>
  <c r="K164" i="83"/>
  <c r="G173" i="83"/>
  <c r="G164" i="83"/>
  <c r="I57" i="83"/>
  <c r="I60" i="83" s="1"/>
  <c r="Q57" i="83"/>
  <c r="Q60" i="83" s="1"/>
  <c r="S57" i="83"/>
  <c r="S60" i="83" s="1"/>
  <c r="U57" i="83"/>
  <c r="U60" i="83" s="1"/>
  <c r="W57" i="83"/>
  <c r="W60" i="83" s="1"/>
  <c r="Y57" i="83"/>
  <c r="Y60" i="83" s="1"/>
  <c r="AA57" i="83"/>
  <c r="AA60" i="83" s="1"/>
  <c r="AC57" i="83"/>
  <c r="AC60" i="83" s="1"/>
  <c r="AE57" i="83"/>
  <c r="AE60" i="83" s="1"/>
  <c r="AG57" i="83"/>
  <c r="AG60" i="83" s="1"/>
  <c r="AK57" i="83"/>
  <c r="AK60" i="83" s="1"/>
  <c r="AO57" i="83"/>
  <c r="AO60" i="83" s="1"/>
  <c r="AW57" i="83"/>
  <c r="AW60" i="83" s="1"/>
  <c r="BE57" i="83"/>
  <c r="BE60" i="83" s="1"/>
  <c r="BG57" i="83"/>
  <c r="BG60" i="83" s="1"/>
  <c r="E58" i="83"/>
  <c r="E130" i="83" s="1"/>
  <c r="E131" i="83" s="1"/>
  <c r="I58" i="83"/>
  <c r="I130" i="83" s="1"/>
  <c r="I131" i="83" s="1"/>
  <c r="M58" i="83"/>
  <c r="M130" i="83" s="1"/>
  <c r="M131" i="83" s="1"/>
  <c r="Q58" i="83"/>
  <c r="Q130" i="83" s="1"/>
  <c r="Q131" i="83" s="1"/>
  <c r="S58" i="83"/>
  <c r="S130" i="83" s="1"/>
  <c r="S131" i="83" s="1"/>
  <c r="U58" i="83"/>
  <c r="U130" i="83" s="1"/>
  <c r="U131" i="83" s="1"/>
  <c r="W58" i="83"/>
  <c r="W130" i="83" s="1"/>
  <c r="W131" i="83" s="1"/>
  <c r="Y58" i="83"/>
  <c r="Y130" i="83" s="1"/>
  <c r="Y131" i="83" s="1"/>
  <c r="AA58" i="83"/>
  <c r="AA130" i="83" s="1"/>
  <c r="AA131" i="83" s="1"/>
  <c r="AC58" i="83"/>
  <c r="AC130" i="83" s="1"/>
  <c r="AC131" i="83" s="1"/>
  <c r="AE58" i="83"/>
  <c r="AE130" i="83" s="1"/>
  <c r="AE131" i="83" s="1"/>
  <c r="AG58" i="83"/>
  <c r="AG130" i="83" s="1"/>
  <c r="AG131" i="83" s="1"/>
  <c r="AK58" i="83"/>
  <c r="AK130" i="83" s="1"/>
  <c r="AK131" i="83" s="1"/>
  <c r="AO58" i="83"/>
  <c r="AO130" i="83" s="1"/>
  <c r="AO131" i="83" s="1"/>
  <c r="AS58" i="83"/>
  <c r="AS130" i="83" s="1"/>
  <c r="AS131" i="83" s="1"/>
  <c r="AW58" i="83"/>
  <c r="AW130" i="83" s="1"/>
  <c r="AW131" i="83" s="1"/>
  <c r="BA58" i="83"/>
  <c r="BA130" i="83" s="1"/>
  <c r="BA131" i="83" s="1"/>
  <c r="BC58" i="83"/>
  <c r="BC130" i="83" s="1"/>
  <c r="BC131" i="83" s="1"/>
  <c r="BG58" i="83"/>
  <c r="BG130" i="83" s="1"/>
  <c r="BG131" i="83" s="1"/>
  <c r="BI58" i="83"/>
  <c r="BI130" i="83" s="1"/>
  <c r="BI131" i="83" s="1"/>
  <c r="BK58" i="83"/>
  <c r="BK130" i="83" s="1"/>
  <c r="BK131" i="83" s="1"/>
  <c r="BM58" i="83"/>
  <c r="BM130" i="83" s="1"/>
  <c r="BM131" i="83" s="1"/>
  <c r="CH66" i="83"/>
  <c r="CJ66" i="83"/>
  <c r="CT72" i="83"/>
  <c r="CT136" i="83" s="1"/>
  <c r="CT66" i="83"/>
  <c r="CV72" i="83"/>
  <c r="CV136" i="83" s="1"/>
  <c r="CV66" i="83"/>
  <c r="CX72" i="83"/>
  <c r="CX136" i="83" s="1"/>
  <c r="CX66" i="83"/>
  <c r="DB72" i="83"/>
  <c r="DB136" i="83" s="1"/>
  <c r="DB66" i="83"/>
  <c r="DD72" i="83"/>
  <c r="DD136" i="83" s="1"/>
  <c r="DD66" i="83"/>
  <c r="DF72" i="83"/>
  <c r="DF136" i="83" s="1"/>
  <c r="DF66" i="83"/>
  <c r="CW72" i="83"/>
  <c r="CW136" i="83" s="1"/>
  <c r="AJ88" i="83"/>
  <c r="AL88" i="83"/>
  <c r="AD88" i="83"/>
  <c r="AF88" i="83"/>
  <c r="AO88" i="83"/>
  <c r="AY88" i="83"/>
  <c r="BC88" i="83"/>
  <c r="BF88" i="83"/>
  <c r="BJ88" i="83"/>
  <c r="BL88" i="83"/>
  <c r="D137" i="83"/>
  <c r="K137" i="83"/>
  <c r="AA137" i="83"/>
  <c r="AI137" i="83"/>
  <c r="AY137" i="83"/>
  <c r="BL137" i="83"/>
  <c r="CB137" i="83"/>
  <c r="CP45" i="83"/>
  <c r="BE163" i="83"/>
  <c r="BE88" i="83"/>
  <c r="BH165" i="83"/>
  <c r="CM163" i="83"/>
  <c r="CM165" i="83" s="1"/>
  <c r="DE163" i="83"/>
  <c r="DE165" i="83" s="1"/>
  <c r="CM47" i="83"/>
  <c r="CM48" i="83" s="1"/>
  <c r="CM49" i="83" s="1"/>
  <c r="DD47" i="83"/>
  <c r="DD48" i="83" s="1"/>
  <c r="BE48" i="83"/>
  <c r="BE49" i="83" s="1"/>
  <c r="E149" i="83"/>
  <c r="E158" i="83" s="1"/>
  <c r="E88" i="83"/>
  <c r="J149" i="83"/>
  <c r="J158" i="83" s="1"/>
  <c r="J88" i="83"/>
  <c r="M149" i="83"/>
  <c r="M158" i="83" s="1"/>
  <c r="M88" i="83"/>
  <c r="P149" i="83"/>
  <c r="P88" i="83"/>
  <c r="R149" i="83"/>
  <c r="R158" i="83" s="1"/>
  <c r="R88" i="83"/>
  <c r="T149" i="83"/>
  <c r="T88" i="83"/>
  <c r="V149" i="83"/>
  <c r="V158" i="83" s="1"/>
  <c r="V88" i="83"/>
  <c r="X149" i="83"/>
  <c r="X88" i="83"/>
  <c r="Z149" i="83"/>
  <c r="Z158" i="83" s="1"/>
  <c r="Z88" i="83"/>
  <c r="AB149" i="83"/>
  <c r="AB88" i="83"/>
  <c r="AF158" i="83"/>
  <c r="AH149" i="83"/>
  <c r="AH158" i="83" s="1"/>
  <c r="AH88" i="83"/>
  <c r="AJ158" i="83"/>
  <c r="AN149" i="83"/>
  <c r="AN88" i="83"/>
  <c r="AP149" i="83"/>
  <c r="AP158" i="83" s="1"/>
  <c r="AP88" i="83"/>
  <c r="AV149" i="83"/>
  <c r="AV88" i="83"/>
  <c r="BA149" i="83"/>
  <c r="BA158" i="83" s="1"/>
  <c r="BA88" i="83"/>
  <c r="BM149" i="83"/>
  <c r="BM158" i="83" s="1"/>
  <c r="BM88" i="83"/>
  <c r="BO80" i="83"/>
  <c r="BO88" i="83" s="1"/>
  <c r="BP173" i="83"/>
  <c r="BP164" i="83"/>
  <c r="BZ51" i="83"/>
  <c r="BZ88" i="83" s="1"/>
  <c r="CB51" i="83"/>
  <c r="CB57" i="83" s="1"/>
  <c r="CD51" i="83"/>
  <c r="CD57" i="83" s="1"/>
  <c r="CF51" i="83"/>
  <c r="CH51" i="83"/>
  <c r="CH88" i="83" s="1"/>
  <c r="CJ51" i="83"/>
  <c r="CN51" i="83"/>
  <c r="CN53" i="83"/>
  <c r="CS51" i="83"/>
  <c r="CU51" i="83"/>
  <c r="CU88" i="83" s="1"/>
  <c r="CW51" i="83"/>
  <c r="CY51" i="83"/>
  <c r="AQ173" i="83"/>
  <c r="AQ164" i="83"/>
  <c r="AU88" i="83"/>
  <c r="AY173" i="83"/>
  <c r="AY164" i="83"/>
  <c r="O173" i="83"/>
  <c r="O164" i="83"/>
  <c r="D57" i="83"/>
  <c r="D60" i="83" s="1"/>
  <c r="F57" i="83"/>
  <c r="F60" i="83" s="1"/>
  <c r="J57" i="83"/>
  <c r="J60" i="83" s="1"/>
  <c r="L57" i="83"/>
  <c r="L60" i="83" s="1"/>
  <c r="N57" i="83"/>
  <c r="N60" i="83" s="1"/>
  <c r="P57" i="83"/>
  <c r="P60" i="83" s="1"/>
  <c r="R57" i="83"/>
  <c r="R60" i="83" s="1"/>
  <c r="T57" i="83"/>
  <c r="T60" i="83" s="1"/>
  <c r="V57" i="83"/>
  <c r="V60" i="83" s="1"/>
  <c r="X57" i="83"/>
  <c r="X60" i="83" s="1"/>
  <c r="Z57" i="83"/>
  <c r="Z60" i="83" s="1"/>
  <c r="AB57" i="83"/>
  <c r="AB60" i="83" s="1"/>
  <c r="AD57" i="83"/>
  <c r="AD60" i="83" s="1"/>
  <c r="AF57" i="83"/>
  <c r="AF60" i="83" s="1"/>
  <c r="AH57" i="83"/>
  <c r="AH60" i="83" s="1"/>
  <c r="AJ57" i="83"/>
  <c r="AJ60" i="83" s="1"/>
  <c r="AL57" i="83"/>
  <c r="AL60" i="83" s="1"/>
  <c r="AN57" i="83"/>
  <c r="AN60" i="83" s="1"/>
  <c r="AP57" i="83"/>
  <c r="AP60" i="83" s="1"/>
  <c r="AT57" i="83"/>
  <c r="AT60" i="83" s="1"/>
  <c r="AV57" i="83"/>
  <c r="AV60" i="83" s="1"/>
  <c r="AX57" i="83"/>
  <c r="AX60" i="83" s="1"/>
  <c r="BD57" i="83"/>
  <c r="BD60" i="83" s="1"/>
  <c r="BN57" i="83"/>
  <c r="BN60" i="83" s="1"/>
  <c r="BP67" i="83"/>
  <c r="BO66" i="83"/>
  <c r="BO72" i="83"/>
  <c r="BO136" i="83" s="1"/>
  <c r="CN67" i="83"/>
  <c r="BY88" i="83"/>
  <c r="CC88" i="83"/>
  <c r="AK88" i="83"/>
  <c r="AM88" i="83"/>
  <c r="BQ70" i="83"/>
  <c r="BR70" i="83" s="1"/>
  <c r="BS70" i="83" s="1"/>
  <c r="O88" i="83"/>
  <c r="AE88" i="83"/>
  <c r="AG88" i="83"/>
  <c r="AX88" i="83"/>
  <c r="BB88" i="83"/>
  <c r="BD88" i="83"/>
  <c r="BH88" i="83"/>
  <c r="BK88" i="83"/>
  <c r="BN88" i="83"/>
  <c r="CR81" i="83"/>
  <c r="CT81" i="83"/>
  <c r="BH137" i="83"/>
  <c r="BZ137" i="83"/>
  <c r="G72" i="83"/>
  <c r="G136" i="83" s="1"/>
  <c r="K72" i="83"/>
  <c r="K136" i="83" s="1"/>
  <c r="O72" i="83"/>
  <c r="O136" i="83" s="1"/>
  <c r="AA72" i="83"/>
  <c r="AA136" i="83" s="1"/>
  <c r="AE72" i="83"/>
  <c r="AE136" i="83" s="1"/>
  <c r="AG72" i="83"/>
  <c r="AG136" i="83" s="1"/>
  <c r="AI72" i="83"/>
  <c r="AI136" i="83" s="1"/>
  <c r="AU72" i="83"/>
  <c r="AU136" i="83" s="1"/>
  <c r="BK72" i="83"/>
  <c r="BK136" i="83" s="1"/>
  <c r="DE77" i="83"/>
  <c r="L159" i="83"/>
  <c r="CA150" i="83"/>
  <c r="CS150" i="83"/>
  <c r="AD159" i="83"/>
  <c r="CE150" i="83"/>
  <c r="CW150" i="83"/>
  <c r="AF159" i="83"/>
  <c r="CF150" i="83"/>
  <c r="AJ159" i="83"/>
  <c r="CG150" i="83"/>
  <c r="AN159" i="83"/>
  <c r="CH150" i="83"/>
  <c r="AR159" i="83"/>
  <c r="CI150" i="83"/>
  <c r="AV159" i="83"/>
  <c r="CJ150" i="83"/>
  <c r="AZ159" i="83"/>
  <c r="CK150" i="83"/>
  <c r="BD159" i="83"/>
  <c r="CL150" i="83"/>
  <c r="BH159" i="83"/>
  <c r="CM150" i="83"/>
  <c r="BL159" i="83"/>
  <c r="CA80" i="83"/>
  <c r="CA88" i="83" s="1"/>
  <c r="CE80" i="83"/>
  <c r="CE88" i="83" s="1"/>
  <c r="CG80" i="83"/>
  <c r="CG88" i="83" s="1"/>
  <c r="CI80" i="83"/>
  <c r="CI88" i="83" s="1"/>
  <c r="CK80" i="83"/>
  <c r="CK81" i="83" s="1"/>
  <c r="CM80" i="83"/>
  <c r="CM88" i="83" s="1"/>
  <c r="CC81" i="83"/>
  <c r="CV80" i="83"/>
  <c r="CV81" i="83" s="1"/>
  <c r="CX80" i="83"/>
  <c r="CX81" i="83" s="1"/>
  <c r="CZ80" i="83"/>
  <c r="CZ81" i="83" s="1"/>
  <c r="DB80" i="83"/>
  <c r="DD80" i="83"/>
  <c r="DD81" i="83" s="1"/>
  <c r="DF80" i="83"/>
  <c r="DF88" i="83" s="1"/>
  <c r="CU81" i="83"/>
  <c r="G81" i="83"/>
  <c r="O81" i="83"/>
  <c r="Y81" i="83"/>
  <c r="AE81" i="83"/>
  <c r="AG81" i="83"/>
  <c r="AK81" i="83"/>
  <c r="AM81" i="83"/>
  <c r="AO81" i="83"/>
  <c r="AS81" i="83"/>
  <c r="AU81" i="83"/>
  <c r="AW81" i="83"/>
  <c r="BA81" i="83"/>
  <c r="BC81" i="83"/>
  <c r="BE81" i="83"/>
  <c r="BG81" i="83"/>
  <c r="BI81" i="83"/>
  <c r="BK81" i="83"/>
  <c r="BM81" i="83"/>
  <c r="K88" i="83"/>
  <c r="CN103" i="83"/>
  <c r="BP103" i="83"/>
  <c r="BQ119" i="83"/>
  <c r="BR116" i="83"/>
  <c r="CO118" i="83"/>
  <c r="BR105" i="83"/>
  <c r="DG105" i="83"/>
  <c r="BT110" i="83"/>
  <c r="CK68" i="83"/>
  <c r="CK66" i="83" s="1"/>
  <c r="CY71" i="83"/>
  <c r="CY72" i="83" s="1"/>
  <c r="CY136" i="83" s="1"/>
  <c r="DC71" i="83"/>
  <c r="DE71" i="83"/>
  <c r="AM70" i="83"/>
  <c r="AD72" i="83"/>
  <c r="AD136" i="83" s="1"/>
  <c r="AF72" i="83"/>
  <c r="AF136" i="83" s="1"/>
  <c r="AX72" i="83"/>
  <c r="AX136" i="83" s="1"/>
  <c r="BD72" i="83"/>
  <c r="BD136" i="83" s="1"/>
  <c r="BF72" i="83"/>
  <c r="BF136" i="83" s="1"/>
  <c r="BH72" i="83"/>
  <c r="BH136" i="83" s="1"/>
  <c r="BJ72" i="83"/>
  <c r="BJ136" i="83" s="1"/>
  <c r="BL72" i="83"/>
  <c r="BL136" i="83" s="1"/>
  <c r="BN72" i="83"/>
  <c r="BN136" i="83" s="1"/>
  <c r="BY77" i="83"/>
  <c r="CA77" i="83"/>
  <c r="CE77" i="83"/>
  <c r="CG77" i="83"/>
  <c r="CI77" i="83"/>
  <c r="CM77" i="83"/>
  <c r="DF77" i="83"/>
  <c r="Y159" i="83"/>
  <c r="CD150" i="83"/>
  <c r="CV150" i="83"/>
  <c r="AE159" i="83"/>
  <c r="CX150" i="83"/>
  <c r="AI159" i="83"/>
  <c r="CY150" i="83"/>
  <c r="AM159" i="83"/>
  <c r="CZ150" i="83"/>
  <c r="AQ159" i="83"/>
  <c r="DA150" i="83"/>
  <c r="AU159" i="83"/>
  <c r="DB150" i="83"/>
  <c r="AY159" i="83"/>
  <c r="DC150" i="83"/>
  <c r="BC159" i="83"/>
  <c r="DD150" i="83"/>
  <c r="BG159" i="83"/>
  <c r="DE150" i="83"/>
  <c r="BK159" i="83"/>
  <c r="DF150" i="83"/>
  <c r="CD80" i="83"/>
  <c r="CD81" i="83" s="1"/>
  <c r="CF80" i="83"/>
  <c r="CF81" i="83" s="1"/>
  <c r="CH80" i="83"/>
  <c r="CH81" i="83" s="1"/>
  <c r="CJ80" i="83"/>
  <c r="CJ81" i="83" s="1"/>
  <c r="CL80" i="83"/>
  <c r="CL81" i="83" s="1"/>
  <c r="CS80" i="83"/>
  <c r="CS81" i="83" s="1"/>
  <c r="CW80" i="83"/>
  <c r="CW81" i="83" s="1"/>
  <c r="CY80" i="83"/>
  <c r="CY81" i="83" s="1"/>
  <c r="DA80" i="83"/>
  <c r="DA81" i="83" s="1"/>
  <c r="DC80" i="83"/>
  <c r="DC81" i="83" s="1"/>
  <c r="DE80" i="83"/>
  <c r="L81" i="83"/>
  <c r="AD81" i="83"/>
  <c r="AF81" i="83"/>
  <c r="AH81" i="83"/>
  <c r="AJ81" i="83"/>
  <c r="AL81" i="83"/>
  <c r="AN81" i="83"/>
  <c r="AP81" i="83"/>
  <c r="AR81" i="83"/>
  <c r="AT81" i="83"/>
  <c r="AV81" i="83"/>
  <c r="AX81" i="83"/>
  <c r="AZ81" i="83"/>
  <c r="BB81" i="83"/>
  <c r="BD81" i="83"/>
  <c r="BF81" i="83"/>
  <c r="BJ81" i="83"/>
  <c r="BN81" i="83"/>
  <c r="BP108" i="83"/>
  <c r="BQ104" i="83"/>
  <c r="BP156" i="83"/>
  <c r="BP120" i="83"/>
  <c r="BT118" i="83"/>
  <c r="BU117" i="83"/>
  <c r="BV117" i="83" s="1"/>
  <c r="BW117" i="83" s="1"/>
  <c r="CN120" i="83"/>
  <c r="CN91" i="83" s="1"/>
  <c r="CN156" i="83"/>
  <c r="DG118" i="83"/>
  <c r="DF8" i="83"/>
  <c r="DF39" i="83" s="1"/>
  <c r="DE8" i="83"/>
  <c r="DD8" i="83"/>
  <c r="CX8" i="83"/>
  <c r="CX39" i="83" s="1"/>
  <c r="CW8" i="83"/>
  <c r="CV8" i="83"/>
  <c r="CV49" i="83" s="1"/>
  <c r="CU8" i="83"/>
  <c r="CM8" i="83"/>
  <c r="CM27" i="83" s="1"/>
  <c r="CL8" i="83"/>
  <c r="CK8" i="83"/>
  <c r="CE8" i="83"/>
  <c r="CE27" i="83" s="1"/>
  <c r="CD8" i="83"/>
  <c r="CC8" i="83"/>
  <c r="CC49" i="83" s="1"/>
  <c r="CB8" i="83"/>
  <c r="CR66" i="83" l="1"/>
  <c r="DC88" i="83"/>
  <c r="CT88" i="83"/>
  <c r="CS88" i="83"/>
  <c r="CS57" i="83"/>
  <c r="DB88" i="83"/>
  <c r="AT63" i="83"/>
  <c r="N63" i="83"/>
  <c r="CN80" i="83"/>
  <c r="D63" i="83"/>
  <c r="D64" i="83" s="1"/>
  <c r="AJ63" i="83"/>
  <c r="CG149" i="83"/>
  <c r="CG158" i="83"/>
  <c r="DB81" i="83"/>
  <c r="DB137" i="83" s="1"/>
  <c r="CX88" i="83"/>
  <c r="CW88" i="83"/>
  <c r="CN88" i="83"/>
  <c r="CE39" i="83"/>
  <c r="DE49" i="83"/>
  <c r="BF58" i="83"/>
  <c r="BF130" i="83" s="1"/>
  <c r="BF131" i="83" s="1"/>
  <c r="M63" i="83"/>
  <c r="BA63" i="83"/>
  <c r="BA75" i="83" s="1"/>
  <c r="BA89" i="83" s="1"/>
  <c r="E63" i="83"/>
  <c r="E171" i="83" s="1"/>
  <c r="CU72" i="83"/>
  <c r="CU136" i="83" s="1"/>
  <c r="CU66" i="83"/>
  <c r="CB66" i="83"/>
  <c r="BY72" i="83"/>
  <c r="BY136" i="83" s="1"/>
  <c r="BY66" i="83"/>
  <c r="CF72" i="83"/>
  <c r="CF136" i="83" s="1"/>
  <c r="CB72" i="83"/>
  <c r="CB136" i="83" s="1"/>
  <c r="CM159" i="83"/>
  <c r="CL159" i="83"/>
  <c r="CK159" i="83"/>
  <c r="CJ159" i="83"/>
  <c r="CI159" i="83"/>
  <c r="CH159" i="83"/>
  <c r="CG159" i="83"/>
  <c r="CF159" i="83"/>
  <c r="DG70" i="83"/>
  <c r="CO70" i="83"/>
  <c r="CJ88" i="83"/>
  <c r="CF88" i="83"/>
  <c r="DD49" i="83"/>
  <c r="CM39" i="83"/>
  <c r="CL88" i="83"/>
  <c r="CD88" i="83"/>
  <c r="DA88" i="83"/>
  <c r="CW57" i="83"/>
  <c r="BZ66" i="83"/>
  <c r="CI72" i="83"/>
  <c r="CI136" i="83" s="1"/>
  <c r="CI66" i="83"/>
  <c r="CA72" i="83"/>
  <c r="CA136" i="83" s="1"/>
  <c r="CA66" i="83"/>
  <c r="CD72" i="83"/>
  <c r="CD136" i="83" s="1"/>
  <c r="BZ72" i="83"/>
  <c r="BZ136" i="83" s="1"/>
  <c r="CY137" i="83"/>
  <c r="CL137" i="83"/>
  <c r="CD137" i="83"/>
  <c r="DD137" i="83"/>
  <c r="CZ137" i="83"/>
  <c r="CV137" i="83"/>
  <c r="BD74" i="83"/>
  <c r="BD61" i="83"/>
  <c r="AP74" i="83"/>
  <c r="AP61" i="83"/>
  <c r="AH74" i="83"/>
  <c r="AH61" i="83"/>
  <c r="AD74" i="83"/>
  <c r="AD61" i="83"/>
  <c r="V74" i="83"/>
  <c r="V61" i="83"/>
  <c r="R74" i="83"/>
  <c r="R61" i="83"/>
  <c r="J74" i="83"/>
  <c r="J61" i="83"/>
  <c r="D74" i="83"/>
  <c r="D61" i="83"/>
  <c r="BG74" i="83"/>
  <c r="BG61" i="83"/>
  <c r="I74" i="83"/>
  <c r="I61" i="83"/>
  <c r="DA137" i="83"/>
  <c r="CW137" i="83"/>
  <c r="CJ137" i="83"/>
  <c r="CF137" i="83"/>
  <c r="CK137" i="83"/>
  <c r="DE58" i="83"/>
  <c r="DE130" i="83" s="1"/>
  <c r="DE36" i="83"/>
  <c r="DC137" i="83"/>
  <c r="AV74" i="83"/>
  <c r="AV61" i="83"/>
  <c r="AL74" i="83"/>
  <c r="AL61" i="83"/>
  <c r="Z74" i="83"/>
  <c r="Z61" i="83"/>
  <c r="N74" i="83"/>
  <c r="N61" i="83"/>
  <c r="AW74" i="83"/>
  <c r="AW61" i="83"/>
  <c r="AK74" i="83"/>
  <c r="AK61" i="83"/>
  <c r="AE74" i="83"/>
  <c r="AE61" i="83"/>
  <c r="AA74" i="83"/>
  <c r="AA61" i="83"/>
  <c r="W74" i="83"/>
  <c r="W61" i="83"/>
  <c r="S74" i="83"/>
  <c r="S61" i="83"/>
  <c r="CB125" i="83"/>
  <c r="CB23" i="83"/>
  <c r="CB20" i="83"/>
  <c r="CW125" i="83"/>
  <c r="CW39" i="83"/>
  <c r="CW23" i="83"/>
  <c r="CW20" i="83"/>
  <c r="CW11" i="83"/>
  <c r="BP91" i="83"/>
  <c r="BQ108" i="83"/>
  <c r="BR104" i="83"/>
  <c r="BN137" i="83"/>
  <c r="AX137" i="83"/>
  <c r="AX139" i="83" s="1"/>
  <c r="AX140" i="83" s="1"/>
  <c r="AX96" i="83" s="1"/>
  <c r="AL137" i="83"/>
  <c r="AD137" i="83"/>
  <c r="CV159" i="83"/>
  <c r="CD159" i="83"/>
  <c r="DF81" i="83"/>
  <c r="BY81" i="83"/>
  <c r="CZ70" i="83"/>
  <c r="CG70" i="83"/>
  <c r="AM66" i="83"/>
  <c r="BU110" i="83"/>
  <c r="BV110" i="83" s="1"/>
  <c r="BW110" i="83" s="1"/>
  <c r="BQ156" i="83"/>
  <c r="BQ120" i="83"/>
  <c r="BG137" i="83"/>
  <c r="AW137" i="83"/>
  <c r="AM137" i="83"/>
  <c r="Y137" i="83"/>
  <c r="Y139" i="83" s="1"/>
  <c r="Y140" i="83" s="1"/>
  <c r="Y96" i="83" s="1"/>
  <c r="CX137" i="83"/>
  <c r="CR137" i="83"/>
  <c r="DD88" i="83"/>
  <c r="DA173" i="83"/>
  <c r="CH173" i="83"/>
  <c r="BP165" i="83"/>
  <c r="AV158" i="83"/>
  <c r="AN158" i="83"/>
  <c r="CZ158" i="83" s="1"/>
  <c r="AB158" i="83"/>
  <c r="CE158" i="83" s="1"/>
  <c r="CE149" i="83"/>
  <c r="X158" i="83"/>
  <c r="CD149" i="83"/>
  <c r="BH157" i="83"/>
  <c r="BH148" i="83"/>
  <c r="CH137" i="83"/>
  <c r="CZ88" i="83"/>
  <c r="DC72" i="83"/>
  <c r="DC136" i="83" s="1"/>
  <c r="CR173" i="83"/>
  <c r="BY173" i="83"/>
  <c r="DB173" i="83"/>
  <c r="CI173" i="83"/>
  <c r="BQ53" i="83"/>
  <c r="BR53" i="83" s="1"/>
  <c r="BS53" i="83" s="1"/>
  <c r="BP51" i="83"/>
  <c r="CX158" i="83"/>
  <c r="AA158" i="83"/>
  <c r="CW149" i="83"/>
  <c r="W158" i="83"/>
  <c r="CV149" i="83"/>
  <c r="S158" i="83"/>
  <c r="CU149" i="83"/>
  <c r="L158" i="83"/>
  <c r="BH49" i="83"/>
  <c r="BH42" i="83"/>
  <c r="CY48" i="83"/>
  <c r="CJ48" i="83"/>
  <c r="BZ48" i="83"/>
  <c r="CW49" i="83"/>
  <c r="DA57" i="83"/>
  <c r="CY57" i="83"/>
  <c r="CU57" i="83"/>
  <c r="CL58" i="83"/>
  <c r="CL130" i="83" s="1"/>
  <c r="CL36" i="83"/>
  <c r="CD58" i="83"/>
  <c r="CD130" i="83" s="1"/>
  <c r="CD36" i="83"/>
  <c r="CB58" i="83"/>
  <c r="CB130" i="83" s="1"/>
  <c r="CB131" i="83" s="1"/>
  <c r="CB36" i="83"/>
  <c r="BN74" i="83"/>
  <c r="BN61" i="83"/>
  <c r="BL188" i="83"/>
  <c r="BL86" i="83"/>
  <c r="BH188" i="83"/>
  <c r="BH86" i="83"/>
  <c r="AX74" i="83"/>
  <c r="AX61" i="83"/>
  <c r="AR188" i="83"/>
  <c r="AR78" i="83"/>
  <c r="AR86" i="83"/>
  <c r="AJ74" i="83"/>
  <c r="AJ61" i="83"/>
  <c r="AB74" i="83"/>
  <c r="AB61" i="83"/>
  <c r="T74" i="83"/>
  <c r="T61" i="83"/>
  <c r="L74" i="83"/>
  <c r="L61" i="83"/>
  <c r="F74" i="83"/>
  <c r="F61" i="83"/>
  <c r="BF127" i="83"/>
  <c r="BF63" i="83"/>
  <c r="BF24" i="83"/>
  <c r="H127" i="83"/>
  <c r="H63" i="83"/>
  <c r="H24" i="83"/>
  <c r="CB49" i="83"/>
  <c r="DH32" i="83"/>
  <c r="DF36" i="83"/>
  <c r="DF58" i="83"/>
  <c r="DF130" i="83" s="1"/>
  <c r="DD36" i="83"/>
  <c r="DD58" i="83"/>
  <c r="DD130" i="83" s="1"/>
  <c r="CX36" i="83"/>
  <c r="CX58" i="83"/>
  <c r="CX130" i="83" s="1"/>
  <c r="CT57" i="83"/>
  <c r="CT35" i="83"/>
  <c r="CI57" i="83"/>
  <c r="CI35" i="83"/>
  <c r="BK188" i="83"/>
  <c r="BK86" i="83"/>
  <c r="BK78" i="83"/>
  <c r="BE74" i="83"/>
  <c r="BE61" i="83"/>
  <c r="BC188" i="83"/>
  <c r="BC86" i="83"/>
  <c r="BC78" i="83"/>
  <c r="AG74" i="83"/>
  <c r="AG61" i="83"/>
  <c r="Y74" i="83"/>
  <c r="Y61" i="83"/>
  <c r="Q74" i="83"/>
  <c r="Q61" i="83"/>
  <c r="M188" i="83"/>
  <c r="M86" i="83"/>
  <c r="M78" i="83"/>
  <c r="BC127" i="83"/>
  <c r="BC63" i="83"/>
  <c r="BC24" i="83"/>
  <c r="BM133" i="83"/>
  <c r="BM134" i="83" s="1"/>
  <c r="BM128" i="83"/>
  <c r="BD171" i="83"/>
  <c r="BD75" i="83"/>
  <c r="BD89" i="83" s="1"/>
  <c r="BD64" i="83"/>
  <c r="CD125" i="83"/>
  <c r="CD11" i="83"/>
  <c r="CD23" i="83"/>
  <c r="CD20" i="83"/>
  <c r="CL125" i="83"/>
  <c r="CM126" i="83" s="1"/>
  <c r="CL11" i="83"/>
  <c r="CL23" i="83"/>
  <c r="CL20" i="83"/>
  <c r="CU125" i="83"/>
  <c r="CU39" i="83"/>
  <c r="CU23" i="83"/>
  <c r="CU20" i="83"/>
  <c r="DE125" i="83"/>
  <c r="DE39" i="83"/>
  <c r="DE23" i="83"/>
  <c r="DE20" i="83"/>
  <c r="DE11" i="83"/>
  <c r="CP118" i="83"/>
  <c r="BU118" i="83"/>
  <c r="BV118" i="83" s="1"/>
  <c r="BW118" i="83" s="1"/>
  <c r="BF137" i="83"/>
  <c r="BB137" i="83"/>
  <c r="AT137" i="83"/>
  <c r="AP137" i="83"/>
  <c r="AH137" i="83"/>
  <c r="CI81" i="83"/>
  <c r="CE81" i="83"/>
  <c r="BK137" i="83"/>
  <c r="BC137" i="83"/>
  <c r="AS137" i="83"/>
  <c r="AG137" i="83"/>
  <c r="G137" i="83"/>
  <c r="CS137" i="83"/>
  <c r="CC137" i="83"/>
  <c r="CA159" i="83"/>
  <c r="CS159" i="83"/>
  <c r="CT137" i="83"/>
  <c r="CN72" i="83"/>
  <c r="CN136" i="83" s="1"/>
  <c r="CN66" i="83"/>
  <c r="CT173" i="83"/>
  <c r="CA173" i="83"/>
  <c r="DC173" i="83"/>
  <c r="CJ173" i="83"/>
  <c r="T158" i="83"/>
  <c r="CC149" i="83"/>
  <c r="P158" i="83"/>
  <c r="CB149" i="83"/>
  <c r="BE165" i="83"/>
  <c r="DD163" i="83"/>
  <c r="DD165" i="83" s="1"/>
  <c r="CL163" i="83"/>
  <c r="CL165" i="83" s="1"/>
  <c r="DH117" i="83"/>
  <c r="CS173" i="83"/>
  <c r="BZ173" i="83"/>
  <c r="CN164" i="83"/>
  <c r="BO165" i="83"/>
  <c r="AI158" i="83"/>
  <c r="CY158" i="83" s="1"/>
  <c r="CY149" i="83"/>
  <c r="D158" i="83"/>
  <c r="BL165" i="83"/>
  <c r="CN163" i="83"/>
  <c r="DF163" i="83"/>
  <c r="DF165" i="83" s="1"/>
  <c r="DC48" i="83"/>
  <c r="CL39" i="83"/>
  <c r="CF48" i="83"/>
  <c r="CF58" i="83" s="1"/>
  <c r="CF130" i="83" s="1"/>
  <c r="CE58" i="83"/>
  <c r="CE130" i="83" s="1"/>
  <c r="CE36" i="83"/>
  <c r="DC57" i="83"/>
  <c r="CJ58" i="83"/>
  <c r="CJ130" i="83" s="1"/>
  <c r="CB27" i="83"/>
  <c r="BJ188" i="83"/>
  <c r="BJ78" i="83"/>
  <c r="BJ86" i="83"/>
  <c r="BF188" i="83"/>
  <c r="BF78" i="83"/>
  <c r="BF86" i="83"/>
  <c r="AT74" i="83"/>
  <c r="AT61" i="83"/>
  <c r="AN74" i="83"/>
  <c r="AN61" i="83"/>
  <c r="AF74" i="83"/>
  <c r="AF61" i="83"/>
  <c r="X74" i="83"/>
  <c r="X61" i="83"/>
  <c r="P74" i="83"/>
  <c r="P61" i="83"/>
  <c r="BJ127" i="83"/>
  <c r="BJ63" i="83"/>
  <c r="BJ24" i="83"/>
  <c r="AZ127" i="83"/>
  <c r="AZ63" i="83"/>
  <c r="AZ24" i="83"/>
  <c r="DG53" i="83"/>
  <c r="CC58" i="83"/>
  <c r="CC130" i="83" s="1"/>
  <c r="CC36" i="83"/>
  <c r="DB57" i="83"/>
  <c r="DB35" i="83"/>
  <c r="CV36" i="83"/>
  <c r="CV58" i="83"/>
  <c r="CV130" i="83" s="1"/>
  <c r="CA57" i="83"/>
  <c r="CA35" i="83"/>
  <c r="BK127" i="83"/>
  <c r="BK63" i="83"/>
  <c r="BK24" i="83"/>
  <c r="BM188" i="83"/>
  <c r="BM86" i="83"/>
  <c r="BM78" i="83"/>
  <c r="BI188" i="83"/>
  <c r="BI86" i="83"/>
  <c r="BI78" i="83"/>
  <c r="BA188" i="83"/>
  <c r="BA86" i="83"/>
  <c r="BA78" i="83"/>
  <c r="AO74" i="83"/>
  <c r="AO61" i="83"/>
  <c r="AC74" i="83"/>
  <c r="AC61" i="83"/>
  <c r="U74" i="83"/>
  <c r="U61" i="83"/>
  <c r="AX133" i="83"/>
  <c r="AX134" i="83" s="1"/>
  <c r="AX128" i="83"/>
  <c r="AV171" i="83"/>
  <c r="AV75" i="83"/>
  <c r="AV89" i="83" s="1"/>
  <c r="AV64" i="83"/>
  <c r="AP139" i="83"/>
  <c r="AP140" i="83" s="1"/>
  <c r="AP96" i="83" s="1"/>
  <c r="AP133" i="83"/>
  <c r="AP128" i="83"/>
  <c r="AN171" i="83"/>
  <c r="AN75" i="83"/>
  <c r="AN89" i="83" s="1"/>
  <c r="AN64" i="83"/>
  <c r="AK133" i="83"/>
  <c r="AK128" i="83"/>
  <c r="AH171" i="83"/>
  <c r="AH75" i="83"/>
  <c r="AH89" i="83" s="1"/>
  <c r="AH64" i="83"/>
  <c r="AF133" i="83"/>
  <c r="AF128" i="83"/>
  <c r="AD171" i="83"/>
  <c r="AD75" i="83"/>
  <c r="AD89" i="83" s="1"/>
  <c r="AD64" i="83"/>
  <c r="AB139" i="83"/>
  <c r="AB140" i="83" s="1"/>
  <c r="AB96" i="83" s="1"/>
  <c r="AB133" i="83"/>
  <c r="AB128" i="83"/>
  <c r="Z171" i="83"/>
  <c r="Z75" i="83"/>
  <c r="Z64" i="83"/>
  <c r="X139" i="83"/>
  <c r="X140" i="83" s="1"/>
  <c r="X96" i="83" s="1"/>
  <c r="X133" i="83"/>
  <c r="X128" i="83"/>
  <c r="V171" i="83"/>
  <c r="V75" i="83"/>
  <c r="V64" i="83"/>
  <c r="T139" i="83"/>
  <c r="T140" i="83" s="1"/>
  <c r="T96" i="83" s="1"/>
  <c r="T133" i="83"/>
  <c r="T128" i="83"/>
  <c r="R171" i="83"/>
  <c r="R75" i="83"/>
  <c r="R64" i="83"/>
  <c r="P139" i="83"/>
  <c r="P140" i="83" s="1"/>
  <c r="P96" i="83" s="1"/>
  <c r="P133" i="83"/>
  <c r="P128" i="83"/>
  <c r="M171" i="83"/>
  <c r="M75" i="83"/>
  <c r="M64" i="83"/>
  <c r="J139" i="83"/>
  <c r="J140" i="83" s="1"/>
  <c r="J96" i="83" s="1"/>
  <c r="J133" i="83"/>
  <c r="J128" i="83"/>
  <c r="F171" i="83"/>
  <c r="F75" i="83"/>
  <c r="F64" i="83"/>
  <c r="D139" i="83"/>
  <c r="D140" i="83" s="1"/>
  <c r="D96" i="83" s="1"/>
  <c r="D133" i="83"/>
  <c r="D128" i="83"/>
  <c r="DE27" i="83"/>
  <c r="CU27" i="83"/>
  <c r="BN171" i="83"/>
  <c r="BN75" i="83"/>
  <c r="BN89" i="83" s="1"/>
  <c r="BN64" i="83"/>
  <c r="BL139" i="83"/>
  <c r="BL140" i="83" s="1"/>
  <c r="BL96" i="83" s="1"/>
  <c r="BL133" i="83"/>
  <c r="BL134" i="83" s="1"/>
  <c r="BL128" i="83"/>
  <c r="BA171" i="83"/>
  <c r="AW139" i="83"/>
  <c r="AW140" i="83" s="1"/>
  <c r="AW96" i="83" s="1"/>
  <c r="AW133" i="83"/>
  <c r="AW134" i="83" s="1"/>
  <c r="AW128" i="83"/>
  <c r="AT171" i="83"/>
  <c r="AT75" i="83"/>
  <c r="AT89" i="83" s="1"/>
  <c r="AT64" i="83"/>
  <c r="AO133" i="83"/>
  <c r="AO128" i="83"/>
  <c r="AL171" i="83"/>
  <c r="AL75" i="83"/>
  <c r="AL89" i="83" s="1"/>
  <c r="AL64" i="83"/>
  <c r="AJ133" i="83"/>
  <c r="AJ128" i="83"/>
  <c r="AG63" i="83"/>
  <c r="AE133" i="83"/>
  <c r="AE128" i="83"/>
  <c r="AC63" i="83"/>
  <c r="AA139" i="83"/>
  <c r="AA140" i="83" s="1"/>
  <c r="AA96" i="83" s="1"/>
  <c r="AA133" i="83"/>
  <c r="AA128" i="83"/>
  <c r="Y63" i="83"/>
  <c r="W139" i="83"/>
  <c r="W140" i="83" s="1"/>
  <c r="W96" i="83" s="1"/>
  <c r="W133" i="83"/>
  <c r="W128" i="83"/>
  <c r="U63" i="83"/>
  <c r="S139" i="83"/>
  <c r="S140" i="83" s="1"/>
  <c r="S96" i="83" s="1"/>
  <c r="S133" i="83"/>
  <c r="S128" i="83"/>
  <c r="Q63" i="83"/>
  <c r="N139" i="83"/>
  <c r="N140" i="83" s="1"/>
  <c r="N96" i="83" s="1"/>
  <c r="N133" i="83"/>
  <c r="N128" i="83"/>
  <c r="L171" i="83"/>
  <c r="L75" i="83"/>
  <c r="L89" i="83" s="1"/>
  <c r="L64" i="83"/>
  <c r="I139" i="83"/>
  <c r="I140" i="83" s="1"/>
  <c r="I96" i="83" s="1"/>
  <c r="I133" i="83"/>
  <c r="I128" i="83"/>
  <c r="CC125" i="83"/>
  <c r="CC23" i="83"/>
  <c r="CC20" i="83"/>
  <c r="CC11" i="83"/>
  <c r="CE125" i="83"/>
  <c r="CE23" i="83"/>
  <c r="CE20" i="83"/>
  <c r="CE11" i="83"/>
  <c r="CK125" i="83"/>
  <c r="CK23" i="83"/>
  <c r="CK20" i="83"/>
  <c r="CM23" i="83"/>
  <c r="CM20" i="83"/>
  <c r="CM11" i="83"/>
  <c r="CV125" i="83"/>
  <c r="CV27" i="83"/>
  <c r="CV23" i="83"/>
  <c r="CV20" i="83"/>
  <c r="CV11" i="83"/>
  <c r="CX125" i="83"/>
  <c r="CX27" i="83"/>
  <c r="CX23" i="83"/>
  <c r="CX20" i="83"/>
  <c r="CX11" i="83"/>
  <c r="DD125" i="83"/>
  <c r="DD27" i="83"/>
  <c r="DD23" i="83"/>
  <c r="DD20" i="83"/>
  <c r="DF125" i="83"/>
  <c r="DF27" i="83"/>
  <c r="DF23" i="83"/>
  <c r="DF20" i="83"/>
  <c r="DF11" i="83"/>
  <c r="CP117" i="83"/>
  <c r="DH118" i="83"/>
  <c r="DG104" i="83"/>
  <c r="DG108" i="83" s="1"/>
  <c r="BJ137" i="83"/>
  <c r="BD137" i="83"/>
  <c r="AZ137" i="83"/>
  <c r="AV137" i="83"/>
  <c r="AR137" i="83"/>
  <c r="AN137" i="83"/>
  <c r="AJ137" i="83"/>
  <c r="AJ139" i="83" s="1"/>
  <c r="AJ140" i="83" s="1"/>
  <c r="AJ96" i="83" s="1"/>
  <c r="AF137" i="83"/>
  <c r="AF139" i="83" s="1"/>
  <c r="AF140" i="83" s="1"/>
  <c r="AF96" i="83" s="1"/>
  <c r="L137" i="83"/>
  <c r="L139" i="83" s="1"/>
  <c r="L140" i="83" s="1"/>
  <c r="L96" i="83" s="1"/>
  <c r="DF159" i="83"/>
  <c r="DE159" i="83"/>
  <c r="DD159" i="83"/>
  <c r="DC159" i="83"/>
  <c r="DB159" i="83"/>
  <c r="DA159" i="83"/>
  <c r="CZ159" i="83"/>
  <c r="CY159" i="83"/>
  <c r="CX159" i="83"/>
  <c r="BL78" i="83"/>
  <c r="CM81" i="83"/>
  <c r="CG81" i="83"/>
  <c r="CA81" i="83"/>
  <c r="DE88" i="83"/>
  <c r="CY88" i="83"/>
  <c r="DH110" i="83"/>
  <c r="BS105" i="83"/>
  <c r="CO105" i="83" s="1"/>
  <c r="BR119" i="83"/>
  <c r="BS116" i="83"/>
  <c r="CO116" i="83" s="1"/>
  <c r="DG116" i="83"/>
  <c r="DG119" i="83" s="1"/>
  <c r="BQ103" i="83"/>
  <c r="BM137" i="83"/>
  <c r="BM139" i="83" s="1"/>
  <c r="BM140" i="83" s="1"/>
  <c r="BI137" i="83"/>
  <c r="BE137" i="83"/>
  <c r="BA137" i="83"/>
  <c r="AU137" i="83"/>
  <c r="AO137" i="83"/>
  <c r="AO139" i="83" s="1"/>
  <c r="AO140" i="83" s="1"/>
  <c r="AO96" i="83" s="1"/>
  <c r="AK137" i="83"/>
  <c r="AK139" i="83" s="1"/>
  <c r="AK140" i="83" s="1"/>
  <c r="AK96" i="83" s="1"/>
  <c r="AE137" i="83"/>
  <c r="AE139" i="83" s="1"/>
  <c r="AE140" i="83" s="1"/>
  <c r="AE96" i="83" s="1"/>
  <c r="O137" i="83"/>
  <c r="CU137" i="83"/>
  <c r="CW159" i="83"/>
  <c r="CE159" i="83"/>
  <c r="DE81" i="83"/>
  <c r="AM72" i="83"/>
  <c r="AM136" i="83" s="1"/>
  <c r="BT70" i="83"/>
  <c r="CV88" i="83"/>
  <c r="DE72" i="83"/>
  <c r="DE136" i="83" s="1"/>
  <c r="CK88" i="83"/>
  <c r="BP72" i="83"/>
  <c r="BP136" i="83" s="1"/>
  <c r="BP66" i="83"/>
  <c r="BQ67" i="83"/>
  <c r="CT164" i="83"/>
  <c r="CT165" i="83" s="1"/>
  <c r="O165" i="83"/>
  <c r="CA164" i="83"/>
  <c r="CA165" i="83" s="1"/>
  <c r="CJ164" i="83"/>
  <c r="CJ165" i="83" s="1"/>
  <c r="DC164" i="83"/>
  <c r="DC165" i="83" s="1"/>
  <c r="AY165" i="83"/>
  <c r="CH164" i="83"/>
  <c r="CH165" i="83" s="1"/>
  <c r="AQ165" i="83"/>
  <c r="DA164" i="83"/>
  <c r="DA165" i="83" s="1"/>
  <c r="BO150" i="83"/>
  <c r="CF149" i="83"/>
  <c r="CK39" i="83"/>
  <c r="CC39" i="83"/>
  <c r="CR88" i="83"/>
  <c r="CB88" i="83"/>
  <c r="CK72" i="83"/>
  <c r="CK136" i="83" s="1"/>
  <c r="BE58" i="83"/>
  <c r="BE130" i="83" s="1"/>
  <c r="BE131" i="83" s="1"/>
  <c r="CR164" i="83"/>
  <c r="CR165" i="83" s="1"/>
  <c r="G165" i="83"/>
  <c r="BY164" i="83"/>
  <c r="BY165" i="83" s="1"/>
  <c r="BZ164" i="83"/>
  <c r="BZ165" i="83" s="1"/>
  <c r="K165" i="83"/>
  <c r="CS164" i="83"/>
  <c r="CS165" i="83" s="1"/>
  <c r="DB164" i="83"/>
  <c r="DB165" i="83" s="1"/>
  <c r="AU165" i="83"/>
  <c r="CI164" i="83"/>
  <c r="CI165" i="83" s="1"/>
  <c r="BQ173" i="83"/>
  <c r="BQ164" i="83"/>
  <c r="BQ165" i="83" s="1"/>
  <c r="BR52" i="83"/>
  <c r="CN173" i="83"/>
  <c r="CZ149" i="83"/>
  <c r="CX149" i="83"/>
  <c r="BL49" i="83"/>
  <c r="BL42" i="83"/>
  <c r="DD39" i="83"/>
  <c r="CV39" i="83"/>
  <c r="DA48" i="83"/>
  <c r="CS48" i="83"/>
  <c r="CD39" i="83"/>
  <c r="CH48" i="83"/>
  <c r="CB39" i="83"/>
  <c r="DF49" i="83"/>
  <c r="CU49" i="83"/>
  <c r="CL49" i="83"/>
  <c r="CE49" i="83"/>
  <c r="CM58" i="83"/>
  <c r="CM130" i="83" s="1"/>
  <c r="CM131" i="83" s="1"/>
  <c r="CM36" i="83"/>
  <c r="DC58" i="83"/>
  <c r="DC130" i="83" s="1"/>
  <c r="DA58" i="83"/>
  <c r="DA130" i="83" s="1"/>
  <c r="CY58" i="83"/>
  <c r="CY130" i="83" s="1"/>
  <c r="CW58" i="83"/>
  <c r="CW130" i="83" s="1"/>
  <c r="CW131" i="83" s="1"/>
  <c r="CW36" i="83"/>
  <c r="CU58" i="83"/>
  <c r="CU130" i="83" s="1"/>
  <c r="CU131" i="83" s="1"/>
  <c r="CU36" i="83"/>
  <c r="CL27" i="83"/>
  <c r="CD27" i="83"/>
  <c r="CJ57" i="83"/>
  <c r="CH57" i="83"/>
  <c r="CF57" i="83"/>
  <c r="BZ57" i="83"/>
  <c r="AU58" i="83"/>
  <c r="AU130" i="83" s="1"/>
  <c r="AM58" i="83"/>
  <c r="AM130" i="83" s="1"/>
  <c r="O58" i="83"/>
  <c r="O130" i="83" s="1"/>
  <c r="G58" i="83"/>
  <c r="G130" i="83" s="1"/>
  <c r="BB188" i="83"/>
  <c r="BB78" i="83"/>
  <c r="BB86" i="83"/>
  <c r="AZ188" i="83"/>
  <c r="AZ78" i="83"/>
  <c r="AZ86" i="83"/>
  <c r="H188" i="83"/>
  <c r="H78" i="83"/>
  <c r="H86" i="83"/>
  <c r="BH127" i="83"/>
  <c r="BH24" i="83"/>
  <c r="BB127" i="83"/>
  <c r="BB63" i="83"/>
  <c r="BB24" i="83"/>
  <c r="AR127" i="83"/>
  <c r="AR63" i="83"/>
  <c r="AR24" i="83"/>
  <c r="AZ158" i="83"/>
  <c r="CK158" i="83" s="1"/>
  <c r="CK149" i="83"/>
  <c r="AR158" i="83"/>
  <c r="H158" i="83"/>
  <c r="CX49" i="83"/>
  <c r="CK49" i="83"/>
  <c r="CD49" i="83"/>
  <c r="CK58" i="83"/>
  <c r="CK130" i="83" s="1"/>
  <c r="CK131" i="83" s="1"/>
  <c r="CK36" i="83"/>
  <c r="BH58" i="83"/>
  <c r="BH130" i="83" s="1"/>
  <c r="BH131" i="83" s="1"/>
  <c r="CZ57" i="83"/>
  <c r="CZ35" i="83"/>
  <c r="CR57" i="83"/>
  <c r="CR35" i="83"/>
  <c r="CK27" i="83"/>
  <c r="CC27" i="83"/>
  <c r="CG57" i="83"/>
  <c r="CG35" i="83"/>
  <c r="BY57" i="83"/>
  <c r="BY35" i="83"/>
  <c r="AY58" i="83"/>
  <c r="AY130" i="83" s="1"/>
  <c r="AQ58" i="83"/>
  <c r="AQ130" i="83" s="1"/>
  <c r="AI58" i="83"/>
  <c r="AI130" i="83" s="1"/>
  <c r="K58" i="83"/>
  <c r="K130" i="83" s="1"/>
  <c r="BG127" i="83"/>
  <c r="BG63" i="83"/>
  <c r="BG24" i="83"/>
  <c r="AS188" i="83"/>
  <c r="AS86" i="83"/>
  <c r="AS78" i="83"/>
  <c r="E188" i="83"/>
  <c r="E86" i="83"/>
  <c r="E78" i="83"/>
  <c r="BI127" i="83"/>
  <c r="BI63" i="83"/>
  <c r="BI24" i="83"/>
  <c r="BE127" i="83"/>
  <c r="BE63" i="83"/>
  <c r="BE24" i="83"/>
  <c r="AS127" i="83"/>
  <c r="AS63" i="83"/>
  <c r="AS24" i="83"/>
  <c r="BG158" i="83"/>
  <c r="BM63" i="83"/>
  <c r="BD139" i="83"/>
  <c r="BD140" i="83" s="1"/>
  <c r="BD96" i="83" s="1"/>
  <c r="BD133" i="83"/>
  <c r="BD134" i="83" s="1"/>
  <c r="BD128" i="83"/>
  <c r="AX171" i="83"/>
  <c r="AX75" i="83"/>
  <c r="AX89" i="83" s="1"/>
  <c r="AX64" i="83"/>
  <c r="AV139" i="83"/>
  <c r="AV140" i="83" s="1"/>
  <c r="AV96" i="83" s="1"/>
  <c r="AV133" i="83"/>
  <c r="AV134" i="83" s="1"/>
  <c r="AV128" i="83"/>
  <c r="AP171" i="83"/>
  <c r="AP75" i="83"/>
  <c r="AP89" i="83" s="1"/>
  <c r="AP64" i="83"/>
  <c r="AN139" i="83"/>
  <c r="AN140" i="83" s="1"/>
  <c r="AN96" i="83" s="1"/>
  <c r="AN133" i="83"/>
  <c r="AN128" i="83"/>
  <c r="AK63" i="83"/>
  <c r="AH139" i="83"/>
  <c r="AH140" i="83" s="1"/>
  <c r="AH96" i="83" s="1"/>
  <c r="AH133" i="83"/>
  <c r="AH128" i="83"/>
  <c r="AF171" i="83"/>
  <c r="AF75" i="83"/>
  <c r="AF89" i="83" s="1"/>
  <c r="AF64" i="83"/>
  <c r="AD139" i="83"/>
  <c r="AD140" i="83" s="1"/>
  <c r="AD96" i="83" s="1"/>
  <c r="AD133" i="83"/>
  <c r="AD128" i="83"/>
  <c r="AB171" i="83"/>
  <c r="AB75" i="83"/>
  <c r="AB64" i="83"/>
  <c r="Z139" i="83"/>
  <c r="Z140" i="83" s="1"/>
  <c r="Z96" i="83" s="1"/>
  <c r="Z133" i="83"/>
  <c r="Z128" i="83"/>
  <c r="X171" i="83"/>
  <c r="X75" i="83"/>
  <c r="X64" i="83"/>
  <c r="V139" i="83"/>
  <c r="V140" i="83" s="1"/>
  <c r="V96" i="83" s="1"/>
  <c r="V133" i="83"/>
  <c r="V128" i="83"/>
  <c r="T171" i="83"/>
  <c r="T75" i="83"/>
  <c r="T64" i="83"/>
  <c r="R139" i="83"/>
  <c r="R140" i="83" s="1"/>
  <c r="R96" i="83" s="1"/>
  <c r="R133" i="83"/>
  <c r="R128" i="83"/>
  <c r="P171" i="83"/>
  <c r="P75" i="83"/>
  <c r="P64" i="83"/>
  <c r="M139" i="83"/>
  <c r="M140" i="83" s="1"/>
  <c r="M96" i="83" s="1"/>
  <c r="M133" i="83"/>
  <c r="M128" i="83"/>
  <c r="J171" i="83"/>
  <c r="J75" i="83"/>
  <c r="J64" i="83"/>
  <c r="F139" i="83"/>
  <c r="F140" i="83" s="1"/>
  <c r="F96" i="83" s="1"/>
  <c r="F133" i="83"/>
  <c r="F128" i="83"/>
  <c r="D75" i="83"/>
  <c r="CW27" i="83"/>
  <c r="BN139" i="83"/>
  <c r="BN140" i="83" s="1"/>
  <c r="BN96" i="83" s="1"/>
  <c r="BN133" i="83"/>
  <c r="BN134" i="83" s="1"/>
  <c r="BN128" i="83"/>
  <c r="BL63" i="83"/>
  <c r="BA139" i="83"/>
  <c r="BA140" i="83" s="1"/>
  <c r="BA96" i="83" s="1"/>
  <c r="BA133" i="83"/>
  <c r="BA134" i="83" s="1"/>
  <c r="BA128" i="83"/>
  <c r="AW63" i="83"/>
  <c r="AT139" i="83"/>
  <c r="AT140" i="83" s="1"/>
  <c r="AT96" i="83" s="1"/>
  <c r="AT133" i="83"/>
  <c r="AT134" i="83" s="1"/>
  <c r="AT128" i="83"/>
  <c r="AO63" i="83"/>
  <c r="AL139" i="83"/>
  <c r="AL140" i="83" s="1"/>
  <c r="AL96" i="83" s="1"/>
  <c r="AL133" i="83"/>
  <c r="AL128" i="83"/>
  <c r="AJ171" i="83"/>
  <c r="AJ75" i="83"/>
  <c r="AJ89" i="83" s="1"/>
  <c r="AJ64" i="83"/>
  <c r="AG139" i="83"/>
  <c r="AG140" i="83" s="1"/>
  <c r="AG96" i="83" s="1"/>
  <c r="AG133" i="83"/>
  <c r="AG128" i="83"/>
  <c r="AE63" i="83"/>
  <c r="AC139" i="83"/>
  <c r="AC140" i="83" s="1"/>
  <c r="AC96" i="83" s="1"/>
  <c r="AC133" i="83"/>
  <c r="AC128" i="83"/>
  <c r="AA63" i="83"/>
  <c r="Y133" i="83"/>
  <c r="Y128" i="83"/>
  <c r="W63" i="83"/>
  <c r="U139" i="83"/>
  <c r="U140" i="83" s="1"/>
  <c r="U96" i="83" s="1"/>
  <c r="U133" i="83"/>
  <c r="U128" i="83"/>
  <c r="S63" i="83"/>
  <c r="Q139" i="83"/>
  <c r="Q140" i="83" s="1"/>
  <c r="Q96" i="83" s="1"/>
  <c r="Q133" i="83"/>
  <c r="Q128" i="83"/>
  <c r="N171" i="83"/>
  <c r="N75" i="83"/>
  <c r="N64" i="83"/>
  <c r="L133" i="83"/>
  <c r="L128" i="83"/>
  <c r="I63" i="83"/>
  <c r="E139" i="83"/>
  <c r="E140" i="83" s="1"/>
  <c r="E96" i="83" s="1"/>
  <c r="E133" i="83"/>
  <c r="E128" i="83"/>
  <c r="AY8" i="83"/>
  <c r="AU8" i="83"/>
  <c r="AQ8" i="83"/>
  <c r="AM8" i="83"/>
  <c r="AI8" i="83"/>
  <c r="O8" i="83"/>
  <c r="K8" i="83"/>
  <c r="G8" i="83"/>
  <c r="CI6" i="83"/>
  <c r="CH6" i="83"/>
  <c r="CG6" i="83"/>
  <c r="CG114" i="83" s="1"/>
  <c r="CF6" i="83"/>
  <c r="CF114" i="83" s="1"/>
  <c r="CE6" i="83"/>
  <c r="CE114" i="83" s="1"/>
  <c r="CD6" i="83"/>
  <c r="CD114" i="83" s="1"/>
  <c r="CC6" i="83"/>
  <c r="CC114" i="83" s="1"/>
  <c r="CB6" i="83"/>
  <c r="CB114" i="83" s="1"/>
  <c r="CA6" i="83"/>
  <c r="CA114" i="83" s="1"/>
  <c r="BZ6" i="83"/>
  <c r="BZ114" i="83" s="1"/>
  <c r="BY6" i="83"/>
  <c r="BY114" i="83" s="1"/>
  <c r="BJ4" i="83"/>
  <c r="BI4" i="83"/>
  <c r="BH4" i="83"/>
  <c r="BF4" i="83"/>
  <c r="BE4" i="83"/>
  <c r="BD4" i="83"/>
  <c r="BC4" i="83"/>
  <c r="BB4" i="83"/>
  <c r="BA4" i="83"/>
  <c r="AZ4" i="83"/>
  <c r="AY4" i="83"/>
  <c r="AX4" i="83"/>
  <c r="AW4" i="83"/>
  <c r="AV4" i="83"/>
  <c r="AU4" i="83"/>
  <c r="AT4" i="83"/>
  <c r="AS4" i="83"/>
  <c r="AR4" i="83"/>
  <c r="AQ4" i="83"/>
  <c r="AP4" i="83"/>
  <c r="AO4" i="83"/>
  <c r="AN4" i="83"/>
  <c r="AM4" i="83"/>
  <c r="AL4" i="83"/>
  <c r="AK4" i="83"/>
  <c r="AJ4" i="83"/>
  <c r="AI4" i="83"/>
  <c r="AH4" i="83"/>
  <c r="AG4" i="83"/>
  <c r="AF4" i="83"/>
  <c r="AE4" i="83"/>
  <c r="AD4" i="83"/>
  <c r="AC4" i="83"/>
  <c r="AB4" i="83"/>
  <c r="AA4" i="83"/>
  <c r="Z4" i="83"/>
  <c r="Y4" i="83"/>
  <c r="X4" i="83"/>
  <c r="W4" i="83"/>
  <c r="V4" i="83"/>
  <c r="U4" i="83"/>
  <c r="T4" i="83"/>
  <c r="S4" i="83"/>
  <c r="R4" i="83"/>
  <c r="Q4" i="83"/>
  <c r="P4" i="83"/>
  <c r="O4" i="83"/>
  <c r="N4" i="83"/>
  <c r="M4" i="83"/>
  <c r="L4" i="83"/>
  <c r="K4" i="83"/>
  <c r="J4" i="83"/>
  <c r="I4" i="83"/>
  <c r="H4" i="83"/>
  <c r="G4" i="83"/>
  <c r="F4" i="83"/>
  <c r="E4" i="83"/>
  <c r="D4" i="83"/>
  <c r="AN82" i="83" l="1"/>
  <c r="BD82" i="83"/>
  <c r="AV82" i="83"/>
  <c r="D171" i="83"/>
  <c r="BA64" i="83"/>
  <c r="CC158" i="83"/>
  <c r="CB158" i="83"/>
  <c r="BA82" i="83"/>
  <c r="E64" i="83"/>
  <c r="E75" i="83"/>
  <c r="E89" i="83" s="1"/>
  <c r="BQ51" i="83"/>
  <c r="CD158" i="83"/>
  <c r="BM96" i="83"/>
  <c r="CH114" i="83"/>
  <c r="CJ114" i="83"/>
  <c r="CL114" i="83"/>
  <c r="K125" i="83"/>
  <c r="K27" i="83"/>
  <c r="K10" i="83"/>
  <c r="K23" i="83"/>
  <c r="K20" i="83"/>
  <c r="L10" i="83"/>
  <c r="K49" i="83"/>
  <c r="BZ8" i="83"/>
  <c r="K39" i="83"/>
  <c r="CS8" i="83"/>
  <c r="AI125" i="83"/>
  <c r="AI27" i="83"/>
  <c r="AI11" i="83"/>
  <c r="AI10" i="83"/>
  <c r="AI23" i="83"/>
  <c r="AI20" i="83"/>
  <c r="AJ10" i="83"/>
  <c r="AI49" i="83"/>
  <c r="AI39" i="83"/>
  <c r="CY8" i="83"/>
  <c r="CF8" i="83"/>
  <c r="AQ125" i="83"/>
  <c r="AQ27" i="83"/>
  <c r="AQ11" i="83"/>
  <c r="AQ10" i="83"/>
  <c r="AQ23" i="83"/>
  <c r="AQ20" i="83"/>
  <c r="AR10" i="83"/>
  <c r="AQ49" i="83"/>
  <c r="CH8" i="83"/>
  <c r="AQ39" i="83"/>
  <c r="DA8" i="83"/>
  <c r="AY125" i="83"/>
  <c r="AY27" i="83"/>
  <c r="BC11" i="83"/>
  <c r="AY11" i="83"/>
  <c r="AY10" i="83"/>
  <c r="AY23" i="83"/>
  <c r="AY20" i="83"/>
  <c r="AZ10" i="83"/>
  <c r="AY49" i="83"/>
  <c r="AY39" i="83"/>
  <c r="DC8" i="83"/>
  <c r="CJ8" i="83"/>
  <c r="N89" i="83"/>
  <c r="N82" i="83"/>
  <c r="AJ97" i="83"/>
  <c r="AJ92" i="83"/>
  <c r="AK171" i="83"/>
  <c r="AK75" i="83"/>
  <c r="AK64" i="83"/>
  <c r="BM171" i="83"/>
  <c r="BM75" i="83"/>
  <c r="BM64" i="83"/>
  <c r="AS139" i="83"/>
  <c r="AS140" i="83" s="1"/>
  <c r="AS96" i="83" s="1"/>
  <c r="AS133" i="83"/>
  <c r="AS134" i="83" s="1"/>
  <c r="AS128" i="83"/>
  <c r="BE171" i="83"/>
  <c r="BE75" i="83"/>
  <c r="BE64" i="83"/>
  <c r="BI139" i="83"/>
  <c r="BI140" i="83" s="1"/>
  <c r="BI96" i="83" s="1"/>
  <c r="BI133" i="83"/>
  <c r="BI134" i="83" s="1"/>
  <c r="BI128" i="83"/>
  <c r="E155" i="83"/>
  <c r="E160" i="83" s="1"/>
  <c r="E147" i="83"/>
  <c r="E151" i="83" s="1"/>
  <c r="E152" i="83" s="1"/>
  <c r="E94" i="83"/>
  <c r="BG171" i="83"/>
  <c r="BG75" i="83"/>
  <c r="BG64" i="83"/>
  <c r="K131" i="83"/>
  <c r="AI131" i="83"/>
  <c r="AQ131" i="83"/>
  <c r="AY131" i="83"/>
  <c r="CR58" i="83"/>
  <c r="CR130" i="83" s="1"/>
  <c r="AR139" i="83"/>
  <c r="AR140" i="83" s="1"/>
  <c r="AR96" i="83" s="1"/>
  <c r="AR133" i="83"/>
  <c r="AR134" i="83" s="1"/>
  <c r="AR128" i="83"/>
  <c r="BB171" i="83"/>
  <c r="BB75" i="83"/>
  <c r="BB64" i="83"/>
  <c r="BH139" i="83"/>
  <c r="BH140" i="83" s="1"/>
  <c r="BH96" i="83" s="1"/>
  <c r="BH133" i="83"/>
  <c r="BH134" i="83" s="1"/>
  <c r="BL122" i="83" s="1"/>
  <c r="BH128" i="83"/>
  <c r="AZ155" i="83"/>
  <c r="AZ147" i="83"/>
  <c r="AZ94" i="83"/>
  <c r="CS49" i="83"/>
  <c r="DA49" i="83"/>
  <c r="BR173" i="83"/>
  <c r="BR164" i="83"/>
  <c r="BR165" i="83" s="1"/>
  <c r="BS52" i="83"/>
  <c r="BR51" i="83"/>
  <c r="DG52" i="83"/>
  <c r="AU157" i="83"/>
  <c r="AU148" i="83"/>
  <c r="G157" i="83"/>
  <c r="G148" i="83"/>
  <c r="BO159" i="83"/>
  <c r="CN150" i="83"/>
  <c r="BR103" i="83"/>
  <c r="DG103" i="83"/>
  <c r="BR156" i="83"/>
  <c r="BR120" i="83"/>
  <c r="DG120" i="83" s="1"/>
  <c r="BT105" i="83"/>
  <c r="CA137" i="83"/>
  <c r="CG137" i="83"/>
  <c r="CM137" i="83"/>
  <c r="L82" i="83"/>
  <c r="AF82" i="83"/>
  <c r="AJ82" i="83"/>
  <c r="DF60" i="83"/>
  <c r="DF21" i="83"/>
  <c r="DD127" i="83"/>
  <c r="DD63" i="83"/>
  <c r="DD24" i="83"/>
  <c r="CX60" i="83"/>
  <c r="CX21" i="83"/>
  <c r="CV127" i="83"/>
  <c r="CV63" i="83"/>
  <c r="CV24" i="83"/>
  <c r="CM60" i="83"/>
  <c r="CM21" i="83"/>
  <c r="CK127" i="83"/>
  <c r="CK63" i="83"/>
  <c r="CK24" i="83"/>
  <c r="CE40" i="83"/>
  <c r="CE28" i="83"/>
  <c r="CE127" i="83"/>
  <c r="CE63" i="83"/>
  <c r="CE24" i="83"/>
  <c r="CC28" i="83"/>
  <c r="CC40" i="83"/>
  <c r="CC127" i="83"/>
  <c r="CC63" i="83"/>
  <c r="CC24" i="83"/>
  <c r="Q171" i="83"/>
  <c r="Q75" i="83"/>
  <c r="Q64" i="83"/>
  <c r="U171" i="83"/>
  <c r="U75" i="83"/>
  <c r="U64" i="83"/>
  <c r="Y171" i="83"/>
  <c r="Y75" i="83"/>
  <c r="Y64" i="83"/>
  <c r="AC171" i="83"/>
  <c r="AC75" i="83"/>
  <c r="AC64" i="83"/>
  <c r="AG171" i="83"/>
  <c r="AG75" i="83"/>
  <c r="AG64" i="83"/>
  <c r="BI155" i="83"/>
  <c r="BI160" i="83" s="1"/>
  <c r="BI147" i="83"/>
  <c r="BI151" i="83" s="1"/>
  <c r="BI152" i="83" s="1"/>
  <c r="BI94" i="83"/>
  <c r="BK171" i="83"/>
  <c r="BK75" i="83"/>
  <c r="BK64" i="83"/>
  <c r="DB58" i="83"/>
  <c r="DB130" i="83" s="1"/>
  <c r="AZ171" i="83"/>
  <c r="AZ75" i="83"/>
  <c r="AZ64" i="83"/>
  <c r="BJ139" i="83"/>
  <c r="BJ140" i="83" s="1"/>
  <c r="BJ96" i="83" s="1"/>
  <c r="BJ133" i="83"/>
  <c r="BJ134" i="83" s="1"/>
  <c r="BJ128" i="83"/>
  <c r="P188" i="83"/>
  <c r="P78" i="83"/>
  <c r="P86" i="83"/>
  <c r="X188" i="83"/>
  <c r="X78" i="83"/>
  <c r="X86" i="83"/>
  <c r="AF188" i="83"/>
  <c r="AF78" i="83"/>
  <c r="AF86" i="83"/>
  <c r="AN188" i="83"/>
  <c r="AN78" i="83"/>
  <c r="AN86" i="83"/>
  <c r="AT188" i="83"/>
  <c r="AT78" i="83"/>
  <c r="AT86" i="83"/>
  <c r="BJ155" i="83"/>
  <c r="BJ160" i="83" s="1"/>
  <c r="BJ147" i="83"/>
  <c r="BJ151" i="83" s="1"/>
  <c r="BJ152" i="83" s="1"/>
  <c r="BJ94" i="83"/>
  <c r="CE131" i="83"/>
  <c r="DC49" i="83"/>
  <c r="CN165" i="83"/>
  <c r="CF158" i="83"/>
  <c r="DE127" i="83"/>
  <c r="DE63" i="83"/>
  <c r="DE24" i="83"/>
  <c r="CU60" i="83"/>
  <c r="CU21" i="83"/>
  <c r="CL60" i="83"/>
  <c r="CL21" i="83"/>
  <c r="CL40" i="83"/>
  <c r="CL28" i="83"/>
  <c r="CD60" i="83"/>
  <c r="CD21" i="83"/>
  <c r="CD40" i="83"/>
  <c r="CD28" i="83"/>
  <c r="BC139" i="83"/>
  <c r="BC140" i="83" s="1"/>
  <c r="BC96" i="83" s="1"/>
  <c r="BC133" i="83"/>
  <c r="BC134" i="83" s="1"/>
  <c r="BC128" i="83"/>
  <c r="M155" i="83"/>
  <c r="M160" i="83" s="1"/>
  <c r="M147" i="83"/>
  <c r="M151" i="83" s="1"/>
  <c r="M152" i="83" s="1"/>
  <c r="M94" i="83"/>
  <c r="BE188" i="83"/>
  <c r="BE86" i="83"/>
  <c r="BE78" i="83"/>
  <c r="BK155" i="83"/>
  <c r="BK147" i="83"/>
  <c r="BK94" i="83"/>
  <c r="CI58" i="83"/>
  <c r="CI130" i="83" s="1"/>
  <c r="H171" i="83"/>
  <c r="H75" i="83"/>
  <c r="H64" i="83"/>
  <c r="BF139" i="83"/>
  <c r="BF140" i="83" s="1"/>
  <c r="BF96" i="83" s="1"/>
  <c r="BF133" i="83"/>
  <c r="BF134" i="83" s="1"/>
  <c r="BF128" i="83"/>
  <c r="F188" i="83"/>
  <c r="F78" i="83"/>
  <c r="F86" i="83"/>
  <c r="L188" i="83"/>
  <c r="L78" i="83"/>
  <c r="L86" i="83"/>
  <c r="T188" i="83"/>
  <c r="T78" i="83"/>
  <c r="T86" i="83"/>
  <c r="AB188" i="83"/>
  <c r="AB78" i="83"/>
  <c r="AB86" i="83"/>
  <c r="AJ188" i="83"/>
  <c r="AJ78" i="83"/>
  <c r="AJ86" i="83"/>
  <c r="BH155" i="83"/>
  <c r="BH147" i="83"/>
  <c r="BH94" i="83"/>
  <c r="BL155" i="83"/>
  <c r="BL147" i="83"/>
  <c r="BL94" i="83"/>
  <c r="CJ49" i="83"/>
  <c r="CY49" i="83"/>
  <c r="CU158" i="83"/>
  <c r="CV158" i="83"/>
  <c r="CW158" i="83"/>
  <c r="CO53" i="83"/>
  <c r="CM148" i="83"/>
  <c r="DE148" i="83"/>
  <c r="BH149" i="83"/>
  <c r="BP157" i="83"/>
  <c r="BP148" i="83"/>
  <c r="BQ91" i="83"/>
  <c r="CP110" i="83"/>
  <c r="CG66" i="83"/>
  <c r="CG72" i="83"/>
  <c r="CG136" i="83" s="1"/>
  <c r="BY137" i="83"/>
  <c r="AD82" i="83"/>
  <c r="AL82" i="83"/>
  <c r="AX82" i="83"/>
  <c r="BN82" i="83"/>
  <c r="BR108" i="83"/>
  <c r="BS104" i="83"/>
  <c r="CW127" i="83"/>
  <c r="CW63" i="83"/>
  <c r="CW24" i="83"/>
  <c r="CB127" i="83"/>
  <c r="CB63" i="83"/>
  <c r="CB24" i="83"/>
  <c r="CI114" i="83"/>
  <c r="CK114" i="83"/>
  <c r="G125" i="83"/>
  <c r="G131" i="83" s="1"/>
  <c r="G23" i="83"/>
  <c r="G20" i="83"/>
  <c r="H10" i="83"/>
  <c r="G10" i="83"/>
  <c r="G49" i="83"/>
  <c r="G27" i="83"/>
  <c r="G39" i="83"/>
  <c r="CR8" i="83"/>
  <c r="BY8" i="83"/>
  <c r="O125" i="83"/>
  <c r="O131" i="83" s="1"/>
  <c r="O23" i="83"/>
  <c r="O20" i="83"/>
  <c r="P10" i="83"/>
  <c r="O10" i="83"/>
  <c r="O39" i="83"/>
  <c r="CT8" i="83"/>
  <c r="CA8" i="83"/>
  <c r="O49" i="83"/>
  <c r="O27" i="83"/>
  <c r="AM125" i="83"/>
  <c r="AM131" i="83" s="1"/>
  <c r="AM11" i="83"/>
  <c r="AM10" i="83"/>
  <c r="AM23" i="83"/>
  <c r="AM20" i="83"/>
  <c r="AN10" i="83"/>
  <c r="AM49" i="83"/>
  <c r="AM27" i="83"/>
  <c r="AM39" i="83"/>
  <c r="CZ8" i="83"/>
  <c r="CG8" i="83"/>
  <c r="AU125" i="83"/>
  <c r="AU11" i="83"/>
  <c r="AU10" i="83"/>
  <c r="AU23" i="83"/>
  <c r="AU20" i="83"/>
  <c r="AV10" i="83"/>
  <c r="AU39" i="83"/>
  <c r="DB8" i="83"/>
  <c r="CI8" i="83"/>
  <c r="CI36" i="83" s="1"/>
  <c r="AU49" i="83"/>
  <c r="AU27" i="83"/>
  <c r="I171" i="83"/>
  <c r="I75" i="83"/>
  <c r="I64" i="83"/>
  <c r="S171" i="83"/>
  <c r="S75" i="83"/>
  <c r="S64" i="83"/>
  <c r="W171" i="83"/>
  <c r="W75" i="83"/>
  <c r="W64" i="83"/>
  <c r="AA171" i="83"/>
  <c r="AA75" i="83"/>
  <c r="AA64" i="83"/>
  <c r="AE171" i="83"/>
  <c r="AE75" i="83"/>
  <c r="AE64" i="83"/>
  <c r="AO171" i="83"/>
  <c r="AO75" i="83"/>
  <c r="AO64" i="83"/>
  <c r="AW171" i="83"/>
  <c r="AW75" i="83"/>
  <c r="AW64" i="83"/>
  <c r="BL171" i="83"/>
  <c r="BL75" i="83"/>
  <c r="BL64" i="83"/>
  <c r="D89" i="83"/>
  <c r="D82" i="83"/>
  <c r="J89" i="83"/>
  <c r="J82" i="83"/>
  <c r="P89" i="83"/>
  <c r="P82" i="83"/>
  <c r="T89" i="83"/>
  <c r="T82" i="83"/>
  <c r="X89" i="83"/>
  <c r="X82" i="83"/>
  <c r="AB89" i="83"/>
  <c r="AB82" i="83"/>
  <c r="AF97" i="83"/>
  <c r="AF92" i="83"/>
  <c r="AP97" i="83"/>
  <c r="AP92" i="83"/>
  <c r="AX97" i="83"/>
  <c r="AX92" i="83"/>
  <c r="AS171" i="83"/>
  <c r="AS75" i="83"/>
  <c r="AS64" i="83"/>
  <c r="BE139" i="83"/>
  <c r="BE140" i="83" s="1"/>
  <c r="BE96" i="83" s="1"/>
  <c r="BE133" i="83"/>
  <c r="BE134" i="83" s="1"/>
  <c r="BE128" i="83"/>
  <c r="BI171" i="83"/>
  <c r="BI75" i="83"/>
  <c r="BI64" i="83"/>
  <c r="AS155" i="83"/>
  <c r="AS160" i="83" s="1"/>
  <c r="AS147" i="83"/>
  <c r="AS151" i="83" s="1"/>
  <c r="AS152" i="83" s="1"/>
  <c r="AS94" i="83"/>
  <c r="BG139" i="83"/>
  <c r="BG140" i="83" s="1"/>
  <c r="BG96" i="83" s="1"/>
  <c r="BG133" i="83"/>
  <c r="BG134" i="83" s="1"/>
  <c r="BG128" i="83"/>
  <c r="K36" i="83"/>
  <c r="AI36" i="83"/>
  <c r="AQ36" i="83"/>
  <c r="AY36" i="83"/>
  <c r="BY58" i="83"/>
  <c r="BY130" i="83" s="1"/>
  <c r="BY36" i="83"/>
  <c r="CG58" i="83"/>
  <c r="CG130" i="83" s="1"/>
  <c r="CG36" i="83"/>
  <c r="CZ36" i="83"/>
  <c r="CZ58" i="83"/>
  <c r="CZ130" i="83" s="1"/>
  <c r="AR171" i="83"/>
  <c r="AR75" i="83"/>
  <c r="AR64" i="83"/>
  <c r="BB139" i="83"/>
  <c r="BB140" i="83" s="1"/>
  <c r="BB96" i="83" s="1"/>
  <c r="BB133" i="83"/>
  <c r="BB134" i="83" s="1"/>
  <c r="BB128" i="83"/>
  <c r="BH63" i="83"/>
  <c r="H155" i="83"/>
  <c r="H147" i="83"/>
  <c r="H94" i="83"/>
  <c r="BB155" i="83"/>
  <c r="BB160" i="83" s="1"/>
  <c r="BB147" i="83"/>
  <c r="BB151" i="83" s="1"/>
  <c r="BB152" i="83" s="1"/>
  <c r="BB94" i="83"/>
  <c r="G36" i="83"/>
  <c r="O36" i="83"/>
  <c r="AM36" i="83"/>
  <c r="AU36" i="83"/>
  <c r="CH49" i="83"/>
  <c r="DF42" i="83"/>
  <c r="BQ80" i="83"/>
  <c r="BQ150" i="83" s="1"/>
  <c r="BQ159" i="83" s="1"/>
  <c r="BQ157" i="83"/>
  <c r="BQ148" i="83"/>
  <c r="BQ149" i="83" s="1"/>
  <c r="BQ158" i="83" s="1"/>
  <c r="K157" i="83"/>
  <c r="K148" i="83"/>
  <c r="AQ157" i="83"/>
  <c r="AQ148" i="83"/>
  <c r="AY157" i="83"/>
  <c r="AY148" i="83"/>
  <c r="O157" i="83"/>
  <c r="O148" i="83"/>
  <c r="BR67" i="83"/>
  <c r="BQ66" i="83"/>
  <c r="BQ72" i="83"/>
  <c r="BQ136" i="83" s="1"/>
  <c r="DG67" i="83"/>
  <c r="BU70" i="83"/>
  <c r="BV70" i="83" s="1"/>
  <c r="BW70" i="83" s="1"/>
  <c r="DE137" i="83"/>
  <c r="DG91" i="83"/>
  <c r="BS119" i="83"/>
  <c r="BT116" i="83"/>
  <c r="DF127" i="83"/>
  <c r="DF63" i="83"/>
  <c r="DF24" i="83"/>
  <c r="DD60" i="83"/>
  <c r="DD21" i="83"/>
  <c r="CX127" i="83"/>
  <c r="CX63" i="83"/>
  <c r="CX24" i="83"/>
  <c r="CV60" i="83"/>
  <c r="CV21" i="83"/>
  <c r="CM28" i="83"/>
  <c r="CM40" i="83"/>
  <c r="CM127" i="83"/>
  <c r="CM63" i="83"/>
  <c r="CM24" i="83"/>
  <c r="CK60" i="83"/>
  <c r="CK21" i="83"/>
  <c r="CE60" i="83"/>
  <c r="CE21" i="83"/>
  <c r="CC60" i="83"/>
  <c r="CC21" i="83"/>
  <c r="E82" i="83"/>
  <c r="L97" i="83"/>
  <c r="L92" i="83"/>
  <c r="AL97" i="83"/>
  <c r="AL92" i="83"/>
  <c r="AT97" i="83"/>
  <c r="AT92" i="83"/>
  <c r="BA97" i="83"/>
  <c r="BA92" i="83"/>
  <c r="BN97" i="83"/>
  <c r="BN92" i="83"/>
  <c r="F89" i="83"/>
  <c r="F82" i="83"/>
  <c r="M89" i="83"/>
  <c r="M82" i="83"/>
  <c r="R89" i="83"/>
  <c r="R82" i="83"/>
  <c r="V89" i="83"/>
  <c r="V82" i="83"/>
  <c r="Z89" i="83"/>
  <c r="Z82" i="83"/>
  <c r="AD97" i="83"/>
  <c r="AD92" i="83"/>
  <c r="AH97" i="83"/>
  <c r="AH92" i="83"/>
  <c r="AN97" i="83"/>
  <c r="AN92" i="83"/>
  <c r="AV97" i="83"/>
  <c r="AV92" i="83"/>
  <c r="U188" i="83"/>
  <c r="U86" i="83"/>
  <c r="U78" i="83"/>
  <c r="AC188" i="83"/>
  <c r="AC86" i="83"/>
  <c r="AC78" i="83"/>
  <c r="AO188" i="83"/>
  <c r="AO86" i="83"/>
  <c r="AO78" i="83"/>
  <c r="BA155" i="83"/>
  <c r="BA160" i="83" s="1"/>
  <c r="BA147" i="83"/>
  <c r="BA151" i="83" s="1"/>
  <c r="BA152" i="83" s="1"/>
  <c r="BA94" i="83"/>
  <c r="BM155" i="83"/>
  <c r="BM160" i="83" s="1"/>
  <c r="BM147" i="83"/>
  <c r="BM151" i="83" s="1"/>
  <c r="BM152" i="83" s="1"/>
  <c r="BM94" i="83"/>
  <c r="BK139" i="83"/>
  <c r="BK140" i="83" s="1"/>
  <c r="BK96" i="83" s="1"/>
  <c r="BK133" i="83"/>
  <c r="BK134" i="83" s="1"/>
  <c r="BK128" i="83"/>
  <c r="CA58" i="83"/>
  <c r="CA130" i="83" s="1"/>
  <c r="CA36" i="83"/>
  <c r="CV131" i="83"/>
  <c r="CC131" i="83"/>
  <c r="AZ139" i="83"/>
  <c r="AZ140" i="83" s="1"/>
  <c r="AZ96" i="83" s="1"/>
  <c r="AZ133" i="83"/>
  <c r="AZ134" i="83" s="1"/>
  <c r="AZ128" i="83"/>
  <c r="BJ171" i="83"/>
  <c r="BJ75" i="83"/>
  <c r="BJ64" i="83"/>
  <c r="BF155" i="83"/>
  <c r="BF160" i="83" s="1"/>
  <c r="BF147" i="83"/>
  <c r="BF151" i="83" s="1"/>
  <c r="BF152" i="83" s="1"/>
  <c r="BF94" i="83"/>
  <c r="CF49" i="83"/>
  <c r="BL157" i="83"/>
  <c r="BL148" i="83"/>
  <c r="BO157" i="83"/>
  <c r="BO148" i="83"/>
  <c r="BE157" i="83"/>
  <c r="BE148" i="83"/>
  <c r="CE137" i="83"/>
  <c r="CI137" i="83"/>
  <c r="AH82" i="83"/>
  <c r="AP82" i="83"/>
  <c r="AT82" i="83"/>
  <c r="DE60" i="83"/>
  <c r="DE21" i="83"/>
  <c r="CU127" i="83"/>
  <c r="CU63" i="83"/>
  <c r="CU24" i="83"/>
  <c r="CL127" i="83"/>
  <c r="CL63" i="83"/>
  <c r="CL24" i="83"/>
  <c r="CD127" i="83"/>
  <c r="CD63" i="83"/>
  <c r="CD24" i="83"/>
  <c r="BD97" i="83"/>
  <c r="BD92" i="83"/>
  <c r="BC171" i="83"/>
  <c r="BC75" i="83"/>
  <c r="BC64" i="83"/>
  <c r="Q188" i="83"/>
  <c r="Q86" i="83"/>
  <c r="Q78" i="83"/>
  <c r="Y188" i="83"/>
  <c r="Y86" i="83"/>
  <c r="Y78" i="83"/>
  <c r="AG188" i="83"/>
  <c r="AG86" i="83"/>
  <c r="AG78" i="83"/>
  <c r="BC155" i="83"/>
  <c r="BC147" i="83"/>
  <c r="BC94" i="83"/>
  <c r="CT36" i="83"/>
  <c r="CT58" i="83"/>
  <c r="CT130" i="83" s="1"/>
  <c r="CX131" i="83"/>
  <c r="DD131" i="83"/>
  <c r="DF131" i="83"/>
  <c r="H139" i="83"/>
  <c r="H140" i="83" s="1"/>
  <c r="H96" i="83" s="1"/>
  <c r="H133" i="83"/>
  <c r="H128" i="83"/>
  <c r="BF171" i="83"/>
  <c r="BF75" i="83"/>
  <c r="BF64" i="83"/>
  <c r="AR155" i="83"/>
  <c r="AR147" i="83"/>
  <c r="AR94" i="83"/>
  <c r="AX188" i="83"/>
  <c r="AX78" i="83"/>
  <c r="AX86" i="83"/>
  <c r="BN188" i="83"/>
  <c r="BN78" i="83"/>
  <c r="BN86" i="83"/>
  <c r="CD131" i="83"/>
  <c r="CH58" i="83"/>
  <c r="CH130" i="83" s="1"/>
  <c r="CL131" i="83"/>
  <c r="BZ49" i="83"/>
  <c r="DE42" i="83"/>
  <c r="CM42" i="83"/>
  <c r="BP149" i="83"/>
  <c r="BP80" i="83"/>
  <c r="BP88" i="83" s="1"/>
  <c r="DG51" i="83"/>
  <c r="BT53" i="83"/>
  <c r="CM157" i="83"/>
  <c r="DE157" i="83"/>
  <c r="CZ72" i="83"/>
  <c r="CZ136" i="83" s="1"/>
  <c r="CZ66" i="83"/>
  <c r="DF137" i="83"/>
  <c r="CW60" i="83"/>
  <c r="CW21" i="83"/>
  <c r="CB60" i="83"/>
  <c r="CB21" i="83"/>
  <c r="CS58" i="83"/>
  <c r="CS130" i="83" s="1"/>
  <c r="S188" i="83"/>
  <c r="S86" i="83"/>
  <c r="S78" i="83"/>
  <c r="W188" i="83"/>
  <c r="W86" i="83"/>
  <c r="W78" i="83"/>
  <c r="AA188" i="83"/>
  <c r="AA86" i="83"/>
  <c r="AA78" i="83"/>
  <c r="AE188" i="83"/>
  <c r="AE86" i="83"/>
  <c r="AE78" i="83"/>
  <c r="AK188" i="83"/>
  <c r="AK86" i="83"/>
  <c r="AK78" i="83"/>
  <c r="AW188" i="83"/>
  <c r="AW86" i="83"/>
  <c r="AW78" i="83"/>
  <c r="N188" i="83"/>
  <c r="N78" i="83"/>
  <c r="N86" i="83"/>
  <c r="Z188" i="83"/>
  <c r="Z78" i="83"/>
  <c r="Z86" i="83"/>
  <c r="AL188" i="83"/>
  <c r="AL78" i="83"/>
  <c r="AL86" i="83"/>
  <c r="AV188" i="83"/>
  <c r="AV78" i="83"/>
  <c r="AV86" i="83"/>
  <c r="BZ58" i="83"/>
  <c r="BZ130" i="83" s="1"/>
  <c r="DE131" i="83"/>
  <c r="I188" i="83"/>
  <c r="I86" i="83"/>
  <c r="I78" i="83"/>
  <c r="BG188" i="83"/>
  <c r="BG86" i="83"/>
  <c r="BG78" i="83"/>
  <c r="D188" i="83"/>
  <c r="D86" i="83"/>
  <c r="D78" i="83"/>
  <c r="J188" i="83"/>
  <c r="J78" i="83"/>
  <c r="J86" i="83"/>
  <c r="R188" i="83"/>
  <c r="R78" i="83"/>
  <c r="R86" i="83"/>
  <c r="V188" i="83"/>
  <c r="V78" i="83"/>
  <c r="V86" i="83"/>
  <c r="AD188" i="83"/>
  <c r="AD78" i="83"/>
  <c r="AD86" i="83"/>
  <c r="AH188" i="83"/>
  <c r="AH78" i="83"/>
  <c r="AH86" i="83"/>
  <c r="AP188" i="83"/>
  <c r="AP78" i="83"/>
  <c r="AP86" i="83"/>
  <c r="BD188" i="83"/>
  <c r="BD78" i="83"/>
  <c r="BD86" i="83"/>
  <c r="DG164" i="83" l="1"/>
  <c r="DG165" i="83" s="1"/>
  <c r="BQ88" i="83"/>
  <c r="BR91" i="83"/>
  <c r="AP155" i="83"/>
  <c r="AP160" i="83" s="1"/>
  <c r="AP147" i="83"/>
  <c r="AP151" i="83" s="1"/>
  <c r="AP152" i="83" s="1"/>
  <c r="AP94" i="83"/>
  <c r="AD155" i="83"/>
  <c r="AD160" i="83" s="1"/>
  <c r="AD147" i="83"/>
  <c r="AD151" i="83" s="1"/>
  <c r="AD152" i="83" s="1"/>
  <c r="AD94" i="83"/>
  <c r="R155" i="83"/>
  <c r="R160" i="83" s="1"/>
  <c r="R147" i="83"/>
  <c r="R151" i="83" s="1"/>
  <c r="R152" i="83" s="1"/>
  <c r="R94" i="83"/>
  <c r="BG155" i="83"/>
  <c r="BG147" i="83"/>
  <c r="BG94" i="83"/>
  <c r="AL155" i="83"/>
  <c r="AL160" i="83" s="1"/>
  <c r="AL147" i="83"/>
  <c r="AL151" i="83" s="1"/>
  <c r="AL152" i="83" s="1"/>
  <c r="AL94" i="83"/>
  <c r="N155" i="83"/>
  <c r="N160" i="83" s="1"/>
  <c r="N147" i="83"/>
  <c r="N151" i="83" s="1"/>
  <c r="N152" i="83" s="1"/>
  <c r="N94" i="83"/>
  <c r="AW155" i="83"/>
  <c r="AW160" i="83" s="1"/>
  <c r="AW147" i="83"/>
  <c r="AW151" i="83" s="1"/>
  <c r="AW152" i="83" s="1"/>
  <c r="AW94" i="83"/>
  <c r="AE155" i="83"/>
  <c r="AE147" i="83"/>
  <c r="AE94" i="83"/>
  <c r="W155" i="83"/>
  <c r="W147" i="83"/>
  <c r="W94" i="83"/>
  <c r="BN155" i="83"/>
  <c r="BN160" i="83" s="1"/>
  <c r="BN147" i="83"/>
  <c r="BN151" i="83" s="1"/>
  <c r="BN152" i="83" s="1"/>
  <c r="BN94" i="83"/>
  <c r="AR160" i="83"/>
  <c r="BF89" i="83"/>
  <c r="BF82" i="83"/>
  <c r="BC160" i="83"/>
  <c r="AG155" i="83"/>
  <c r="AG160" i="83" s="1"/>
  <c r="AG147" i="83"/>
  <c r="AG151" i="83" s="1"/>
  <c r="AG152" i="83" s="1"/>
  <c r="AG94" i="83"/>
  <c r="Q155" i="83"/>
  <c r="Q160" i="83" s="1"/>
  <c r="Q147" i="83"/>
  <c r="Q151" i="83" s="1"/>
  <c r="Q152" i="83" s="1"/>
  <c r="Q94" i="83"/>
  <c r="DD171" i="83"/>
  <c r="CD75" i="83"/>
  <c r="CD64" i="83"/>
  <c r="CL139" i="83"/>
  <c r="CL140" i="83" s="1"/>
  <c r="CL96" i="83" s="1"/>
  <c r="CL133" i="83"/>
  <c r="CL134" i="83" s="1"/>
  <c r="CL128" i="83"/>
  <c r="CU75" i="83"/>
  <c r="CU64" i="83"/>
  <c r="CL157" i="83"/>
  <c r="DD157" i="83"/>
  <c r="CN148" i="83"/>
  <c r="DF148" i="83"/>
  <c r="BL149" i="83"/>
  <c r="AO155" i="83"/>
  <c r="AO160" i="83" s="1"/>
  <c r="AO147" i="83"/>
  <c r="AO151" i="83" s="1"/>
  <c r="AO152" i="83" s="1"/>
  <c r="AO94" i="83"/>
  <c r="U155" i="83"/>
  <c r="U160" i="83" s="1"/>
  <c r="U147" i="83"/>
  <c r="U151" i="83" s="1"/>
  <c r="U152" i="83" s="1"/>
  <c r="U94" i="83"/>
  <c r="CM139" i="83"/>
  <c r="CM140" i="83" s="1"/>
  <c r="CM96" i="83" s="1"/>
  <c r="CM133" i="83"/>
  <c r="CM134" i="83" s="1"/>
  <c r="CM128" i="83"/>
  <c r="CV74" i="83"/>
  <c r="CV61" i="83"/>
  <c r="CX75" i="83"/>
  <c r="CX64" i="83"/>
  <c r="DF139" i="83"/>
  <c r="DF140" i="83" s="1"/>
  <c r="DF96" i="83" s="1"/>
  <c r="DF133" i="83"/>
  <c r="DF134" i="83" s="1"/>
  <c r="DF128" i="83"/>
  <c r="BS156" i="83"/>
  <c r="BS120" i="83"/>
  <c r="BS91" i="83" s="1"/>
  <c r="DG72" i="83"/>
  <c r="DG136" i="83" s="1"/>
  <c r="DG66" i="83"/>
  <c r="CT148" i="83"/>
  <c r="CA148" i="83"/>
  <c r="O149" i="83"/>
  <c r="DC148" i="83"/>
  <c r="CJ148" i="83"/>
  <c r="AY149" i="83"/>
  <c r="DA148" i="83"/>
  <c r="CH148" i="83"/>
  <c r="AQ149" i="83"/>
  <c r="CS148" i="83"/>
  <c r="BZ148" i="83"/>
  <c r="K149" i="83"/>
  <c r="H151" i="83"/>
  <c r="H152" i="83" s="1"/>
  <c r="BH171" i="83"/>
  <c r="BH75" i="83"/>
  <c r="BH64" i="83"/>
  <c r="BI89" i="83"/>
  <c r="BI82" i="83"/>
  <c r="AS89" i="83"/>
  <c r="AS82" i="83"/>
  <c r="AW89" i="83"/>
  <c r="AW82" i="83"/>
  <c r="AE89" i="83"/>
  <c r="AE82" i="83"/>
  <c r="CW171" i="83"/>
  <c r="W89" i="83"/>
  <c r="W82" i="83"/>
  <c r="CU171" i="83"/>
  <c r="I89" i="83"/>
  <c r="I82" i="83"/>
  <c r="DB125" i="83"/>
  <c r="DB23" i="83"/>
  <c r="DB20" i="83"/>
  <c r="DB11" i="83"/>
  <c r="DB49" i="83"/>
  <c r="DB39" i="83"/>
  <c r="DB27" i="83"/>
  <c r="AV40" i="83"/>
  <c r="AV28" i="83"/>
  <c r="AU127" i="83"/>
  <c r="AU63" i="83"/>
  <c r="AU24" i="83"/>
  <c r="CG125" i="83"/>
  <c r="CG131" i="83" s="1"/>
  <c r="CG23" i="83"/>
  <c r="CG20" i="83"/>
  <c r="CG11" i="83"/>
  <c r="CG39" i="83"/>
  <c r="CG49" i="83"/>
  <c r="CG27" i="83"/>
  <c r="AM60" i="83"/>
  <c r="AM21" i="83"/>
  <c r="AM40" i="83"/>
  <c r="AM28" i="83"/>
  <c r="CT125" i="83"/>
  <c r="CT131" i="83" s="1"/>
  <c r="CT23" i="83"/>
  <c r="CT20" i="83"/>
  <c r="CT11" i="83"/>
  <c r="CT49" i="83"/>
  <c r="CT39" i="83"/>
  <c r="CU11" i="83"/>
  <c r="CT27" i="83"/>
  <c r="O28" i="83"/>
  <c r="O40" i="83"/>
  <c r="O60" i="83"/>
  <c r="O21" i="83"/>
  <c r="CR125" i="83"/>
  <c r="CR23" i="83"/>
  <c r="CR20" i="83"/>
  <c r="CR39" i="83"/>
  <c r="CR49" i="83"/>
  <c r="CR27" i="83"/>
  <c r="G40" i="83"/>
  <c r="G28" i="83"/>
  <c r="G60" i="83"/>
  <c r="G21" i="83"/>
  <c r="CB75" i="83"/>
  <c r="CB64" i="83"/>
  <c r="CW139" i="83"/>
  <c r="CW140" i="83" s="1"/>
  <c r="CW96" i="83" s="1"/>
  <c r="CW133" i="83"/>
  <c r="CW128" i="83"/>
  <c r="BL151" i="83"/>
  <c r="BL152" i="83" s="1"/>
  <c r="CM155" i="83"/>
  <c r="AB155" i="83"/>
  <c r="AB147" i="83"/>
  <c r="AB94" i="83"/>
  <c r="L155" i="83"/>
  <c r="L147" i="83"/>
  <c r="L94" i="83"/>
  <c r="H89" i="83"/>
  <c r="H82" i="83"/>
  <c r="BK160" i="83"/>
  <c r="BE155" i="83"/>
  <c r="BE147" i="83"/>
  <c r="BE94" i="83"/>
  <c r="CL171" i="83"/>
  <c r="DE139" i="83"/>
  <c r="DE140" i="83" s="1"/>
  <c r="DE96" i="83" s="1"/>
  <c r="DE133" i="83"/>
  <c r="DE134" i="83" s="1"/>
  <c r="DE128" i="83"/>
  <c r="AN155" i="83"/>
  <c r="AN147" i="83"/>
  <c r="AN94" i="83"/>
  <c r="X155" i="83"/>
  <c r="X147" i="83"/>
  <c r="X94" i="83"/>
  <c r="AZ89" i="83"/>
  <c r="AZ82" i="83"/>
  <c r="DB131" i="83"/>
  <c r="DF171" i="83"/>
  <c r="AG89" i="83"/>
  <c r="AG82" i="83"/>
  <c r="Y89" i="83"/>
  <c r="Y82" i="83"/>
  <c r="Q89" i="83"/>
  <c r="Q82" i="83"/>
  <c r="CC139" i="83"/>
  <c r="CC140" i="83" s="1"/>
  <c r="CC96" i="83" s="1"/>
  <c r="CC133" i="83"/>
  <c r="CC134" i="83" s="1"/>
  <c r="CC128" i="83"/>
  <c r="CE75" i="83"/>
  <c r="CE64" i="83"/>
  <c r="CK139" i="83"/>
  <c r="CK140" i="83" s="1"/>
  <c r="CK96" i="83" s="1"/>
  <c r="CK133" i="83"/>
  <c r="CK134" i="83" s="1"/>
  <c r="CK128" i="83"/>
  <c r="CM74" i="83"/>
  <c r="CM61" i="83"/>
  <c r="CV75" i="83"/>
  <c r="CV64" i="83"/>
  <c r="DD139" i="83"/>
  <c r="DD140" i="83" s="1"/>
  <c r="DD96" i="83" s="1"/>
  <c r="DD133" i="83"/>
  <c r="DD134" i="83" s="1"/>
  <c r="DD128" i="83"/>
  <c r="DF74" i="83"/>
  <c r="DF61" i="83"/>
  <c r="CN159" i="83"/>
  <c r="CR157" i="83"/>
  <c r="BY157" i="83"/>
  <c r="DB157" i="83"/>
  <c r="CI157" i="83"/>
  <c r="BR80" i="83"/>
  <c r="BR150" i="83" s="1"/>
  <c r="BR159" i="83" s="1"/>
  <c r="BR157" i="83"/>
  <c r="DG157" i="83" s="1"/>
  <c r="BR148" i="83"/>
  <c r="BR149" i="83" s="1"/>
  <c r="CK147" i="83"/>
  <c r="CK151" i="83" s="1"/>
  <c r="AZ151" i="83"/>
  <c r="AZ152" i="83" s="1"/>
  <c r="BB89" i="83"/>
  <c r="BB82" i="83"/>
  <c r="CR36" i="83"/>
  <c r="BG89" i="83"/>
  <c r="BG82" i="83"/>
  <c r="BM89" i="83"/>
  <c r="BM82" i="83"/>
  <c r="CE171" i="83"/>
  <c r="CC171" i="83"/>
  <c r="N97" i="83"/>
  <c r="N92" i="83"/>
  <c r="DC125" i="83"/>
  <c r="DC131" i="83" s="1"/>
  <c r="DC23" i="83"/>
  <c r="DC20" i="83"/>
  <c r="DC11" i="83"/>
  <c r="DC27" i="83"/>
  <c r="DC39" i="83"/>
  <c r="DC36" i="83"/>
  <c r="DD11" i="83"/>
  <c r="AY60" i="83"/>
  <c r="AY21" i="83"/>
  <c r="AY28" i="83"/>
  <c r="AY40" i="83"/>
  <c r="AQ60" i="83"/>
  <c r="AQ21" i="83"/>
  <c r="AQ28" i="83"/>
  <c r="AQ40" i="83"/>
  <c r="CF125" i="83"/>
  <c r="CF131" i="83" s="1"/>
  <c r="CF11" i="83"/>
  <c r="CF23" i="83"/>
  <c r="CF20" i="83"/>
  <c r="CF27" i="83"/>
  <c r="CF39" i="83"/>
  <c r="CF36" i="83"/>
  <c r="AJ40" i="83"/>
  <c r="AJ28" i="83"/>
  <c r="AI127" i="83"/>
  <c r="AI63" i="83"/>
  <c r="AI24" i="83"/>
  <c r="K60" i="83"/>
  <c r="K21" i="83"/>
  <c r="K28" i="83"/>
  <c r="K40" i="83"/>
  <c r="CO120" i="83"/>
  <c r="BD155" i="83"/>
  <c r="BD147" i="83"/>
  <c r="BD94" i="83"/>
  <c r="AH155" i="83"/>
  <c r="AH160" i="83" s="1"/>
  <c r="AH147" i="83"/>
  <c r="AH151" i="83" s="1"/>
  <c r="AH152" i="83" s="1"/>
  <c r="AH94" i="83"/>
  <c r="V155" i="83"/>
  <c r="V160" i="83" s="1"/>
  <c r="V147" i="83"/>
  <c r="V151" i="83" s="1"/>
  <c r="V152" i="83" s="1"/>
  <c r="V94" i="83"/>
  <c r="J155" i="83"/>
  <c r="J160" i="83" s="1"/>
  <c r="J147" i="83"/>
  <c r="J151" i="83" s="1"/>
  <c r="J152" i="83" s="1"/>
  <c r="J94" i="83"/>
  <c r="D155" i="83"/>
  <c r="D147" i="83"/>
  <c r="D94" i="83"/>
  <c r="I155" i="83"/>
  <c r="I160" i="83" s="1"/>
  <c r="I147" i="83"/>
  <c r="I151" i="83" s="1"/>
  <c r="I152" i="83" s="1"/>
  <c r="I94" i="83"/>
  <c r="AV155" i="83"/>
  <c r="AV147" i="83"/>
  <c r="AV94" i="83"/>
  <c r="Z155" i="83"/>
  <c r="Z160" i="83" s="1"/>
  <c r="Z147" i="83"/>
  <c r="Z151" i="83" s="1"/>
  <c r="Z152" i="83" s="1"/>
  <c r="Z94" i="83"/>
  <c r="AK155" i="83"/>
  <c r="AK160" i="83" s="1"/>
  <c r="AK147" i="83"/>
  <c r="AK151" i="83" s="1"/>
  <c r="AK152" i="83" s="1"/>
  <c r="AK94" i="83"/>
  <c r="AA155" i="83"/>
  <c r="AA147" i="83"/>
  <c r="AA94" i="83"/>
  <c r="S155" i="83"/>
  <c r="S147" i="83"/>
  <c r="S94" i="83"/>
  <c r="CB74" i="83"/>
  <c r="CB61" i="83"/>
  <c r="CW74" i="83"/>
  <c r="CW61" i="83"/>
  <c r="BU53" i="83"/>
  <c r="BV53" i="83" s="1"/>
  <c r="BW53" i="83" s="1"/>
  <c r="BP150" i="83"/>
  <c r="BP158" i="83"/>
  <c r="AX155" i="83"/>
  <c r="AX160" i="83" s="1"/>
  <c r="AX147" i="83"/>
  <c r="AX151" i="83" s="1"/>
  <c r="AX152" i="83" s="1"/>
  <c r="AX94" i="83"/>
  <c r="AR151" i="83"/>
  <c r="AR152" i="83" s="1"/>
  <c r="BC151" i="83"/>
  <c r="BC152" i="83" s="1"/>
  <c r="Y155" i="83"/>
  <c r="Y160" i="83" s="1"/>
  <c r="Y147" i="83"/>
  <c r="Y151" i="83" s="1"/>
  <c r="Y152" i="83" s="1"/>
  <c r="Y94" i="83"/>
  <c r="BC89" i="83"/>
  <c r="BC82" i="83"/>
  <c r="CD139" i="83"/>
  <c r="CD140" i="83" s="1"/>
  <c r="CD96" i="83" s="1"/>
  <c r="CD133" i="83"/>
  <c r="CD134" i="83" s="1"/>
  <c r="CD128" i="83"/>
  <c r="CL75" i="83"/>
  <c r="CL64" i="83"/>
  <c r="CU139" i="83"/>
  <c r="CU140" i="83" s="1"/>
  <c r="CU96" i="83" s="1"/>
  <c r="CU133" i="83"/>
  <c r="CU128" i="83"/>
  <c r="DE74" i="83"/>
  <c r="DE61" i="83"/>
  <c r="CL148" i="83"/>
  <c r="DD148" i="83"/>
  <c r="BE149" i="83"/>
  <c r="DG148" i="83"/>
  <c r="BO149" i="83"/>
  <c r="CN157" i="83"/>
  <c r="DF157" i="83"/>
  <c r="BJ89" i="83"/>
  <c r="BJ82" i="83"/>
  <c r="AC155" i="83"/>
  <c r="AC160" i="83" s="1"/>
  <c r="AC147" i="83"/>
  <c r="AC151" i="83" s="1"/>
  <c r="AC152" i="83" s="1"/>
  <c r="AC94" i="83"/>
  <c r="Z97" i="83"/>
  <c r="Z92" i="83"/>
  <c r="V97" i="83"/>
  <c r="V92" i="83"/>
  <c r="R97" i="83"/>
  <c r="R92" i="83"/>
  <c r="M97" i="83"/>
  <c r="M92" i="83"/>
  <c r="F97" i="83"/>
  <c r="F92" i="83"/>
  <c r="E97" i="83"/>
  <c r="E92" i="83"/>
  <c r="CC74" i="83"/>
  <c r="CC61" i="83"/>
  <c r="CE74" i="83"/>
  <c r="CE61" i="83"/>
  <c r="CK74" i="83"/>
  <c r="CK61" i="83"/>
  <c r="CM75" i="83"/>
  <c r="CM64" i="83"/>
  <c r="CX139" i="83"/>
  <c r="CX140" i="83" s="1"/>
  <c r="CX96" i="83" s="1"/>
  <c r="CX133" i="83"/>
  <c r="CX128" i="83"/>
  <c r="DD74" i="83"/>
  <c r="DD61" i="83"/>
  <c r="DF75" i="83"/>
  <c r="DF64" i="83"/>
  <c r="BT119" i="83"/>
  <c r="BU116" i="83"/>
  <c r="CP70" i="83"/>
  <c r="BR72" i="83"/>
  <c r="BR136" i="83" s="1"/>
  <c r="BS67" i="83"/>
  <c r="BR66" i="83"/>
  <c r="CT157" i="83"/>
  <c r="CA157" i="83"/>
  <c r="DC157" i="83"/>
  <c r="CJ157" i="83"/>
  <c r="DA157" i="83"/>
  <c r="CH157" i="83"/>
  <c r="CS157" i="83"/>
  <c r="BZ157" i="83"/>
  <c r="H160" i="83"/>
  <c r="AR89" i="83"/>
  <c r="AR82" i="83"/>
  <c r="AB97" i="83"/>
  <c r="AB92" i="83"/>
  <c r="X97" i="83"/>
  <c r="X92" i="83"/>
  <c r="T97" i="83"/>
  <c r="T92" i="83"/>
  <c r="P97" i="83"/>
  <c r="P92" i="83"/>
  <c r="J97" i="83"/>
  <c r="J92" i="83"/>
  <c r="D97" i="83"/>
  <c r="D92" i="83"/>
  <c r="BL89" i="83"/>
  <c r="BL82" i="83"/>
  <c r="AO89" i="83"/>
  <c r="AO82" i="83"/>
  <c r="CX171" i="83"/>
  <c r="AA89" i="83"/>
  <c r="AA82" i="83"/>
  <c r="CV171" i="83"/>
  <c r="S89" i="83"/>
  <c r="S82" i="83"/>
  <c r="CI125" i="83"/>
  <c r="CI23" i="83"/>
  <c r="CI20" i="83"/>
  <c r="CI11" i="83"/>
  <c r="CI49" i="83"/>
  <c r="CI39" i="83"/>
  <c r="CI27" i="83"/>
  <c r="AU60" i="83"/>
  <c r="AU21" i="83"/>
  <c r="AU28" i="83"/>
  <c r="AU40" i="83"/>
  <c r="CZ125" i="83"/>
  <c r="CZ131" i="83" s="1"/>
  <c r="CZ23" i="83"/>
  <c r="CZ20" i="83"/>
  <c r="CZ11" i="83"/>
  <c r="CZ49" i="83"/>
  <c r="CZ39" i="83"/>
  <c r="CZ27" i="83"/>
  <c r="AN40" i="83"/>
  <c r="AN28" i="83"/>
  <c r="AM127" i="83"/>
  <c r="AM63" i="83"/>
  <c r="AM24" i="83"/>
  <c r="CA125" i="83"/>
  <c r="CA131" i="83" s="1"/>
  <c r="CA23" i="83"/>
  <c r="CA20" i="83"/>
  <c r="CA49" i="83"/>
  <c r="CA39" i="83"/>
  <c r="CA27" i="83"/>
  <c r="P40" i="83"/>
  <c r="P28" i="83"/>
  <c r="O127" i="83"/>
  <c r="O63" i="83"/>
  <c r="O24" i="83"/>
  <c r="BY125" i="83"/>
  <c r="BY131" i="83" s="1"/>
  <c r="BY23" i="83"/>
  <c r="BY20" i="83"/>
  <c r="BY49" i="83"/>
  <c r="BY39" i="83"/>
  <c r="BY27" i="83"/>
  <c r="H40" i="83"/>
  <c r="H28" i="83"/>
  <c r="G127" i="83"/>
  <c r="G63" i="83"/>
  <c r="G24" i="83"/>
  <c r="CB139" i="83"/>
  <c r="CB140" i="83" s="1"/>
  <c r="CB96" i="83" s="1"/>
  <c r="CB133" i="83"/>
  <c r="CB134" i="83" s="1"/>
  <c r="CB128" i="83"/>
  <c r="CW75" i="83"/>
  <c r="CW64" i="83"/>
  <c r="BS108" i="83"/>
  <c r="BT104" i="83"/>
  <c r="CO104" i="83"/>
  <c r="CO108" i="83" s="1"/>
  <c r="BH158" i="83"/>
  <c r="BH160" i="83" s="1"/>
  <c r="CM149" i="83"/>
  <c r="DE149" i="83"/>
  <c r="CM147" i="83"/>
  <c r="BH151" i="83"/>
  <c r="BH152" i="83" s="1"/>
  <c r="AJ155" i="83"/>
  <c r="AJ147" i="83"/>
  <c r="AJ94" i="83"/>
  <c r="T155" i="83"/>
  <c r="T147" i="83"/>
  <c r="T94" i="83"/>
  <c r="F155" i="83"/>
  <c r="F160" i="83" s="1"/>
  <c r="F147" i="83"/>
  <c r="F151" i="83" s="1"/>
  <c r="F152" i="83" s="1"/>
  <c r="F94" i="83"/>
  <c r="CI131" i="83"/>
  <c r="DF147" i="83"/>
  <c r="BK151" i="83"/>
  <c r="BK152" i="83" s="1"/>
  <c r="CD74" i="83"/>
  <c r="CD61" i="83"/>
  <c r="CL74" i="83"/>
  <c r="CL61" i="83"/>
  <c r="CU74" i="83"/>
  <c r="CU61" i="83"/>
  <c r="DE75" i="83"/>
  <c r="DE64" i="83"/>
  <c r="AT155" i="83"/>
  <c r="AT160" i="83" s="1"/>
  <c r="AT147" i="83"/>
  <c r="AT151" i="83" s="1"/>
  <c r="AT152" i="83" s="1"/>
  <c r="AT94" i="83"/>
  <c r="AF155" i="83"/>
  <c r="AF147" i="83"/>
  <c r="AF94" i="83"/>
  <c r="P155" i="83"/>
  <c r="P147" i="83"/>
  <c r="P94" i="83"/>
  <c r="CK171" i="83"/>
  <c r="DB36" i="83"/>
  <c r="BK89" i="83"/>
  <c r="BK82" i="83"/>
  <c r="AC89" i="83"/>
  <c r="AC82" i="83"/>
  <c r="U89" i="83"/>
  <c r="U82" i="83"/>
  <c r="CC75" i="83"/>
  <c r="CC64" i="83"/>
  <c r="CE139" i="83"/>
  <c r="CE140" i="83" s="1"/>
  <c r="CE96" i="83" s="1"/>
  <c r="CE133" i="83"/>
  <c r="CE134" i="83" s="1"/>
  <c r="CE128" i="83"/>
  <c r="CK75" i="83"/>
  <c r="CK64" i="83"/>
  <c r="CV139" i="83"/>
  <c r="CV140" i="83" s="1"/>
  <c r="CV96" i="83" s="1"/>
  <c r="CV133" i="83"/>
  <c r="CV128" i="83"/>
  <c r="CX74" i="83"/>
  <c r="CX61" i="83"/>
  <c r="DD75" i="83"/>
  <c r="DD64" i="83"/>
  <c r="CO119" i="83"/>
  <c r="CO91" i="83" s="1"/>
  <c r="BU105" i="83"/>
  <c r="CO156" i="83"/>
  <c r="DG156" i="83"/>
  <c r="BS103" i="83"/>
  <c r="CO103" i="83" s="1"/>
  <c r="CR148" i="83"/>
  <c r="BY148" i="83"/>
  <c r="G149" i="83"/>
  <c r="DB148" i="83"/>
  <c r="CI148" i="83"/>
  <c r="AU149" i="83"/>
  <c r="BS173" i="83"/>
  <c r="CO173" i="83" s="1"/>
  <c r="BS164" i="83"/>
  <c r="BT52" i="83"/>
  <c r="BS51" i="83"/>
  <c r="CO52" i="83"/>
  <c r="DG173" i="83"/>
  <c r="AU131" i="83"/>
  <c r="CK155" i="83"/>
  <c r="CK160" i="83" s="1"/>
  <c r="AZ160" i="83"/>
  <c r="CR131" i="83"/>
  <c r="DE171" i="83"/>
  <c r="BE89" i="83"/>
  <c r="BE82" i="83"/>
  <c r="AK89" i="83"/>
  <c r="AK82" i="83"/>
  <c r="CD171" i="83"/>
  <c r="CB171" i="83"/>
  <c r="CJ125" i="83"/>
  <c r="CJ131" i="83" s="1"/>
  <c r="CJ11" i="83"/>
  <c r="CJ23" i="83"/>
  <c r="CJ20" i="83"/>
  <c r="CJ27" i="83"/>
  <c r="CJ39" i="83"/>
  <c r="CJ36" i="83"/>
  <c r="CK11" i="83"/>
  <c r="AZ40" i="83"/>
  <c r="AZ28" i="83"/>
  <c r="AY127" i="83"/>
  <c r="AY63" i="83"/>
  <c r="AY24" i="83"/>
  <c r="DA125" i="83"/>
  <c r="DA131" i="83" s="1"/>
  <c r="DA23" i="83"/>
  <c r="DA20" i="83"/>
  <c r="DA11" i="83"/>
  <c r="DA27" i="83"/>
  <c r="DA39" i="83"/>
  <c r="DA36" i="83"/>
  <c r="CH125" i="83"/>
  <c r="CH131" i="83" s="1"/>
  <c r="CH11" i="83"/>
  <c r="CH23" i="83"/>
  <c r="CH20" i="83"/>
  <c r="CH27" i="83"/>
  <c r="CH39" i="83"/>
  <c r="CH36" i="83"/>
  <c r="AR28" i="83"/>
  <c r="AR40" i="83"/>
  <c r="AQ127" i="83"/>
  <c r="AQ63" i="83"/>
  <c r="AQ24" i="83"/>
  <c r="CY125" i="83"/>
  <c r="CY131" i="83" s="1"/>
  <c r="CY23" i="83"/>
  <c r="CY20" i="83"/>
  <c r="CY11" i="83"/>
  <c r="CY27" i="83"/>
  <c r="CY39" i="83"/>
  <c r="CY36" i="83"/>
  <c r="AI60" i="83"/>
  <c r="AI21" i="83"/>
  <c r="AI28" i="83"/>
  <c r="AI40" i="83"/>
  <c r="CS125" i="83"/>
  <c r="CS131" i="83" s="1"/>
  <c r="CS23" i="83"/>
  <c r="CS20" i="83"/>
  <c r="CS11" i="83"/>
  <c r="CS27" i="83"/>
  <c r="CS39" i="83"/>
  <c r="CS36" i="83"/>
  <c r="BZ125" i="83"/>
  <c r="BZ131" i="83" s="1"/>
  <c r="BZ23" i="83"/>
  <c r="BZ20" i="83"/>
  <c r="BZ27" i="83"/>
  <c r="BZ36" i="83"/>
  <c r="BZ39" i="83"/>
  <c r="L28" i="83"/>
  <c r="L40" i="83"/>
  <c r="K127" i="83"/>
  <c r="K63" i="83"/>
  <c r="K24" i="83"/>
  <c r="DH70" i="83"/>
  <c r="BM142" i="83"/>
  <c r="DD147" i="83" l="1"/>
  <c r="DF155" i="83"/>
  <c r="CM151" i="83"/>
  <c r="DF152" i="83"/>
  <c r="DG80" i="83"/>
  <c r="DG88" i="83" s="1"/>
  <c r="BR88" i="83"/>
  <c r="BR158" i="83"/>
  <c r="K171" i="83"/>
  <c r="K75" i="83"/>
  <c r="K64" i="83"/>
  <c r="BZ127" i="83"/>
  <c r="BZ63" i="83"/>
  <c r="BZ24" i="83"/>
  <c r="CS60" i="83"/>
  <c r="CS21" i="83"/>
  <c r="AI74" i="83"/>
  <c r="AI61" i="83"/>
  <c r="CY127" i="83"/>
  <c r="CY63" i="83"/>
  <c r="CY24" i="83"/>
  <c r="CH60" i="83"/>
  <c r="CH21" i="83"/>
  <c r="DA60" i="83"/>
  <c r="DA21" i="83"/>
  <c r="AY171" i="83"/>
  <c r="AY75" i="83"/>
  <c r="AY64" i="83"/>
  <c r="CJ60" i="83"/>
  <c r="CJ21" i="83"/>
  <c r="AK97" i="83"/>
  <c r="AK92" i="83"/>
  <c r="BE97" i="83"/>
  <c r="BE92" i="83"/>
  <c r="BS80" i="83"/>
  <c r="BS88" i="83" s="1"/>
  <c r="CO51" i="83"/>
  <c r="K139" i="83"/>
  <c r="K140" i="83" s="1"/>
  <c r="K96" i="83" s="1"/>
  <c r="K133" i="83"/>
  <c r="K128" i="83"/>
  <c r="BZ60" i="83"/>
  <c r="BZ21" i="83"/>
  <c r="CS127" i="83"/>
  <c r="CS63" i="83"/>
  <c r="CS24" i="83"/>
  <c r="CY60" i="83"/>
  <c r="CY21" i="83"/>
  <c r="AQ171" i="83"/>
  <c r="AQ75" i="83"/>
  <c r="AQ64" i="83"/>
  <c r="CH127" i="83"/>
  <c r="CH63" i="83"/>
  <c r="CH24" i="83"/>
  <c r="DA127" i="83"/>
  <c r="DA63" i="83"/>
  <c r="DA24" i="83"/>
  <c r="AY139" i="83"/>
  <c r="AY140" i="83" s="1"/>
  <c r="AY96" i="83" s="1"/>
  <c r="AY133" i="83"/>
  <c r="AY134" i="83" s="1"/>
  <c r="AY128" i="83"/>
  <c r="CJ127" i="83"/>
  <c r="CJ63" i="83"/>
  <c r="CJ24" i="83"/>
  <c r="BT173" i="83"/>
  <c r="BT164" i="83"/>
  <c r="BU52" i="83"/>
  <c r="BT51" i="83"/>
  <c r="BS165" i="83"/>
  <c r="CO164" i="83"/>
  <c r="CO165" i="83" s="1"/>
  <c r="AU158" i="83"/>
  <c r="DB149" i="83"/>
  <c r="CI149" i="83"/>
  <c r="BV105" i="83"/>
  <c r="DH105" i="83" s="1"/>
  <c r="DD89" i="83"/>
  <c r="DD82" i="83"/>
  <c r="CX86" i="83"/>
  <c r="CX94" i="83" s="1"/>
  <c r="CX78" i="83"/>
  <c r="CC89" i="83"/>
  <c r="CC82" i="83"/>
  <c r="U97" i="83"/>
  <c r="U92" i="83"/>
  <c r="AC97" i="83"/>
  <c r="AC92" i="83"/>
  <c r="BK97" i="83"/>
  <c r="BK92" i="83"/>
  <c r="P160" i="83"/>
  <c r="CB155" i="83"/>
  <c r="CB160" i="83" s="1"/>
  <c r="AF151" i="83"/>
  <c r="AF152" i="83" s="1"/>
  <c r="DE89" i="83"/>
  <c r="DE82" i="83"/>
  <c r="CU86" i="83"/>
  <c r="CU94" i="83" s="1"/>
  <c r="CU78" i="83"/>
  <c r="CL188" i="83"/>
  <c r="CL86" i="83"/>
  <c r="CL94" i="83" s="1"/>
  <c r="CL78" i="83"/>
  <c r="CD188" i="83"/>
  <c r="CD86" i="83"/>
  <c r="CD94" i="83" s="1"/>
  <c r="CD78" i="83"/>
  <c r="CC147" i="83"/>
  <c r="CC151" i="83" s="1"/>
  <c r="T151" i="83"/>
  <c r="T152" i="83" s="1"/>
  <c r="AJ160" i="83"/>
  <c r="CW89" i="83"/>
  <c r="CW82" i="83"/>
  <c r="G139" i="83"/>
  <c r="G140" i="83" s="1"/>
  <c r="G96" i="83" s="1"/>
  <c r="G133" i="83"/>
  <c r="G128" i="83"/>
  <c r="BY60" i="83"/>
  <c r="BY21" i="83"/>
  <c r="O171" i="83"/>
  <c r="O75" i="83"/>
  <c r="O64" i="83"/>
  <c r="CA127" i="83"/>
  <c r="CA63" i="83"/>
  <c r="CA24" i="83"/>
  <c r="AM139" i="83"/>
  <c r="AM140" i="83" s="1"/>
  <c r="AM96" i="83" s="1"/>
  <c r="AM133" i="83"/>
  <c r="AM128" i="83"/>
  <c r="CZ127" i="83"/>
  <c r="CZ63" i="83"/>
  <c r="CZ24" i="83"/>
  <c r="AU74" i="83"/>
  <c r="AU61" i="83"/>
  <c r="CI40" i="83"/>
  <c r="CI28" i="83"/>
  <c r="CI127" i="83"/>
  <c r="CI63" i="83"/>
  <c r="CI24" i="83"/>
  <c r="AR97" i="83"/>
  <c r="AR92" i="83"/>
  <c r="BT67" i="83"/>
  <c r="BS66" i="83"/>
  <c r="BS72" i="83"/>
  <c r="BS136" i="83" s="1"/>
  <c r="CO67" i="83"/>
  <c r="BU119" i="83"/>
  <c r="BV116" i="83"/>
  <c r="DF89" i="83"/>
  <c r="DF82" i="83"/>
  <c r="DD86" i="83"/>
  <c r="DD94" i="83" s="1"/>
  <c r="DD78" i="83"/>
  <c r="BO158" i="83"/>
  <c r="DG149" i="83"/>
  <c r="BE158" i="83"/>
  <c r="BE160" i="83" s="1"/>
  <c r="CL149" i="83"/>
  <c r="DD149" i="83"/>
  <c r="DD151" i="83" s="1"/>
  <c r="DE86" i="83"/>
  <c r="DE94" i="83" s="1"/>
  <c r="DE78" i="83"/>
  <c r="BC97" i="83"/>
  <c r="BC92" i="83"/>
  <c r="CP53" i="83"/>
  <c r="CW86" i="83"/>
  <c r="CW94" i="83" s="1"/>
  <c r="CW78" i="83"/>
  <c r="CB188" i="83"/>
  <c r="CB86" i="83"/>
  <c r="CB94" i="83" s="1"/>
  <c r="CB78" i="83"/>
  <c r="CU155" i="83"/>
  <c r="CU160" i="83" s="1"/>
  <c r="S160" i="83"/>
  <c r="CW147" i="83"/>
  <c r="CW151" i="83" s="1"/>
  <c r="AA151" i="83"/>
  <c r="AA152" i="83" s="1"/>
  <c r="AV160" i="83"/>
  <c r="D160" i="83"/>
  <c r="BD160" i="83"/>
  <c r="CL155" i="83"/>
  <c r="AI139" i="83"/>
  <c r="AI140" i="83" s="1"/>
  <c r="AI96" i="83" s="1"/>
  <c r="AI133" i="83"/>
  <c r="AI128" i="83"/>
  <c r="CF60" i="83"/>
  <c r="CF21" i="83"/>
  <c r="CF28" i="83"/>
  <c r="CF40" i="83"/>
  <c r="AY74" i="83"/>
  <c r="AY61" i="83"/>
  <c r="DC60" i="83"/>
  <c r="DC21" i="83"/>
  <c r="BM97" i="83"/>
  <c r="BM92" i="83"/>
  <c r="BG97" i="83"/>
  <c r="BG92" i="83"/>
  <c r="CK152" i="83"/>
  <c r="DF86" i="83"/>
  <c r="DF94" i="83" s="1"/>
  <c r="DF78" i="83"/>
  <c r="CE89" i="83"/>
  <c r="CE82" i="83"/>
  <c r="AZ97" i="83"/>
  <c r="AZ92" i="83"/>
  <c r="X151" i="83"/>
  <c r="X152" i="83" s="1"/>
  <c r="CD147" i="83"/>
  <c r="CD151" i="83" s="1"/>
  <c r="AN160" i="83"/>
  <c r="BE151" i="83"/>
  <c r="BE152" i="83" s="1"/>
  <c r="L160" i="83"/>
  <c r="CE147" i="83"/>
  <c r="CE151" i="83" s="1"/>
  <c r="AB151" i="83"/>
  <c r="AB152" i="83" s="1"/>
  <c r="CR127" i="83"/>
  <c r="CR63" i="83"/>
  <c r="CR24" i="83"/>
  <c r="CT127" i="83"/>
  <c r="CT63" i="83"/>
  <c r="CT24" i="83"/>
  <c r="CG60" i="83"/>
  <c r="CG21" i="83"/>
  <c r="AU171" i="83"/>
  <c r="AU75" i="83"/>
  <c r="AU64" i="83"/>
  <c r="DB60" i="83"/>
  <c r="DB21" i="83"/>
  <c r="I97" i="83"/>
  <c r="I92" i="83"/>
  <c r="W97" i="83"/>
  <c r="W92" i="83"/>
  <c r="AE97" i="83"/>
  <c r="AE92" i="83"/>
  <c r="AW97" i="83"/>
  <c r="AW92" i="83"/>
  <c r="AS97" i="83"/>
  <c r="AS92" i="83"/>
  <c r="BI97" i="83"/>
  <c r="BI92" i="83"/>
  <c r="BH89" i="83"/>
  <c r="BH82" i="83"/>
  <c r="K158" i="83"/>
  <c r="CS149" i="83"/>
  <c r="BZ149" i="83"/>
  <c r="AY158" i="83"/>
  <c r="DC149" i="83"/>
  <c r="CJ149" i="83"/>
  <c r="CU89" i="83"/>
  <c r="CU82" i="83"/>
  <c r="BF97" i="83"/>
  <c r="BF92" i="83"/>
  <c r="CV147" i="83"/>
  <c r="CV151" i="83" s="1"/>
  <c r="W151" i="83"/>
  <c r="W152" i="83" s="1"/>
  <c r="CV152" i="83" s="1"/>
  <c r="CX155" i="83"/>
  <c r="CX160" i="83" s="1"/>
  <c r="AE160" i="83"/>
  <c r="DE147" i="83"/>
  <c r="DE151" i="83" s="1"/>
  <c r="BG151" i="83"/>
  <c r="BG152" i="83" s="1"/>
  <c r="DE152" i="83" s="1"/>
  <c r="AQ139" i="83"/>
  <c r="AQ140" i="83" s="1"/>
  <c r="AQ96" i="83" s="1"/>
  <c r="AQ133" i="83"/>
  <c r="AQ128" i="83"/>
  <c r="CH28" i="83"/>
  <c r="CH40" i="83"/>
  <c r="CK28" i="83"/>
  <c r="CK40" i="83"/>
  <c r="CJ40" i="83"/>
  <c r="CJ28" i="83"/>
  <c r="G158" i="83"/>
  <c r="CR149" i="83"/>
  <c r="BY149" i="83"/>
  <c r="BT103" i="83"/>
  <c r="CK89" i="83"/>
  <c r="CK82" i="83"/>
  <c r="P151" i="83"/>
  <c r="P152" i="83" s="1"/>
  <c r="CB147" i="83"/>
  <c r="CB151" i="83" s="1"/>
  <c r="AF160" i="83"/>
  <c r="CC155" i="83"/>
  <c r="CC160" i="83" s="1"/>
  <c r="T160" i="83"/>
  <c r="AJ151" i="83"/>
  <c r="AJ152" i="83" s="1"/>
  <c r="CM152" i="83"/>
  <c r="CM158" i="83"/>
  <c r="CM160" i="83" s="1"/>
  <c r="DE158" i="83"/>
  <c r="BT108" i="83"/>
  <c r="BU104" i="83"/>
  <c r="G171" i="83"/>
  <c r="G75" i="83"/>
  <c r="G64" i="83"/>
  <c r="BY127" i="83"/>
  <c r="BY63" i="83"/>
  <c r="BY24" i="83"/>
  <c r="O139" i="83"/>
  <c r="O140" i="83" s="1"/>
  <c r="O96" i="83" s="1"/>
  <c r="O133" i="83"/>
  <c r="O128" i="83"/>
  <c r="CA60" i="83"/>
  <c r="CA21" i="83"/>
  <c r="AM171" i="83"/>
  <c r="AM75" i="83"/>
  <c r="AM64" i="83"/>
  <c r="CZ60" i="83"/>
  <c r="CZ21" i="83"/>
  <c r="CI60" i="83"/>
  <c r="CI21" i="83"/>
  <c r="S97" i="83"/>
  <c r="S92" i="83"/>
  <c r="AA97" i="83"/>
  <c r="AA92" i="83"/>
  <c r="AO97" i="83"/>
  <c r="AO92" i="83"/>
  <c r="BL97" i="83"/>
  <c r="BL92" i="83"/>
  <c r="BT156" i="83"/>
  <c r="BT120" i="83"/>
  <c r="BT91" i="83" s="1"/>
  <c r="CM89" i="83"/>
  <c r="CM82" i="83"/>
  <c r="CK188" i="83"/>
  <c r="CK86" i="83"/>
  <c r="CK94" i="83" s="1"/>
  <c r="CK78" i="83"/>
  <c r="CE188" i="83"/>
  <c r="CE86" i="83"/>
  <c r="CE94" i="83" s="1"/>
  <c r="CE78" i="83"/>
  <c r="CC188" i="83"/>
  <c r="CC86" i="83"/>
  <c r="CC94" i="83" s="1"/>
  <c r="CC78" i="83"/>
  <c r="BJ97" i="83"/>
  <c r="BJ92" i="83"/>
  <c r="CL89" i="83"/>
  <c r="CL82" i="83"/>
  <c r="BP159" i="83"/>
  <c r="DG150" i="83"/>
  <c r="CU147" i="83"/>
  <c r="CU151" i="83" s="1"/>
  <c r="S151" i="83"/>
  <c r="S152" i="83" s="1"/>
  <c r="CW155" i="83"/>
  <c r="CW160" i="83" s="1"/>
  <c r="AA160" i="83"/>
  <c r="AV151" i="83"/>
  <c r="AV152" i="83" s="1"/>
  <c r="D151" i="83"/>
  <c r="D152" i="83" s="1"/>
  <c r="BD151" i="83"/>
  <c r="BD152" i="83" s="1"/>
  <c r="CL147" i="83"/>
  <c r="CL151" i="83" s="1"/>
  <c r="K74" i="83"/>
  <c r="K61" i="83"/>
  <c r="AI171" i="83"/>
  <c r="AI75" i="83"/>
  <c r="AI64" i="83"/>
  <c r="CF127" i="83"/>
  <c r="CF63" i="83"/>
  <c r="CF24" i="83"/>
  <c r="AQ74" i="83"/>
  <c r="AQ61" i="83"/>
  <c r="DC127" i="83"/>
  <c r="DC63" i="83"/>
  <c r="DC24" i="83"/>
  <c r="BB97" i="83"/>
  <c r="BB92" i="83"/>
  <c r="CV89" i="83"/>
  <c r="CV82" i="83"/>
  <c r="CM188" i="83"/>
  <c r="CM86" i="83"/>
  <c r="CM94" i="83" s="1"/>
  <c r="CM78" i="83"/>
  <c r="Q97" i="83"/>
  <c r="Q92" i="83"/>
  <c r="Y97" i="83"/>
  <c r="Y92" i="83"/>
  <c r="AG97" i="83"/>
  <c r="AG92" i="83"/>
  <c r="X160" i="83"/>
  <c r="CD155" i="83"/>
  <c r="CD160" i="83" s="1"/>
  <c r="AN151" i="83"/>
  <c r="AN152" i="83" s="1"/>
  <c r="H97" i="83"/>
  <c r="H92" i="83"/>
  <c r="L151" i="83"/>
  <c r="L152" i="83" s="1"/>
  <c r="CE155" i="83"/>
  <c r="CE160" i="83" s="1"/>
  <c r="AB160" i="83"/>
  <c r="CB89" i="83"/>
  <c r="CB82" i="83"/>
  <c r="G74" i="83"/>
  <c r="G61" i="83"/>
  <c r="CR60" i="83"/>
  <c r="CR21" i="83"/>
  <c r="O74" i="83"/>
  <c r="O61" i="83"/>
  <c r="CT60" i="83"/>
  <c r="CT21" i="83"/>
  <c r="AM74" i="83"/>
  <c r="AM61" i="83"/>
  <c r="CG40" i="83"/>
  <c r="CG28" i="83"/>
  <c r="CG127" i="83"/>
  <c r="CG63" i="83"/>
  <c r="CG24" i="83"/>
  <c r="AU139" i="83"/>
  <c r="AU140" i="83" s="1"/>
  <c r="AU96" i="83" s="1"/>
  <c r="AU133" i="83"/>
  <c r="AU134" i="83" s="1"/>
  <c r="AU128" i="83"/>
  <c r="DB127" i="83"/>
  <c r="DB63" i="83"/>
  <c r="DB24" i="83"/>
  <c r="CM171" i="83"/>
  <c r="AQ158" i="83"/>
  <c r="DA149" i="83"/>
  <c r="CH149" i="83"/>
  <c r="O158" i="83"/>
  <c r="CT149" i="83"/>
  <c r="CA149" i="83"/>
  <c r="CX89" i="83"/>
  <c r="CX82" i="83"/>
  <c r="CV86" i="83"/>
  <c r="CV94" i="83" s="1"/>
  <c r="CV78" i="83"/>
  <c r="BL158" i="83"/>
  <c r="CN149" i="83"/>
  <c r="DF149" i="83"/>
  <c r="DF151" i="83" s="1"/>
  <c r="CD89" i="83"/>
  <c r="CD82" i="83"/>
  <c r="DD155" i="83"/>
  <c r="CV155" i="83"/>
  <c r="CV160" i="83" s="1"/>
  <c r="W160" i="83"/>
  <c r="CX147" i="83"/>
  <c r="CX151" i="83" s="1"/>
  <c r="AE151" i="83"/>
  <c r="AE152" i="83" s="1"/>
  <c r="DE155" i="83"/>
  <c r="BG160" i="83"/>
  <c r="DH53" i="83"/>
  <c r="CX152" i="83" l="1"/>
  <c r="CL152" i="83"/>
  <c r="CU152" i="83"/>
  <c r="CD152" i="83"/>
  <c r="DE160" i="83"/>
  <c r="DG158" i="83"/>
  <c r="CD97" i="83"/>
  <c r="CD92" i="83"/>
  <c r="DA158" i="83"/>
  <c r="CH158" i="83"/>
  <c r="DB139" i="83"/>
  <c r="DB140" i="83" s="1"/>
  <c r="DB96" i="83" s="1"/>
  <c r="DB133" i="83"/>
  <c r="DB134" i="83" s="1"/>
  <c r="DB128" i="83"/>
  <c r="CG139" i="83"/>
  <c r="CG140" i="83" s="1"/>
  <c r="CG96" i="83" s="1"/>
  <c r="CG133" i="83"/>
  <c r="CG134" i="83" s="1"/>
  <c r="CG128" i="83"/>
  <c r="AM188" i="83"/>
  <c r="AM86" i="83"/>
  <c r="AM78" i="83"/>
  <c r="CT74" i="83"/>
  <c r="CT61" i="83"/>
  <c r="O188" i="83"/>
  <c r="O86" i="83"/>
  <c r="O78" i="83"/>
  <c r="CR74" i="83"/>
  <c r="CR61" i="83"/>
  <c r="G188" i="83"/>
  <c r="G86" i="83"/>
  <c r="G78" i="83"/>
  <c r="CB97" i="83"/>
  <c r="CB92" i="83"/>
  <c r="DC139" i="83"/>
  <c r="DC140" i="83" s="1"/>
  <c r="DC96" i="83" s="1"/>
  <c r="DC133" i="83"/>
  <c r="DC134" i="83" s="1"/>
  <c r="DC128" i="83"/>
  <c r="AQ188" i="83"/>
  <c r="AQ86" i="83"/>
  <c r="AQ78" i="83"/>
  <c r="CF75" i="83"/>
  <c r="CF64" i="83"/>
  <c r="CY171" i="83"/>
  <c r="CF171" i="83"/>
  <c r="K188" i="83"/>
  <c r="K86" i="83"/>
  <c r="K78" i="83"/>
  <c r="CM97" i="83"/>
  <c r="CM92" i="83"/>
  <c r="CI74" i="83"/>
  <c r="CI61" i="83"/>
  <c r="CZ74" i="83"/>
  <c r="CZ61" i="83"/>
  <c r="AM89" i="83"/>
  <c r="AM82" i="83"/>
  <c r="BY75" i="83"/>
  <c r="BY64" i="83"/>
  <c r="CR171" i="83"/>
  <c r="BY171" i="83"/>
  <c r="CB152" i="83"/>
  <c r="CK97" i="83"/>
  <c r="CK92" i="83"/>
  <c r="CS158" i="83"/>
  <c r="BZ158" i="83"/>
  <c r="DB171" i="83"/>
  <c r="CI171" i="83"/>
  <c r="CG74" i="83"/>
  <c r="CG61" i="83"/>
  <c r="CT75" i="83"/>
  <c r="CT64" i="83"/>
  <c r="CR139" i="83"/>
  <c r="CR140" i="83" s="1"/>
  <c r="CR96" i="83" s="1"/>
  <c r="CR133" i="83"/>
  <c r="CR128" i="83"/>
  <c r="CE152" i="83"/>
  <c r="CE97" i="83"/>
  <c r="CE92" i="83"/>
  <c r="DC74" i="83"/>
  <c r="DC61" i="83"/>
  <c r="AY188" i="83"/>
  <c r="AY86" i="83"/>
  <c r="AY78" i="83"/>
  <c r="CF74" i="83"/>
  <c r="CF61" i="83"/>
  <c r="CW152" i="83"/>
  <c r="DD152" i="83"/>
  <c r="BU156" i="83"/>
  <c r="BU120" i="83"/>
  <c r="BU91" i="83" s="1"/>
  <c r="CI139" i="83"/>
  <c r="CI140" i="83" s="1"/>
  <c r="CI96" i="83" s="1"/>
  <c r="CI133" i="83"/>
  <c r="CI134" i="83" s="1"/>
  <c r="CI128" i="83"/>
  <c r="AU188" i="83"/>
  <c r="AU86" i="83"/>
  <c r="AU78" i="83"/>
  <c r="CZ75" i="83"/>
  <c r="CZ64" i="83"/>
  <c r="CA75" i="83"/>
  <c r="CA64" i="83"/>
  <c r="CT171" i="83"/>
  <c r="CA171" i="83"/>
  <c r="BY74" i="83"/>
  <c r="BY61" i="83"/>
  <c r="CC152" i="83"/>
  <c r="DE97" i="83"/>
  <c r="DE92" i="83"/>
  <c r="CC97" i="83"/>
  <c r="CC92" i="83"/>
  <c r="DD97" i="83"/>
  <c r="DD92" i="83"/>
  <c r="BW105" i="83"/>
  <c r="CP105" i="83"/>
  <c r="BU173" i="83"/>
  <c r="BU164" i="83"/>
  <c r="BV52" i="83"/>
  <c r="BU51" i="83"/>
  <c r="DH52" i="83"/>
  <c r="BT165" i="83"/>
  <c r="CJ139" i="83"/>
  <c r="CJ140" i="83" s="1"/>
  <c r="CJ96" i="83" s="1"/>
  <c r="CJ133" i="83"/>
  <c r="CJ134" i="83" s="1"/>
  <c r="CJ128" i="83"/>
  <c r="DA139" i="83"/>
  <c r="DA140" i="83" s="1"/>
  <c r="DA96" i="83" s="1"/>
  <c r="DA133" i="83"/>
  <c r="DA128" i="83"/>
  <c r="CH75" i="83"/>
  <c r="CH64" i="83"/>
  <c r="DA171" i="83"/>
  <c r="CH171" i="83"/>
  <c r="CY74" i="83"/>
  <c r="CY61" i="83"/>
  <c r="CS75" i="83"/>
  <c r="CS64" i="83"/>
  <c r="CJ74" i="83"/>
  <c r="CJ61" i="83"/>
  <c r="AY89" i="83"/>
  <c r="AY82" i="83"/>
  <c r="CY139" i="83"/>
  <c r="CY140" i="83" s="1"/>
  <c r="CY96" i="83" s="1"/>
  <c r="CY133" i="83"/>
  <c r="CY128" i="83"/>
  <c r="AI188" i="83"/>
  <c r="AI86" i="83"/>
  <c r="AI78" i="83"/>
  <c r="CS74" i="83"/>
  <c r="CS61" i="83"/>
  <c r="BZ75" i="83"/>
  <c r="BZ64" i="83"/>
  <c r="CS171" i="83"/>
  <c r="BZ171" i="83"/>
  <c r="CN158" i="83"/>
  <c r="DF158" i="83"/>
  <c r="DF160" i="83" s="1"/>
  <c r="BL160" i="83"/>
  <c r="CX97" i="83"/>
  <c r="CX92" i="83"/>
  <c r="CT158" i="83"/>
  <c r="CA158" i="83"/>
  <c r="DB75" i="83"/>
  <c r="DB64" i="83"/>
  <c r="CG75" i="83"/>
  <c r="CG64" i="83"/>
  <c r="CV97" i="83"/>
  <c r="CV92" i="83"/>
  <c r="DC75" i="83"/>
  <c r="DC64" i="83"/>
  <c r="CF139" i="83"/>
  <c r="CF140" i="83" s="1"/>
  <c r="CF96" i="83" s="1"/>
  <c r="CF133" i="83"/>
  <c r="CF134" i="83" s="1"/>
  <c r="CF128" i="83"/>
  <c r="AI89" i="83"/>
  <c r="AI82" i="83"/>
  <c r="DG159" i="83"/>
  <c r="CL97" i="83"/>
  <c r="CL92" i="83"/>
  <c r="CZ171" i="83"/>
  <c r="CG171" i="83"/>
  <c r="CA74" i="83"/>
  <c r="CA61" i="83"/>
  <c r="BY139" i="83"/>
  <c r="BY140" i="83" s="1"/>
  <c r="BY96" i="83" s="1"/>
  <c r="BY133" i="83"/>
  <c r="BY134" i="83" s="1"/>
  <c r="BY128" i="83"/>
  <c r="G89" i="83"/>
  <c r="G82" i="83"/>
  <c r="BU108" i="83"/>
  <c r="BV104" i="83"/>
  <c r="BU103" i="83"/>
  <c r="CR158" i="83"/>
  <c r="BY158" i="83"/>
  <c r="CU97" i="83"/>
  <c r="CU92" i="83"/>
  <c r="DC158" i="83"/>
  <c r="CJ158" i="83"/>
  <c r="BH97" i="83"/>
  <c r="BH92" i="83"/>
  <c r="DB74" i="83"/>
  <c r="DB61" i="83"/>
  <c r="AU89" i="83"/>
  <c r="AU82" i="83"/>
  <c r="CT139" i="83"/>
  <c r="CT140" i="83" s="1"/>
  <c r="CT96" i="83" s="1"/>
  <c r="CT133" i="83"/>
  <c r="CT128" i="83"/>
  <c r="CR75" i="83"/>
  <c r="CR64" i="83"/>
  <c r="DD158" i="83"/>
  <c r="DD160" i="83" s="1"/>
  <c r="CL158" i="83"/>
  <c r="CL160" i="83" s="1"/>
  <c r="DF97" i="83"/>
  <c r="DF92" i="83"/>
  <c r="BV119" i="83"/>
  <c r="BW116" i="83"/>
  <c r="BW119" i="83" s="1"/>
  <c r="DH116" i="83"/>
  <c r="DH119" i="83" s="1"/>
  <c r="CO72" i="83"/>
  <c r="CO136" i="83" s="1"/>
  <c r="CO66" i="83"/>
  <c r="BT72" i="83"/>
  <c r="BT136" i="83" s="1"/>
  <c r="BT66" i="83"/>
  <c r="BU67" i="83"/>
  <c r="CI75" i="83"/>
  <c r="CI64" i="83"/>
  <c r="CZ139" i="83"/>
  <c r="CZ140" i="83" s="1"/>
  <c r="CZ96" i="83" s="1"/>
  <c r="CZ133" i="83"/>
  <c r="CZ128" i="83"/>
  <c r="CA139" i="83"/>
  <c r="CA140" i="83" s="1"/>
  <c r="CA96" i="83" s="1"/>
  <c r="CA133" i="83"/>
  <c r="CA134" i="83" s="1"/>
  <c r="CA128" i="83"/>
  <c r="O89" i="83"/>
  <c r="O82" i="83"/>
  <c r="CW97" i="83"/>
  <c r="CW92" i="83"/>
  <c r="DB158" i="83"/>
  <c r="CI158" i="83"/>
  <c r="BS157" i="83"/>
  <c r="BS148" i="83"/>
  <c r="BT80" i="83"/>
  <c r="BT88" i="83" s="1"/>
  <c r="CJ75" i="83"/>
  <c r="CJ64" i="83"/>
  <c r="DA75" i="83"/>
  <c r="DA64" i="83"/>
  <c r="CH139" i="83"/>
  <c r="CH140" i="83" s="1"/>
  <c r="CH96" i="83" s="1"/>
  <c r="CH133" i="83"/>
  <c r="CH134" i="83" s="1"/>
  <c r="CH128" i="83"/>
  <c r="AQ89" i="83"/>
  <c r="AQ82" i="83"/>
  <c r="CS139" i="83"/>
  <c r="CS140" i="83" s="1"/>
  <c r="CS96" i="83" s="1"/>
  <c r="CS133" i="83"/>
  <c r="CS128" i="83"/>
  <c r="BZ74" i="83"/>
  <c r="BZ61" i="83"/>
  <c r="BS150" i="83"/>
  <c r="CO80" i="83"/>
  <c r="CO88" i="83" s="1"/>
  <c r="DC171" i="83"/>
  <c r="CJ171" i="83"/>
  <c r="DA74" i="83"/>
  <c r="DA61" i="83"/>
  <c r="CH74" i="83"/>
  <c r="CH61" i="83"/>
  <c r="CY75" i="83"/>
  <c r="CY64" i="83"/>
  <c r="BZ139" i="83"/>
  <c r="BZ140" i="83" s="1"/>
  <c r="BZ96" i="83" s="1"/>
  <c r="BZ133" i="83"/>
  <c r="BZ134" i="83" s="1"/>
  <c r="BZ128" i="83"/>
  <c r="K89" i="83"/>
  <c r="K82" i="83"/>
  <c r="DH104" i="83"/>
  <c r="DH108" i="83" s="1"/>
  <c r="BV103" i="83" l="1"/>
  <c r="CY89" i="83"/>
  <c r="CY82" i="83"/>
  <c r="CH188" i="83"/>
  <c r="CH86" i="83"/>
  <c r="CH94" i="83" s="1"/>
  <c r="CH78" i="83"/>
  <c r="DA86" i="83"/>
  <c r="DA94" i="83" s="1"/>
  <c r="DA78" i="83"/>
  <c r="BS159" i="83"/>
  <c r="CO150" i="83"/>
  <c r="BZ188" i="83"/>
  <c r="BZ86" i="83"/>
  <c r="BZ94" i="83" s="1"/>
  <c r="BZ78" i="83"/>
  <c r="DA89" i="83"/>
  <c r="DA82" i="83"/>
  <c r="CJ89" i="83"/>
  <c r="CJ82" i="83"/>
  <c r="CO148" i="83"/>
  <c r="BS149" i="83"/>
  <c r="BV67" i="83"/>
  <c r="BU66" i="83"/>
  <c r="BU72" i="83"/>
  <c r="BU136" i="83" s="1"/>
  <c r="BV156" i="83"/>
  <c r="DH156" i="83" s="1"/>
  <c r="BV120" i="83"/>
  <c r="BV91" i="83" s="1"/>
  <c r="CP119" i="83"/>
  <c r="CR89" i="83"/>
  <c r="CR82" i="83"/>
  <c r="G97" i="83"/>
  <c r="G92" i="83"/>
  <c r="DC89" i="83"/>
  <c r="DC82" i="83"/>
  <c r="CS89" i="83"/>
  <c r="CS82" i="83"/>
  <c r="CY86" i="83"/>
  <c r="CY94" i="83" s="1"/>
  <c r="CY78" i="83"/>
  <c r="BT157" i="83"/>
  <c r="BT148" i="83"/>
  <c r="BV173" i="83"/>
  <c r="BV164" i="83"/>
  <c r="BW52" i="83"/>
  <c r="BV51" i="83"/>
  <c r="CP52" i="83"/>
  <c r="BY188" i="83"/>
  <c r="BY86" i="83"/>
  <c r="BY94" i="83" s="1"/>
  <c r="BY78" i="83"/>
  <c r="DC86" i="83"/>
  <c r="DC94" i="83" s="1"/>
  <c r="DC78" i="83"/>
  <c r="CT89" i="83"/>
  <c r="CT82" i="83"/>
  <c r="CG188" i="83"/>
  <c r="CG86" i="83"/>
  <c r="CG94" i="83" s="1"/>
  <c r="CG78" i="83"/>
  <c r="K155" i="83"/>
  <c r="K147" i="83"/>
  <c r="K94" i="83"/>
  <c r="CF89" i="83"/>
  <c r="CF82" i="83"/>
  <c r="AQ155" i="83"/>
  <c r="AQ147" i="83"/>
  <c r="AQ94" i="83"/>
  <c r="CR86" i="83"/>
  <c r="CR94" i="83" s="1"/>
  <c r="CR78" i="83"/>
  <c r="O155" i="83"/>
  <c r="O147" i="83"/>
  <c r="O94" i="83"/>
  <c r="DH103" i="83"/>
  <c r="K97" i="83"/>
  <c r="K92" i="83"/>
  <c r="AQ97" i="83"/>
  <c r="AQ92" i="83"/>
  <c r="BT150" i="83"/>
  <c r="CO157" i="83"/>
  <c r="O97" i="83"/>
  <c r="O92" i="83"/>
  <c r="CI89" i="83"/>
  <c r="CI82" i="83"/>
  <c r="BW156" i="83"/>
  <c r="CP156" i="83" s="1"/>
  <c r="BW120" i="83"/>
  <c r="BW91" i="83" s="1"/>
  <c r="AU97" i="83"/>
  <c r="AU92" i="83"/>
  <c r="DB86" i="83"/>
  <c r="DB94" i="83" s="1"/>
  <c r="DB78" i="83"/>
  <c r="BV108" i="83"/>
  <c r="BW104" i="83"/>
  <c r="BW108" i="83" s="1"/>
  <c r="CA188" i="83"/>
  <c r="CA86" i="83"/>
  <c r="CA94" i="83" s="1"/>
  <c r="CA78" i="83"/>
  <c r="AI97" i="83"/>
  <c r="AI92" i="83"/>
  <c r="CG89" i="83"/>
  <c r="CG82" i="83"/>
  <c r="DB89" i="83"/>
  <c r="DB82" i="83"/>
  <c r="BZ89" i="83"/>
  <c r="BZ82" i="83"/>
  <c r="CS86" i="83"/>
  <c r="CS94" i="83" s="1"/>
  <c r="CS78" i="83"/>
  <c r="AI155" i="83"/>
  <c r="AI147" i="83"/>
  <c r="AI94" i="83"/>
  <c r="AY97" i="83"/>
  <c r="AY92" i="83"/>
  <c r="CJ188" i="83"/>
  <c r="CJ86" i="83"/>
  <c r="CJ94" i="83" s="1"/>
  <c r="CJ78" i="83"/>
  <c r="CH89" i="83"/>
  <c r="CH82" i="83"/>
  <c r="BU80" i="83"/>
  <c r="BU165" i="83"/>
  <c r="DH164" i="83"/>
  <c r="DH165" i="83" s="1"/>
  <c r="CA89" i="83"/>
  <c r="CA82" i="83"/>
  <c r="CZ89" i="83"/>
  <c r="CZ82" i="83"/>
  <c r="AU155" i="83"/>
  <c r="AU147" i="83"/>
  <c r="AU94" i="83"/>
  <c r="DH120" i="83"/>
  <c r="DH91" i="83" s="1"/>
  <c r="CF188" i="83"/>
  <c r="CF86" i="83"/>
  <c r="CF94" i="83" s="1"/>
  <c r="CF78" i="83"/>
  <c r="AY155" i="83"/>
  <c r="AY147" i="83"/>
  <c r="AY94" i="83"/>
  <c r="BY89" i="83"/>
  <c r="BY82" i="83"/>
  <c r="AM97" i="83"/>
  <c r="AM92" i="83"/>
  <c r="CZ86" i="83"/>
  <c r="CZ94" i="83" s="1"/>
  <c r="CZ78" i="83"/>
  <c r="CI188" i="83"/>
  <c r="CI86" i="83"/>
  <c r="CI94" i="83" s="1"/>
  <c r="CI78" i="83"/>
  <c r="CP120" i="83"/>
  <c r="G155" i="83"/>
  <c r="G147" i="83"/>
  <c r="G94" i="83"/>
  <c r="CT86" i="83"/>
  <c r="CT94" i="83" s="1"/>
  <c r="CT78" i="83"/>
  <c r="AM155" i="83"/>
  <c r="AM147" i="83"/>
  <c r="AM94" i="83"/>
  <c r="CP116" i="83"/>
  <c r="DH67" i="83"/>
  <c r="BN89" i="53"/>
  <c r="BN88" i="53"/>
  <c r="BN71" i="53"/>
  <c r="BN55" i="53"/>
  <c r="BN44" i="53"/>
  <c r="BN33" i="53"/>
  <c r="BN22" i="53"/>
  <c r="BN11" i="53"/>
  <c r="BN165" i="53"/>
  <c r="BN172" i="53" s="1"/>
  <c r="BN115" i="53"/>
  <c r="BN117" i="53" s="1"/>
  <c r="BO147" i="3"/>
  <c r="BN57" i="2"/>
  <c r="BN56" i="2"/>
  <c r="BN54" i="2" s="1"/>
  <c r="BN53" i="2"/>
  <c r="BN52" i="2"/>
  <c r="BN51" i="2" s="1"/>
  <c r="BN39" i="2"/>
  <c r="BN34" i="2"/>
  <c r="BN44" i="2" s="1"/>
  <c r="BN50" i="2" l="1"/>
  <c r="CZ155" i="83"/>
  <c r="CZ160" i="83" s="1"/>
  <c r="AM160" i="83"/>
  <c r="CG155" i="83"/>
  <c r="CG160" i="83" s="1"/>
  <c r="CR147" i="83"/>
  <c r="CR151" i="83" s="1"/>
  <c r="G151" i="83"/>
  <c r="G152" i="83" s="1"/>
  <c r="BY147" i="83"/>
  <c r="BY151" i="83" s="1"/>
  <c r="DC155" i="83"/>
  <c r="DC160" i="83" s="1"/>
  <c r="AY160" i="83"/>
  <c r="CJ155" i="83"/>
  <c r="CJ160" i="83" s="1"/>
  <c r="DB147" i="83"/>
  <c r="DB151" i="83" s="1"/>
  <c r="AU151" i="83"/>
  <c r="AU152" i="83" s="1"/>
  <c r="CI147" i="83"/>
  <c r="CI151" i="83" s="1"/>
  <c r="BU88" i="83"/>
  <c r="CH97" i="83"/>
  <c r="CH92" i="83"/>
  <c r="CY155" i="83"/>
  <c r="CY160" i="83" s="1"/>
  <c r="AI160" i="83"/>
  <c r="CF155" i="83"/>
  <c r="CF160" i="83" s="1"/>
  <c r="BZ97" i="83"/>
  <c r="BZ92" i="83"/>
  <c r="DB97" i="83"/>
  <c r="DB92" i="83"/>
  <c r="CG97" i="83"/>
  <c r="CG92" i="83"/>
  <c r="BW103" i="83"/>
  <c r="CP103" i="83" s="1"/>
  <c r="CT155" i="83"/>
  <c r="CT160" i="83" s="1"/>
  <c r="O160" i="83"/>
  <c r="CA155" i="83"/>
  <c r="CA160" i="83" s="1"/>
  <c r="DA147" i="83"/>
  <c r="DA151" i="83" s="1"/>
  <c r="AQ151" i="83"/>
  <c r="AQ152" i="83" s="1"/>
  <c r="CH147" i="83"/>
  <c r="CH151" i="83" s="1"/>
  <c r="CS155" i="83"/>
  <c r="CS160" i="83" s="1"/>
  <c r="K160" i="83"/>
  <c r="BZ155" i="83"/>
  <c r="BZ160" i="83" s="1"/>
  <c r="BV80" i="83"/>
  <c r="BV150" i="83" s="1"/>
  <c r="BV159" i="83" s="1"/>
  <c r="DH51" i="83"/>
  <c r="BV165" i="83"/>
  <c r="BT149" i="83"/>
  <c r="CP91" i="83"/>
  <c r="BS158" i="83"/>
  <c r="CO149" i="83"/>
  <c r="CJ97" i="83"/>
  <c r="CJ92" i="83"/>
  <c r="DA97" i="83"/>
  <c r="DA92" i="83"/>
  <c r="CO159" i="83"/>
  <c r="CP104" i="83"/>
  <c r="CP108" i="83" s="1"/>
  <c r="DH72" i="83"/>
  <c r="DH136" i="83" s="1"/>
  <c r="DH66" i="83"/>
  <c r="CZ147" i="83"/>
  <c r="CZ151" i="83" s="1"/>
  <c r="AM151" i="83"/>
  <c r="AM152" i="83" s="1"/>
  <c r="CG147" i="83"/>
  <c r="CG151" i="83" s="1"/>
  <c r="CR155" i="83"/>
  <c r="CR160" i="83" s="1"/>
  <c r="G160" i="83"/>
  <c r="BY155" i="83"/>
  <c r="BY160" i="83" s="1"/>
  <c r="BY97" i="83"/>
  <c r="BY92" i="83"/>
  <c r="DC147" i="83"/>
  <c r="DC151" i="83" s="1"/>
  <c r="AY151" i="83"/>
  <c r="AY152" i="83" s="1"/>
  <c r="CJ147" i="83"/>
  <c r="CJ151" i="83" s="1"/>
  <c r="DB155" i="83"/>
  <c r="DB160" i="83" s="1"/>
  <c r="AU160" i="83"/>
  <c r="CI155" i="83"/>
  <c r="CI160" i="83" s="1"/>
  <c r="CZ97" i="83"/>
  <c r="CZ92" i="83"/>
  <c r="CA97" i="83"/>
  <c r="CA92" i="83"/>
  <c r="BU157" i="83"/>
  <c r="BU148" i="83"/>
  <c r="BU149" i="83" s="1"/>
  <c r="BU158" i="83" s="1"/>
  <c r="BU150" i="83"/>
  <c r="BU159" i="83" s="1"/>
  <c r="DH80" i="83"/>
  <c r="CY147" i="83"/>
  <c r="CY151" i="83" s="1"/>
  <c r="AI151" i="83"/>
  <c r="AI152" i="83" s="1"/>
  <c r="CF147" i="83"/>
  <c r="CF151" i="83" s="1"/>
  <c r="CI97" i="83"/>
  <c r="CI92" i="83"/>
  <c r="BT159" i="83"/>
  <c r="CT147" i="83"/>
  <c r="CT151" i="83" s="1"/>
  <c r="O151" i="83"/>
  <c r="O152" i="83" s="1"/>
  <c r="CA147" i="83"/>
  <c r="CA151" i="83" s="1"/>
  <c r="DA155" i="83"/>
  <c r="DA160" i="83" s="1"/>
  <c r="AQ160" i="83"/>
  <c r="CH155" i="83"/>
  <c r="CH160" i="83" s="1"/>
  <c r="CF97" i="83"/>
  <c r="CF92" i="83"/>
  <c r="CS147" i="83"/>
  <c r="CS151" i="83" s="1"/>
  <c r="K151" i="83"/>
  <c r="K152" i="83" s="1"/>
  <c r="BZ147" i="83"/>
  <c r="BZ151" i="83" s="1"/>
  <c r="CT97" i="83"/>
  <c r="CT92" i="83"/>
  <c r="BW173" i="83"/>
  <c r="CP173" i="83" s="1"/>
  <c r="BW164" i="83"/>
  <c r="BW165" i="83" s="1"/>
  <c r="BW51" i="83"/>
  <c r="DH173" i="83"/>
  <c r="CS97" i="83"/>
  <c r="CS92" i="83"/>
  <c r="DC97" i="83"/>
  <c r="DC92" i="83"/>
  <c r="CR97" i="83"/>
  <c r="CR92" i="83"/>
  <c r="BV72" i="83"/>
  <c r="BV136" i="83" s="1"/>
  <c r="BW67" i="83"/>
  <c r="CP67" i="83" s="1"/>
  <c r="BV66" i="83"/>
  <c r="CY97" i="83"/>
  <c r="CY92" i="83"/>
  <c r="BN122" i="53"/>
  <c r="BN66" i="53"/>
  <c r="BN15" i="53" s="1"/>
  <c r="BN17" i="53" s="1"/>
  <c r="BN120" i="53"/>
  <c r="BN124" i="53"/>
  <c r="BN170" i="53"/>
  <c r="BN59" i="53"/>
  <c r="BN61" i="53" s="1"/>
  <c r="BN26" i="53"/>
  <c r="BN48" i="53"/>
  <c r="BN50" i="53" s="1"/>
  <c r="BN28" i="53"/>
  <c r="BN121" i="53"/>
  <c r="BN125" i="53" s="1"/>
  <c r="BN127" i="53" s="1"/>
  <c r="BN123" i="53"/>
  <c r="BN171" i="53"/>
  <c r="BN173" i="53" s="1"/>
  <c r="BN16" i="2"/>
  <c r="C17" i="90" l="1"/>
  <c r="E17" i="90" s="1"/>
  <c r="E19" i="90" s="1"/>
  <c r="DH150" i="83"/>
  <c r="BW80" i="83"/>
  <c r="BW150" i="83" s="1"/>
  <c r="CS152" i="83"/>
  <c r="BZ152" i="83"/>
  <c r="CT152" i="83"/>
  <c r="CA152" i="83"/>
  <c r="CY152" i="83"/>
  <c r="CF152" i="83"/>
  <c r="DC152" i="83"/>
  <c r="CJ152" i="83"/>
  <c r="CZ152" i="83"/>
  <c r="CG152" i="83"/>
  <c r="DH159" i="83"/>
  <c r="CO158" i="83"/>
  <c r="BT158" i="83"/>
  <c r="CP164" i="83"/>
  <c r="CP165" i="83" s="1"/>
  <c r="CP51" i="83"/>
  <c r="DA152" i="83"/>
  <c r="CH152" i="83"/>
  <c r="DB152" i="83"/>
  <c r="CI152" i="83"/>
  <c r="CR152" i="83"/>
  <c r="BY152" i="83"/>
  <c r="CP72" i="83"/>
  <c r="CP136" i="83" s="1"/>
  <c r="CP66" i="83"/>
  <c r="BW66" i="83"/>
  <c r="BW72" i="83"/>
  <c r="BW136" i="83" s="1"/>
  <c r="BW157" i="83"/>
  <c r="BW148" i="83"/>
  <c r="BW149" i="83" s="1"/>
  <c r="BV157" i="83"/>
  <c r="BV148" i="83"/>
  <c r="BV149" i="83" s="1"/>
  <c r="BV158" i="83" s="1"/>
  <c r="DH88" i="83"/>
  <c r="BV88" i="83"/>
  <c r="CP80" i="83"/>
  <c r="BN20" i="53"/>
  <c r="BN37" i="53"/>
  <c r="BN39" i="53" s="1"/>
  <c r="BN53" i="53"/>
  <c r="BN64" i="53"/>
  <c r="BN31" i="53"/>
  <c r="BN85" i="53"/>
  <c r="C19" i="90" l="1"/>
  <c r="CP157" i="83"/>
  <c r="DH149" i="83"/>
  <c r="BW158" i="83"/>
  <c r="CP149" i="83"/>
  <c r="DH157" i="83"/>
  <c r="CP88" i="83"/>
  <c r="BW159" i="83"/>
  <c r="CP159" i="83" s="1"/>
  <c r="CP150" i="83"/>
  <c r="CP148" i="83"/>
  <c r="DH148" i="83"/>
  <c r="CP158" i="83"/>
  <c r="DH158" i="83"/>
  <c r="BW88" i="83"/>
  <c r="BN42" i="53"/>
  <c r="BN86" i="53"/>
  <c r="BN76" i="53"/>
  <c r="BM165" i="53" l="1"/>
  <c r="BM171" i="53" s="1"/>
  <c r="BM56" i="3"/>
  <c r="BM141" i="3"/>
  <c r="BM135" i="3"/>
  <c r="BM113" i="3"/>
  <c r="BM151" i="3"/>
  <c r="BM131" i="3"/>
  <c r="BM57" i="2"/>
  <c r="BM53" i="2" s="1"/>
  <c r="BM56" i="2"/>
  <c r="BM54" i="2" s="1"/>
  <c r="BM52" i="2"/>
  <c r="BM51" i="2" s="1"/>
  <c r="BM39" i="2"/>
  <c r="BM50" i="2" l="1"/>
  <c r="BM170" i="53"/>
  <c r="BM172" i="53"/>
  <c r="BM142" i="3"/>
  <c r="BP52" i="2"/>
  <c r="BQ52" i="2" s="1"/>
  <c r="BR52" i="2" s="1"/>
  <c r="BS52" i="2" s="1"/>
  <c r="BT52" i="2" s="1"/>
  <c r="BU52" i="2" s="1"/>
  <c r="BV52" i="2" s="1"/>
  <c r="BW52" i="2" s="1"/>
  <c r="BM173" i="53" l="1"/>
  <c r="BP20" i="53" l="1"/>
  <c r="BQ20" i="53" s="1"/>
  <c r="BP42" i="53"/>
  <c r="BQ42" i="53" s="1"/>
  <c r="BM223" i="53"/>
  <c r="BM115" i="53"/>
  <c r="BM121" i="53" s="1"/>
  <c r="BM55" i="53"/>
  <c r="BN56" i="53" s="1"/>
  <c r="BM44" i="53"/>
  <c r="BN45" i="53" s="1"/>
  <c r="BM33" i="53"/>
  <c r="BN34" i="53" s="1"/>
  <c r="BM22" i="53"/>
  <c r="BN23" i="53" s="1"/>
  <c r="BM11" i="53"/>
  <c r="BN12" i="53" s="1"/>
  <c r="BM8" i="53"/>
  <c r="BM7" i="53"/>
  <c r="BM6" i="53"/>
  <c r="BM186" i="53" l="1"/>
  <c r="BM169" i="53"/>
  <c r="BM122" i="53"/>
  <c r="BM66" i="53"/>
  <c r="BM101" i="53"/>
  <c r="BM119" i="53"/>
  <c r="BM123" i="53"/>
  <c r="BM131" i="53"/>
  <c r="BM161" i="53"/>
  <c r="BM190" i="53"/>
  <c r="BM109" i="53"/>
  <c r="BM120" i="53"/>
  <c r="BM124" i="53"/>
  <c r="BM138" i="53"/>
  <c r="BM194" i="53"/>
  <c r="BM147" i="53"/>
  <c r="BM179" i="53"/>
  <c r="BM95" i="53"/>
  <c r="BM154" i="53"/>
  <c r="BM48" i="53" l="1"/>
  <c r="BN67" i="53"/>
  <c r="BM15" i="53"/>
  <c r="BM125" i="53"/>
  <c r="BM127" i="53" s="1"/>
  <c r="BM59" i="53"/>
  <c r="BM37" i="53"/>
  <c r="BM26" i="53"/>
  <c r="BM86" i="2" l="1"/>
  <c r="BM78" i="2"/>
  <c r="BM81" i="2" s="1"/>
  <c r="BM71" i="53" l="1"/>
  <c r="BM82" i="2"/>
  <c r="BM83" i="2" s="1"/>
  <c r="BM117" i="53" l="1"/>
  <c r="BM89" i="53"/>
  <c r="BM88" i="53"/>
  <c r="CP63" i="3"/>
  <c r="CO63" i="3"/>
  <c r="CN63" i="3"/>
  <c r="CM63" i="3"/>
  <c r="CL63" i="3"/>
  <c r="CP107" i="2"/>
  <c r="BM50" i="53" l="1"/>
  <c r="BN51" i="53" s="1"/>
  <c r="BM39" i="53"/>
  <c r="BN40" i="53" s="1"/>
  <c r="BM17" i="53"/>
  <c r="BN18" i="53" s="1"/>
  <c r="BM61" i="53"/>
  <c r="BN62" i="53" s="1"/>
  <c r="BM28" i="53"/>
  <c r="BN29" i="53" s="1"/>
  <c r="BM64" i="53" l="1"/>
  <c r="BM42" i="53"/>
  <c r="BM9" i="3"/>
  <c r="BM31" i="53"/>
  <c r="BM20" i="53"/>
  <c r="BM85" i="53"/>
  <c r="BM53" i="53"/>
  <c r="BM86" i="53" l="1"/>
  <c r="BM76" i="53"/>
  <c r="DH8" i="53" l="1"/>
  <c r="DH52" i="3"/>
  <c r="DH49" i="3"/>
  <c r="DH45" i="3"/>
  <c r="DH140" i="3" s="1"/>
  <c r="DH44" i="3"/>
  <c r="DH42" i="3"/>
  <c r="DH41" i="3"/>
  <c r="DH40" i="3"/>
  <c r="DH135" i="3" s="1"/>
  <c r="DH39" i="3"/>
  <c r="DH34" i="3"/>
  <c r="DH33" i="3"/>
  <c r="DH32" i="3"/>
  <c r="DH127" i="3" s="1"/>
  <c r="DH31" i="3"/>
  <c r="DH30" i="3"/>
  <c r="DH18" i="3"/>
  <c r="DH17" i="3"/>
  <c r="DH112" i="3" s="1"/>
  <c r="DH16" i="3"/>
  <c r="DH14" i="3"/>
  <c r="DH12" i="3"/>
  <c r="DH147" i="3"/>
  <c r="DH144" i="3"/>
  <c r="DH139" i="3"/>
  <c r="DH137" i="3"/>
  <c r="DH136" i="3"/>
  <c r="DH134" i="3"/>
  <c r="DH129" i="3"/>
  <c r="DH128" i="3"/>
  <c r="DH126" i="3"/>
  <c r="DH125" i="3"/>
  <c r="DH113" i="3"/>
  <c r="DH111" i="3"/>
  <c r="DH109" i="3"/>
  <c r="DH107" i="3"/>
  <c r="DH6" i="2"/>
  <c r="DH6" i="3" s="1"/>
  <c r="DH5" i="2"/>
  <c r="DH49" i="2" s="1"/>
  <c r="DH60" i="2" s="1"/>
  <c r="DH194" i="53"/>
  <c r="DH190" i="53"/>
  <c r="DH186" i="53"/>
  <c r="DH179" i="53"/>
  <c r="DH169" i="53"/>
  <c r="DH161" i="53"/>
  <c r="DH154" i="53"/>
  <c r="DH147" i="53"/>
  <c r="DH138" i="53"/>
  <c r="DH131" i="53"/>
  <c r="DH119" i="53"/>
  <c r="DH109" i="53"/>
  <c r="DH101" i="53"/>
  <c r="DH95" i="53"/>
  <c r="CP223" i="53"/>
  <c r="CP8" i="53"/>
  <c r="CP194" i="53" s="1"/>
  <c r="DH5" i="3" l="1"/>
  <c r="DH61" i="3" s="1"/>
  <c r="DH76" i="3" s="1"/>
  <c r="DH86" i="3" s="1"/>
  <c r="DH102" i="3" s="1"/>
  <c r="DH65" i="3"/>
  <c r="DH131" i="2"/>
  <c r="DH94" i="2"/>
  <c r="DH77" i="2"/>
  <c r="DH123" i="2"/>
  <c r="CP109" i="53"/>
  <c r="CP147" i="53"/>
  <c r="CP161" i="53"/>
  <c r="CP179" i="53"/>
  <c r="CP190" i="53"/>
  <c r="CP95" i="53"/>
  <c r="CP131" i="53"/>
  <c r="CP101" i="53"/>
  <c r="CP119" i="53"/>
  <c r="CP138" i="53"/>
  <c r="CP154" i="53"/>
  <c r="CP169" i="53"/>
  <c r="CP186" i="53"/>
  <c r="BL56" i="3" l="1"/>
  <c r="BL52" i="3"/>
  <c r="BM52" i="3" s="1"/>
  <c r="BL49" i="3"/>
  <c r="BM49" i="3" s="1"/>
  <c r="BL45" i="3"/>
  <c r="BM45" i="3" s="1"/>
  <c r="BL44" i="3"/>
  <c r="BM44" i="3" s="1"/>
  <c r="BL43" i="3"/>
  <c r="BM43" i="3" s="1"/>
  <c r="BL42" i="3"/>
  <c r="BM42" i="3" s="1"/>
  <c r="BL41" i="3"/>
  <c r="BM41" i="3" s="1"/>
  <c r="BL39" i="3"/>
  <c r="BM39" i="3" s="1"/>
  <c r="BL35" i="3"/>
  <c r="BM35" i="3" s="1"/>
  <c r="BL34" i="3"/>
  <c r="BL33" i="3"/>
  <c r="BM33" i="3" s="1"/>
  <c r="BL32" i="3"/>
  <c r="BM32" i="3" s="1"/>
  <c r="BL31" i="3"/>
  <c r="BM31" i="3" s="1"/>
  <c r="BL30" i="3"/>
  <c r="BM30" i="3" s="1"/>
  <c r="BL29" i="3"/>
  <c r="BM29" i="3" s="1"/>
  <c r="BL24" i="3"/>
  <c r="BM24" i="3" s="1"/>
  <c r="BL23" i="3"/>
  <c r="BM23" i="3" s="1"/>
  <c r="BL22" i="3"/>
  <c r="BM22" i="3" s="1"/>
  <c r="BL21" i="3"/>
  <c r="BM21" i="3" s="1"/>
  <c r="BL20" i="3"/>
  <c r="BM20" i="3" s="1"/>
  <c r="BL17" i="3"/>
  <c r="BM17" i="3" s="1"/>
  <c r="BL16" i="3"/>
  <c r="BM16" i="3" s="1"/>
  <c r="BL15" i="3"/>
  <c r="BM15" i="3" s="1"/>
  <c r="BL14" i="3"/>
  <c r="BM14" i="3" s="1"/>
  <c r="BL13" i="3"/>
  <c r="BM13" i="3" s="1"/>
  <c r="BL12" i="3"/>
  <c r="BM12" i="3" s="1"/>
  <c r="BL11" i="3"/>
  <c r="BL141" i="3"/>
  <c r="BL142" i="3" s="1"/>
  <c r="BL135" i="3"/>
  <c r="BL40" i="3" s="1"/>
  <c r="BM40" i="3" s="1"/>
  <c r="BL130" i="3"/>
  <c r="BL120" i="3"/>
  <c r="BL25" i="3" s="1"/>
  <c r="BM25" i="3" s="1"/>
  <c r="BL113" i="3"/>
  <c r="BL18" i="3" s="1"/>
  <c r="BM18" i="3" s="1"/>
  <c r="BL110" i="3"/>
  <c r="BL151" i="3"/>
  <c r="BL131" i="3"/>
  <c r="BL15" i="2"/>
  <c r="BL82" i="3" l="1"/>
  <c r="BL172" i="83"/>
  <c r="BL174" i="83" s="1"/>
  <c r="BM11" i="3"/>
  <c r="BM62" i="3"/>
  <c r="BM64" i="3" s="1"/>
  <c r="BL65" i="3"/>
  <c r="BM34" i="3"/>
  <c r="BM36" i="3" s="1"/>
  <c r="BL36" i="3"/>
  <c r="BL62" i="3"/>
  <c r="BL64" i="3" s="1"/>
  <c r="BL46" i="3"/>
  <c r="BM46" i="3" s="1"/>
  <c r="BM47" i="3" s="1"/>
  <c r="BL79" i="3"/>
  <c r="BL47" i="3"/>
  <c r="BL78" i="3"/>
  <c r="BM65" i="3" l="1"/>
  <c r="BM172" i="83"/>
  <c r="BM174" i="83" s="1"/>
  <c r="BM26" i="3"/>
  <c r="BM53" i="3" s="1"/>
  <c r="CP43" i="2"/>
  <c r="CP41" i="2"/>
  <c r="CP52" i="3"/>
  <c r="CP147" i="3" s="1"/>
  <c r="CP49" i="3"/>
  <c r="CP144" i="3" s="1"/>
  <c r="CP45" i="3"/>
  <c r="CP44" i="3"/>
  <c r="CP42" i="3"/>
  <c r="CP41" i="3"/>
  <c r="CP136" i="3" s="1"/>
  <c r="CP40" i="3"/>
  <c r="CP39" i="3"/>
  <c r="CP34" i="3"/>
  <c r="CP33" i="3"/>
  <c r="CP128" i="3" s="1"/>
  <c r="CP32" i="3"/>
  <c r="CP31" i="3"/>
  <c r="CP30" i="3"/>
  <c r="CP19" i="3"/>
  <c r="CP18" i="3"/>
  <c r="CP17" i="3"/>
  <c r="CP16" i="3"/>
  <c r="CP14" i="3"/>
  <c r="CP109" i="3" s="1"/>
  <c r="CP12" i="3"/>
  <c r="CP140" i="3"/>
  <c r="CP139" i="3"/>
  <c r="CP137" i="3"/>
  <c r="CP135" i="3"/>
  <c r="CP129" i="3"/>
  <c r="CP127" i="3"/>
  <c r="CP126" i="3"/>
  <c r="CP125" i="3"/>
  <c r="CP113" i="3"/>
  <c r="CP112" i="3"/>
  <c r="CP65" i="3"/>
  <c r="CP107" i="3"/>
  <c r="CP7" i="2"/>
  <c r="CP49" i="2" s="1"/>
  <c r="CP60" i="2" s="1"/>
  <c r="CP131" i="2" s="1"/>
  <c r="CP126" i="2"/>
  <c r="CP143" i="2"/>
  <c r="BW126" i="2"/>
  <c r="BV126" i="2"/>
  <c r="BU126" i="2"/>
  <c r="BT126" i="2"/>
  <c r="BW51" i="2"/>
  <c r="BV51" i="2"/>
  <c r="BU51" i="2"/>
  <c r="BT51" i="2"/>
  <c r="BW157" i="3"/>
  <c r="BV157" i="3"/>
  <c r="BT157" i="3"/>
  <c r="BW8" i="53"/>
  <c r="BV8" i="53"/>
  <c r="BU8" i="53"/>
  <c r="BT8" i="53"/>
  <c r="BW7" i="53"/>
  <c r="BV7" i="53"/>
  <c r="BU7" i="53"/>
  <c r="BT7" i="53"/>
  <c r="BW6" i="53"/>
  <c r="BV6" i="53"/>
  <c r="BU6" i="53"/>
  <c r="BT6" i="53"/>
  <c r="BU157" i="3"/>
  <c r="BT147" i="3"/>
  <c r="BU147" i="3" s="1"/>
  <c r="BV147" i="3" s="1"/>
  <c r="BW147" i="3" s="1"/>
  <c r="BT144" i="3"/>
  <c r="BU144" i="3" s="1"/>
  <c r="BV144" i="3" s="1"/>
  <c r="BW144" i="3" s="1"/>
  <c r="BT140" i="3"/>
  <c r="BU140" i="3" s="1"/>
  <c r="BV140" i="3" s="1"/>
  <c r="BW140" i="3" s="1"/>
  <c r="BT139" i="3"/>
  <c r="BU139" i="3" s="1"/>
  <c r="BV139" i="3" s="1"/>
  <c r="BW139" i="3" s="1"/>
  <c r="BT137" i="3"/>
  <c r="BU137" i="3" s="1"/>
  <c r="BV137" i="3" s="1"/>
  <c r="BW137" i="3" s="1"/>
  <c r="BT136" i="3"/>
  <c r="BU136" i="3" s="1"/>
  <c r="BV136" i="3" s="1"/>
  <c r="BW136" i="3" s="1"/>
  <c r="BT135" i="3"/>
  <c r="BU135" i="3" s="1"/>
  <c r="BV135" i="3" s="1"/>
  <c r="BW135" i="3" s="1"/>
  <c r="BT134" i="3"/>
  <c r="BU134" i="3" s="1"/>
  <c r="BT129" i="3"/>
  <c r="BU129" i="3" s="1"/>
  <c r="BV129" i="3" s="1"/>
  <c r="BW129" i="3" s="1"/>
  <c r="BT128" i="3"/>
  <c r="BU128" i="3" s="1"/>
  <c r="BV128" i="3" s="1"/>
  <c r="BW128" i="3" s="1"/>
  <c r="BT127" i="3"/>
  <c r="BU127" i="3" s="1"/>
  <c r="BV127" i="3" s="1"/>
  <c r="BW127" i="3" s="1"/>
  <c r="BT126" i="3"/>
  <c r="BU126" i="3" s="1"/>
  <c r="BV126" i="3" s="1"/>
  <c r="BW126" i="3" s="1"/>
  <c r="BT125" i="3"/>
  <c r="BU125" i="3" s="1"/>
  <c r="BV125" i="3" s="1"/>
  <c r="BW125" i="3" s="1"/>
  <c r="BT113" i="3"/>
  <c r="BU113" i="3" s="1"/>
  <c r="BV113" i="3" s="1"/>
  <c r="BW113" i="3" s="1"/>
  <c r="BT112" i="3"/>
  <c r="BU112" i="3" s="1"/>
  <c r="BV112" i="3" s="1"/>
  <c r="BW112" i="3" s="1"/>
  <c r="BT111" i="3"/>
  <c r="BU111" i="3" s="1"/>
  <c r="BV111" i="3" s="1"/>
  <c r="BW111" i="3" s="1"/>
  <c r="BT109" i="3"/>
  <c r="BU109" i="3" s="1"/>
  <c r="BV109" i="3" s="1"/>
  <c r="BW109" i="3" s="1"/>
  <c r="BT107" i="3"/>
  <c r="BU107" i="3" s="1"/>
  <c r="BV107" i="3" s="1"/>
  <c r="BW107" i="3" s="1"/>
  <c r="BW91" i="3"/>
  <c r="BV91" i="3"/>
  <c r="BU91" i="3"/>
  <c r="BT91" i="3"/>
  <c r="BT78" i="3"/>
  <c r="BW65" i="3"/>
  <c r="BV65" i="3"/>
  <c r="BU65" i="3"/>
  <c r="BT65" i="3"/>
  <c r="BU148" i="2"/>
  <c r="BW7" i="2"/>
  <c r="BW49" i="2" s="1"/>
  <c r="BW60" i="2" s="1"/>
  <c r="BW123" i="2" s="1"/>
  <c r="BV7" i="2"/>
  <c r="BV49" i="2" s="1"/>
  <c r="BV60" i="2" s="1"/>
  <c r="BV131" i="2" s="1"/>
  <c r="BU7" i="2"/>
  <c r="BU49" i="2" s="1"/>
  <c r="BU60" i="2" s="1"/>
  <c r="BU123" i="2" s="1"/>
  <c r="BT7" i="2"/>
  <c r="BT49" i="2" s="1"/>
  <c r="BT60" i="2" s="1"/>
  <c r="BT131" i="2" s="1"/>
  <c r="BW6" i="2"/>
  <c r="BW6" i="3" s="1"/>
  <c r="BV6" i="2"/>
  <c r="BV6" i="3" s="1"/>
  <c r="BU6" i="2"/>
  <c r="BU6" i="3" s="1"/>
  <c r="BT6" i="2"/>
  <c r="BT6" i="3" s="1"/>
  <c r="BW5" i="2"/>
  <c r="BW5" i="3" s="1"/>
  <c r="BV5" i="2"/>
  <c r="BV5" i="3" s="1"/>
  <c r="BU5" i="2"/>
  <c r="BU5" i="3" s="1"/>
  <c r="BT5" i="2"/>
  <c r="BT5" i="3" s="1"/>
  <c r="BL165" i="53"/>
  <c r="BL172" i="53" s="1"/>
  <c r="BL55" i="53"/>
  <c r="BM56" i="53" s="1"/>
  <c r="BL44" i="53"/>
  <c r="BM45" i="53" s="1"/>
  <c r="BL33" i="53"/>
  <c r="BM34" i="53" s="1"/>
  <c r="BL22" i="53"/>
  <c r="BM23" i="53" s="1"/>
  <c r="BL11" i="53"/>
  <c r="BM12" i="53" s="1"/>
  <c r="BL115" i="53"/>
  <c r="BL123" i="53" s="1"/>
  <c r="BL57" i="2"/>
  <c r="BL52" i="2" s="1"/>
  <c r="BL51" i="2" s="1"/>
  <c r="BL56" i="2"/>
  <c r="BL54" i="2" s="1"/>
  <c r="BL39" i="2"/>
  <c r="BL34" i="2"/>
  <c r="BL88" i="53"/>
  <c r="BL53" i="2" l="1"/>
  <c r="BU78" i="3"/>
  <c r="CP78" i="3" s="1"/>
  <c r="BW148" i="2"/>
  <c r="BV148" i="2"/>
  <c r="BL120" i="53"/>
  <c r="BL122" i="53"/>
  <c r="BL124" i="53"/>
  <c r="BL121" i="53"/>
  <c r="CP148" i="2"/>
  <c r="CP224" i="53"/>
  <c r="CP94" i="2"/>
  <c r="CP7" i="3"/>
  <c r="CP102" i="3" s="1"/>
  <c r="CP77" i="2"/>
  <c r="CP91" i="3"/>
  <c r="CP123" i="2"/>
  <c r="BT148" i="2"/>
  <c r="CP157" i="3"/>
  <c r="CP111" i="3"/>
  <c r="CP134" i="3"/>
  <c r="BT123" i="2"/>
  <c r="BV123" i="2"/>
  <c r="BW7" i="3"/>
  <c r="BW102" i="3" s="1"/>
  <c r="BU131" i="2"/>
  <c r="BW131" i="2"/>
  <c r="BV7" i="3"/>
  <c r="BV102" i="3" s="1"/>
  <c r="BU7" i="3"/>
  <c r="BU102" i="3" s="1"/>
  <c r="BT7" i="3"/>
  <c r="BT102" i="3" s="1"/>
  <c r="BU194" i="53"/>
  <c r="BU190" i="53"/>
  <c r="BU186" i="53"/>
  <c r="BU179" i="53"/>
  <c r="BU169" i="53"/>
  <c r="BU161" i="53"/>
  <c r="BU154" i="53"/>
  <c r="BU147" i="53"/>
  <c r="BU138" i="53"/>
  <c r="BU131" i="53"/>
  <c r="BU119" i="53"/>
  <c r="BU109" i="53"/>
  <c r="BU101" i="53"/>
  <c r="BU95" i="53"/>
  <c r="BW194" i="53"/>
  <c r="BW190" i="53"/>
  <c r="BW186" i="53"/>
  <c r="BW179" i="53"/>
  <c r="BW169" i="53"/>
  <c r="BW161" i="53"/>
  <c r="BW154" i="53"/>
  <c r="BW147" i="53"/>
  <c r="BW138" i="53"/>
  <c r="BW131" i="53"/>
  <c r="BW119" i="53"/>
  <c r="BW109" i="53"/>
  <c r="BW101" i="53"/>
  <c r="BW95" i="53"/>
  <c r="BT194" i="53"/>
  <c r="BT190" i="53"/>
  <c r="BT186" i="53"/>
  <c r="BT179" i="53"/>
  <c r="BT169" i="53"/>
  <c r="BT161" i="53"/>
  <c r="BT154" i="53"/>
  <c r="BT147" i="53"/>
  <c r="BT138" i="53"/>
  <c r="BT131" i="53"/>
  <c r="BT119" i="53"/>
  <c r="BT109" i="53"/>
  <c r="BT101" i="53"/>
  <c r="BT95" i="53"/>
  <c r="BV194" i="53"/>
  <c r="BV190" i="53"/>
  <c r="BV186" i="53"/>
  <c r="BV179" i="53"/>
  <c r="BV169" i="53"/>
  <c r="BV161" i="53"/>
  <c r="BV154" i="53"/>
  <c r="BV147" i="53"/>
  <c r="BV138" i="53"/>
  <c r="BV131" i="53"/>
  <c r="BV119" i="53"/>
  <c r="BV109" i="53"/>
  <c r="BV101" i="53"/>
  <c r="BV95" i="53"/>
  <c r="BL66" i="53"/>
  <c r="BV134" i="3"/>
  <c r="BU94" i="2"/>
  <c r="BU77" i="2"/>
  <c r="BW94" i="2"/>
  <c r="BW77" i="2"/>
  <c r="BT94" i="2"/>
  <c r="BT77" i="2"/>
  <c r="BV94" i="2"/>
  <c r="BV77" i="2"/>
  <c r="BL171" i="53"/>
  <c r="BL170" i="53"/>
  <c r="BL71" i="53"/>
  <c r="BL117" i="53" s="1"/>
  <c r="BL50" i="2"/>
  <c r="BL16" i="2"/>
  <c r="BL25" i="2" s="1"/>
  <c r="BL15" i="53" l="1"/>
  <c r="BL17" i="53" s="1"/>
  <c r="BM18" i="53" s="1"/>
  <c r="BM67" i="53"/>
  <c r="BL20" i="53"/>
  <c r="BW61" i="3"/>
  <c r="BW76" i="3" s="1"/>
  <c r="BW86" i="3" s="1"/>
  <c r="BL125" i="53"/>
  <c r="BL127" i="53" s="1"/>
  <c r="CP61" i="3"/>
  <c r="CP76" i="3" s="1"/>
  <c r="CP86" i="3" s="1"/>
  <c r="BL89" i="53"/>
  <c r="BU61" i="3"/>
  <c r="BU76" i="3" s="1"/>
  <c r="BU86" i="3" s="1"/>
  <c r="BT61" i="3"/>
  <c r="BT76" i="3" s="1"/>
  <c r="BT86" i="3" s="1"/>
  <c r="BV61" i="3"/>
  <c r="BV76" i="3" s="1"/>
  <c r="BV86" i="3" s="1"/>
  <c r="BL26" i="53"/>
  <c r="BL28" i="53" s="1"/>
  <c r="BL59" i="53"/>
  <c r="BL61" i="53" s="1"/>
  <c r="BL48" i="53"/>
  <c r="BL50" i="53" s="1"/>
  <c r="BL37" i="53"/>
  <c r="BL39" i="53" s="1"/>
  <c r="BW134" i="3"/>
  <c r="BL173" i="53"/>
  <c r="BL42" i="53" l="1"/>
  <c r="BM40" i="53"/>
  <c r="BL53" i="53"/>
  <c r="BM51" i="53"/>
  <c r="BL31" i="53"/>
  <c r="BM29" i="53"/>
  <c r="BL64" i="53"/>
  <c r="BM62" i="53"/>
  <c r="BL9" i="3"/>
  <c r="BL26" i="3" s="1"/>
  <c r="BL53" i="3" s="1"/>
  <c r="BL85" i="53"/>
  <c r="BL86" i="53" s="1"/>
  <c r="BL76" i="53" l="1"/>
  <c r="BK77" i="3" l="1"/>
  <c r="BK56" i="3"/>
  <c r="BK141" i="3"/>
  <c r="BK126" i="3"/>
  <c r="BK113" i="3" l="1"/>
  <c r="BK120" i="3"/>
  <c r="BK110" i="3"/>
  <c r="BM224" i="53" l="1"/>
  <c r="DH157" i="3" l="1"/>
  <c r="DH148" i="2"/>
  <c r="BK71" i="53" l="1"/>
  <c r="BK55" i="53"/>
  <c r="BL56" i="53" s="1"/>
  <c r="BK44" i="53"/>
  <c r="BL45" i="53" s="1"/>
  <c r="BK33" i="53"/>
  <c r="BL34" i="53" s="1"/>
  <c r="BK22" i="53"/>
  <c r="BL23" i="53" s="1"/>
  <c r="BK11" i="53"/>
  <c r="BL12" i="53" s="1"/>
  <c r="BK115" i="53"/>
  <c r="BK121" i="53" s="1"/>
  <c r="BK66" i="53" l="1"/>
  <c r="BK26" i="53" s="1"/>
  <c r="BK15" i="53"/>
  <c r="BK120" i="53"/>
  <c r="BK123" i="53"/>
  <c r="BK124" i="53"/>
  <c r="BK117" i="53"/>
  <c r="BK122" i="53"/>
  <c r="BK37" i="53" l="1"/>
  <c r="BL67" i="53"/>
  <c r="BK48" i="53"/>
  <c r="BK59" i="53"/>
  <c r="BK125" i="53"/>
  <c r="BK127" i="53" s="1"/>
  <c r="BK86" i="2"/>
  <c r="BK78" i="2"/>
  <c r="BK81" i="2" s="1"/>
  <c r="BK57" i="2"/>
  <c r="BK52" i="2" s="1"/>
  <c r="BK51" i="2" s="1"/>
  <c r="BK56" i="2"/>
  <c r="BK54" i="2" s="1"/>
  <c r="BK36" i="2"/>
  <c r="BL36" i="2" s="1"/>
  <c r="BK39" i="2"/>
  <c r="BK15" i="2"/>
  <c r="BL37" i="2" l="1"/>
  <c r="BL44" i="2" s="1"/>
  <c r="BT13" i="3"/>
  <c r="BK50" i="2"/>
  <c r="BK37" i="2"/>
  <c r="BK87" i="2" s="1"/>
  <c r="BK88" i="2" s="1"/>
  <c r="BK89" i="2" s="1"/>
  <c r="BK34" i="2"/>
  <c r="BK53" i="2"/>
  <c r="BK82" i="2"/>
  <c r="BK83" i="2" s="1"/>
  <c r="BK16" i="2"/>
  <c r="BK25" i="2" s="1"/>
  <c r="BK44" i="2" l="1"/>
  <c r="BT108" i="3"/>
  <c r="BU13" i="3"/>
  <c r="BT78" i="2"/>
  <c r="BT43" i="3"/>
  <c r="BK91" i="2"/>
  <c r="BK46" i="2"/>
  <c r="BU108" i="3" l="1"/>
  <c r="BU78" i="2"/>
  <c r="BU43" i="3"/>
  <c r="BW13" i="3"/>
  <c r="BT138" i="3"/>
  <c r="BV13" i="3"/>
  <c r="BV108" i="3" l="1"/>
  <c r="BW108" i="3" s="1"/>
  <c r="DH78" i="2"/>
  <c r="CP13" i="3"/>
  <c r="CP108" i="3" s="1"/>
  <c r="BU138" i="3"/>
  <c r="BV78" i="2"/>
  <c r="BV43" i="3"/>
  <c r="CP78" i="2" l="1"/>
  <c r="BV138" i="3"/>
  <c r="BW78" i="2"/>
  <c r="BW43" i="3"/>
  <c r="CP43" i="3" s="1"/>
  <c r="CP138" i="3" l="1"/>
  <c r="BW138" i="3"/>
  <c r="BJ15" i="2" l="1"/>
  <c r="BG91" i="3" l="1"/>
  <c r="BC91" i="3"/>
  <c r="AX91" i="3"/>
  <c r="AW91" i="3"/>
  <c r="AV91" i="3"/>
  <c r="AT91" i="3"/>
  <c r="AS91" i="3"/>
  <c r="AR91" i="3"/>
  <c r="AP91" i="3"/>
  <c r="AO91" i="3"/>
  <c r="AN91" i="3"/>
  <c r="AL91" i="3"/>
  <c r="AK91" i="3"/>
  <c r="AJ91" i="3"/>
  <c r="AH91" i="3"/>
  <c r="AG91" i="3"/>
  <c r="AF91" i="3"/>
  <c r="AD91" i="3"/>
  <c r="AC91" i="3"/>
  <c r="AB91" i="3"/>
  <c r="Z91" i="3"/>
  <c r="Y91" i="3"/>
  <c r="X91" i="3"/>
  <c r="W91" i="3"/>
  <c r="V91" i="3"/>
  <c r="U91" i="3"/>
  <c r="T91" i="3"/>
  <c r="R91" i="3"/>
  <c r="Q91" i="3"/>
  <c r="P91" i="3"/>
  <c r="N91" i="3"/>
  <c r="M91" i="3"/>
  <c r="L91" i="3"/>
  <c r="J91" i="3"/>
  <c r="I91" i="3"/>
  <c r="H91" i="3"/>
  <c r="F91" i="3"/>
  <c r="E91" i="3"/>
  <c r="D91" i="3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O223" i="53"/>
  <c r="CN223" i="53"/>
  <c r="CM223" i="53"/>
  <c r="CL223" i="53"/>
  <c r="CK223" i="53"/>
  <c r="CJ223" i="53"/>
  <c r="CI223" i="53"/>
  <c r="CH223" i="53"/>
  <c r="CG223" i="53"/>
  <c r="CF223" i="53"/>
  <c r="CE223" i="53"/>
  <c r="CD223" i="53"/>
  <c r="CC223" i="53"/>
  <c r="CB223" i="53"/>
  <c r="CA223" i="53"/>
  <c r="BZ223" i="53"/>
  <c r="BY223" i="53"/>
  <c r="BS223" i="53"/>
  <c r="BR223" i="53"/>
  <c r="BQ223" i="53"/>
  <c r="BP223" i="53"/>
  <c r="BO223" i="53"/>
  <c r="BN223" i="53"/>
  <c r="BL223" i="53"/>
  <c r="BK223" i="53"/>
  <c r="BJ223" i="53"/>
  <c r="BI223" i="53"/>
  <c r="BH223" i="53"/>
  <c r="BG223" i="53"/>
  <c r="BF223" i="53"/>
  <c r="BE223" i="53"/>
  <c r="BD223" i="53"/>
  <c r="BC223" i="53"/>
  <c r="BB223" i="53"/>
  <c r="BA223" i="53"/>
  <c r="AZ223" i="53"/>
  <c r="AY223" i="53"/>
  <c r="AX223" i="53"/>
  <c r="AW223" i="53"/>
  <c r="AV223" i="53"/>
  <c r="AU223" i="53"/>
  <c r="AT223" i="53"/>
  <c r="AS223" i="53"/>
  <c r="AR223" i="53"/>
  <c r="AQ223" i="53"/>
  <c r="AP223" i="53"/>
  <c r="AO223" i="53"/>
  <c r="AN223" i="53"/>
  <c r="AM223" i="53"/>
  <c r="AL223" i="53"/>
  <c r="AK223" i="53"/>
  <c r="AJ223" i="53"/>
  <c r="AI223" i="53"/>
  <c r="AH223" i="53"/>
  <c r="AG223" i="53"/>
  <c r="AF223" i="53"/>
  <c r="AE223" i="53"/>
  <c r="AD223" i="53"/>
  <c r="AC223" i="53"/>
  <c r="AB223" i="53"/>
  <c r="AA223" i="53"/>
  <c r="Z223" i="53"/>
  <c r="Y223" i="53"/>
  <c r="X223" i="53"/>
  <c r="W223" i="53"/>
  <c r="V223" i="53"/>
  <c r="U223" i="53"/>
  <c r="T223" i="53"/>
  <c r="S223" i="53"/>
  <c r="R223" i="53"/>
  <c r="Q223" i="53"/>
  <c r="P223" i="53"/>
  <c r="O223" i="53"/>
  <c r="N223" i="53"/>
  <c r="M223" i="53"/>
  <c r="L223" i="53"/>
  <c r="K223" i="53"/>
  <c r="J223" i="53"/>
  <c r="I223" i="53"/>
  <c r="H223" i="53"/>
  <c r="G223" i="53"/>
  <c r="F223" i="53"/>
  <c r="E223" i="53"/>
  <c r="D223" i="53"/>
  <c r="BD172" i="53"/>
  <c r="BB172" i="53"/>
  <c r="BA172" i="53"/>
  <c r="AZ172" i="53"/>
  <c r="AX172" i="53"/>
  <c r="AW172" i="53"/>
  <c r="AV172" i="53"/>
  <c r="AT172" i="53"/>
  <c r="AS172" i="53"/>
  <c r="AR172" i="53"/>
  <c r="AP172" i="53"/>
  <c r="AO172" i="53"/>
  <c r="AN172" i="53"/>
  <c r="AL172" i="53"/>
  <c r="AK172" i="53"/>
  <c r="AJ172" i="53"/>
  <c r="AH172" i="53"/>
  <c r="AG172" i="53"/>
  <c r="AF172" i="53"/>
  <c r="AD172" i="53"/>
  <c r="AC172" i="53"/>
  <c r="AB172" i="53"/>
  <c r="Z172" i="53"/>
  <c r="Y172" i="53"/>
  <c r="X172" i="53"/>
  <c r="V172" i="53"/>
  <c r="U172" i="53"/>
  <c r="T172" i="53"/>
  <c r="R172" i="53"/>
  <c r="Q172" i="53"/>
  <c r="P172" i="53"/>
  <c r="N172" i="53"/>
  <c r="M172" i="53"/>
  <c r="L172" i="53"/>
  <c r="J172" i="53"/>
  <c r="I172" i="53"/>
  <c r="H172" i="53"/>
  <c r="F172" i="53"/>
  <c r="E172" i="53"/>
  <c r="D172" i="53"/>
  <c r="BD171" i="53"/>
  <c r="BB171" i="53"/>
  <c r="BA171" i="53"/>
  <c r="AZ171" i="53"/>
  <c r="AX171" i="53"/>
  <c r="AW171" i="53"/>
  <c r="AV171" i="53"/>
  <c r="AT171" i="53"/>
  <c r="AS171" i="53"/>
  <c r="AR171" i="53"/>
  <c r="AP171" i="53"/>
  <c r="AO171" i="53"/>
  <c r="AN171" i="53"/>
  <c r="AL171" i="53"/>
  <c r="AK171" i="53"/>
  <c r="AJ171" i="53"/>
  <c r="AH171" i="53"/>
  <c r="AG171" i="53"/>
  <c r="AF171" i="53"/>
  <c r="AD171" i="53"/>
  <c r="AC171" i="53"/>
  <c r="AB171" i="53"/>
  <c r="Z171" i="53"/>
  <c r="Y171" i="53"/>
  <c r="X171" i="53"/>
  <c r="V171" i="53"/>
  <c r="U171" i="53"/>
  <c r="T171" i="53"/>
  <c r="R171" i="53"/>
  <c r="Q171" i="53"/>
  <c r="P171" i="53"/>
  <c r="N171" i="53"/>
  <c r="M171" i="53"/>
  <c r="L171" i="53"/>
  <c r="J171" i="53"/>
  <c r="I171" i="53"/>
  <c r="H171" i="53"/>
  <c r="F171" i="53"/>
  <c r="E171" i="53"/>
  <c r="D171" i="53"/>
  <c r="BD170" i="53"/>
  <c r="BB170" i="53"/>
  <c r="BA170" i="53"/>
  <c r="AZ170" i="53"/>
  <c r="AX170" i="53"/>
  <c r="AW170" i="53"/>
  <c r="AV170" i="53"/>
  <c r="AT170" i="53"/>
  <c r="AS170" i="53"/>
  <c r="AR170" i="53"/>
  <c r="AP170" i="53"/>
  <c r="AO170" i="53"/>
  <c r="AN170" i="53"/>
  <c r="AL170" i="53"/>
  <c r="AK170" i="53"/>
  <c r="AJ170" i="53"/>
  <c r="AH170" i="53"/>
  <c r="AG170" i="53"/>
  <c r="AF170" i="53"/>
  <c r="AD170" i="53"/>
  <c r="AC170" i="53"/>
  <c r="AB170" i="53"/>
  <c r="Z170" i="53"/>
  <c r="Y170" i="53"/>
  <c r="X170" i="53"/>
  <c r="V170" i="53"/>
  <c r="U170" i="53"/>
  <c r="T170" i="53"/>
  <c r="R170" i="53"/>
  <c r="Q170" i="53"/>
  <c r="P170" i="53"/>
  <c r="N170" i="53"/>
  <c r="M170" i="53"/>
  <c r="L170" i="53"/>
  <c r="J170" i="53"/>
  <c r="I170" i="53"/>
  <c r="H170" i="53"/>
  <c r="F170" i="53"/>
  <c r="E170" i="53"/>
  <c r="D170" i="53"/>
  <c r="AZ76" i="53"/>
  <c r="AX76" i="53"/>
  <c r="AW76" i="53"/>
  <c r="AV76" i="53"/>
  <c r="AT76" i="53"/>
  <c r="AS76" i="53"/>
  <c r="AR76" i="53"/>
  <c r="AP76" i="53"/>
  <c r="AO76" i="53"/>
  <c r="AN76" i="53"/>
  <c r="AL76" i="53"/>
  <c r="AK76" i="53"/>
  <c r="AJ76" i="53"/>
  <c r="AH76" i="53"/>
  <c r="AG76" i="53"/>
  <c r="AF76" i="53"/>
  <c r="AE76" i="53"/>
  <c r="AD76" i="53"/>
  <c r="AC76" i="53"/>
  <c r="AB76" i="53"/>
  <c r="AA76" i="53"/>
  <c r="Z76" i="53"/>
  <c r="Y76" i="53"/>
  <c r="X76" i="53"/>
  <c r="W76" i="53"/>
  <c r="V76" i="53"/>
  <c r="U76" i="53"/>
  <c r="T76" i="53"/>
  <c r="S76" i="53"/>
  <c r="R76" i="53"/>
  <c r="Q76" i="53"/>
  <c r="P76" i="53"/>
  <c r="N76" i="53"/>
  <c r="M76" i="53"/>
  <c r="L76" i="53"/>
  <c r="J76" i="53"/>
  <c r="I76" i="53"/>
  <c r="H76" i="53"/>
  <c r="F76" i="53"/>
  <c r="E76" i="53"/>
  <c r="D76" i="53"/>
  <c r="AX71" i="53"/>
  <c r="AW71" i="53"/>
  <c r="AV71" i="53"/>
  <c r="AT71" i="53"/>
  <c r="AS71" i="53"/>
  <c r="AR71" i="53"/>
  <c r="AP71" i="53"/>
  <c r="AO71" i="53"/>
  <c r="AN71" i="53"/>
  <c r="AL71" i="53"/>
  <c r="AK71" i="53"/>
  <c r="AJ71" i="53"/>
  <c r="AH71" i="53"/>
  <c r="AG71" i="53"/>
  <c r="AF71" i="53"/>
  <c r="AE71" i="53"/>
  <c r="AD71" i="53"/>
  <c r="AC71" i="53"/>
  <c r="AB71" i="53"/>
  <c r="AA71" i="53"/>
  <c r="Z71" i="53"/>
  <c r="Y71" i="53"/>
  <c r="X71" i="53"/>
  <c r="W71" i="53"/>
  <c r="V71" i="53"/>
  <c r="U71" i="53"/>
  <c r="T71" i="53"/>
  <c r="S71" i="53"/>
  <c r="R71" i="53"/>
  <c r="Q71" i="53"/>
  <c r="P71" i="53"/>
  <c r="N71" i="53"/>
  <c r="M71" i="53"/>
  <c r="L71" i="53"/>
  <c r="J71" i="53"/>
  <c r="I71" i="53"/>
  <c r="H71" i="53"/>
  <c r="F71" i="53"/>
  <c r="E71" i="53"/>
  <c r="D71" i="53"/>
  <c r="DG8" i="53"/>
  <c r="DF8" i="53"/>
  <c r="DE8" i="53"/>
  <c r="DD8" i="53"/>
  <c r="DC8" i="53"/>
  <c r="DB8" i="53"/>
  <c r="DA8" i="53"/>
  <c r="CZ8" i="53"/>
  <c r="CY8" i="53"/>
  <c r="CX8" i="53"/>
  <c r="CW8" i="53"/>
  <c r="CV8" i="53"/>
  <c r="CU8" i="53"/>
  <c r="CT8" i="53"/>
  <c r="CS8" i="53"/>
  <c r="CO8" i="53"/>
  <c r="CN8" i="53"/>
  <c r="CM8" i="53"/>
  <c r="CL8" i="53"/>
  <c r="CK8" i="53"/>
  <c r="CJ8" i="53"/>
  <c r="CI8" i="53"/>
  <c r="CH8" i="53"/>
  <c r="CG8" i="53"/>
  <c r="CF8" i="53"/>
  <c r="CE8" i="53"/>
  <c r="CD8" i="53"/>
  <c r="CC8" i="53"/>
  <c r="CB8" i="53"/>
  <c r="CA8" i="53"/>
  <c r="BZ8" i="53"/>
  <c r="BY8" i="53"/>
  <c r="BC8" i="53"/>
  <c r="BB8" i="53"/>
  <c r="BA8" i="53"/>
  <c r="AZ8" i="53"/>
  <c r="AY8" i="53"/>
  <c r="AX8" i="53"/>
  <c r="AW8" i="53"/>
  <c r="AV8" i="53"/>
  <c r="AU8" i="53"/>
  <c r="AT8" i="53"/>
  <c r="AS8" i="53"/>
  <c r="AR8" i="53"/>
  <c r="AQ8" i="53"/>
  <c r="AP8" i="53"/>
  <c r="AO8" i="53"/>
  <c r="AN8" i="53"/>
  <c r="AM8" i="53"/>
  <c r="AL8" i="53"/>
  <c r="AK8" i="53"/>
  <c r="AJ8" i="53"/>
  <c r="AI8" i="53"/>
  <c r="AH8" i="53"/>
  <c r="AG8" i="53"/>
  <c r="AF8" i="53"/>
  <c r="AE8" i="53"/>
  <c r="AD8" i="53"/>
  <c r="AC8" i="53"/>
  <c r="AB8" i="53"/>
  <c r="AA8" i="53"/>
  <c r="Z8" i="53"/>
  <c r="Y8" i="53"/>
  <c r="X8" i="53"/>
  <c r="W8" i="53"/>
  <c r="V8" i="53"/>
  <c r="U8" i="53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BC7" i="53"/>
  <c r="BB7" i="53"/>
  <c r="BA7" i="53"/>
  <c r="AZ7" i="53"/>
  <c r="AY7" i="53"/>
  <c r="AX7" i="53"/>
  <c r="AW7" i="53"/>
  <c r="AV7" i="53"/>
  <c r="AU7" i="53"/>
  <c r="AT7" i="53"/>
  <c r="AS7" i="53"/>
  <c r="AR7" i="53"/>
  <c r="AQ7" i="53"/>
  <c r="AP7" i="53"/>
  <c r="AO7" i="53"/>
  <c r="AN7" i="53"/>
  <c r="AM7" i="53"/>
  <c r="AL7" i="53"/>
  <c r="AK7" i="53"/>
  <c r="AJ7" i="53"/>
  <c r="AI7" i="53"/>
  <c r="AH7" i="53"/>
  <c r="AG7" i="53"/>
  <c r="AF7" i="53"/>
  <c r="AE7" i="53"/>
  <c r="AD7" i="53"/>
  <c r="AC7" i="53"/>
  <c r="AB7" i="53"/>
  <c r="AA7" i="53"/>
  <c r="Z7" i="53"/>
  <c r="Y7" i="53"/>
  <c r="X7" i="53"/>
  <c r="W7" i="53"/>
  <c r="V7" i="53"/>
  <c r="U7" i="53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BC6" i="53"/>
  <c r="BB6" i="53"/>
  <c r="BA6" i="53"/>
  <c r="AZ6" i="53"/>
  <c r="AY6" i="53"/>
  <c r="AX6" i="53"/>
  <c r="AW6" i="53"/>
  <c r="AV6" i="53"/>
  <c r="AU6" i="53"/>
  <c r="AT6" i="53"/>
  <c r="AS6" i="53"/>
  <c r="AR6" i="53"/>
  <c r="AQ6" i="53"/>
  <c r="AP6" i="53"/>
  <c r="AO6" i="53"/>
  <c r="AN6" i="53"/>
  <c r="AM6" i="53"/>
  <c r="AL6" i="53"/>
  <c r="AK6" i="53"/>
  <c r="AJ6" i="53"/>
  <c r="AI6" i="53"/>
  <c r="AH6" i="53"/>
  <c r="AG6" i="53"/>
  <c r="AF6" i="53"/>
  <c r="AE6" i="53"/>
  <c r="AD6" i="53"/>
  <c r="AC6" i="53"/>
  <c r="AB6" i="53"/>
  <c r="AA6" i="53"/>
  <c r="Z6" i="53"/>
  <c r="Y6" i="53"/>
  <c r="X6" i="53"/>
  <c r="W6" i="53"/>
  <c r="V6" i="53"/>
  <c r="U6" i="53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BJ141" i="3" l="1"/>
  <c r="BJ142" i="3" s="1"/>
  <c r="BJ135" i="3"/>
  <c r="BJ120" i="3"/>
  <c r="BJ113" i="3"/>
  <c r="BJ110" i="3"/>
  <c r="BJ131" i="3"/>
  <c r="BJ71" i="3"/>
  <c r="BJ69" i="3"/>
  <c r="BJ139" i="2"/>
  <c r="BJ134" i="2"/>
  <c r="BJ133" i="2"/>
  <c r="BJ126" i="2"/>
  <c r="BJ124" i="2"/>
  <c r="BJ87" i="2"/>
  <c r="BJ78" i="2"/>
  <c r="BJ81" i="2" s="1"/>
  <c r="BJ73" i="2"/>
  <c r="BJ57" i="2"/>
  <c r="BJ52" i="2" s="1"/>
  <c r="BJ51" i="2" s="1"/>
  <c r="BJ56" i="2"/>
  <c r="BJ54" i="2" s="1"/>
  <c r="BJ53" i="2" l="1"/>
  <c r="BJ72" i="3"/>
  <c r="BJ135" i="2"/>
  <c r="BJ50" i="2"/>
  <c r="BJ11" i="53" l="1"/>
  <c r="BJ22" i="53"/>
  <c r="BJ33" i="53"/>
  <c r="BJ44" i="53"/>
  <c r="BJ55" i="53"/>
  <c r="BJ71" i="53"/>
  <c r="BJ115" i="53"/>
  <c r="BJ120" i="53" s="1"/>
  <c r="BI115" i="53"/>
  <c r="BK23" i="53" l="1"/>
  <c r="BN25" i="53"/>
  <c r="BK45" i="53"/>
  <c r="BN47" i="53"/>
  <c r="BK56" i="53"/>
  <c r="BN58" i="53"/>
  <c r="BK34" i="53"/>
  <c r="BN36" i="53"/>
  <c r="BK12" i="53"/>
  <c r="BN14" i="53"/>
  <c r="BJ66" i="53"/>
  <c r="BJ123" i="53"/>
  <c r="BJ122" i="53"/>
  <c r="BJ121" i="53"/>
  <c r="BJ124" i="53"/>
  <c r="BJ39" i="2"/>
  <c r="BJ36" i="2"/>
  <c r="BJ34" i="2"/>
  <c r="BK67" i="53" l="1"/>
  <c r="BN69" i="53"/>
  <c r="BJ125" i="53"/>
  <c r="BJ143" i="2"/>
  <c r="BJ91" i="3"/>
  <c r="BJ90" i="3"/>
  <c r="BJ15" i="53"/>
  <c r="BJ37" i="53"/>
  <c r="BJ59" i="53"/>
  <c r="BJ26" i="53"/>
  <c r="BJ48" i="53"/>
  <c r="BJ44" i="2"/>
  <c r="BJ9" i="3" l="1"/>
  <c r="BI141" i="3" l="1"/>
  <c r="BI142" i="3" s="1"/>
  <c r="BI135" i="3"/>
  <c r="BI120" i="3"/>
  <c r="BI113" i="3"/>
  <c r="BI131" i="3"/>
  <c r="BI71" i="3"/>
  <c r="BI69" i="3"/>
  <c r="BI73" i="2"/>
  <c r="BI67" i="2"/>
  <c r="BI61" i="2"/>
  <c r="BI57" i="2"/>
  <c r="BI52" i="2" s="1"/>
  <c r="BI51" i="2" s="1"/>
  <c r="BI56" i="2"/>
  <c r="BI54" i="2" s="1"/>
  <c r="BI72" i="3" l="1"/>
  <c r="BJ61" i="2"/>
  <c r="BJ65" i="2" s="1"/>
  <c r="BJ71" i="2" s="1"/>
  <c r="BJ74" i="2" s="1"/>
  <c r="BI65" i="2"/>
  <c r="BI71" i="2" s="1"/>
  <c r="BI74" i="2" s="1"/>
  <c r="BI50" i="2"/>
  <c r="BJ150" i="2" l="1"/>
  <c r="BI55" i="53" l="1"/>
  <c r="BM58" i="53" s="1"/>
  <c r="BI44" i="53"/>
  <c r="BM47" i="53" s="1"/>
  <c r="BI33" i="53"/>
  <c r="BM36" i="53" s="1"/>
  <c r="BI22" i="53"/>
  <c r="BP6" i="53"/>
  <c r="BQ6" i="53"/>
  <c r="BR6" i="53"/>
  <c r="BS6" i="53"/>
  <c r="BP7" i="53"/>
  <c r="BQ7" i="53"/>
  <c r="BR7" i="53"/>
  <c r="BS7" i="53"/>
  <c r="BP8" i="53"/>
  <c r="BQ8" i="53"/>
  <c r="BR8" i="53"/>
  <c r="BS8" i="53"/>
  <c r="BE6" i="53"/>
  <c r="BF6" i="53"/>
  <c r="BG6" i="53"/>
  <c r="BH6" i="53"/>
  <c r="BI6" i="53"/>
  <c r="BJ6" i="53"/>
  <c r="BK6" i="53"/>
  <c r="BL6" i="53"/>
  <c r="BN6" i="53"/>
  <c r="BO6" i="53"/>
  <c r="BE7" i="53"/>
  <c r="BF7" i="53"/>
  <c r="BG7" i="53"/>
  <c r="BH7" i="53"/>
  <c r="BI7" i="53"/>
  <c r="BJ7" i="53"/>
  <c r="BK7" i="53"/>
  <c r="BL7" i="53"/>
  <c r="BN7" i="53"/>
  <c r="BO7" i="53"/>
  <c r="BE8" i="53"/>
  <c r="BF8" i="53"/>
  <c r="BG8" i="53"/>
  <c r="BH8" i="53"/>
  <c r="BI8" i="53"/>
  <c r="BI119" i="53" s="1"/>
  <c r="BJ8" i="53"/>
  <c r="BJ119" i="53" s="1"/>
  <c r="BK8" i="53"/>
  <c r="BK119" i="53" s="1"/>
  <c r="BL8" i="53"/>
  <c r="BN8" i="53"/>
  <c r="BO8" i="53"/>
  <c r="BD7" i="53"/>
  <c r="BD8" i="53"/>
  <c r="BD6" i="53"/>
  <c r="BJ23" i="53" l="1"/>
  <c r="BM25" i="53"/>
  <c r="BI90" i="3"/>
  <c r="BJ34" i="53"/>
  <c r="BJ45" i="53"/>
  <c r="BJ56" i="53"/>
  <c r="BI39" i="2"/>
  <c r="BI36" i="2"/>
  <c r="BI124" i="2" s="1"/>
  <c r="BJ125" i="2" s="1"/>
  <c r="BI53" i="2"/>
  <c r="BI15" i="2"/>
  <c r="BI139" i="2"/>
  <c r="BI134" i="2"/>
  <c r="BI133" i="2"/>
  <c r="BI126" i="2"/>
  <c r="BI78" i="2"/>
  <c r="BI81" i="2" s="1"/>
  <c r="BI224" i="53"/>
  <c r="BI135" i="2" l="1"/>
  <c r="BI91" i="3"/>
  <c r="BI151" i="3"/>
  <c r="BI56" i="3"/>
  <c r="BI138" i="2"/>
  <c r="BI16" i="2"/>
  <c r="BI86" i="2"/>
  <c r="BI34" i="2"/>
  <c r="BI44" i="2" s="1"/>
  <c r="BI82" i="2"/>
  <c r="BI83" i="2" s="1"/>
  <c r="BJ82" i="2"/>
  <c r="BJ83" i="2" s="1"/>
  <c r="BI143" i="2"/>
  <c r="BI25" i="2"/>
  <c r="BI67" i="3" s="1"/>
  <c r="BI140" i="2"/>
  <c r="BI87" i="2"/>
  <c r="BI91" i="2" l="1"/>
  <c r="BJ9" i="2"/>
  <c r="BI46" i="2"/>
  <c r="BI88" i="2"/>
  <c r="BI89" i="2" s="1"/>
  <c r="BJ56" i="3" l="1"/>
  <c r="BJ151" i="3"/>
  <c r="BJ138" i="2"/>
  <c r="BJ140" i="2" s="1"/>
  <c r="BJ86" i="2"/>
  <c r="BJ88" i="2" s="1"/>
  <c r="BJ89" i="2" s="1"/>
  <c r="BJ16" i="2"/>
  <c r="BJ91" i="2" s="1"/>
  <c r="BI9" i="3" l="1"/>
  <c r="BJ25" i="2"/>
  <c r="BJ46" i="2" l="1"/>
  <c r="BJ67" i="3"/>
  <c r="AQ195" i="53" l="1"/>
  <c r="DA195" i="53" s="1"/>
  <c r="AP195" i="53"/>
  <c r="AO195" i="53"/>
  <c r="AN195" i="53"/>
  <c r="AM195" i="53"/>
  <c r="CZ195" i="53" s="1"/>
  <c r="AL195" i="53"/>
  <c r="AK195" i="53"/>
  <c r="AJ195" i="53"/>
  <c r="AI195" i="53"/>
  <c r="CY195" i="53" s="1"/>
  <c r="AH195" i="53"/>
  <c r="AG195" i="53"/>
  <c r="AF195" i="53"/>
  <c r="AE195" i="53"/>
  <c r="CX195" i="53" s="1"/>
  <c r="AD195" i="53"/>
  <c r="AC195" i="53"/>
  <c r="AB195" i="53"/>
  <c r="AA195" i="53"/>
  <c r="CW195" i="53" s="1"/>
  <c r="Z195" i="53"/>
  <c r="Y195" i="53"/>
  <c r="X195" i="53"/>
  <c r="W195" i="53"/>
  <c r="CV195" i="53" s="1"/>
  <c r="V195" i="53"/>
  <c r="U195" i="53"/>
  <c r="T195" i="53"/>
  <c r="S195" i="53"/>
  <c r="CU195" i="53" s="1"/>
  <c r="R195" i="53"/>
  <c r="Q195" i="53"/>
  <c r="CT195" i="53" s="1"/>
  <c r="AQ192" i="53"/>
  <c r="AP192" i="53"/>
  <c r="AO192" i="53"/>
  <c r="AN192" i="53"/>
  <c r="AM192" i="53"/>
  <c r="AL192" i="53"/>
  <c r="AK192" i="53"/>
  <c r="AJ192" i="53"/>
  <c r="AI192" i="53"/>
  <c r="AH192" i="53"/>
  <c r="AG192" i="53"/>
  <c r="AF192" i="53"/>
  <c r="AE192" i="53"/>
  <c r="AD192" i="53"/>
  <c r="AC192" i="53"/>
  <c r="AB192" i="53"/>
  <c r="AA192" i="53"/>
  <c r="Z192" i="53"/>
  <c r="Y192" i="53"/>
  <c r="X192" i="53"/>
  <c r="W192" i="53"/>
  <c r="V192" i="53"/>
  <c r="U192" i="53"/>
  <c r="T192" i="53"/>
  <c r="S192" i="53"/>
  <c r="R192" i="53"/>
  <c r="Q192" i="53"/>
  <c r="DA191" i="53"/>
  <c r="DA192" i="53" s="1"/>
  <c r="CZ191" i="53"/>
  <c r="CZ192" i="53" s="1"/>
  <c r="CY191" i="53"/>
  <c r="CY192" i="53" s="1"/>
  <c r="CX191" i="53"/>
  <c r="CX192" i="53" s="1"/>
  <c r="CW191" i="53"/>
  <c r="CW192" i="53" s="1"/>
  <c r="CV191" i="53"/>
  <c r="CV192" i="53" s="1"/>
  <c r="CU191" i="53"/>
  <c r="CU192" i="53" s="1"/>
  <c r="CT191" i="53"/>
  <c r="CT192" i="53" s="1"/>
  <c r="CH191" i="53"/>
  <c r="CH192" i="53" s="1"/>
  <c r="CG191" i="53"/>
  <c r="CG192" i="53" s="1"/>
  <c r="CF191" i="53"/>
  <c r="CF192" i="53" s="1"/>
  <c r="CE191" i="53"/>
  <c r="CE192" i="53" s="1"/>
  <c r="CD191" i="53"/>
  <c r="CD192" i="53" s="1"/>
  <c r="CC191" i="53"/>
  <c r="CC192" i="53" s="1"/>
  <c r="AQ188" i="53"/>
  <c r="AQ196" i="53" s="1"/>
  <c r="AP188" i="53"/>
  <c r="AO188" i="53"/>
  <c r="AO196" i="53" s="1"/>
  <c r="AN188" i="53"/>
  <c r="AM188" i="53"/>
  <c r="AM196" i="53" s="1"/>
  <c r="AL188" i="53"/>
  <c r="AK188" i="53"/>
  <c r="AK196" i="53" s="1"/>
  <c r="AJ188" i="53"/>
  <c r="AI188" i="53"/>
  <c r="AI196" i="53" s="1"/>
  <c r="AH188" i="53"/>
  <c r="AG188" i="53"/>
  <c r="AG196" i="53" s="1"/>
  <c r="AF188" i="53"/>
  <c r="AE188" i="53"/>
  <c r="AE196" i="53" s="1"/>
  <c r="AD188" i="53"/>
  <c r="AC188" i="53"/>
  <c r="AC196" i="53" s="1"/>
  <c r="AB188" i="53"/>
  <c r="AA188" i="53"/>
  <c r="AA196" i="53" s="1"/>
  <c r="Z188" i="53"/>
  <c r="Y188" i="53"/>
  <c r="Y196" i="53" s="1"/>
  <c r="X188" i="53"/>
  <c r="W188" i="53"/>
  <c r="W196" i="53" s="1"/>
  <c r="V188" i="53"/>
  <c r="U188" i="53"/>
  <c r="U196" i="53" s="1"/>
  <c r="T188" i="53"/>
  <c r="S188" i="53"/>
  <c r="S196" i="53" s="1"/>
  <c r="R188" i="53"/>
  <c r="Q188" i="53"/>
  <c r="Q196" i="53" s="1"/>
  <c r="DA187" i="53"/>
  <c r="DA188" i="53" s="1"/>
  <c r="CZ187" i="53"/>
  <c r="CZ188" i="53" s="1"/>
  <c r="CZ196" i="53" s="1"/>
  <c r="CY187" i="53"/>
  <c r="CY188" i="53" s="1"/>
  <c r="CX187" i="53"/>
  <c r="CX188" i="53" s="1"/>
  <c r="CX196" i="53" s="1"/>
  <c r="CW187" i="53"/>
  <c r="CW188" i="53" s="1"/>
  <c r="CV187" i="53"/>
  <c r="CV188" i="53" s="1"/>
  <c r="CV196" i="53" s="1"/>
  <c r="CU187" i="53"/>
  <c r="CU188" i="53" s="1"/>
  <c r="CT187" i="53"/>
  <c r="CT188" i="53" s="1"/>
  <c r="CT196" i="53" s="1"/>
  <c r="CH187" i="53"/>
  <c r="CG187" i="53"/>
  <c r="CG195" i="53" s="1"/>
  <c r="CF187" i="53"/>
  <c r="CE187" i="53"/>
  <c r="CE195" i="53" s="1"/>
  <c r="CD187" i="53"/>
  <c r="CC187" i="53"/>
  <c r="CC195" i="53" s="1"/>
  <c r="BG172" i="53"/>
  <c r="BG171" i="53"/>
  <c r="BG170" i="53"/>
  <c r="B172" i="53"/>
  <c r="B171" i="53"/>
  <c r="B170" i="53"/>
  <c r="BG165" i="53"/>
  <c r="BD165" i="53"/>
  <c r="BB165" i="53"/>
  <c r="BA165" i="53"/>
  <c r="AZ165" i="53"/>
  <c r="AX165" i="53"/>
  <c r="AW165" i="53"/>
  <c r="AV165" i="53"/>
  <c r="AU165" i="53"/>
  <c r="AT165" i="53"/>
  <c r="AS165" i="53"/>
  <c r="AR165" i="53"/>
  <c r="AP165" i="53"/>
  <c r="AO165" i="53"/>
  <c r="AN165" i="53"/>
  <c r="AL165" i="53"/>
  <c r="AK165" i="53"/>
  <c r="AJ165" i="53"/>
  <c r="AH165" i="53"/>
  <c r="AG165" i="53"/>
  <c r="AF165" i="53"/>
  <c r="AD165" i="53"/>
  <c r="AC165" i="53"/>
  <c r="AB165" i="53"/>
  <c r="Z165" i="53"/>
  <c r="Y165" i="53"/>
  <c r="X165" i="53"/>
  <c r="V165" i="53"/>
  <c r="U165" i="53"/>
  <c r="T165" i="53"/>
  <c r="R165" i="53"/>
  <c r="Q165" i="53"/>
  <c r="P165" i="53"/>
  <c r="N165" i="53"/>
  <c r="M165" i="53"/>
  <c r="L165" i="53"/>
  <c r="J165" i="53"/>
  <c r="I165" i="53"/>
  <c r="H165" i="53"/>
  <c r="F165" i="53"/>
  <c r="E165" i="53"/>
  <c r="D165" i="53"/>
  <c r="BC164" i="53"/>
  <c r="BC172" i="53" s="1"/>
  <c r="BC163" i="53"/>
  <c r="BC171" i="53" s="1"/>
  <c r="BC162" i="53"/>
  <c r="BC170" i="53" s="1"/>
  <c r="AY164" i="53"/>
  <c r="AY163" i="53"/>
  <c r="AY162" i="53"/>
  <c r="AQ164" i="53"/>
  <c r="AQ163" i="53"/>
  <c r="DA163" i="53" s="1"/>
  <c r="AQ162" i="53"/>
  <c r="DA162" i="53" s="1"/>
  <c r="AM164" i="53"/>
  <c r="CG164" i="53" s="1"/>
  <c r="AM163" i="53"/>
  <c r="CZ163" i="53" s="1"/>
  <c r="AM162" i="53"/>
  <c r="CZ162" i="53" s="1"/>
  <c r="AI164" i="53"/>
  <c r="AI163" i="53"/>
  <c r="AI162" i="53"/>
  <c r="CY162" i="53" s="1"/>
  <c r="AE164" i="53"/>
  <c r="AE172" i="53" s="1"/>
  <c r="AE163" i="53"/>
  <c r="AE171" i="53" s="1"/>
  <c r="AE162" i="53"/>
  <c r="AE170" i="53" s="1"/>
  <c r="AA164" i="53"/>
  <c r="AA172" i="53" s="1"/>
  <c r="AA163" i="53"/>
  <c r="AA171" i="53" s="1"/>
  <c r="AA162" i="53"/>
  <c r="AA170" i="53" s="1"/>
  <c r="W164" i="53"/>
  <c r="W172" i="53" s="1"/>
  <c r="W163" i="53"/>
  <c r="W171" i="53" s="1"/>
  <c r="W162" i="53"/>
  <c r="W170" i="53" s="1"/>
  <c r="S164" i="53"/>
  <c r="S172" i="53" s="1"/>
  <c r="S163" i="53"/>
  <c r="S171" i="53" s="1"/>
  <c r="S162" i="53"/>
  <c r="S170" i="53" s="1"/>
  <c r="O164" i="53"/>
  <c r="CA164" i="53" s="1"/>
  <c r="O163" i="53"/>
  <c r="CT163" i="53" s="1"/>
  <c r="O162" i="53"/>
  <c r="K164" i="53"/>
  <c r="BZ164" i="53" s="1"/>
  <c r="K163" i="53"/>
  <c r="CS163" i="53" s="1"/>
  <c r="K162" i="53"/>
  <c r="CS162" i="53" s="1"/>
  <c r="G164" i="53"/>
  <c r="BY164" i="53" s="1"/>
  <c r="G163" i="53"/>
  <c r="BY163" i="53" s="1"/>
  <c r="G162" i="53"/>
  <c r="DA164" i="53"/>
  <c r="CZ164" i="53"/>
  <c r="CY164" i="53"/>
  <c r="CX164" i="53"/>
  <c r="CW164" i="53"/>
  <c r="CV164" i="53"/>
  <c r="CY163" i="53"/>
  <c r="CU163" i="53"/>
  <c r="CX162" i="53"/>
  <c r="CT162" i="53"/>
  <c r="CI164" i="53"/>
  <c r="CH164" i="53"/>
  <c r="CF164" i="53"/>
  <c r="CC164" i="53"/>
  <c r="CI163" i="53"/>
  <c r="CH163" i="53"/>
  <c r="CG163" i="53"/>
  <c r="CF163" i="53"/>
  <c r="CE163" i="53"/>
  <c r="CD163" i="53"/>
  <c r="CC163" i="53"/>
  <c r="CB163" i="53"/>
  <c r="CI162" i="53"/>
  <c r="CH162" i="53"/>
  <c r="CG162" i="53"/>
  <c r="CF162" i="53"/>
  <c r="CE162" i="53"/>
  <c r="CD162" i="53"/>
  <c r="CC162" i="53"/>
  <c r="CB162" i="53"/>
  <c r="CA162" i="53"/>
  <c r="BZ162" i="53"/>
  <c r="BY162" i="53"/>
  <c r="B156" i="53"/>
  <c r="B155" i="53"/>
  <c r="BB156" i="53"/>
  <c r="BA156" i="53"/>
  <c r="AZ156" i="53"/>
  <c r="AX156" i="53"/>
  <c r="AW156" i="53"/>
  <c r="AV156" i="53"/>
  <c r="AT156" i="53"/>
  <c r="AS156" i="53"/>
  <c r="AR156" i="53"/>
  <c r="AP156" i="53"/>
  <c r="AO156" i="53"/>
  <c r="AN156" i="53"/>
  <c r="AL156" i="53"/>
  <c r="AK156" i="53"/>
  <c r="AJ156" i="53"/>
  <c r="BB155" i="53"/>
  <c r="BA155" i="53"/>
  <c r="AZ155" i="53"/>
  <c r="AX155" i="53"/>
  <c r="AW155" i="53"/>
  <c r="AV155" i="53"/>
  <c r="AT155" i="53"/>
  <c r="AS155" i="53"/>
  <c r="AR155" i="53"/>
  <c r="AP155" i="53"/>
  <c r="AO155" i="53"/>
  <c r="AN155" i="53"/>
  <c r="AL155" i="53"/>
  <c r="AK155" i="53"/>
  <c r="AJ155" i="53"/>
  <c r="BB150" i="53"/>
  <c r="BA150" i="53"/>
  <c r="AZ150" i="53"/>
  <c r="AX150" i="53"/>
  <c r="AW150" i="53"/>
  <c r="AV150" i="53"/>
  <c r="AT150" i="53"/>
  <c r="AS150" i="53"/>
  <c r="AR150" i="53"/>
  <c r="AP150" i="53"/>
  <c r="AO150" i="53"/>
  <c r="AN150" i="53"/>
  <c r="AL150" i="53"/>
  <c r="AK150" i="53"/>
  <c r="AJ150" i="53"/>
  <c r="AY149" i="53"/>
  <c r="AY148" i="53"/>
  <c r="AU149" i="53"/>
  <c r="CI149" i="53" s="1"/>
  <c r="AU148" i="53"/>
  <c r="AQ149" i="53"/>
  <c r="CH149" i="53" s="1"/>
  <c r="AQ148" i="53"/>
  <c r="AM149" i="53"/>
  <c r="CG149" i="53" s="1"/>
  <c r="AM148" i="53"/>
  <c r="DA149" i="53"/>
  <c r="DA148" i="53"/>
  <c r="CJ149" i="53"/>
  <c r="CJ148" i="53"/>
  <c r="CH148" i="53"/>
  <c r="B140" i="53"/>
  <c r="B139" i="53"/>
  <c r="BB134" i="53"/>
  <c r="BB139" i="53" s="1"/>
  <c r="BA134" i="53"/>
  <c r="BA139" i="53" s="1"/>
  <c r="AZ134" i="53"/>
  <c r="AZ139" i="53" s="1"/>
  <c r="AX134" i="53"/>
  <c r="AX139" i="53" s="1"/>
  <c r="AW134" i="53"/>
  <c r="AW139" i="53" s="1"/>
  <c r="AV134" i="53"/>
  <c r="AV139" i="53" s="1"/>
  <c r="AT134" i="53"/>
  <c r="AT139" i="53" s="1"/>
  <c r="AS134" i="53"/>
  <c r="AS139" i="53" s="1"/>
  <c r="AR134" i="53"/>
  <c r="AR139" i="53" s="1"/>
  <c r="AP134" i="53"/>
  <c r="AP139" i="53" s="1"/>
  <c r="AO134" i="53"/>
  <c r="AO139" i="53" s="1"/>
  <c r="AN134" i="53"/>
  <c r="AN139" i="53" s="1"/>
  <c r="AL134" i="53"/>
  <c r="AL139" i="53" s="1"/>
  <c r="AK134" i="53"/>
  <c r="AK139" i="53" s="1"/>
  <c r="AJ134" i="53"/>
  <c r="AJ139" i="53" s="1"/>
  <c r="AY133" i="53"/>
  <c r="CJ133" i="53" s="1"/>
  <c r="AY132" i="53"/>
  <c r="AY155" i="53" s="1"/>
  <c r="AU133" i="53"/>
  <c r="AU132" i="53"/>
  <c r="CI132" i="53" s="1"/>
  <c r="AQ133" i="53"/>
  <c r="CH133" i="53" s="1"/>
  <c r="AQ132" i="53"/>
  <c r="AQ155" i="53" s="1"/>
  <c r="AM133" i="53"/>
  <c r="CZ133" i="53" s="1"/>
  <c r="AM132" i="53"/>
  <c r="DA133" i="53"/>
  <c r="CI133" i="53"/>
  <c r="CG133" i="53"/>
  <c r="CJ132" i="53"/>
  <c r="B123" i="53"/>
  <c r="B122" i="53"/>
  <c r="B121" i="53"/>
  <c r="B120" i="53"/>
  <c r="BH115" i="53"/>
  <c r="BG115" i="53"/>
  <c r="BF115" i="53"/>
  <c r="BE115" i="53"/>
  <c r="BD115" i="53"/>
  <c r="BC115" i="53"/>
  <c r="BC121" i="53" s="1"/>
  <c r="BB115" i="53"/>
  <c r="BA115" i="53"/>
  <c r="AZ115" i="53"/>
  <c r="AX115" i="53"/>
  <c r="AW115" i="53"/>
  <c r="AV115" i="53"/>
  <c r="AU115" i="53"/>
  <c r="AU121" i="53" s="1"/>
  <c r="AT115" i="53"/>
  <c r="AS115" i="53"/>
  <c r="AR115" i="53"/>
  <c r="AP115" i="53"/>
  <c r="AO115" i="53"/>
  <c r="AN115" i="53"/>
  <c r="AL115" i="53"/>
  <c r="AK115" i="53"/>
  <c r="AJ115" i="53"/>
  <c r="AH115" i="53"/>
  <c r="AG115" i="53"/>
  <c r="AF115" i="53"/>
  <c r="AD115" i="53"/>
  <c r="AC115" i="53"/>
  <c r="AB115" i="53"/>
  <c r="Z115" i="53"/>
  <c r="Y115" i="53"/>
  <c r="X115" i="53"/>
  <c r="V115" i="53"/>
  <c r="U115" i="53"/>
  <c r="T115" i="53"/>
  <c r="R115" i="53"/>
  <c r="Q115" i="53"/>
  <c r="P115" i="53"/>
  <c r="N115" i="53"/>
  <c r="M115" i="53"/>
  <c r="L115" i="53"/>
  <c r="J115" i="53"/>
  <c r="I115" i="53"/>
  <c r="H115" i="53"/>
  <c r="F115" i="53"/>
  <c r="E115" i="53"/>
  <c r="D115" i="53"/>
  <c r="AY114" i="53"/>
  <c r="AY113" i="53"/>
  <c r="AY112" i="53"/>
  <c r="AY111" i="53"/>
  <c r="AY110" i="53"/>
  <c r="AY11" i="53" s="1"/>
  <c r="AQ114" i="53"/>
  <c r="DA114" i="53" s="1"/>
  <c r="AQ113" i="53"/>
  <c r="DA113" i="53" s="1"/>
  <c r="AQ112" i="53"/>
  <c r="DA112" i="53" s="1"/>
  <c r="AQ111" i="53"/>
  <c r="AQ22" i="53" s="1"/>
  <c r="AQ110" i="53"/>
  <c r="AM114" i="53"/>
  <c r="CZ114" i="53" s="1"/>
  <c r="AM113" i="53"/>
  <c r="AM112" i="53"/>
  <c r="CG112" i="53" s="1"/>
  <c r="AM111" i="53"/>
  <c r="AM110" i="53"/>
  <c r="CG110" i="53" s="1"/>
  <c r="AI112" i="53"/>
  <c r="CY112" i="53" s="1"/>
  <c r="AI111" i="53"/>
  <c r="AI22" i="53" s="1"/>
  <c r="AI110" i="53"/>
  <c r="AE112" i="53"/>
  <c r="CX112" i="53" s="1"/>
  <c r="AE111" i="53"/>
  <c r="AE110" i="53"/>
  <c r="CX110" i="53" s="1"/>
  <c r="AA112" i="53"/>
  <c r="CW112" i="53" s="1"/>
  <c r="AA111" i="53"/>
  <c r="AA22" i="53" s="1"/>
  <c r="AA110" i="53"/>
  <c r="W112" i="53"/>
  <c r="CC112" i="53" s="1"/>
  <c r="W111" i="53"/>
  <c r="W110" i="53"/>
  <c r="CC110" i="53" s="1"/>
  <c r="S112" i="53"/>
  <c r="CU112" i="53" s="1"/>
  <c r="S111" i="53"/>
  <c r="S22" i="53" s="1"/>
  <c r="S110" i="53"/>
  <c r="O112" i="53"/>
  <c r="CT112" i="53" s="1"/>
  <c r="O111" i="53"/>
  <c r="O110" i="53"/>
  <c r="CT110" i="53" s="1"/>
  <c r="K112" i="53"/>
  <c r="CS112" i="53" s="1"/>
  <c r="K111" i="53"/>
  <c r="K22" i="53" s="1"/>
  <c r="K110" i="53"/>
  <c r="G112" i="53"/>
  <c r="BY112" i="53" s="1"/>
  <c r="G111" i="53"/>
  <c r="G110" i="53"/>
  <c r="BY110" i="53" s="1"/>
  <c r="CY114" i="53"/>
  <c r="CX114" i="53"/>
  <c r="CW114" i="53"/>
  <c r="CV114" i="53"/>
  <c r="CU114" i="53"/>
  <c r="CT114" i="53"/>
  <c r="CS114" i="53"/>
  <c r="CZ113" i="53"/>
  <c r="CY113" i="53"/>
  <c r="CX113" i="53"/>
  <c r="CW113" i="53"/>
  <c r="CV113" i="53"/>
  <c r="CU113" i="53"/>
  <c r="CT113" i="53"/>
  <c r="CS113" i="53"/>
  <c r="CZ112" i="53"/>
  <c r="DA111" i="53"/>
  <c r="CZ111" i="53"/>
  <c r="CY111" i="53"/>
  <c r="CX111" i="53"/>
  <c r="CV111" i="53"/>
  <c r="CT111" i="53"/>
  <c r="DA110" i="53"/>
  <c r="CZ110" i="53"/>
  <c r="CJ114" i="53"/>
  <c r="CI114" i="53"/>
  <c r="CH114" i="53"/>
  <c r="CF114" i="53"/>
  <c r="CE114" i="53"/>
  <c r="CD114" i="53"/>
  <c r="CC114" i="53"/>
  <c r="CB114" i="53"/>
  <c r="CA114" i="53"/>
  <c r="BZ114" i="53"/>
  <c r="BY114" i="53"/>
  <c r="CJ113" i="53"/>
  <c r="CI113" i="53"/>
  <c r="CH113" i="53"/>
  <c r="CG113" i="53"/>
  <c r="CF113" i="53"/>
  <c r="CE113" i="53"/>
  <c r="CD113" i="53"/>
  <c r="CC113" i="53"/>
  <c r="CB113" i="53"/>
  <c r="CA113" i="53"/>
  <c r="BZ113" i="53"/>
  <c r="BY113" i="53"/>
  <c r="CJ112" i="53"/>
  <c r="CI112" i="53"/>
  <c r="CH112" i="53"/>
  <c r="CF112" i="53"/>
  <c r="CD112" i="53"/>
  <c r="CB112" i="53"/>
  <c r="BZ112" i="53"/>
  <c r="CJ111" i="53"/>
  <c r="CI111" i="53"/>
  <c r="CH111" i="53"/>
  <c r="CG111" i="53"/>
  <c r="CF111" i="53"/>
  <c r="CE111" i="53"/>
  <c r="CD111" i="53"/>
  <c r="CC111" i="53"/>
  <c r="CB111" i="53"/>
  <c r="CA111" i="53"/>
  <c r="BZ111" i="53"/>
  <c r="BY111" i="53"/>
  <c r="CJ110" i="53"/>
  <c r="CI110" i="53"/>
  <c r="CH110" i="53"/>
  <c r="CF110" i="53"/>
  <c r="CD110" i="53"/>
  <c r="CB110" i="53"/>
  <c r="BZ110" i="53"/>
  <c r="CJ104" i="53"/>
  <c r="CJ105" i="53" s="1"/>
  <c r="CI104" i="53"/>
  <c r="CI105" i="53" s="1"/>
  <c r="CH104" i="53"/>
  <c r="CH105" i="53" s="1"/>
  <c r="CG104" i="53"/>
  <c r="CG105" i="53" s="1"/>
  <c r="CF104" i="53"/>
  <c r="CF105" i="53" s="1"/>
  <c r="CE104" i="53"/>
  <c r="CE105" i="53" s="1"/>
  <c r="CD104" i="53"/>
  <c r="CD105" i="53" s="1"/>
  <c r="CC104" i="53"/>
  <c r="CC105" i="53" s="1"/>
  <c r="CB104" i="53"/>
  <c r="CB105" i="53" s="1"/>
  <c r="CA104" i="53"/>
  <c r="CA105" i="53" s="1"/>
  <c r="BZ104" i="53"/>
  <c r="BZ105" i="53" s="1"/>
  <c r="BY104" i="53"/>
  <c r="BY105" i="53" s="1"/>
  <c r="BB104" i="53"/>
  <c r="BB105" i="53" s="1"/>
  <c r="BA104" i="53"/>
  <c r="BA105" i="53" s="1"/>
  <c r="AZ104" i="53"/>
  <c r="AZ105" i="53" s="1"/>
  <c r="AX104" i="53"/>
  <c r="AX105" i="53" s="1"/>
  <c r="AW104" i="53"/>
  <c r="AW105" i="53" s="1"/>
  <c r="AV104" i="53"/>
  <c r="AV105" i="53" s="1"/>
  <c r="AT104" i="53"/>
  <c r="AT105" i="53" s="1"/>
  <c r="AS104" i="53"/>
  <c r="AS105" i="53" s="1"/>
  <c r="AR104" i="53"/>
  <c r="AR105" i="53" s="1"/>
  <c r="AP104" i="53"/>
  <c r="AP105" i="53" s="1"/>
  <c r="AO104" i="53"/>
  <c r="AO105" i="53" s="1"/>
  <c r="AN104" i="53"/>
  <c r="AN105" i="53" s="1"/>
  <c r="AL104" i="53"/>
  <c r="AL105" i="53" s="1"/>
  <c r="AK104" i="53"/>
  <c r="AK105" i="53" s="1"/>
  <c r="AJ104" i="53"/>
  <c r="AJ105" i="53" s="1"/>
  <c r="AH104" i="53"/>
  <c r="AH105" i="53" s="1"/>
  <c r="AG104" i="53"/>
  <c r="AG105" i="53" s="1"/>
  <c r="AF104" i="53"/>
  <c r="AF105" i="53" s="1"/>
  <c r="AD104" i="53"/>
  <c r="AD105" i="53" s="1"/>
  <c r="AC104" i="53"/>
  <c r="AC105" i="53" s="1"/>
  <c r="AB104" i="53"/>
  <c r="AB105" i="53" s="1"/>
  <c r="Z104" i="53"/>
  <c r="Z105" i="53" s="1"/>
  <c r="Y104" i="53"/>
  <c r="Y105" i="53" s="1"/>
  <c r="X104" i="53"/>
  <c r="X105" i="53" s="1"/>
  <c r="V104" i="53"/>
  <c r="V105" i="53" s="1"/>
  <c r="U104" i="53"/>
  <c r="U105" i="53" s="1"/>
  <c r="T104" i="53"/>
  <c r="T105" i="53" s="1"/>
  <c r="CF83" i="53"/>
  <c r="CE83" i="53"/>
  <c r="CD83" i="53"/>
  <c r="CC83" i="53"/>
  <c r="CB83" i="53"/>
  <c r="CA83" i="53"/>
  <c r="BZ83" i="53"/>
  <c r="BY83" i="53"/>
  <c r="CF82" i="53"/>
  <c r="CE82" i="53"/>
  <c r="CD82" i="53"/>
  <c r="CC82" i="53"/>
  <c r="CB82" i="53"/>
  <c r="CA82" i="53"/>
  <c r="BZ82" i="53"/>
  <c r="BY82" i="53"/>
  <c r="CF81" i="53"/>
  <c r="CE81" i="53"/>
  <c r="CD81" i="53"/>
  <c r="CC81" i="53"/>
  <c r="CB81" i="53"/>
  <c r="CA81" i="53"/>
  <c r="BZ81" i="53"/>
  <c r="BY81" i="53"/>
  <c r="CF79" i="53"/>
  <c r="CE79" i="53"/>
  <c r="CD79" i="53"/>
  <c r="CC79" i="53"/>
  <c r="CB79" i="53"/>
  <c r="CA79" i="53"/>
  <c r="BZ79" i="53"/>
  <c r="BY79" i="53"/>
  <c r="AK80" i="53"/>
  <c r="BH71" i="53"/>
  <c r="BG71" i="53"/>
  <c r="BF71" i="53"/>
  <c r="BE71" i="53"/>
  <c r="BD71" i="53"/>
  <c r="BC71" i="53"/>
  <c r="BB71" i="53"/>
  <c r="BA71" i="53"/>
  <c r="AZ71" i="53"/>
  <c r="D117" i="53"/>
  <c r="BH55" i="53"/>
  <c r="BL58" i="53" s="1"/>
  <c r="BG55" i="53"/>
  <c r="BK58" i="53" s="1"/>
  <c r="BF55" i="53"/>
  <c r="BE55" i="53"/>
  <c r="BD55" i="53"/>
  <c r="BC55" i="53"/>
  <c r="BB55" i="53"/>
  <c r="BA55" i="53"/>
  <c r="AZ55" i="53"/>
  <c r="AY55" i="53"/>
  <c r="AX55" i="53"/>
  <c r="AW55" i="53"/>
  <c r="AV55" i="53"/>
  <c r="AU55" i="53"/>
  <c r="AT55" i="53"/>
  <c r="AS55" i="53"/>
  <c r="AR55" i="53"/>
  <c r="AQ55" i="53"/>
  <c r="AP55" i="53"/>
  <c r="AO55" i="53"/>
  <c r="AN55" i="53"/>
  <c r="AM55" i="53"/>
  <c r="AL55" i="53"/>
  <c r="AK55" i="53"/>
  <c r="AJ55" i="53"/>
  <c r="AI55" i="53"/>
  <c r="AH55" i="53"/>
  <c r="AG55" i="53"/>
  <c r="AF55" i="53"/>
  <c r="AE55" i="53"/>
  <c r="AD55" i="53"/>
  <c r="AC55" i="53"/>
  <c r="AB55" i="53"/>
  <c r="AA55" i="53"/>
  <c r="Z55" i="53"/>
  <c r="Y55" i="53"/>
  <c r="X55" i="53"/>
  <c r="W55" i="53"/>
  <c r="V55" i="53"/>
  <c r="U55" i="53"/>
  <c r="T55" i="53"/>
  <c r="S55" i="53"/>
  <c r="R55" i="53"/>
  <c r="Q55" i="53"/>
  <c r="P55" i="53"/>
  <c r="O55" i="53"/>
  <c r="N55" i="53"/>
  <c r="M55" i="53"/>
  <c r="L55" i="53"/>
  <c r="K55" i="53"/>
  <c r="J55" i="53"/>
  <c r="I55" i="53"/>
  <c r="H55" i="53"/>
  <c r="G55" i="53"/>
  <c r="F55" i="53"/>
  <c r="E55" i="53"/>
  <c r="D55" i="53"/>
  <c r="BH44" i="53"/>
  <c r="BL47" i="53" s="1"/>
  <c r="BG44" i="53"/>
  <c r="BK47" i="53" s="1"/>
  <c r="BF44" i="53"/>
  <c r="BE44" i="53"/>
  <c r="BD44" i="53"/>
  <c r="BC44" i="53"/>
  <c r="BB44" i="53"/>
  <c r="BA44" i="53"/>
  <c r="AZ44" i="53"/>
  <c r="AY44" i="53"/>
  <c r="AX44" i="53"/>
  <c r="AW44" i="53"/>
  <c r="AV44" i="53"/>
  <c r="AU44" i="53"/>
  <c r="AT44" i="53"/>
  <c r="AS44" i="53"/>
  <c r="AR44" i="53"/>
  <c r="AP44" i="53"/>
  <c r="AO44" i="53"/>
  <c r="AN44" i="53"/>
  <c r="AM44" i="53"/>
  <c r="AL44" i="53"/>
  <c r="AK44" i="53"/>
  <c r="AJ44" i="53"/>
  <c r="AI44" i="53"/>
  <c r="AH44" i="53"/>
  <c r="AG44" i="53"/>
  <c r="AF44" i="53"/>
  <c r="AE44" i="53"/>
  <c r="AD44" i="53"/>
  <c r="AC44" i="53"/>
  <c r="AB44" i="53"/>
  <c r="AA44" i="53"/>
  <c r="Z44" i="53"/>
  <c r="Y44" i="53"/>
  <c r="X44" i="53"/>
  <c r="W44" i="53"/>
  <c r="V44" i="53"/>
  <c r="U44" i="53"/>
  <c r="T44" i="53"/>
  <c r="S44" i="53"/>
  <c r="R44" i="53"/>
  <c r="Q44" i="53"/>
  <c r="P44" i="53"/>
  <c r="O44" i="53"/>
  <c r="N44" i="53"/>
  <c r="M44" i="53"/>
  <c r="L44" i="53"/>
  <c r="K44" i="53"/>
  <c r="J44" i="53"/>
  <c r="I44" i="53"/>
  <c r="H44" i="53"/>
  <c r="G44" i="53"/>
  <c r="F44" i="53"/>
  <c r="E44" i="53"/>
  <c r="D44" i="53"/>
  <c r="B39" i="53"/>
  <c r="BH33" i="53"/>
  <c r="BL36" i="53" s="1"/>
  <c r="BG33" i="53"/>
  <c r="BK36" i="53" s="1"/>
  <c r="BF33" i="53"/>
  <c r="BE33" i="53"/>
  <c r="BD33" i="53"/>
  <c r="BC33" i="53"/>
  <c r="BB33" i="53"/>
  <c r="BA33" i="53"/>
  <c r="AZ33" i="53"/>
  <c r="AY33" i="53"/>
  <c r="AX33" i="53"/>
  <c r="AW33" i="53"/>
  <c r="AV33" i="53"/>
  <c r="AU33" i="53"/>
  <c r="AT33" i="53"/>
  <c r="AS33" i="53"/>
  <c r="AR33" i="53"/>
  <c r="AQ33" i="53"/>
  <c r="AP33" i="53"/>
  <c r="AO33" i="53"/>
  <c r="AN33" i="53"/>
  <c r="AM33" i="53"/>
  <c r="AL33" i="53"/>
  <c r="AK33" i="53"/>
  <c r="AJ33" i="53"/>
  <c r="AI33" i="53"/>
  <c r="AH33" i="53"/>
  <c r="AG33" i="53"/>
  <c r="AF33" i="53"/>
  <c r="AE33" i="53"/>
  <c r="AD33" i="53"/>
  <c r="AC33" i="53"/>
  <c r="AB33" i="53"/>
  <c r="AA33" i="53"/>
  <c r="Z33" i="53"/>
  <c r="Y33" i="53"/>
  <c r="X33" i="53"/>
  <c r="W33" i="53"/>
  <c r="V33" i="53"/>
  <c r="U33" i="53"/>
  <c r="T33" i="53"/>
  <c r="S33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B33" i="53"/>
  <c r="B28" i="53"/>
  <c r="BH22" i="53"/>
  <c r="BL25" i="53" s="1"/>
  <c r="BG22" i="53"/>
  <c r="BF22" i="53"/>
  <c r="BE22" i="53"/>
  <c r="BD22" i="53"/>
  <c r="BC22" i="53"/>
  <c r="BB22" i="53"/>
  <c r="BA22" i="53"/>
  <c r="AZ22" i="53"/>
  <c r="AY22" i="53"/>
  <c r="AX22" i="53"/>
  <c r="AW22" i="53"/>
  <c r="AV22" i="53"/>
  <c r="AU22" i="53"/>
  <c r="AT22" i="53"/>
  <c r="AS22" i="53"/>
  <c r="AR22" i="53"/>
  <c r="AP22" i="53"/>
  <c r="AO22" i="53"/>
  <c r="AN22" i="53"/>
  <c r="AM22" i="53"/>
  <c r="AL22" i="53"/>
  <c r="AK22" i="53"/>
  <c r="AJ22" i="53"/>
  <c r="AH22" i="53"/>
  <c r="AG22" i="53"/>
  <c r="AF22" i="53"/>
  <c r="AE22" i="53"/>
  <c r="AD22" i="53"/>
  <c r="AC22" i="53"/>
  <c r="AB22" i="53"/>
  <c r="Z22" i="53"/>
  <c r="Y22" i="53"/>
  <c r="X22" i="53"/>
  <c r="W22" i="53"/>
  <c r="V22" i="53"/>
  <c r="U22" i="53"/>
  <c r="T22" i="53"/>
  <c r="R22" i="53"/>
  <c r="Q22" i="53"/>
  <c r="P22" i="53"/>
  <c r="O22" i="53"/>
  <c r="N22" i="53"/>
  <c r="M22" i="53"/>
  <c r="L22" i="53"/>
  <c r="J22" i="53"/>
  <c r="I22" i="53"/>
  <c r="H22" i="53"/>
  <c r="G22" i="53"/>
  <c r="F22" i="53"/>
  <c r="E22" i="53"/>
  <c r="D22" i="53"/>
  <c r="B22" i="53"/>
  <c r="B17" i="53"/>
  <c r="BH11" i="53"/>
  <c r="BL14" i="53" s="1"/>
  <c r="BG11" i="53"/>
  <c r="BK14" i="53" s="1"/>
  <c r="BF11" i="53"/>
  <c r="BE11" i="53"/>
  <c r="BD11" i="53"/>
  <c r="BC11" i="53"/>
  <c r="BB11" i="53"/>
  <c r="BA11" i="53"/>
  <c r="AZ11" i="53"/>
  <c r="AX11" i="53"/>
  <c r="AW11" i="53"/>
  <c r="AV11" i="53"/>
  <c r="AU11" i="53"/>
  <c r="AT11" i="53"/>
  <c r="AS11" i="53"/>
  <c r="AR11" i="53"/>
  <c r="AQ11" i="53"/>
  <c r="AP11" i="53"/>
  <c r="AO11" i="53"/>
  <c r="AN11" i="53"/>
  <c r="AL11" i="53"/>
  <c r="AK11" i="53"/>
  <c r="AJ11" i="53"/>
  <c r="AI11" i="53"/>
  <c r="AH11" i="53"/>
  <c r="AG11" i="53"/>
  <c r="AF11" i="53"/>
  <c r="AD11" i="53"/>
  <c r="AC11" i="53"/>
  <c r="AB11" i="53"/>
  <c r="AA11" i="53"/>
  <c r="Z11" i="53"/>
  <c r="Y11" i="53"/>
  <c r="X11" i="53"/>
  <c r="V11" i="53"/>
  <c r="U11" i="53"/>
  <c r="T11" i="53"/>
  <c r="S11" i="53"/>
  <c r="R11" i="53"/>
  <c r="Q11" i="53"/>
  <c r="P11" i="53"/>
  <c r="N11" i="53"/>
  <c r="M11" i="53"/>
  <c r="L11" i="53"/>
  <c r="K11" i="53"/>
  <c r="J11" i="53"/>
  <c r="I11" i="53"/>
  <c r="H11" i="53"/>
  <c r="F11" i="53"/>
  <c r="E11" i="53"/>
  <c r="D11" i="53"/>
  <c r="B11" i="53"/>
  <c r="DB157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BG147" i="3"/>
  <c r="BP147" i="3"/>
  <c r="BQ147" i="3" s="1"/>
  <c r="BR147" i="3" s="1"/>
  <c r="BS147" i="3" s="1"/>
  <c r="G146" i="3"/>
  <c r="F146" i="3"/>
  <c r="E146" i="3"/>
  <c r="BP144" i="3"/>
  <c r="BQ144" i="3" s="1"/>
  <c r="BR144" i="3" s="1"/>
  <c r="BS144" i="3" s="1"/>
  <c r="BO144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BH141" i="3"/>
  <c r="BG141" i="3"/>
  <c r="BG142" i="3" s="1"/>
  <c r="BF141" i="3"/>
  <c r="BF142" i="3" s="1"/>
  <c r="BE141" i="3"/>
  <c r="BE142" i="3" s="1"/>
  <c r="BD141" i="3"/>
  <c r="BD142" i="3" s="1"/>
  <c r="BC141" i="3"/>
  <c r="BC142" i="3" s="1"/>
  <c r="BB141" i="3"/>
  <c r="BB142" i="3" s="1"/>
  <c r="BA141" i="3"/>
  <c r="BA142" i="3" s="1"/>
  <c r="AZ141" i="3"/>
  <c r="AZ142" i="3" s="1"/>
  <c r="AY141" i="3"/>
  <c r="AX141" i="3"/>
  <c r="AW141" i="3"/>
  <c r="AV141" i="3"/>
  <c r="BP140" i="3"/>
  <c r="BQ140" i="3" s="1"/>
  <c r="BR140" i="3" s="1"/>
  <c r="BS140" i="3" s="1"/>
  <c r="BO140" i="3"/>
  <c r="BP139" i="3"/>
  <c r="BQ139" i="3" s="1"/>
  <c r="BR139" i="3" s="1"/>
  <c r="BS139" i="3" s="1"/>
  <c r="BO139" i="3"/>
  <c r="BP137" i="3"/>
  <c r="BQ137" i="3" s="1"/>
  <c r="BR137" i="3" s="1"/>
  <c r="BS137" i="3" s="1"/>
  <c r="BO137" i="3"/>
  <c r="BP136" i="3"/>
  <c r="BQ136" i="3" s="1"/>
  <c r="BR136" i="3" s="1"/>
  <c r="BS136" i="3" s="1"/>
  <c r="BO136" i="3"/>
  <c r="BQ135" i="3"/>
  <c r="BR135" i="3" s="1"/>
  <c r="BS135" i="3" s="1"/>
  <c r="BP135" i="3"/>
  <c r="BO135" i="3"/>
  <c r="BP134" i="3"/>
  <c r="BQ134" i="3" s="1"/>
  <c r="BH135" i="3"/>
  <c r="AY136" i="3"/>
  <c r="AX136" i="3"/>
  <c r="AW136" i="3"/>
  <c r="AY135" i="3"/>
  <c r="AX135" i="3"/>
  <c r="AW135" i="3"/>
  <c r="AV135" i="3"/>
  <c r="AV142" i="3" s="1"/>
  <c r="AZ131" i="3"/>
  <c r="AX131" i="3"/>
  <c r="AV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D131" i="3"/>
  <c r="BH130" i="3"/>
  <c r="BH131" i="3" s="1"/>
  <c r="BF130" i="3"/>
  <c r="BF131" i="3" s="1"/>
  <c r="BD130" i="3"/>
  <c r="BD131" i="3" s="1"/>
  <c r="G130" i="3"/>
  <c r="G131" i="3" s="1"/>
  <c r="F130" i="3"/>
  <c r="F131" i="3" s="1"/>
  <c r="E130" i="3"/>
  <c r="E131" i="3" s="1"/>
  <c r="AA129" i="3"/>
  <c r="AA131" i="3" s="1"/>
  <c r="Z129" i="3"/>
  <c r="Z131" i="3" s="1"/>
  <c r="AY128" i="3"/>
  <c r="AY131" i="3" s="1"/>
  <c r="AU128" i="3"/>
  <c r="AU131" i="3" s="1"/>
  <c r="BG127" i="3"/>
  <c r="BG126" i="3"/>
  <c r="BG131" i="3" s="1"/>
  <c r="BE127" i="3"/>
  <c r="BE126" i="3"/>
  <c r="BC127" i="3"/>
  <c r="BC131" i="3" s="1"/>
  <c r="BB127" i="3"/>
  <c r="BB131" i="3" s="1"/>
  <c r="BA127" i="3"/>
  <c r="BA131" i="3" s="1"/>
  <c r="AW127" i="3"/>
  <c r="AW131" i="3" s="1"/>
  <c r="AT127" i="3"/>
  <c r="AT131" i="3" s="1"/>
  <c r="AS127" i="3"/>
  <c r="AS131" i="3" s="1"/>
  <c r="BP129" i="3"/>
  <c r="BQ129" i="3" s="1"/>
  <c r="BR129" i="3" s="1"/>
  <c r="BS129" i="3" s="1"/>
  <c r="BO129" i="3"/>
  <c r="BP128" i="3"/>
  <c r="BQ128" i="3" s="1"/>
  <c r="BR128" i="3" s="1"/>
  <c r="BS128" i="3" s="1"/>
  <c r="BO128" i="3"/>
  <c r="BP127" i="3"/>
  <c r="BQ127" i="3" s="1"/>
  <c r="BR127" i="3" s="1"/>
  <c r="BS127" i="3" s="1"/>
  <c r="BO127" i="3"/>
  <c r="BP126" i="3"/>
  <c r="BQ126" i="3" s="1"/>
  <c r="BR126" i="3" s="1"/>
  <c r="BS126" i="3" s="1"/>
  <c r="BO126" i="3"/>
  <c r="BP125" i="3"/>
  <c r="BQ125" i="3" s="1"/>
  <c r="BR125" i="3" s="1"/>
  <c r="BS125" i="3" s="1"/>
  <c r="BO125" i="3"/>
  <c r="BH120" i="3"/>
  <c r="BP113" i="3"/>
  <c r="BQ113" i="3" s="1"/>
  <c r="BR113" i="3" s="1"/>
  <c r="BS113" i="3" s="1"/>
  <c r="BO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U113" i="3"/>
  <c r="AT113" i="3"/>
  <c r="AQ113" i="3"/>
  <c r="AP113" i="3"/>
  <c r="AJ113" i="3"/>
  <c r="AI113" i="3"/>
  <c r="AH113" i="3"/>
  <c r="AG113" i="3"/>
  <c r="AF113" i="3"/>
  <c r="AE113" i="3"/>
  <c r="AD113" i="3"/>
  <c r="AC113" i="3"/>
  <c r="AB113" i="3"/>
  <c r="AA113" i="3"/>
  <c r="Z113" i="3"/>
  <c r="K113" i="3"/>
  <c r="J113" i="3"/>
  <c r="I113" i="3"/>
  <c r="H113" i="3"/>
  <c r="G113" i="3"/>
  <c r="F113" i="3"/>
  <c r="E113" i="3"/>
  <c r="D113" i="3"/>
  <c r="BF112" i="3"/>
  <c r="BE112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E110" i="3"/>
  <c r="AD110" i="3"/>
  <c r="AC110" i="3"/>
  <c r="AB110" i="3"/>
  <c r="AA110" i="3"/>
  <c r="BD108" i="3"/>
  <c r="BP112" i="3"/>
  <c r="BQ112" i="3" s="1"/>
  <c r="BR112" i="3" s="1"/>
  <c r="BS112" i="3" s="1"/>
  <c r="BO112" i="3"/>
  <c r="BP111" i="3"/>
  <c r="BQ111" i="3" s="1"/>
  <c r="BR111" i="3" s="1"/>
  <c r="BS111" i="3" s="1"/>
  <c r="BO111" i="3"/>
  <c r="BP109" i="3"/>
  <c r="BQ109" i="3" s="1"/>
  <c r="BR109" i="3" s="1"/>
  <c r="BS109" i="3" s="1"/>
  <c r="BO109" i="3"/>
  <c r="BP107" i="3"/>
  <c r="BQ107" i="3" s="1"/>
  <c r="BR107" i="3" s="1"/>
  <c r="BS107" i="3" s="1"/>
  <c r="BO107" i="3"/>
  <c r="BG77" i="3"/>
  <c r="CL77" i="3" s="1"/>
  <c r="BC77" i="3"/>
  <c r="AY77" i="3"/>
  <c r="CJ77" i="3" s="1"/>
  <c r="AU77" i="3"/>
  <c r="CI77" i="3" s="1"/>
  <c r="AQ77" i="3"/>
  <c r="CH77" i="3" s="1"/>
  <c r="AM77" i="3"/>
  <c r="AI77" i="3"/>
  <c r="CF77" i="3" s="1"/>
  <c r="AC77" i="3"/>
  <c r="AD77" i="3" s="1"/>
  <c r="Y77" i="3"/>
  <c r="Z77" i="3" s="1"/>
  <c r="AA77" i="3" s="1"/>
  <c r="CD77" i="3" s="1"/>
  <c r="U77" i="3"/>
  <c r="V77" i="3" s="1"/>
  <c r="Q77" i="3"/>
  <c r="R77" i="3" s="1"/>
  <c r="S77" i="3" s="1"/>
  <c r="CB77" i="3" s="1"/>
  <c r="M77" i="3"/>
  <c r="N77" i="3" s="1"/>
  <c r="I77" i="3"/>
  <c r="J77" i="3" s="1"/>
  <c r="K77" i="3" s="1"/>
  <c r="BZ77" i="3" s="1"/>
  <c r="E77" i="3"/>
  <c r="F77" i="3" s="1"/>
  <c r="CK77" i="3"/>
  <c r="CG77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D69" i="3"/>
  <c r="E66" i="3"/>
  <c r="DE68" i="3"/>
  <c r="BS65" i="3"/>
  <c r="BR65" i="3"/>
  <c r="BQ65" i="3"/>
  <c r="BP65" i="3"/>
  <c r="BO65" i="3"/>
  <c r="DD68" i="3"/>
  <c r="DC68" i="3"/>
  <c r="DB68" i="3"/>
  <c r="DA68" i="3"/>
  <c r="CZ68" i="3"/>
  <c r="CY68" i="3"/>
  <c r="CX68" i="3"/>
  <c r="CW68" i="3"/>
  <c r="CV68" i="3"/>
  <c r="CU68" i="3"/>
  <c r="CT68" i="3"/>
  <c r="CS68" i="3"/>
  <c r="CR68" i="3"/>
  <c r="DD66" i="3"/>
  <c r="DC66" i="3"/>
  <c r="DB66" i="3"/>
  <c r="DA66" i="3"/>
  <c r="CZ66" i="3"/>
  <c r="CY66" i="3"/>
  <c r="CX66" i="3"/>
  <c r="CW66" i="3"/>
  <c r="CV66" i="3"/>
  <c r="CU66" i="3"/>
  <c r="CT66" i="3"/>
  <c r="CS66" i="3"/>
  <c r="CR66" i="3"/>
  <c r="BQ64" i="3"/>
  <c r="BR64" i="3" s="1"/>
  <c r="BS64" i="3" s="1"/>
  <c r="BT64" i="3" s="1"/>
  <c r="BU64" i="3" s="1"/>
  <c r="BV64" i="3" s="1"/>
  <c r="BW64" i="3" s="1"/>
  <c r="CL68" i="3"/>
  <c r="CK68" i="3"/>
  <c r="CJ68" i="3"/>
  <c r="CI68" i="3"/>
  <c r="CH68" i="3"/>
  <c r="CG68" i="3"/>
  <c r="CF68" i="3"/>
  <c r="CE68" i="3"/>
  <c r="CD68" i="3"/>
  <c r="CC68" i="3"/>
  <c r="CB68" i="3"/>
  <c r="CA68" i="3"/>
  <c r="BZ68" i="3"/>
  <c r="BY68" i="3"/>
  <c r="CL66" i="3"/>
  <c r="CL69" i="3" s="1"/>
  <c r="CK66" i="3"/>
  <c r="CK69" i="3" s="1"/>
  <c r="CJ66" i="3"/>
  <c r="CJ69" i="3" s="1"/>
  <c r="CI66" i="3"/>
  <c r="CH66" i="3"/>
  <c r="CH69" i="3" s="1"/>
  <c r="CG66" i="3"/>
  <c r="CG69" i="3" s="1"/>
  <c r="CF66" i="3"/>
  <c r="CF69" i="3" s="1"/>
  <c r="CE66" i="3"/>
  <c r="CD66" i="3"/>
  <c r="CD69" i="3" s="1"/>
  <c r="CC66" i="3"/>
  <c r="CC69" i="3" s="1"/>
  <c r="CB66" i="3"/>
  <c r="CB69" i="3" s="1"/>
  <c r="CA66" i="3"/>
  <c r="CA69" i="3" s="1"/>
  <c r="BZ66" i="3"/>
  <c r="BZ69" i="3" s="1"/>
  <c r="BY66" i="3"/>
  <c r="BY69" i="3" s="1"/>
  <c r="CK63" i="3"/>
  <c r="CJ63" i="3"/>
  <c r="CI63" i="3"/>
  <c r="CH63" i="3"/>
  <c r="CG63" i="3"/>
  <c r="CF63" i="3"/>
  <c r="CE63" i="3"/>
  <c r="CD63" i="3"/>
  <c r="CC63" i="3"/>
  <c r="CB63" i="3"/>
  <c r="CA63" i="3"/>
  <c r="BZ63" i="3"/>
  <c r="BY63" i="3"/>
  <c r="B57" i="3"/>
  <c r="B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B54" i="3"/>
  <c r="B53" i="3"/>
  <c r="B52" i="3"/>
  <c r="B51" i="3"/>
  <c r="BH52" i="3"/>
  <c r="BI52" i="3" s="1"/>
  <c r="BJ52" i="3" s="1"/>
  <c r="BK52" i="3" s="1"/>
  <c r="BD52" i="3"/>
  <c r="BE52" i="3" s="1"/>
  <c r="BF52" i="3" s="1"/>
  <c r="AZ52" i="3"/>
  <c r="BA52" i="3" s="1"/>
  <c r="BB52" i="3" s="1"/>
  <c r="AV52" i="3"/>
  <c r="AW52" i="3" s="1"/>
  <c r="AX52" i="3" s="1"/>
  <c r="AR52" i="3"/>
  <c r="AS52" i="3" s="1"/>
  <c r="AT52" i="3" s="1"/>
  <c r="AN52" i="3"/>
  <c r="AO52" i="3" s="1"/>
  <c r="AP52" i="3" s="1"/>
  <c r="AJ52" i="3"/>
  <c r="AK52" i="3" s="1"/>
  <c r="AL52" i="3" s="1"/>
  <c r="AF52" i="3"/>
  <c r="AG52" i="3" s="1"/>
  <c r="AH52" i="3" s="1"/>
  <c r="AB52" i="3"/>
  <c r="AC52" i="3" s="1"/>
  <c r="AD52" i="3" s="1"/>
  <c r="X52" i="3"/>
  <c r="Y52" i="3" s="1"/>
  <c r="Z52" i="3" s="1"/>
  <c r="T52" i="3"/>
  <c r="U52" i="3" s="1"/>
  <c r="V52" i="3" s="1"/>
  <c r="P52" i="3"/>
  <c r="Q52" i="3" s="1"/>
  <c r="R52" i="3" s="1"/>
  <c r="L52" i="3"/>
  <c r="M52" i="3" s="1"/>
  <c r="N52" i="3" s="1"/>
  <c r="H52" i="3"/>
  <c r="I52" i="3" s="1"/>
  <c r="J52" i="3" s="1"/>
  <c r="D52" i="3"/>
  <c r="E52" i="3" s="1"/>
  <c r="F52" i="3" s="1"/>
  <c r="DF52" i="3"/>
  <c r="DF147" i="3" s="1"/>
  <c r="CO52" i="3"/>
  <c r="CO147" i="3" s="1"/>
  <c r="D51" i="3"/>
  <c r="BY51" i="3" s="1"/>
  <c r="BY146" i="3" s="1"/>
  <c r="DG49" i="3"/>
  <c r="DG144" i="3" s="1"/>
  <c r="CO49" i="3"/>
  <c r="CO144" i="3" s="1"/>
  <c r="CN49" i="3"/>
  <c r="CN144" i="3" s="1"/>
  <c r="BH49" i="3"/>
  <c r="BI49" i="3" s="1"/>
  <c r="BJ49" i="3" s="1"/>
  <c r="BK49" i="3" s="1"/>
  <c r="DF49" i="3" s="1"/>
  <c r="DF144" i="3" s="1"/>
  <c r="BD49" i="3"/>
  <c r="BE49" i="3" s="1"/>
  <c r="BF49" i="3" s="1"/>
  <c r="BG49" i="3" s="1"/>
  <c r="AZ49" i="3"/>
  <c r="BA49" i="3" s="1"/>
  <c r="BB49" i="3" s="1"/>
  <c r="BC49" i="3" s="1"/>
  <c r="DD49" i="3" s="1"/>
  <c r="DD144" i="3" s="1"/>
  <c r="AV49" i="3"/>
  <c r="AW49" i="3" s="1"/>
  <c r="AX49" i="3" s="1"/>
  <c r="AY49" i="3" s="1"/>
  <c r="AR49" i="3"/>
  <c r="AS49" i="3" s="1"/>
  <c r="AT49" i="3" s="1"/>
  <c r="AU49" i="3" s="1"/>
  <c r="DB49" i="3" s="1"/>
  <c r="DB144" i="3" s="1"/>
  <c r="AN49" i="3"/>
  <c r="AO49" i="3" s="1"/>
  <c r="AP49" i="3" s="1"/>
  <c r="AQ49" i="3" s="1"/>
  <c r="AJ49" i="3"/>
  <c r="AK49" i="3" s="1"/>
  <c r="AL49" i="3" s="1"/>
  <c r="AM49" i="3" s="1"/>
  <c r="CZ49" i="3" s="1"/>
  <c r="CZ144" i="3" s="1"/>
  <c r="AF49" i="3"/>
  <c r="AG49" i="3" s="1"/>
  <c r="AH49" i="3" s="1"/>
  <c r="AI49" i="3" s="1"/>
  <c r="AB49" i="3"/>
  <c r="AC49" i="3" s="1"/>
  <c r="AD49" i="3" s="1"/>
  <c r="AE49" i="3" s="1"/>
  <c r="CX49" i="3" s="1"/>
  <c r="CX144" i="3" s="1"/>
  <c r="X49" i="3"/>
  <c r="Y49" i="3" s="1"/>
  <c r="Z49" i="3" s="1"/>
  <c r="AA49" i="3" s="1"/>
  <c r="T49" i="3"/>
  <c r="U49" i="3" s="1"/>
  <c r="V49" i="3" s="1"/>
  <c r="W49" i="3" s="1"/>
  <c r="CV49" i="3" s="1"/>
  <c r="CV144" i="3" s="1"/>
  <c r="P49" i="3"/>
  <c r="Q49" i="3" s="1"/>
  <c r="R49" i="3" s="1"/>
  <c r="S49" i="3" s="1"/>
  <c r="L49" i="3"/>
  <c r="M49" i="3" s="1"/>
  <c r="N49" i="3" s="1"/>
  <c r="O49" i="3" s="1"/>
  <c r="CT49" i="3" s="1"/>
  <c r="CT144" i="3" s="1"/>
  <c r="H49" i="3"/>
  <c r="I49" i="3" s="1"/>
  <c r="J49" i="3" s="1"/>
  <c r="K49" i="3" s="1"/>
  <c r="D49" i="3"/>
  <c r="E49" i="3" s="1"/>
  <c r="F49" i="3" s="1"/>
  <c r="G49" i="3" s="1"/>
  <c r="CR49" i="3" s="1"/>
  <c r="CR144" i="3" s="1"/>
  <c r="B49" i="3"/>
  <c r="B47" i="3"/>
  <c r="B46" i="3"/>
  <c r="B45" i="3"/>
  <c r="B44" i="3"/>
  <c r="B43" i="3"/>
  <c r="B42" i="3"/>
  <c r="B41" i="3"/>
  <c r="B40" i="3"/>
  <c r="B39" i="3"/>
  <c r="B38" i="3"/>
  <c r="BH46" i="3"/>
  <c r="BI46" i="3" s="1"/>
  <c r="BJ46" i="3" s="1"/>
  <c r="BK46" i="3" s="1"/>
  <c r="BD46" i="3"/>
  <c r="BE46" i="3" s="1"/>
  <c r="AZ46" i="3"/>
  <c r="BA46" i="3" s="1"/>
  <c r="BB46" i="3" s="1"/>
  <c r="BC46" i="3" s="1"/>
  <c r="AV46" i="3"/>
  <c r="AW46" i="3" s="1"/>
  <c r="AR46" i="3"/>
  <c r="AS46" i="3" s="1"/>
  <c r="AT46" i="3" s="1"/>
  <c r="AU46" i="3" s="1"/>
  <c r="AN46" i="3"/>
  <c r="AO46" i="3" s="1"/>
  <c r="AJ46" i="3"/>
  <c r="AK46" i="3" s="1"/>
  <c r="AL46" i="3" s="1"/>
  <c r="AM46" i="3" s="1"/>
  <c r="AF46" i="3"/>
  <c r="AG46" i="3" s="1"/>
  <c r="AB46" i="3"/>
  <c r="AC46" i="3" s="1"/>
  <c r="AD46" i="3" s="1"/>
  <c r="AE46" i="3" s="1"/>
  <c r="X46" i="3"/>
  <c r="Y46" i="3" s="1"/>
  <c r="T46" i="3"/>
  <c r="U46" i="3" s="1"/>
  <c r="V46" i="3" s="1"/>
  <c r="W46" i="3" s="1"/>
  <c r="P46" i="3"/>
  <c r="Q46" i="3" s="1"/>
  <c r="L46" i="3"/>
  <c r="M46" i="3" s="1"/>
  <c r="N46" i="3" s="1"/>
  <c r="O46" i="3" s="1"/>
  <c r="H46" i="3"/>
  <c r="I46" i="3" s="1"/>
  <c r="D46" i="3"/>
  <c r="E46" i="3" s="1"/>
  <c r="F46" i="3" s="1"/>
  <c r="G46" i="3" s="1"/>
  <c r="BH45" i="3"/>
  <c r="BI45" i="3" s="1"/>
  <c r="BJ45" i="3" s="1"/>
  <c r="BK45" i="3" s="1"/>
  <c r="BE45" i="3"/>
  <c r="BF45" i="3" s="1"/>
  <c r="BG45" i="3" s="1"/>
  <c r="BD45" i="3"/>
  <c r="AZ45" i="3"/>
  <c r="BA45" i="3" s="1"/>
  <c r="AV45" i="3"/>
  <c r="AW45" i="3" s="1"/>
  <c r="AR45" i="3"/>
  <c r="AN45" i="3"/>
  <c r="AO45" i="3" s="1"/>
  <c r="AP45" i="3" s="1"/>
  <c r="AQ45" i="3" s="1"/>
  <c r="AJ45" i="3"/>
  <c r="AK45" i="3" s="1"/>
  <c r="AF45" i="3"/>
  <c r="AG45" i="3" s="1"/>
  <c r="AB45" i="3"/>
  <c r="X45" i="3"/>
  <c r="Y45" i="3" s="1"/>
  <c r="Z45" i="3" s="1"/>
  <c r="AA45" i="3" s="1"/>
  <c r="T45" i="3"/>
  <c r="U45" i="3" s="1"/>
  <c r="P45" i="3"/>
  <c r="Q45" i="3" s="1"/>
  <c r="L45" i="3"/>
  <c r="H45" i="3"/>
  <c r="I45" i="3" s="1"/>
  <c r="J45" i="3" s="1"/>
  <c r="K45" i="3" s="1"/>
  <c r="BZ45" i="3" s="1"/>
  <c r="BZ140" i="3" s="1"/>
  <c r="D45" i="3"/>
  <c r="E45" i="3" s="1"/>
  <c r="BH44" i="3"/>
  <c r="BI44" i="3" s="1"/>
  <c r="BJ44" i="3" s="1"/>
  <c r="BK44" i="3" s="1"/>
  <c r="BD44" i="3"/>
  <c r="BE44" i="3" s="1"/>
  <c r="BF44" i="3" s="1"/>
  <c r="BG44" i="3" s="1"/>
  <c r="AZ44" i="3"/>
  <c r="BA44" i="3" s="1"/>
  <c r="BB44" i="3" s="1"/>
  <c r="BC44" i="3" s="1"/>
  <c r="AV44" i="3"/>
  <c r="AW44" i="3" s="1"/>
  <c r="AX44" i="3" s="1"/>
  <c r="AY44" i="3" s="1"/>
  <c r="AR44" i="3"/>
  <c r="AS44" i="3" s="1"/>
  <c r="AT44" i="3" s="1"/>
  <c r="AU44" i="3" s="1"/>
  <c r="AN44" i="3"/>
  <c r="AO44" i="3" s="1"/>
  <c r="AP44" i="3" s="1"/>
  <c r="AQ44" i="3" s="1"/>
  <c r="AJ44" i="3"/>
  <c r="AK44" i="3" s="1"/>
  <c r="AL44" i="3" s="1"/>
  <c r="AM44" i="3" s="1"/>
  <c r="AF44" i="3"/>
  <c r="AG44" i="3" s="1"/>
  <c r="AH44" i="3" s="1"/>
  <c r="AI44" i="3" s="1"/>
  <c r="AB44" i="3"/>
  <c r="AC44" i="3" s="1"/>
  <c r="AD44" i="3" s="1"/>
  <c r="AE44" i="3" s="1"/>
  <c r="X44" i="3"/>
  <c r="Y44" i="3" s="1"/>
  <c r="Z44" i="3" s="1"/>
  <c r="AA44" i="3" s="1"/>
  <c r="T44" i="3"/>
  <c r="U44" i="3" s="1"/>
  <c r="V44" i="3" s="1"/>
  <c r="W44" i="3" s="1"/>
  <c r="P44" i="3"/>
  <c r="Q44" i="3" s="1"/>
  <c r="R44" i="3" s="1"/>
  <c r="S44" i="3" s="1"/>
  <c r="L44" i="3"/>
  <c r="M44" i="3" s="1"/>
  <c r="N44" i="3" s="1"/>
  <c r="O44" i="3" s="1"/>
  <c r="H44" i="3"/>
  <c r="I44" i="3" s="1"/>
  <c r="J44" i="3" s="1"/>
  <c r="K44" i="3" s="1"/>
  <c r="D44" i="3"/>
  <c r="E44" i="3" s="1"/>
  <c r="F44" i="3" s="1"/>
  <c r="G44" i="3" s="1"/>
  <c r="BH43" i="3"/>
  <c r="BI43" i="3" s="1"/>
  <c r="BJ43" i="3" s="1"/>
  <c r="BK43" i="3" s="1"/>
  <c r="BD43" i="3"/>
  <c r="BE43" i="3" s="1"/>
  <c r="BF43" i="3" s="1"/>
  <c r="BG43" i="3" s="1"/>
  <c r="AZ43" i="3"/>
  <c r="AZ110" i="83" s="1"/>
  <c r="AV43" i="3"/>
  <c r="AV110" i="83" s="1"/>
  <c r="AR43" i="3"/>
  <c r="AR110" i="83" s="1"/>
  <c r="AN43" i="3"/>
  <c r="AN110" i="83" s="1"/>
  <c r="AJ43" i="3"/>
  <c r="AJ110" i="83" s="1"/>
  <c r="AF43" i="3"/>
  <c r="AF110" i="83" s="1"/>
  <c r="AB43" i="3"/>
  <c r="AB110" i="83" s="1"/>
  <c r="X43" i="3"/>
  <c r="X110" i="83" s="1"/>
  <c r="T43" i="3"/>
  <c r="T110" i="83" s="1"/>
  <c r="P43" i="3"/>
  <c r="P110" i="83" s="1"/>
  <c r="L43" i="3"/>
  <c r="L110" i="83" s="1"/>
  <c r="H43" i="3"/>
  <c r="H110" i="83" s="1"/>
  <c r="D43" i="3"/>
  <c r="D110" i="83" s="1"/>
  <c r="DG45" i="3"/>
  <c r="DG140" i="3" s="1"/>
  <c r="DF45" i="3"/>
  <c r="DF140" i="3" s="1"/>
  <c r="DG44" i="3"/>
  <c r="DG139" i="3" s="1"/>
  <c r="DF44" i="3"/>
  <c r="DF139" i="3" s="1"/>
  <c r="DB44" i="3"/>
  <c r="DB139" i="3" s="1"/>
  <c r="DG42" i="3"/>
  <c r="DG137" i="3" s="1"/>
  <c r="DG41" i="3"/>
  <c r="DG136" i="3" s="1"/>
  <c r="DG40" i="3"/>
  <c r="DG135" i="3" s="1"/>
  <c r="DG39" i="3"/>
  <c r="DG134" i="3" s="1"/>
  <c r="CE46" i="3"/>
  <c r="CE141" i="3" s="1"/>
  <c r="CO45" i="3"/>
  <c r="CO140" i="3" s="1"/>
  <c r="CN45" i="3"/>
  <c r="CN140" i="3" s="1"/>
  <c r="CL45" i="3"/>
  <c r="CL140" i="3" s="1"/>
  <c r="CO44" i="3"/>
  <c r="CO139" i="3" s="1"/>
  <c r="CN44" i="3"/>
  <c r="CN139" i="3" s="1"/>
  <c r="CL44" i="3"/>
  <c r="CL139" i="3" s="1"/>
  <c r="CH44" i="3"/>
  <c r="CH139" i="3" s="1"/>
  <c r="CD44" i="3"/>
  <c r="CD139" i="3" s="1"/>
  <c r="BZ44" i="3"/>
  <c r="BZ139" i="3" s="1"/>
  <c r="CO42" i="3"/>
  <c r="CO137" i="3" s="1"/>
  <c r="CN42" i="3"/>
  <c r="CN137" i="3" s="1"/>
  <c r="CO41" i="3"/>
  <c r="CO136" i="3" s="1"/>
  <c r="CN41" i="3"/>
  <c r="CN136" i="3" s="1"/>
  <c r="CO40" i="3"/>
  <c r="CO135" i="3" s="1"/>
  <c r="CN40" i="3"/>
  <c r="CN135" i="3" s="1"/>
  <c r="CO39" i="3"/>
  <c r="CN39" i="3"/>
  <c r="CN134" i="3" s="1"/>
  <c r="BH42" i="3"/>
  <c r="BD42" i="3"/>
  <c r="BE42" i="3" s="1"/>
  <c r="AZ42" i="3"/>
  <c r="BA42" i="3" s="1"/>
  <c r="BB42" i="3" s="1"/>
  <c r="BC42" i="3" s="1"/>
  <c r="AV42" i="3"/>
  <c r="AW42" i="3" s="1"/>
  <c r="AR42" i="3"/>
  <c r="AS42" i="3" s="1"/>
  <c r="AT42" i="3" s="1"/>
  <c r="AU42" i="3" s="1"/>
  <c r="AN42" i="3"/>
  <c r="AO42" i="3" s="1"/>
  <c r="AJ42" i="3"/>
  <c r="AK42" i="3" s="1"/>
  <c r="AL42" i="3" s="1"/>
  <c r="AM42" i="3" s="1"/>
  <c r="AF42" i="3"/>
  <c r="AG42" i="3" s="1"/>
  <c r="AB42" i="3"/>
  <c r="AC42" i="3" s="1"/>
  <c r="AD42" i="3" s="1"/>
  <c r="AE42" i="3" s="1"/>
  <c r="X42" i="3"/>
  <c r="Y42" i="3" s="1"/>
  <c r="T42" i="3"/>
  <c r="U42" i="3" s="1"/>
  <c r="V42" i="3" s="1"/>
  <c r="W42" i="3" s="1"/>
  <c r="P42" i="3"/>
  <c r="Q42" i="3" s="1"/>
  <c r="L42" i="3"/>
  <c r="M42" i="3" s="1"/>
  <c r="N42" i="3" s="1"/>
  <c r="O42" i="3" s="1"/>
  <c r="H42" i="3"/>
  <c r="I42" i="3" s="1"/>
  <c r="D42" i="3"/>
  <c r="E42" i="3" s="1"/>
  <c r="F42" i="3" s="1"/>
  <c r="G42" i="3" s="1"/>
  <c r="BH41" i="3"/>
  <c r="BD41" i="3"/>
  <c r="AZ41" i="3"/>
  <c r="AV41" i="3"/>
  <c r="AR41" i="3"/>
  <c r="AN41" i="3"/>
  <c r="AJ41" i="3"/>
  <c r="AF41" i="3"/>
  <c r="AB41" i="3"/>
  <c r="X41" i="3"/>
  <c r="T41" i="3"/>
  <c r="P41" i="3"/>
  <c r="L41" i="3"/>
  <c r="H41" i="3"/>
  <c r="D41" i="3"/>
  <c r="BH40" i="3"/>
  <c r="BD40" i="3"/>
  <c r="BE40" i="3" s="1"/>
  <c r="AZ40" i="3"/>
  <c r="BA40" i="3" s="1"/>
  <c r="BB40" i="3" s="1"/>
  <c r="BC40" i="3" s="1"/>
  <c r="AV40" i="3"/>
  <c r="AW40" i="3" s="1"/>
  <c r="AR40" i="3"/>
  <c r="AS40" i="3" s="1"/>
  <c r="AT40" i="3" s="1"/>
  <c r="AU40" i="3" s="1"/>
  <c r="AN40" i="3"/>
  <c r="AO40" i="3" s="1"/>
  <c r="AJ40" i="3"/>
  <c r="AK40" i="3" s="1"/>
  <c r="AL40" i="3" s="1"/>
  <c r="AM40" i="3" s="1"/>
  <c r="AF40" i="3"/>
  <c r="AG40" i="3" s="1"/>
  <c r="AB40" i="3"/>
  <c r="AC40" i="3" s="1"/>
  <c r="AD40" i="3" s="1"/>
  <c r="AE40" i="3" s="1"/>
  <c r="X40" i="3"/>
  <c r="Y40" i="3" s="1"/>
  <c r="U40" i="3"/>
  <c r="V40" i="3" s="1"/>
  <c r="W40" i="3" s="1"/>
  <c r="T40" i="3"/>
  <c r="P40" i="3"/>
  <c r="Q40" i="3" s="1"/>
  <c r="L40" i="3"/>
  <c r="M40" i="3" s="1"/>
  <c r="N40" i="3" s="1"/>
  <c r="O40" i="3" s="1"/>
  <c r="H40" i="3"/>
  <c r="I40" i="3" s="1"/>
  <c r="D40" i="3"/>
  <c r="E40" i="3" s="1"/>
  <c r="F40" i="3" s="1"/>
  <c r="G40" i="3" s="1"/>
  <c r="BH39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36" i="3"/>
  <c r="B35" i="3"/>
  <c r="B34" i="3"/>
  <c r="B33" i="3"/>
  <c r="B32" i="3"/>
  <c r="B31" i="3"/>
  <c r="B30" i="3"/>
  <c r="B29" i="3"/>
  <c r="B28" i="3"/>
  <c r="BH35" i="3"/>
  <c r="BI35" i="3" s="1"/>
  <c r="BJ35" i="3" s="1"/>
  <c r="BK35" i="3" s="1"/>
  <c r="BD35" i="3"/>
  <c r="BE35" i="3" s="1"/>
  <c r="BF35" i="3" s="1"/>
  <c r="AZ35" i="3"/>
  <c r="BA35" i="3" s="1"/>
  <c r="BB35" i="3" s="1"/>
  <c r="AV35" i="3"/>
  <c r="AW35" i="3" s="1"/>
  <c r="AX35" i="3" s="1"/>
  <c r="AR35" i="3"/>
  <c r="AS35" i="3" s="1"/>
  <c r="AT35" i="3" s="1"/>
  <c r="AN35" i="3"/>
  <c r="AO35" i="3" s="1"/>
  <c r="AP35" i="3" s="1"/>
  <c r="AJ35" i="3"/>
  <c r="AK35" i="3" s="1"/>
  <c r="AL35" i="3" s="1"/>
  <c r="AF35" i="3"/>
  <c r="AG35" i="3" s="1"/>
  <c r="AH35" i="3" s="1"/>
  <c r="AB35" i="3"/>
  <c r="AC35" i="3" s="1"/>
  <c r="AD35" i="3" s="1"/>
  <c r="X35" i="3"/>
  <c r="Y35" i="3" s="1"/>
  <c r="Z35" i="3" s="1"/>
  <c r="T35" i="3"/>
  <c r="U35" i="3" s="1"/>
  <c r="V35" i="3" s="1"/>
  <c r="P35" i="3"/>
  <c r="Q35" i="3" s="1"/>
  <c r="R35" i="3" s="1"/>
  <c r="L35" i="3"/>
  <c r="M35" i="3" s="1"/>
  <c r="N35" i="3" s="1"/>
  <c r="H35" i="3"/>
  <c r="I35" i="3" s="1"/>
  <c r="J35" i="3" s="1"/>
  <c r="D35" i="3"/>
  <c r="E35" i="3" s="1"/>
  <c r="F35" i="3" s="1"/>
  <c r="BH34" i="3"/>
  <c r="BI34" i="3" s="1"/>
  <c r="BJ34" i="3" s="1"/>
  <c r="BK34" i="3" s="1"/>
  <c r="BD34" i="3"/>
  <c r="BE34" i="3" s="1"/>
  <c r="AZ34" i="3"/>
  <c r="BA34" i="3" s="1"/>
  <c r="AV34" i="3"/>
  <c r="AW34" i="3" s="1"/>
  <c r="AR34" i="3"/>
  <c r="AS34" i="3" s="1"/>
  <c r="AN34" i="3"/>
  <c r="AO34" i="3" s="1"/>
  <c r="AJ34" i="3"/>
  <c r="AK34" i="3" s="1"/>
  <c r="AF34" i="3"/>
  <c r="AG34" i="3" s="1"/>
  <c r="AB34" i="3"/>
  <c r="AC34" i="3" s="1"/>
  <c r="X34" i="3"/>
  <c r="Y34" i="3" s="1"/>
  <c r="T34" i="3"/>
  <c r="U34" i="3" s="1"/>
  <c r="P34" i="3"/>
  <c r="Q34" i="3" s="1"/>
  <c r="L34" i="3"/>
  <c r="M34" i="3" s="1"/>
  <c r="H34" i="3"/>
  <c r="I34" i="3" s="1"/>
  <c r="D34" i="3"/>
  <c r="E34" i="3" s="1"/>
  <c r="BH33" i="3"/>
  <c r="BI33" i="3" s="1"/>
  <c r="BJ33" i="3" s="1"/>
  <c r="BK33" i="3" s="1"/>
  <c r="BD33" i="3"/>
  <c r="BE33" i="3" s="1"/>
  <c r="BF33" i="3" s="1"/>
  <c r="AZ33" i="3"/>
  <c r="BA33" i="3" s="1"/>
  <c r="BB33" i="3" s="1"/>
  <c r="AV33" i="3"/>
  <c r="AW33" i="3" s="1"/>
  <c r="AX33" i="3" s="1"/>
  <c r="AR33" i="3"/>
  <c r="AS33" i="3" s="1"/>
  <c r="AT33" i="3" s="1"/>
  <c r="AN33" i="3"/>
  <c r="AO33" i="3" s="1"/>
  <c r="AP33" i="3" s="1"/>
  <c r="AJ33" i="3"/>
  <c r="AK33" i="3" s="1"/>
  <c r="AL33" i="3" s="1"/>
  <c r="AF33" i="3"/>
  <c r="AG33" i="3" s="1"/>
  <c r="AH33" i="3" s="1"/>
  <c r="AB33" i="3"/>
  <c r="AC33" i="3" s="1"/>
  <c r="AD33" i="3" s="1"/>
  <c r="X33" i="3"/>
  <c r="Y33" i="3" s="1"/>
  <c r="Z33" i="3" s="1"/>
  <c r="T33" i="3"/>
  <c r="U33" i="3" s="1"/>
  <c r="V33" i="3" s="1"/>
  <c r="P33" i="3"/>
  <c r="Q33" i="3" s="1"/>
  <c r="R33" i="3" s="1"/>
  <c r="L33" i="3"/>
  <c r="M33" i="3" s="1"/>
  <c r="N33" i="3" s="1"/>
  <c r="H33" i="3"/>
  <c r="I33" i="3" s="1"/>
  <c r="J33" i="3" s="1"/>
  <c r="D33" i="3"/>
  <c r="E33" i="3" s="1"/>
  <c r="F33" i="3" s="1"/>
  <c r="BH32" i="3"/>
  <c r="BI32" i="3" s="1"/>
  <c r="BJ32" i="3" s="1"/>
  <c r="BK32" i="3" s="1"/>
  <c r="BD32" i="3"/>
  <c r="BE32" i="3" s="1"/>
  <c r="AZ32" i="3"/>
  <c r="BA32" i="3" s="1"/>
  <c r="AV32" i="3"/>
  <c r="AW32" i="3" s="1"/>
  <c r="AR32" i="3"/>
  <c r="AS32" i="3" s="1"/>
  <c r="AN32" i="3"/>
  <c r="AO32" i="3" s="1"/>
  <c r="AJ32" i="3"/>
  <c r="AK32" i="3" s="1"/>
  <c r="AF32" i="3"/>
  <c r="AG32" i="3" s="1"/>
  <c r="AB32" i="3"/>
  <c r="AC32" i="3" s="1"/>
  <c r="X32" i="3"/>
  <c r="Y32" i="3" s="1"/>
  <c r="T32" i="3"/>
  <c r="U32" i="3" s="1"/>
  <c r="P32" i="3"/>
  <c r="Q32" i="3" s="1"/>
  <c r="L32" i="3"/>
  <c r="M32" i="3" s="1"/>
  <c r="N32" i="3" s="1"/>
  <c r="O32" i="3" s="1"/>
  <c r="H32" i="3"/>
  <c r="I32" i="3" s="1"/>
  <c r="D32" i="3"/>
  <c r="E32" i="3" s="1"/>
  <c r="F32" i="3" s="1"/>
  <c r="G32" i="3" s="1"/>
  <c r="BH31" i="3"/>
  <c r="BD31" i="3"/>
  <c r="BE31" i="3" s="1"/>
  <c r="BF31" i="3" s="1"/>
  <c r="BG31" i="3" s="1"/>
  <c r="AZ31" i="3"/>
  <c r="BA31" i="3" s="1"/>
  <c r="BB31" i="3" s="1"/>
  <c r="AV31" i="3"/>
  <c r="AW31" i="3" s="1"/>
  <c r="AX31" i="3" s="1"/>
  <c r="AY31" i="3" s="1"/>
  <c r="DC31" i="3" s="1"/>
  <c r="DC126" i="3" s="1"/>
  <c r="AR31" i="3"/>
  <c r="AS31" i="3" s="1"/>
  <c r="AT31" i="3" s="1"/>
  <c r="AN31" i="3"/>
  <c r="AO31" i="3" s="1"/>
  <c r="AP31" i="3" s="1"/>
  <c r="AQ31" i="3" s="1"/>
  <c r="DA31" i="3" s="1"/>
  <c r="DA126" i="3" s="1"/>
  <c r="AJ31" i="3"/>
  <c r="AK31" i="3" s="1"/>
  <c r="AL31" i="3" s="1"/>
  <c r="AF31" i="3"/>
  <c r="AG31" i="3" s="1"/>
  <c r="AH31" i="3" s="1"/>
  <c r="AI31" i="3" s="1"/>
  <c r="CY31" i="3" s="1"/>
  <c r="CY126" i="3" s="1"/>
  <c r="AB31" i="3"/>
  <c r="AC31" i="3" s="1"/>
  <c r="AD31" i="3" s="1"/>
  <c r="X31" i="3"/>
  <c r="Y31" i="3" s="1"/>
  <c r="Z31" i="3" s="1"/>
  <c r="AA31" i="3" s="1"/>
  <c r="CW31" i="3" s="1"/>
  <c r="CW126" i="3" s="1"/>
  <c r="T31" i="3"/>
  <c r="U31" i="3" s="1"/>
  <c r="V31" i="3" s="1"/>
  <c r="P31" i="3"/>
  <c r="Q31" i="3" s="1"/>
  <c r="R31" i="3" s="1"/>
  <c r="S31" i="3" s="1"/>
  <c r="CU31" i="3" s="1"/>
  <c r="CU126" i="3" s="1"/>
  <c r="L31" i="3"/>
  <c r="M31" i="3" s="1"/>
  <c r="N31" i="3" s="1"/>
  <c r="H31" i="3"/>
  <c r="I31" i="3" s="1"/>
  <c r="J31" i="3" s="1"/>
  <c r="K31" i="3" s="1"/>
  <c r="CS31" i="3" s="1"/>
  <c r="CS126" i="3" s="1"/>
  <c r="D31" i="3"/>
  <c r="E31" i="3" s="1"/>
  <c r="F31" i="3" s="1"/>
  <c r="BH30" i="3"/>
  <c r="BD30" i="3"/>
  <c r="BE30" i="3" s="1"/>
  <c r="AZ30" i="3"/>
  <c r="BA30" i="3" s="1"/>
  <c r="BB30" i="3" s="1"/>
  <c r="BC30" i="3" s="1"/>
  <c r="AV30" i="3"/>
  <c r="AW30" i="3" s="1"/>
  <c r="AR30" i="3"/>
  <c r="AS30" i="3" s="1"/>
  <c r="AT30" i="3" s="1"/>
  <c r="AU30" i="3" s="1"/>
  <c r="AN30" i="3"/>
  <c r="AO30" i="3" s="1"/>
  <c r="AJ30" i="3"/>
  <c r="AK30" i="3" s="1"/>
  <c r="AL30" i="3" s="1"/>
  <c r="AM30" i="3" s="1"/>
  <c r="AF30" i="3"/>
  <c r="AG30" i="3" s="1"/>
  <c r="AB30" i="3"/>
  <c r="AC30" i="3" s="1"/>
  <c r="AD30" i="3" s="1"/>
  <c r="AE30" i="3" s="1"/>
  <c r="X30" i="3"/>
  <c r="Y30" i="3" s="1"/>
  <c r="T30" i="3"/>
  <c r="U30" i="3" s="1"/>
  <c r="V30" i="3" s="1"/>
  <c r="W30" i="3" s="1"/>
  <c r="P30" i="3"/>
  <c r="Q30" i="3" s="1"/>
  <c r="L30" i="3"/>
  <c r="M30" i="3" s="1"/>
  <c r="N30" i="3" s="1"/>
  <c r="O30" i="3" s="1"/>
  <c r="H30" i="3"/>
  <c r="I30" i="3" s="1"/>
  <c r="D30" i="3"/>
  <c r="E30" i="3" s="1"/>
  <c r="F30" i="3" s="1"/>
  <c r="G30" i="3" s="1"/>
  <c r="DG34" i="3"/>
  <c r="DG129" i="3" s="1"/>
  <c r="DF34" i="3"/>
  <c r="DF129" i="3" s="1"/>
  <c r="DG33" i="3"/>
  <c r="DG128" i="3" s="1"/>
  <c r="DF33" i="3"/>
  <c r="DF128" i="3" s="1"/>
  <c r="DG32" i="3"/>
  <c r="DG127" i="3" s="1"/>
  <c r="DF32" i="3"/>
  <c r="DF127" i="3" s="1"/>
  <c r="DG31" i="3"/>
  <c r="DG126" i="3" s="1"/>
  <c r="DG30" i="3"/>
  <c r="DG125" i="3" s="1"/>
  <c r="CO34" i="3"/>
  <c r="CO129" i="3" s="1"/>
  <c r="CN34" i="3"/>
  <c r="CN129" i="3" s="1"/>
  <c r="CO33" i="3"/>
  <c r="CO128" i="3" s="1"/>
  <c r="CN33" i="3"/>
  <c r="CN128" i="3" s="1"/>
  <c r="CM33" i="3"/>
  <c r="CM128" i="3" s="1"/>
  <c r="CO32" i="3"/>
  <c r="CO127" i="3" s="1"/>
  <c r="CN32" i="3"/>
  <c r="CN127" i="3" s="1"/>
  <c r="CO31" i="3"/>
  <c r="CO126" i="3" s="1"/>
  <c r="CN31" i="3"/>
  <c r="CN126" i="3" s="1"/>
  <c r="CO30" i="3"/>
  <c r="CO125" i="3" s="1"/>
  <c r="CN30" i="3"/>
  <c r="CN125" i="3" s="1"/>
  <c r="BH29" i="3"/>
  <c r="BD29" i="3"/>
  <c r="AZ29" i="3"/>
  <c r="AV29" i="3"/>
  <c r="AR29" i="3"/>
  <c r="AN29" i="3"/>
  <c r="AJ29" i="3"/>
  <c r="AF29" i="3"/>
  <c r="AB29" i="3"/>
  <c r="X29" i="3"/>
  <c r="T29" i="3"/>
  <c r="P29" i="3"/>
  <c r="L29" i="3"/>
  <c r="H29" i="3"/>
  <c r="D29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H25" i="3"/>
  <c r="BI25" i="3" s="1"/>
  <c r="BJ25" i="3" s="1"/>
  <c r="BK25" i="3" s="1"/>
  <c r="BD25" i="3"/>
  <c r="AZ25" i="3"/>
  <c r="AV25" i="3"/>
  <c r="AR25" i="3"/>
  <c r="AN25" i="3"/>
  <c r="AJ25" i="3"/>
  <c r="AF25" i="3"/>
  <c r="AB25" i="3"/>
  <c r="X25" i="3"/>
  <c r="T25" i="3"/>
  <c r="P25" i="3"/>
  <c r="L25" i="3"/>
  <c r="H25" i="3"/>
  <c r="D25" i="3"/>
  <c r="BH24" i="3"/>
  <c r="BI24" i="3" s="1"/>
  <c r="BJ24" i="3" s="1"/>
  <c r="BK24" i="3" s="1"/>
  <c r="BD24" i="3"/>
  <c r="AZ24" i="3"/>
  <c r="AV24" i="3"/>
  <c r="AR24" i="3"/>
  <c r="AN24" i="3"/>
  <c r="AJ24" i="3"/>
  <c r="AF24" i="3"/>
  <c r="AB24" i="3"/>
  <c r="X24" i="3"/>
  <c r="T24" i="3"/>
  <c r="P24" i="3"/>
  <c r="L24" i="3"/>
  <c r="H24" i="3"/>
  <c r="D24" i="3"/>
  <c r="BH23" i="3"/>
  <c r="BI23" i="3" s="1"/>
  <c r="BJ23" i="3" s="1"/>
  <c r="BK23" i="3" s="1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H22" i="3"/>
  <c r="BI22" i="3" s="1"/>
  <c r="BJ22" i="3" s="1"/>
  <c r="BK22" i="3" s="1"/>
  <c r="BD22" i="3"/>
  <c r="AZ22" i="3"/>
  <c r="AV22" i="3"/>
  <c r="AR22" i="3"/>
  <c r="AN22" i="3"/>
  <c r="AJ22" i="3"/>
  <c r="AF22" i="3"/>
  <c r="AB22" i="3"/>
  <c r="X22" i="3"/>
  <c r="T22" i="3"/>
  <c r="P22" i="3"/>
  <c r="L22" i="3"/>
  <c r="H22" i="3"/>
  <c r="D22" i="3"/>
  <c r="BH21" i="3"/>
  <c r="BI21" i="3" s="1"/>
  <c r="BJ21" i="3" s="1"/>
  <c r="BK21" i="3" s="1"/>
  <c r="BD21" i="3"/>
  <c r="AZ21" i="3"/>
  <c r="AV21" i="3"/>
  <c r="AR21" i="3"/>
  <c r="AN21" i="3"/>
  <c r="AJ21" i="3"/>
  <c r="AF21" i="3"/>
  <c r="AB21" i="3"/>
  <c r="X21" i="3"/>
  <c r="T21" i="3"/>
  <c r="P21" i="3"/>
  <c r="L21" i="3"/>
  <c r="H21" i="3"/>
  <c r="D21" i="3"/>
  <c r="BH20" i="3"/>
  <c r="BI20" i="3" s="1"/>
  <c r="BJ20" i="3" s="1"/>
  <c r="BK20" i="3" s="1"/>
  <c r="BD20" i="3"/>
  <c r="AZ20" i="3"/>
  <c r="AV20" i="3"/>
  <c r="AR20" i="3"/>
  <c r="AN20" i="3"/>
  <c r="AJ20" i="3"/>
  <c r="AF20" i="3"/>
  <c r="AB20" i="3"/>
  <c r="X20" i="3"/>
  <c r="T20" i="3"/>
  <c r="P20" i="3"/>
  <c r="L20" i="3"/>
  <c r="H20" i="3"/>
  <c r="D20" i="3"/>
  <c r="BH18" i="3"/>
  <c r="BI18" i="3" s="1"/>
  <c r="BJ18" i="3" s="1"/>
  <c r="BK18" i="3" s="1"/>
  <c r="BD18" i="3"/>
  <c r="BE18" i="3" s="1"/>
  <c r="BF18" i="3" s="1"/>
  <c r="AZ18" i="3"/>
  <c r="BA18" i="3" s="1"/>
  <c r="BB18" i="3" s="1"/>
  <c r="AV18" i="3"/>
  <c r="AW18" i="3" s="1"/>
  <c r="AX18" i="3" s="1"/>
  <c r="AR18" i="3"/>
  <c r="AS18" i="3" s="1"/>
  <c r="AT18" i="3" s="1"/>
  <c r="AN18" i="3"/>
  <c r="AO18" i="3" s="1"/>
  <c r="AP18" i="3" s="1"/>
  <c r="AJ18" i="3"/>
  <c r="AK18" i="3" s="1"/>
  <c r="AL18" i="3" s="1"/>
  <c r="AF18" i="3"/>
  <c r="AG18" i="3" s="1"/>
  <c r="AH18" i="3" s="1"/>
  <c r="AB18" i="3"/>
  <c r="AC18" i="3" s="1"/>
  <c r="AD18" i="3" s="1"/>
  <c r="X18" i="3"/>
  <c r="Y18" i="3" s="1"/>
  <c r="Z18" i="3" s="1"/>
  <c r="T18" i="3"/>
  <c r="U18" i="3" s="1"/>
  <c r="V18" i="3" s="1"/>
  <c r="P18" i="3"/>
  <c r="Q18" i="3" s="1"/>
  <c r="R18" i="3" s="1"/>
  <c r="L18" i="3"/>
  <c r="M18" i="3" s="1"/>
  <c r="N18" i="3" s="1"/>
  <c r="H18" i="3"/>
  <c r="I18" i="3" s="1"/>
  <c r="J18" i="3" s="1"/>
  <c r="D18" i="3"/>
  <c r="E18" i="3" s="1"/>
  <c r="F18" i="3" s="1"/>
  <c r="BH17" i="3"/>
  <c r="BI17" i="3" s="1"/>
  <c r="BJ17" i="3" s="1"/>
  <c r="BK17" i="3" s="1"/>
  <c r="BD17" i="3"/>
  <c r="BE17" i="3" s="1"/>
  <c r="AZ17" i="3"/>
  <c r="BA17" i="3" s="1"/>
  <c r="AV17" i="3"/>
  <c r="AW17" i="3" s="1"/>
  <c r="AR17" i="3"/>
  <c r="AS17" i="3" s="1"/>
  <c r="AN17" i="3"/>
  <c r="AO17" i="3" s="1"/>
  <c r="AJ17" i="3"/>
  <c r="AK17" i="3" s="1"/>
  <c r="AF17" i="3"/>
  <c r="AG17" i="3" s="1"/>
  <c r="AB17" i="3"/>
  <c r="AC17" i="3" s="1"/>
  <c r="X17" i="3"/>
  <c r="Y17" i="3" s="1"/>
  <c r="T17" i="3"/>
  <c r="U17" i="3" s="1"/>
  <c r="P17" i="3"/>
  <c r="Q17" i="3" s="1"/>
  <c r="L17" i="3"/>
  <c r="M17" i="3" s="1"/>
  <c r="H17" i="3"/>
  <c r="I17" i="3" s="1"/>
  <c r="D17" i="3"/>
  <c r="E17" i="3" s="1"/>
  <c r="BH16" i="3"/>
  <c r="BD16" i="3"/>
  <c r="AZ16" i="3"/>
  <c r="BA16" i="3" s="1"/>
  <c r="BB16" i="3" s="1"/>
  <c r="AV16" i="3"/>
  <c r="AR16" i="3"/>
  <c r="AS16" i="3" s="1"/>
  <c r="AT16" i="3" s="1"/>
  <c r="AN16" i="3"/>
  <c r="AN65" i="3" s="1"/>
  <c r="AJ16" i="3"/>
  <c r="AK16" i="3" s="1"/>
  <c r="AL16" i="3" s="1"/>
  <c r="AG16" i="3"/>
  <c r="AH16" i="3" s="1"/>
  <c r="AF16" i="3"/>
  <c r="AF65" i="3" s="1"/>
  <c r="AB16" i="3"/>
  <c r="AC16" i="3" s="1"/>
  <c r="AD16" i="3" s="1"/>
  <c r="X16" i="3"/>
  <c r="X65" i="3" s="1"/>
  <c r="T16" i="3"/>
  <c r="U16" i="3" s="1"/>
  <c r="V16" i="3" s="1"/>
  <c r="P16" i="3"/>
  <c r="P65" i="3" s="1"/>
  <c r="L16" i="3"/>
  <c r="M16" i="3" s="1"/>
  <c r="N16" i="3" s="1"/>
  <c r="H16" i="3"/>
  <c r="H65" i="3" s="1"/>
  <c r="D16" i="3"/>
  <c r="E16" i="3" s="1"/>
  <c r="F16" i="3" s="1"/>
  <c r="BH15" i="3"/>
  <c r="BI15" i="3" s="1"/>
  <c r="BJ15" i="3" s="1"/>
  <c r="BK15" i="3" s="1"/>
  <c r="BD15" i="3"/>
  <c r="BE15" i="3" s="1"/>
  <c r="BF15" i="3" s="1"/>
  <c r="AZ15" i="3"/>
  <c r="BA15" i="3" s="1"/>
  <c r="BB15" i="3" s="1"/>
  <c r="AV15" i="3"/>
  <c r="AR15" i="3"/>
  <c r="AN15" i="3"/>
  <c r="AJ15" i="3"/>
  <c r="AK15" i="3" s="1"/>
  <c r="AL15" i="3" s="1"/>
  <c r="AF15" i="3"/>
  <c r="AG15" i="3" s="1"/>
  <c r="AH15" i="3" s="1"/>
  <c r="AB15" i="3"/>
  <c r="AC15" i="3" s="1"/>
  <c r="AD15" i="3" s="1"/>
  <c r="X15" i="3"/>
  <c r="Y15" i="3" s="1"/>
  <c r="Z15" i="3" s="1"/>
  <c r="T15" i="3"/>
  <c r="U15" i="3" s="1"/>
  <c r="V15" i="3" s="1"/>
  <c r="P15" i="3"/>
  <c r="Q15" i="3" s="1"/>
  <c r="R15" i="3" s="1"/>
  <c r="L15" i="3"/>
  <c r="M15" i="3" s="1"/>
  <c r="N15" i="3" s="1"/>
  <c r="H15" i="3"/>
  <c r="I15" i="3" s="1"/>
  <c r="J15" i="3" s="1"/>
  <c r="D15" i="3"/>
  <c r="E15" i="3" s="1"/>
  <c r="F15" i="3" s="1"/>
  <c r="BH14" i="3"/>
  <c r="BI14" i="3" s="1"/>
  <c r="BJ14" i="3" s="1"/>
  <c r="BD14" i="3"/>
  <c r="BE14" i="3" s="1"/>
  <c r="AZ14" i="3"/>
  <c r="BA14" i="3" s="1"/>
  <c r="AV14" i="3"/>
  <c r="AW14" i="3" s="1"/>
  <c r="AR14" i="3"/>
  <c r="AS14" i="3" s="1"/>
  <c r="AN14" i="3"/>
  <c r="AO14" i="3" s="1"/>
  <c r="AJ14" i="3"/>
  <c r="AK14" i="3" s="1"/>
  <c r="AF14" i="3"/>
  <c r="AG14" i="3" s="1"/>
  <c r="AB14" i="3"/>
  <c r="AC14" i="3" s="1"/>
  <c r="X14" i="3"/>
  <c r="Y14" i="3" s="1"/>
  <c r="T14" i="3"/>
  <c r="U14" i="3" s="1"/>
  <c r="P14" i="3"/>
  <c r="Q14" i="3" s="1"/>
  <c r="L14" i="3"/>
  <c r="M14" i="3" s="1"/>
  <c r="H14" i="3"/>
  <c r="I14" i="3" s="1"/>
  <c r="D14" i="3"/>
  <c r="E14" i="3" s="1"/>
  <c r="BH13" i="3"/>
  <c r="BI13" i="3" s="1"/>
  <c r="BJ13" i="3" s="1"/>
  <c r="BK13" i="3" s="1"/>
  <c r="BD13" i="3"/>
  <c r="BE13" i="3" s="1"/>
  <c r="AZ13" i="3"/>
  <c r="BA13" i="3" s="1"/>
  <c r="AV13" i="3"/>
  <c r="AR13" i="3"/>
  <c r="AN13" i="3"/>
  <c r="AJ13" i="3"/>
  <c r="AK13" i="3" s="1"/>
  <c r="AF13" i="3"/>
  <c r="AG13" i="3" s="1"/>
  <c r="AB13" i="3"/>
  <c r="AC13" i="3" s="1"/>
  <c r="X13" i="3"/>
  <c r="Y13" i="3" s="1"/>
  <c r="T13" i="3"/>
  <c r="U13" i="3" s="1"/>
  <c r="P13" i="3"/>
  <c r="Q13" i="3" s="1"/>
  <c r="L13" i="3"/>
  <c r="M13" i="3" s="1"/>
  <c r="H13" i="3"/>
  <c r="I13" i="3" s="1"/>
  <c r="D13" i="3"/>
  <c r="E13" i="3" s="1"/>
  <c r="BH12" i="3"/>
  <c r="BI12" i="3" s="1"/>
  <c r="BJ12" i="3" s="1"/>
  <c r="BK12" i="3" s="1"/>
  <c r="BD12" i="3"/>
  <c r="BE12" i="3" s="1"/>
  <c r="BF12" i="3" s="1"/>
  <c r="AZ12" i="3"/>
  <c r="BA12" i="3" s="1"/>
  <c r="BB12" i="3" s="1"/>
  <c r="AV12" i="3"/>
  <c r="AW12" i="3" s="1"/>
  <c r="AX12" i="3" s="1"/>
  <c r="AR12" i="3"/>
  <c r="AS12" i="3" s="1"/>
  <c r="AT12" i="3" s="1"/>
  <c r="AN12" i="3"/>
  <c r="AO12" i="3" s="1"/>
  <c r="AP12" i="3" s="1"/>
  <c r="AJ12" i="3"/>
  <c r="AK12" i="3" s="1"/>
  <c r="AL12" i="3" s="1"/>
  <c r="AF12" i="3"/>
  <c r="AG12" i="3" s="1"/>
  <c r="AH12" i="3" s="1"/>
  <c r="AB12" i="3"/>
  <c r="AC12" i="3" s="1"/>
  <c r="AD12" i="3" s="1"/>
  <c r="X12" i="3"/>
  <c r="Y12" i="3" s="1"/>
  <c r="Z12" i="3" s="1"/>
  <c r="T12" i="3"/>
  <c r="U12" i="3" s="1"/>
  <c r="V12" i="3" s="1"/>
  <c r="P12" i="3"/>
  <c r="Q12" i="3" s="1"/>
  <c r="R12" i="3" s="1"/>
  <c r="L12" i="3"/>
  <c r="M12" i="3" s="1"/>
  <c r="N12" i="3" s="1"/>
  <c r="H12" i="3"/>
  <c r="I12" i="3" s="1"/>
  <c r="J12" i="3" s="1"/>
  <c r="D12" i="3"/>
  <c r="E12" i="3" s="1"/>
  <c r="F12" i="3" s="1"/>
  <c r="DG18" i="3"/>
  <c r="DG113" i="3" s="1"/>
  <c r="DF18" i="3"/>
  <c r="DF113" i="3" s="1"/>
  <c r="DG17" i="3"/>
  <c r="DG112" i="3" s="1"/>
  <c r="DF17" i="3"/>
  <c r="DF112" i="3" s="1"/>
  <c r="DG16" i="3"/>
  <c r="DG14" i="3"/>
  <c r="DG109" i="3" s="1"/>
  <c r="DG12" i="3"/>
  <c r="DG107" i="3" s="1"/>
  <c r="DF12" i="3"/>
  <c r="DF107" i="3" s="1"/>
  <c r="CO18" i="3"/>
  <c r="CO113" i="3" s="1"/>
  <c r="CN18" i="3"/>
  <c r="CN113" i="3" s="1"/>
  <c r="CM18" i="3"/>
  <c r="CM113" i="3" s="1"/>
  <c r="CO17" i="3"/>
  <c r="CO112" i="3" s="1"/>
  <c r="CN17" i="3"/>
  <c r="CN112" i="3" s="1"/>
  <c r="CO16" i="3"/>
  <c r="CN16" i="3"/>
  <c r="CO14" i="3"/>
  <c r="CO109" i="3" s="1"/>
  <c r="CN14" i="3"/>
  <c r="CN109" i="3" s="1"/>
  <c r="CO12" i="3"/>
  <c r="CO107" i="3" s="1"/>
  <c r="CN12" i="3"/>
  <c r="CN107" i="3" s="1"/>
  <c r="BH11" i="3"/>
  <c r="BH172" i="83" s="1"/>
  <c r="BD11" i="3"/>
  <c r="BD172" i="83" s="1"/>
  <c r="AZ11" i="3"/>
  <c r="AZ172" i="83" s="1"/>
  <c r="AV11" i="3"/>
  <c r="AV172" i="83" s="1"/>
  <c r="AR11" i="3"/>
  <c r="AR172" i="83" s="1"/>
  <c r="AN11" i="3"/>
  <c r="AN172" i="83" s="1"/>
  <c r="AJ11" i="3"/>
  <c r="AJ172" i="83" s="1"/>
  <c r="AF11" i="3"/>
  <c r="AF172" i="83" s="1"/>
  <c r="AB11" i="3"/>
  <c r="AB172" i="83" s="1"/>
  <c r="X11" i="3"/>
  <c r="X172" i="83" s="1"/>
  <c r="T11" i="3"/>
  <c r="T172" i="83" s="1"/>
  <c r="P11" i="3"/>
  <c r="P172" i="83" s="1"/>
  <c r="L11" i="3"/>
  <c r="L172" i="83" s="1"/>
  <c r="H11" i="3"/>
  <c r="H172" i="83" s="1"/>
  <c r="D11" i="3"/>
  <c r="D172" i="83" s="1"/>
  <c r="DB148" i="2"/>
  <c r="BG143" i="2"/>
  <c r="BC143" i="2"/>
  <c r="AY143" i="2"/>
  <c r="AX143" i="2"/>
  <c r="AW143" i="2"/>
  <c r="AV143" i="2"/>
  <c r="AT143" i="2"/>
  <c r="AS143" i="2"/>
  <c r="AR143" i="2"/>
  <c r="AP143" i="2"/>
  <c r="AO143" i="2"/>
  <c r="AN143" i="2"/>
  <c r="AL143" i="2"/>
  <c r="AK143" i="2"/>
  <c r="AJ143" i="2"/>
  <c r="AH143" i="2"/>
  <c r="AG143" i="2"/>
  <c r="AF143" i="2"/>
  <c r="AD143" i="2"/>
  <c r="AC143" i="2"/>
  <c r="AB143" i="2"/>
  <c r="Z143" i="2"/>
  <c r="Y143" i="2"/>
  <c r="X143" i="2"/>
  <c r="W143" i="2"/>
  <c r="V143" i="2"/>
  <c r="U143" i="2"/>
  <c r="T143" i="2"/>
  <c r="R143" i="2"/>
  <c r="Q143" i="2"/>
  <c r="P143" i="2"/>
  <c r="N143" i="2"/>
  <c r="M143" i="2"/>
  <c r="L143" i="2"/>
  <c r="J143" i="2"/>
  <c r="I143" i="2"/>
  <c r="H143" i="2"/>
  <c r="F143" i="2"/>
  <c r="E143" i="2"/>
  <c r="BG142" i="2"/>
  <c r="BC142" i="2"/>
  <c r="BH139" i="2"/>
  <c r="BG139" i="2"/>
  <c r="BF139" i="2"/>
  <c r="BE139" i="2"/>
  <c r="BD139" i="2"/>
  <c r="BC139" i="2"/>
  <c r="BB139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BH138" i="2"/>
  <c r="BH140" i="2" s="1"/>
  <c r="BG138" i="2"/>
  <c r="BG140" i="2" s="1"/>
  <c r="BF138" i="2"/>
  <c r="BF140" i="2" s="1"/>
  <c r="BE138" i="2"/>
  <c r="BE140" i="2" s="1"/>
  <c r="BD138" i="2"/>
  <c r="BD140" i="2" s="1"/>
  <c r="BC138" i="2"/>
  <c r="BC140" i="2" s="1"/>
  <c r="BB138" i="2"/>
  <c r="BB140" i="2" s="1"/>
  <c r="BA138" i="2"/>
  <c r="BA140" i="2" s="1"/>
  <c r="AZ138" i="2"/>
  <c r="AZ140" i="2" s="1"/>
  <c r="AY138" i="2"/>
  <c r="AY140" i="2" s="1"/>
  <c r="AX138" i="2"/>
  <c r="AX140" i="2" s="1"/>
  <c r="AW138" i="2"/>
  <c r="AW140" i="2" s="1"/>
  <c r="AV138" i="2"/>
  <c r="AV140" i="2" s="1"/>
  <c r="AU138" i="2"/>
  <c r="AU140" i="2" s="1"/>
  <c r="AT138" i="2"/>
  <c r="AT140" i="2" s="1"/>
  <c r="AS138" i="2"/>
  <c r="AS140" i="2" s="1"/>
  <c r="AR138" i="2"/>
  <c r="AR140" i="2" s="1"/>
  <c r="AQ138" i="2"/>
  <c r="AQ140" i="2" s="1"/>
  <c r="AP138" i="2"/>
  <c r="AP140" i="2" s="1"/>
  <c r="AO138" i="2"/>
  <c r="AO140" i="2" s="1"/>
  <c r="AN138" i="2"/>
  <c r="AN140" i="2" s="1"/>
  <c r="AM138" i="2"/>
  <c r="AM140" i="2" s="1"/>
  <c r="AL138" i="2"/>
  <c r="AL140" i="2" s="1"/>
  <c r="AK138" i="2"/>
  <c r="AK140" i="2" s="1"/>
  <c r="AJ138" i="2"/>
  <c r="AJ140" i="2" s="1"/>
  <c r="AI138" i="2"/>
  <c r="AI140" i="2" s="1"/>
  <c r="AH138" i="2"/>
  <c r="AH140" i="2" s="1"/>
  <c r="AG138" i="2"/>
  <c r="AG140" i="2" s="1"/>
  <c r="AF138" i="2"/>
  <c r="AF140" i="2" s="1"/>
  <c r="AE138" i="2"/>
  <c r="AE140" i="2" s="1"/>
  <c r="AD138" i="2"/>
  <c r="AD140" i="2" s="1"/>
  <c r="AC138" i="2"/>
  <c r="AC140" i="2" s="1"/>
  <c r="AB138" i="2"/>
  <c r="AB140" i="2" s="1"/>
  <c r="AA138" i="2"/>
  <c r="AA140" i="2" s="1"/>
  <c r="Z138" i="2"/>
  <c r="Z140" i="2" s="1"/>
  <c r="Y138" i="2"/>
  <c r="Y140" i="2" s="1"/>
  <c r="X138" i="2"/>
  <c r="X140" i="2" s="1"/>
  <c r="W138" i="2"/>
  <c r="W140" i="2" s="1"/>
  <c r="V138" i="2"/>
  <c r="V140" i="2" s="1"/>
  <c r="U138" i="2"/>
  <c r="U140" i="2" s="1"/>
  <c r="T138" i="2"/>
  <c r="T140" i="2" s="1"/>
  <c r="S138" i="2"/>
  <c r="S140" i="2" s="1"/>
  <c r="R138" i="2"/>
  <c r="R140" i="2" s="1"/>
  <c r="Q138" i="2"/>
  <c r="Q140" i="2" s="1"/>
  <c r="P138" i="2"/>
  <c r="P140" i="2" s="1"/>
  <c r="O138" i="2"/>
  <c r="O140" i="2" s="1"/>
  <c r="N138" i="2"/>
  <c r="N140" i="2" s="1"/>
  <c r="M138" i="2"/>
  <c r="M140" i="2" s="1"/>
  <c r="L138" i="2"/>
  <c r="L140" i="2" s="1"/>
  <c r="K138" i="2"/>
  <c r="K140" i="2" s="1"/>
  <c r="J138" i="2"/>
  <c r="J140" i="2" s="1"/>
  <c r="I138" i="2"/>
  <c r="I140" i="2" s="1"/>
  <c r="H138" i="2"/>
  <c r="H140" i="2" s="1"/>
  <c r="G138" i="2"/>
  <c r="G140" i="2" s="1"/>
  <c r="F138" i="2"/>
  <c r="E138" i="2"/>
  <c r="BH134" i="2"/>
  <c r="BG134" i="2"/>
  <c r="BF134" i="2"/>
  <c r="BE134" i="2"/>
  <c r="BD134" i="2"/>
  <c r="BC134" i="2"/>
  <c r="BB134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BH133" i="2"/>
  <c r="BG133" i="2"/>
  <c r="BF133" i="2"/>
  <c r="BE133" i="2"/>
  <c r="BD133" i="2"/>
  <c r="BC133" i="2"/>
  <c r="BB133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BK127" i="2"/>
  <c r="BL127" i="2" s="1"/>
  <c r="BM127" i="2" s="1"/>
  <c r="BN127" i="2" s="1"/>
  <c r="BO127" i="2" s="1"/>
  <c r="BP127" i="2" s="1"/>
  <c r="BQ127" i="2" s="1"/>
  <c r="BR127" i="2" s="1"/>
  <c r="BS127" i="2" s="1"/>
  <c r="BT127" i="2" s="1"/>
  <c r="BU127" i="2" s="1"/>
  <c r="BV127" i="2" s="1"/>
  <c r="BW127" i="2" s="1"/>
  <c r="BH126" i="2"/>
  <c r="BG126" i="2"/>
  <c r="BF126" i="2"/>
  <c r="BE126" i="2"/>
  <c r="BD126" i="2"/>
  <c r="BC126" i="2"/>
  <c r="BB126" i="2"/>
  <c r="BA126" i="2"/>
  <c r="AZ126" i="2"/>
  <c r="AX126" i="2"/>
  <c r="AW126" i="2"/>
  <c r="AV126" i="2"/>
  <c r="AT126" i="2"/>
  <c r="AS126" i="2"/>
  <c r="AR126" i="2"/>
  <c r="AP126" i="2"/>
  <c r="AO126" i="2"/>
  <c r="AN126" i="2"/>
  <c r="AL126" i="2"/>
  <c r="AK126" i="2"/>
  <c r="AJ126" i="2"/>
  <c r="AH126" i="2"/>
  <c r="AG126" i="2"/>
  <c r="AF126" i="2"/>
  <c r="AD126" i="2"/>
  <c r="AC126" i="2"/>
  <c r="AB126" i="2"/>
  <c r="Z126" i="2"/>
  <c r="Y126" i="2"/>
  <c r="X126" i="2"/>
  <c r="W126" i="2"/>
  <c r="V126" i="2"/>
  <c r="U126" i="2"/>
  <c r="T126" i="2"/>
  <c r="R126" i="2"/>
  <c r="Q126" i="2"/>
  <c r="P126" i="2"/>
  <c r="N126" i="2"/>
  <c r="M126" i="2"/>
  <c r="L126" i="2"/>
  <c r="J126" i="2"/>
  <c r="I126" i="2"/>
  <c r="H126" i="2"/>
  <c r="F126" i="2"/>
  <c r="E126" i="2"/>
  <c r="D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AE124" i="2"/>
  <c r="AD124" i="2"/>
  <c r="AC124" i="2"/>
  <c r="AB124" i="2"/>
  <c r="AA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E125" i="2" s="1"/>
  <c r="B120" i="2"/>
  <c r="AU119" i="2"/>
  <c r="CI119" i="2" s="1"/>
  <c r="B115" i="2"/>
  <c r="B111" i="2"/>
  <c r="CO107" i="2"/>
  <c r="CN107" i="2"/>
  <c r="CM107" i="2"/>
  <c r="CL107" i="2"/>
  <c r="CK107" i="2"/>
  <c r="CJ107" i="2"/>
  <c r="CI107" i="2"/>
  <c r="B107" i="2"/>
  <c r="CH104" i="2"/>
  <c r="AR104" i="2"/>
  <c r="B104" i="2"/>
  <c r="AT100" i="2"/>
  <c r="AT101" i="2" s="1"/>
  <c r="AS100" i="2"/>
  <c r="AS101" i="2" s="1"/>
  <c r="AR100" i="2"/>
  <c r="AR101" i="2" s="1"/>
  <c r="AQ100" i="2"/>
  <c r="CH100" i="2" s="1"/>
  <c r="B100" i="2"/>
  <c r="AQ97" i="2"/>
  <c r="CH97" i="2" s="1"/>
  <c r="CH96" i="2"/>
  <c r="AR96" i="2"/>
  <c r="AR115" i="2" s="1"/>
  <c r="AU87" i="2"/>
  <c r="AT87" i="2"/>
  <c r="AS87" i="2"/>
  <c r="AR87" i="2"/>
  <c r="AQ87" i="2"/>
  <c r="AP87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O86" i="2"/>
  <c r="AN86" i="2"/>
  <c r="AM86" i="2"/>
  <c r="AL86" i="2"/>
  <c r="AK86" i="2"/>
  <c r="AJ86" i="2"/>
  <c r="AI86" i="2"/>
  <c r="AG86" i="2"/>
  <c r="AG88" i="2" s="1"/>
  <c r="AF86" i="2"/>
  <c r="AF88" i="2" s="1"/>
  <c r="AE86" i="2"/>
  <c r="AE88" i="2" s="1"/>
  <c r="AD86" i="2"/>
  <c r="AD88" i="2" s="1"/>
  <c r="AC86" i="2"/>
  <c r="AC88" i="2" s="1"/>
  <c r="AB86" i="2"/>
  <c r="AB88" i="2" s="1"/>
  <c r="AA86" i="2"/>
  <c r="AA88" i="2" s="1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BH78" i="2"/>
  <c r="BH81" i="2" s="1"/>
  <c r="BG78" i="2"/>
  <c r="BG81" i="2" s="1"/>
  <c r="BF78" i="2"/>
  <c r="BF81" i="2" s="1"/>
  <c r="BE78" i="2"/>
  <c r="BE81" i="2" s="1"/>
  <c r="BD78" i="2"/>
  <c r="BD81" i="2" s="1"/>
  <c r="BC78" i="2"/>
  <c r="BC81" i="2" s="1"/>
  <c r="BB78" i="2"/>
  <c r="BB81" i="2" s="1"/>
  <c r="BA78" i="2"/>
  <c r="BA81" i="2" s="1"/>
  <c r="AZ78" i="2"/>
  <c r="AZ81" i="2" s="1"/>
  <c r="AY78" i="2"/>
  <c r="AY81" i="2" s="1"/>
  <c r="AX78" i="2"/>
  <c r="AX81" i="2" s="1"/>
  <c r="AW78" i="2"/>
  <c r="AW81" i="2" s="1"/>
  <c r="AV78" i="2"/>
  <c r="AV81" i="2" s="1"/>
  <c r="AU78" i="2"/>
  <c r="AU81" i="2" s="1"/>
  <c r="AT78" i="2"/>
  <c r="AT81" i="2" s="1"/>
  <c r="AS78" i="2"/>
  <c r="AS81" i="2" s="1"/>
  <c r="AR78" i="2"/>
  <c r="AR81" i="2" s="1"/>
  <c r="AQ78" i="2"/>
  <c r="AQ81" i="2" s="1"/>
  <c r="AP78" i="2"/>
  <c r="AP81" i="2" s="1"/>
  <c r="AO78" i="2"/>
  <c r="AO81" i="2" s="1"/>
  <c r="AN78" i="2"/>
  <c r="AN81" i="2" s="1"/>
  <c r="AM78" i="2"/>
  <c r="AM81" i="2" s="1"/>
  <c r="AL78" i="2"/>
  <c r="AL81" i="2" s="1"/>
  <c r="AK78" i="2"/>
  <c r="AK81" i="2" s="1"/>
  <c r="AJ78" i="2"/>
  <c r="AJ81" i="2" s="1"/>
  <c r="AI78" i="2"/>
  <c r="AI81" i="2" s="1"/>
  <c r="AH78" i="2"/>
  <c r="AH81" i="2" s="1"/>
  <c r="AG78" i="2"/>
  <c r="AG81" i="2" s="1"/>
  <c r="AF78" i="2"/>
  <c r="AF81" i="2" s="1"/>
  <c r="AE78" i="2"/>
  <c r="AE81" i="2" s="1"/>
  <c r="AD78" i="2"/>
  <c r="AD81" i="2" s="1"/>
  <c r="AC78" i="2"/>
  <c r="AC81" i="2" s="1"/>
  <c r="AB78" i="2"/>
  <c r="AB81" i="2" s="1"/>
  <c r="AA78" i="2"/>
  <c r="AA81" i="2" s="1"/>
  <c r="Z78" i="2"/>
  <c r="Z81" i="2" s="1"/>
  <c r="Y78" i="2"/>
  <c r="Y81" i="2" s="1"/>
  <c r="X78" i="2"/>
  <c r="X81" i="2" s="1"/>
  <c r="W78" i="2"/>
  <c r="W81" i="2" s="1"/>
  <c r="V78" i="2"/>
  <c r="V81" i="2" s="1"/>
  <c r="U78" i="2"/>
  <c r="U81" i="2" s="1"/>
  <c r="T78" i="2"/>
  <c r="T81" i="2" s="1"/>
  <c r="S78" i="2"/>
  <c r="S81" i="2" s="1"/>
  <c r="R78" i="2"/>
  <c r="R81" i="2" s="1"/>
  <c r="Q78" i="2"/>
  <c r="Q81" i="2" s="1"/>
  <c r="P78" i="2"/>
  <c r="P81" i="2" s="1"/>
  <c r="O78" i="2"/>
  <c r="O81" i="2" s="1"/>
  <c r="N78" i="2"/>
  <c r="N81" i="2" s="1"/>
  <c r="M78" i="2"/>
  <c r="M81" i="2" s="1"/>
  <c r="L78" i="2"/>
  <c r="L81" i="2" s="1"/>
  <c r="K78" i="2"/>
  <c r="K81" i="2" s="1"/>
  <c r="J78" i="2"/>
  <c r="J81" i="2" s="1"/>
  <c r="I78" i="2"/>
  <c r="I81" i="2" s="1"/>
  <c r="H78" i="2"/>
  <c r="H81" i="2" s="1"/>
  <c r="G78" i="2"/>
  <c r="G81" i="2" s="1"/>
  <c r="F78" i="2"/>
  <c r="F81" i="2" s="1"/>
  <c r="E78" i="2"/>
  <c r="E81" i="2" s="1"/>
  <c r="D78" i="2"/>
  <c r="D81" i="2" s="1"/>
  <c r="BH73" i="2"/>
  <c r="BG73" i="2"/>
  <c r="BF73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CU73" i="2" s="1"/>
  <c r="U73" i="2"/>
  <c r="T73" i="2"/>
  <c r="S73" i="2"/>
  <c r="R73" i="2"/>
  <c r="CT73" i="2" s="1"/>
  <c r="Q73" i="2"/>
  <c r="P73" i="2"/>
  <c r="O73" i="2"/>
  <c r="N73" i="2"/>
  <c r="CS73" i="2" s="1"/>
  <c r="M73" i="2"/>
  <c r="L73" i="2"/>
  <c r="K73" i="2"/>
  <c r="BZ73" i="2" s="1"/>
  <c r="J73" i="2"/>
  <c r="CR73" i="2" s="1"/>
  <c r="I73" i="2"/>
  <c r="H73" i="2"/>
  <c r="G73" i="2"/>
  <c r="BY73" i="2" s="1"/>
  <c r="F73" i="2"/>
  <c r="E73" i="2"/>
  <c r="D73" i="2"/>
  <c r="S70" i="2"/>
  <c r="R70" i="2"/>
  <c r="Q70" i="2"/>
  <c r="P70" i="2"/>
  <c r="O70" i="2"/>
  <c r="N70" i="2"/>
  <c r="M70" i="2"/>
  <c r="L70" i="2"/>
  <c r="K70" i="2"/>
  <c r="BZ70" i="2" s="1"/>
  <c r="DD70" i="2"/>
  <c r="DC70" i="2"/>
  <c r="DB70" i="2"/>
  <c r="DA70" i="2"/>
  <c r="CZ70" i="2"/>
  <c r="CY70" i="2"/>
  <c r="CX70" i="2"/>
  <c r="CW70" i="2"/>
  <c r="CV70" i="2"/>
  <c r="CU70" i="2"/>
  <c r="CT70" i="2"/>
  <c r="CS70" i="2"/>
  <c r="CR70" i="2"/>
  <c r="DD69" i="2"/>
  <c r="DC69" i="2"/>
  <c r="DB69" i="2"/>
  <c r="DA69" i="2"/>
  <c r="CZ69" i="2"/>
  <c r="CY69" i="2"/>
  <c r="CX69" i="2"/>
  <c r="CW69" i="2"/>
  <c r="CV69" i="2"/>
  <c r="CU69" i="2"/>
  <c r="CT69" i="2"/>
  <c r="CS69" i="2"/>
  <c r="CR69" i="2"/>
  <c r="DD68" i="2"/>
  <c r="DC68" i="2"/>
  <c r="DB68" i="2"/>
  <c r="DA68" i="2"/>
  <c r="CZ68" i="2"/>
  <c r="CY68" i="2"/>
  <c r="CX68" i="2"/>
  <c r="CW68" i="2"/>
  <c r="CV68" i="2"/>
  <c r="CU68" i="2"/>
  <c r="CT68" i="2"/>
  <c r="CS68" i="2"/>
  <c r="CR68" i="2"/>
  <c r="DD67" i="2"/>
  <c r="DC67" i="2"/>
  <c r="DB67" i="2"/>
  <c r="DA67" i="2"/>
  <c r="CZ67" i="2"/>
  <c r="CY67" i="2"/>
  <c r="CX67" i="2"/>
  <c r="CW67" i="2"/>
  <c r="CV67" i="2"/>
  <c r="CU67" i="2"/>
  <c r="CT67" i="2"/>
  <c r="CS67" i="2"/>
  <c r="CR67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BY70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CL68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CI67" i="2"/>
  <c r="CH67" i="2"/>
  <c r="CG67" i="2"/>
  <c r="CF67" i="2"/>
  <c r="CE67" i="2"/>
  <c r="CD67" i="2"/>
  <c r="CC67" i="2"/>
  <c r="CB67" i="2"/>
  <c r="CA67" i="2"/>
  <c r="BZ67" i="2"/>
  <c r="BY67" i="2"/>
  <c r="DE67" i="2"/>
  <c r="BG67" i="2"/>
  <c r="CL67" i="2" s="1"/>
  <c r="BE67" i="2"/>
  <c r="BC67" i="2"/>
  <c r="CK67" i="2" s="1"/>
  <c r="AY67" i="2"/>
  <c r="CJ67" i="2" s="1"/>
  <c r="BH65" i="2"/>
  <c r="BD65" i="2"/>
  <c r="BD71" i="2" s="1"/>
  <c r="AZ65" i="2"/>
  <c r="AZ71" i="2" s="1"/>
  <c r="AX65" i="2"/>
  <c r="AX71" i="2" s="1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BE61" i="2"/>
  <c r="BF61" i="2" s="1"/>
  <c r="BA61" i="2"/>
  <c r="BB61" i="2" s="1"/>
  <c r="AY61" i="2"/>
  <c r="CJ61" i="2" s="1"/>
  <c r="AW61" i="2"/>
  <c r="DD64" i="2"/>
  <c r="DC64" i="2"/>
  <c r="DB64" i="2"/>
  <c r="DA64" i="2"/>
  <c r="CZ64" i="2"/>
  <c r="CY64" i="2"/>
  <c r="CX64" i="2"/>
  <c r="CW64" i="2"/>
  <c r="CV64" i="2"/>
  <c r="CU64" i="2"/>
  <c r="CT64" i="2"/>
  <c r="CS64" i="2"/>
  <c r="CR64" i="2"/>
  <c r="DD63" i="2"/>
  <c r="DC63" i="2"/>
  <c r="DB63" i="2"/>
  <c r="DA63" i="2"/>
  <c r="CZ63" i="2"/>
  <c r="CY63" i="2"/>
  <c r="CX63" i="2"/>
  <c r="CW63" i="2"/>
  <c r="CV63" i="2"/>
  <c r="CU63" i="2"/>
  <c r="CT63" i="2"/>
  <c r="CS63" i="2"/>
  <c r="CR63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DB61" i="2"/>
  <c r="DA61" i="2"/>
  <c r="CZ61" i="2"/>
  <c r="CY61" i="2"/>
  <c r="CX61" i="2"/>
  <c r="CW61" i="2"/>
  <c r="CV61" i="2"/>
  <c r="CU61" i="2"/>
  <c r="CT61" i="2"/>
  <c r="CS61" i="2"/>
  <c r="CR61" i="2"/>
  <c r="CL64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CL63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CI61" i="2"/>
  <c r="CH61" i="2"/>
  <c r="CG61" i="2"/>
  <c r="CF61" i="2"/>
  <c r="CE61" i="2"/>
  <c r="CD61" i="2"/>
  <c r="CC61" i="2"/>
  <c r="CB61" i="2"/>
  <c r="CA61" i="2"/>
  <c r="BZ61" i="2"/>
  <c r="BY61" i="2"/>
  <c r="DE63" i="2"/>
  <c r="BH57" i="2"/>
  <c r="BH53" i="2" s="1"/>
  <c r="BS53" i="2" s="1"/>
  <c r="BT53" i="2" s="1"/>
  <c r="BG57" i="2"/>
  <c r="BF57" i="2"/>
  <c r="BF53" i="2" s="1"/>
  <c r="BE57" i="2"/>
  <c r="BD57" i="2"/>
  <c r="BD53" i="2" s="1"/>
  <c r="BC57" i="2"/>
  <c r="BB57" i="2"/>
  <c r="BB53" i="2" s="1"/>
  <c r="BA57" i="2"/>
  <c r="AZ57" i="2"/>
  <c r="AZ53" i="2" s="1"/>
  <c r="AX57" i="2"/>
  <c r="AX52" i="2" s="1"/>
  <c r="AX51" i="2" s="1"/>
  <c r="AW57" i="2"/>
  <c r="AW53" i="2" s="1"/>
  <c r="AV57" i="2"/>
  <c r="AT57" i="2"/>
  <c r="AT53" i="2" s="1"/>
  <c r="AS57" i="2"/>
  <c r="AR57" i="2"/>
  <c r="AR53" i="2" s="1"/>
  <c r="AP57" i="2"/>
  <c r="AP52" i="2" s="1"/>
  <c r="AP51" i="2" s="1"/>
  <c r="AO57" i="2"/>
  <c r="AO53" i="2" s="1"/>
  <c r="AN57" i="2"/>
  <c r="AL57" i="2"/>
  <c r="AL52" i="2" s="1"/>
  <c r="AL51" i="2" s="1"/>
  <c r="AK57" i="2"/>
  <c r="AJ57" i="2"/>
  <c r="AJ53" i="2" s="1"/>
  <c r="AH57" i="2"/>
  <c r="AH52" i="2" s="1"/>
  <c r="AH51" i="2" s="1"/>
  <c r="AG57" i="2"/>
  <c r="AG53" i="2" s="1"/>
  <c r="AF57" i="2"/>
  <c r="AE57" i="2"/>
  <c r="AE53" i="2" s="1"/>
  <c r="AD57" i="2"/>
  <c r="AC57" i="2"/>
  <c r="AC53" i="2" s="1"/>
  <c r="AB57" i="2"/>
  <c r="AB53" i="2" s="1"/>
  <c r="AA57" i="2"/>
  <c r="AA53" i="2" s="1"/>
  <c r="Z57" i="2"/>
  <c r="Z53" i="2" s="1"/>
  <c r="Y57" i="2"/>
  <c r="Y53" i="2" s="1"/>
  <c r="X57" i="2"/>
  <c r="X53" i="2" s="1"/>
  <c r="W57" i="2"/>
  <c r="W53" i="2" s="1"/>
  <c r="V57" i="2"/>
  <c r="V53" i="2" s="1"/>
  <c r="U57" i="2"/>
  <c r="U53" i="2" s="1"/>
  <c r="T57" i="2"/>
  <c r="T53" i="2" s="1"/>
  <c r="S57" i="2"/>
  <c r="S53" i="2" s="1"/>
  <c r="R57" i="2"/>
  <c r="R52" i="2" s="1"/>
  <c r="R51" i="2" s="1"/>
  <c r="Q57" i="2"/>
  <c r="Q53" i="2" s="1"/>
  <c r="P57" i="2"/>
  <c r="P53" i="2" s="1"/>
  <c r="N57" i="2"/>
  <c r="N53" i="2" s="1"/>
  <c r="M57" i="2"/>
  <c r="M53" i="2" s="1"/>
  <c r="L57" i="2"/>
  <c r="L53" i="2" s="1"/>
  <c r="J57" i="2"/>
  <c r="J53" i="2" s="1"/>
  <c r="I57" i="2"/>
  <c r="I53" i="2" s="1"/>
  <c r="H57" i="2"/>
  <c r="H53" i="2" s="1"/>
  <c r="F57" i="2"/>
  <c r="F52" i="2" s="1"/>
  <c r="F51" i="2" s="1"/>
  <c r="E57" i="2"/>
  <c r="E53" i="2" s="1"/>
  <c r="D57" i="2"/>
  <c r="D53" i="2" s="1"/>
  <c r="BH56" i="2"/>
  <c r="BH50" i="2" s="1"/>
  <c r="BG56" i="2"/>
  <c r="BG54" i="2" s="1"/>
  <c r="BF56" i="2"/>
  <c r="BF50" i="2" s="1"/>
  <c r="BE56" i="2"/>
  <c r="BE54" i="2" s="1"/>
  <c r="BD56" i="2"/>
  <c r="BD50" i="2" s="1"/>
  <c r="BC56" i="2"/>
  <c r="BC50" i="2" s="1"/>
  <c r="BB56" i="2"/>
  <c r="BB50" i="2" s="1"/>
  <c r="BA56" i="2"/>
  <c r="BA54" i="2" s="1"/>
  <c r="AZ56" i="2"/>
  <c r="AZ54" i="2" s="1"/>
  <c r="AX56" i="2"/>
  <c r="AX50" i="2" s="1"/>
  <c r="AW56" i="2"/>
  <c r="AW54" i="2" s="1"/>
  <c r="AV56" i="2"/>
  <c r="AV50" i="2" s="1"/>
  <c r="AT56" i="2"/>
  <c r="AT54" i="2" s="1"/>
  <c r="AS56" i="2"/>
  <c r="AS54" i="2" s="1"/>
  <c r="AR56" i="2"/>
  <c r="AR54" i="2" s="1"/>
  <c r="AP56" i="2"/>
  <c r="AP50" i="2" s="1"/>
  <c r="AO56" i="2"/>
  <c r="AO54" i="2" s="1"/>
  <c r="AN56" i="2"/>
  <c r="AN54" i="2" s="1"/>
  <c r="AL56" i="2"/>
  <c r="AL50" i="2" s="1"/>
  <c r="AK56" i="2"/>
  <c r="AK50" i="2" s="1"/>
  <c r="AJ56" i="2"/>
  <c r="AJ50" i="2" s="1"/>
  <c r="AH56" i="2"/>
  <c r="AH54" i="2" s="1"/>
  <c r="AG56" i="2"/>
  <c r="AG54" i="2" s="1"/>
  <c r="AF56" i="2"/>
  <c r="AF50" i="2" s="1"/>
  <c r="AE56" i="2"/>
  <c r="AE50" i="2" s="1"/>
  <c r="AD56" i="2"/>
  <c r="AD50" i="2" s="1"/>
  <c r="AC56" i="2"/>
  <c r="AC50" i="2" s="1"/>
  <c r="AB56" i="2"/>
  <c r="AB50" i="2" s="1"/>
  <c r="AA56" i="2"/>
  <c r="AA50" i="2" s="1"/>
  <c r="Z56" i="2"/>
  <c r="Z50" i="2" s="1"/>
  <c r="Y56" i="2"/>
  <c r="Y50" i="2" s="1"/>
  <c r="X56" i="2"/>
  <c r="X50" i="2" s="1"/>
  <c r="W56" i="2"/>
  <c r="W50" i="2" s="1"/>
  <c r="V56" i="2"/>
  <c r="V50" i="2" s="1"/>
  <c r="U56" i="2"/>
  <c r="U50" i="2" s="1"/>
  <c r="T56" i="2"/>
  <c r="T50" i="2" s="1"/>
  <c r="S56" i="2"/>
  <c r="S50" i="2" s="1"/>
  <c r="R56" i="2"/>
  <c r="Q56" i="2"/>
  <c r="Q50" i="2" s="1"/>
  <c r="P56" i="2"/>
  <c r="P50" i="2" s="1"/>
  <c r="N56" i="2"/>
  <c r="N50" i="2" s="1"/>
  <c r="M56" i="2"/>
  <c r="M50" i="2" s="1"/>
  <c r="L56" i="2"/>
  <c r="L50" i="2" s="1"/>
  <c r="J56" i="2"/>
  <c r="J50" i="2" s="1"/>
  <c r="I56" i="2"/>
  <c r="I50" i="2" s="1"/>
  <c r="H56" i="2"/>
  <c r="H50" i="2" s="1"/>
  <c r="F56" i="2"/>
  <c r="F50" i="2" s="1"/>
  <c r="E56" i="2"/>
  <c r="E50" i="2" s="1"/>
  <c r="D56" i="2"/>
  <c r="D50" i="2" s="1"/>
  <c r="AX54" i="2"/>
  <c r="BS51" i="2"/>
  <c r="BR51" i="2"/>
  <c r="BQ51" i="2"/>
  <c r="BP51" i="2"/>
  <c r="BO51" i="2"/>
  <c r="AH50" i="2"/>
  <c r="R50" i="2"/>
  <c r="DD42" i="2"/>
  <c r="DC42" i="2"/>
  <c r="DB42" i="2"/>
  <c r="DA42" i="2"/>
  <c r="CZ42" i="2"/>
  <c r="CY42" i="2"/>
  <c r="CX42" i="2"/>
  <c r="CW42" i="2"/>
  <c r="CV42" i="2"/>
  <c r="CU42" i="2"/>
  <c r="CT42" i="2"/>
  <c r="CS42" i="2"/>
  <c r="CR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H39" i="2"/>
  <c r="BG39" i="2"/>
  <c r="BF39" i="2"/>
  <c r="BE39" i="2"/>
  <c r="BD39" i="2"/>
  <c r="BC39" i="2"/>
  <c r="CK39" i="2" s="1"/>
  <c r="BC38" i="2"/>
  <c r="BB38" i="2"/>
  <c r="BA38" i="2"/>
  <c r="AZ38" i="2"/>
  <c r="AY38" i="2"/>
  <c r="AX38" i="2"/>
  <c r="DB38" i="2" s="1"/>
  <c r="AW38" i="2"/>
  <c r="AV38" i="2"/>
  <c r="AU38" i="2"/>
  <c r="AT38" i="2"/>
  <c r="AS38" i="2"/>
  <c r="AR38" i="2"/>
  <c r="AQ38" i="2"/>
  <c r="AP38" i="2"/>
  <c r="CZ38" i="2" s="1"/>
  <c r="AO38" i="2"/>
  <c r="AN38" i="2"/>
  <c r="AM38" i="2"/>
  <c r="AL38" i="2"/>
  <c r="AK38" i="2"/>
  <c r="AJ38" i="2"/>
  <c r="AI38" i="2"/>
  <c r="AH38" i="2"/>
  <c r="CX38" i="2" s="1"/>
  <c r="AG38" i="2"/>
  <c r="AF38" i="2"/>
  <c r="AE38" i="2"/>
  <c r="AD38" i="2"/>
  <c r="AC38" i="2"/>
  <c r="AB38" i="2"/>
  <c r="AA38" i="2"/>
  <c r="Z38" i="2"/>
  <c r="CV38" i="2" s="1"/>
  <c r="BB37" i="2"/>
  <c r="BA37" i="2"/>
  <c r="AZ37" i="2"/>
  <c r="AY37" i="2"/>
  <c r="AX37" i="2"/>
  <c r="AW37" i="2"/>
  <c r="AV37" i="2"/>
  <c r="DD40" i="2"/>
  <c r="DC40" i="2"/>
  <c r="DB40" i="2"/>
  <c r="DA40" i="2"/>
  <c r="CZ40" i="2"/>
  <c r="CY40" i="2"/>
  <c r="CX40" i="2"/>
  <c r="CW40" i="2"/>
  <c r="CV40" i="2"/>
  <c r="CU40" i="2"/>
  <c r="CT40" i="2"/>
  <c r="CS40" i="2"/>
  <c r="CR40" i="2"/>
  <c r="DD39" i="2"/>
  <c r="DC39" i="2"/>
  <c r="DB39" i="2"/>
  <c r="DA39" i="2"/>
  <c r="CZ39" i="2"/>
  <c r="CY39" i="2"/>
  <c r="CX39" i="2"/>
  <c r="CW39" i="2"/>
  <c r="CV39" i="2"/>
  <c r="CU39" i="2"/>
  <c r="CT39" i="2"/>
  <c r="CS39" i="2"/>
  <c r="CR39" i="2"/>
  <c r="DD38" i="2"/>
  <c r="DC38" i="2"/>
  <c r="DA38" i="2"/>
  <c r="CY38" i="2"/>
  <c r="CW38" i="2"/>
  <c r="CU38" i="2"/>
  <c r="CT38" i="2"/>
  <c r="CS38" i="2"/>
  <c r="CR38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DC36" i="2"/>
  <c r="DB36" i="2"/>
  <c r="DA36" i="2"/>
  <c r="CZ36" i="2"/>
  <c r="CY36" i="2"/>
  <c r="CX36" i="2"/>
  <c r="CW36" i="2"/>
  <c r="CU36" i="2"/>
  <c r="CT36" i="2"/>
  <c r="CS36" i="2"/>
  <c r="CR36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CL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DE40" i="2"/>
  <c r="DE38" i="2"/>
  <c r="BH36" i="2"/>
  <c r="BG36" i="2"/>
  <c r="BF36" i="2"/>
  <c r="DD36" i="2" s="1"/>
  <c r="BE36" i="2"/>
  <c r="BD36" i="2"/>
  <c r="BC36" i="2"/>
  <c r="Z36" i="2"/>
  <c r="CV36" i="2" s="1"/>
  <c r="BH34" i="2"/>
  <c r="BH44" i="2" s="1"/>
  <c r="BG34" i="2"/>
  <c r="BG44" i="2" s="1"/>
  <c r="BF34" i="2"/>
  <c r="BF44" i="2" s="1"/>
  <c r="BE34" i="2"/>
  <c r="BE44" i="2" s="1"/>
  <c r="BD34" i="2"/>
  <c r="BD44" i="2" s="1"/>
  <c r="BC34" i="2"/>
  <c r="BC44" i="2" s="1"/>
  <c r="BB34" i="2"/>
  <c r="BB44" i="2" s="1"/>
  <c r="BA34" i="2"/>
  <c r="BA44" i="2" s="1"/>
  <c r="AZ34" i="2"/>
  <c r="AZ44" i="2" s="1"/>
  <c r="AY34" i="2"/>
  <c r="AY44" i="2" s="1"/>
  <c r="AX34" i="2"/>
  <c r="AX44" i="2" s="1"/>
  <c r="AW34" i="2"/>
  <c r="AW44" i="2" s="1"/>
  <c r="AV34" i="2"/>
  <c r="AV44" i="2" s="1"/>
  <c r="AU34" i="2"/>
  <c r="AU44" i="2" s="1"/>
  <c r="AT34" i="2"/>
  <c r="AT44" i="2" s="1"/>
  <c r="AS34" i="2"/>
  <c r="AS44" i="2" s="1"/>
  <c r="AR34" i="2"/>
  <c r="AR44" i="2" s="1"/>
  <c r="AQ34" i="2"/>
  <c r="AQ44" i="2" s="1"/>
  <c r="AP34" i="2"/>
  <c r="AP44" i="2" s="1"/>
  <c r="AO34" i="2"/>
  <c r="AO44" i="2" s="1"/>
  <c r="AN34" i="2"/>
  <c r="AN44" i="2" s="1"/>
  <c r="AM34" i="2"/>
  <c r="AM44" i="2" s="1"/>
  <c r="AL34" i="2"/>
  <c r="AL44" i="2" s="1"/>
  <c r="AK34" i="2"/>
  <c r="AK44" i="2" s="1"/>
  <c r="AJ34" i="2"/>
  <c r="AJ44" i="2" s="1"/>
  <c r="AI34" i="2"/>
  <c r="AI44" i="2" s="1"/>
  <c r="AH34" i="2"/>
  <c r="AH44" i="2" s="1"/>
  <c r="AG34" i="2"/>
  <c r="AG44" i="2" s="1"/>
  <c r="AF34" i="2"/>
  <c r="AF44" i="2" s="1"/>
  <c r="AE34" i="2"/>
  <c r="AE44" i="2" s="1"/>
  <c r="AD34" i="2"/>
  <c r="AD44" i="2" s="1"/>
  <c r="AC34" i="2"/>
  <c r="AC44" i="2" s="1"/>
  <c r="AB34" i="2"/>
  <c r="AB44" i="2" s="1"/>
  <c r="AA34" i="2"/>
  <c r="AA44" i="2" s="1"/>
  <c r="Z34" i="2"/>
  <c r="Z44" i="2" s="1"/>
  <c r="Y34" i="2"/>
  <c r="Y44" i="2" s="1"/>
  <c r="X34" i="2"/>
  <c r="X44" i="2" s="1"/>
  <c r="W34" i="2"/>
  <c r="W44" i="2" s="1"/>
  <c r="V34" i="2"/>
  <c r="V44" i="2" s="1"/>
  <c r="U34" i="2"/>
  <c r="U44" i="2" s="1"/>
  <c r="T34" i="2"/>
  <c r="T44" i="2" s="1"/>
  <c r="S34" i="2"/>
  <c r="S44" i="2" s="1"/>
  <c r="R34" i="2"/>
  <c r="R44" i="2" s="1"/>
  <c r="Q34" i="2"/>
  <c r="Q44" i="2" s="1"/>
  <c r="P34" i="2"/>
  <c r="P44" i="2" s="1"/>
  <c r="O34" i="2"/>
  <c r="O44" i="2" s="1"/>
  <c r="N34" i="2"/>
  <c r="N44" i="2" s="1"/>
  <c r="M34" i="2"/>
  <c r="M44" i="2" s="1"/>
  <c r="L34" i="2"/>
  <c r="L44" i="2" s="1"/>
  <c r="K34" i="2"/>
  <c r="K44" i="2" s="1"/>
  <c r="J34" i="2"/>
  <c r="J44" i="2" s="1"/>
  <c r="I34" i="2"/>
  <c r="I44" i="2" s="1"/>
  <c r="H34" i="2"/>
  <c r="H44" i="2" s="1"/>
  <c r="G34" i="2"/>
  <c r="G44" i="2" s="1"/>
  <c r="F34" i="2"/>
  <c r="F44" i="2" s="1"/>
  <c r="E34" i="2"/>
  <c r="E44" i="2" s="1"/>
  <c r="D34" i="2"/>
  <c r="D44" i="2" s="1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DD32" i="2"/>
  <c r="DC32" i="2"/>
  <c r="DC87" i="2" s="1"/>
  <c r="DB32" i="2"/>
  <c r="DA32" i="2"/>
  <c r="DA87" i="2" s="1"/>
  <c r="CZ32" i="2"/>
  <c r="CY32" i="2"/>
  <c r="CY87" i="2" s="1"/>
  <c r="CX32" i="2"/>
  <c r="CW32" i="2"/>
  <c r="CW87" i="2" s="1"/>
  <c r="CV32" i="2"/>
  <c r="CU32" i="2"/>
  <c r="CU87" i="2" s="1"/>
  <c r="CT32" i="2"/>
  <c r="CS32" i="2"/>
  <c r="CS87" i="2" s="1"/>
  <c r="CR32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DE33" i="2"/>
  <c r="DE30" i="2"/>
  <c r="AH20" i="2"/>
  <c r="AH86" i="2" s="1"/>
  <c r="AH88" i="2" s="1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DD18" i="2"/>
  <c r="DD71" i="3" s="1"/>
  <c r="DC18" i="2"/>
  <c r="DC71" i="3" s="1"/>
  <c r="DB18" i="2"/>
  <c r="DB71" i="3" s="1"/>
  <c r="DA18" i="2"/>
  <c r="DA71" i="3" s="1"/>
  <c r="CZ18" i="2"/>
  <c r="CZ71" i="3" s="1"/>
  <c r="CY18" i="2"/>
  <c r="CY71" i="3" s="1"/>
  <c r="CX18" i="2"/>
  <c r="CX71" i="3" s="1"/>
  <c r="CW18" i="2"/>
  <c r="CW71" i="3" s="1"/>
  <c r="CV18" i="2"/>
  <c r="CV71" i="3" s="1"/>
  <c r="CU18" i="2"/>
  <c r="CU71" i="3" s="1"/>
  <c r="CT18" i="2"/>
  <c r="CT71" i="3" s="1"/>
  <c r="CS18" i="2"/>
  <c r="CS71" i="3" s="1"/>
  <c r="CR18" i="2"/>
  <c r="CR71" i="3" s="1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CL18" i="2"/>
  <c r="CL71" i="3" s="1"/>
  <c r="CK18" i="2"/>
  <c r="CK71" i="3" s="1"/>
  <c r="CK72" i="3" s="1"/>
  <c r="CJ18" i="2"/>
  <c r="CJ71" i="3" s="1"/>
  <c r="CI18" i="2"/>
  <c r="CI71" i="3" s="1"/>
  <c r="CH18" i="2"/>
  <c r="CH71" i="3" s="1"/>
  <c r="CG18" i="2"/>
  <c r="CG71" i="3" s="1"/>
  <c r="CG72" i="3" s="1"/>
  <c r="CF18" i="2"/>
  <c r="CF71" i="3" s="1"/>
  <c r="CE18" i="2"/>
  <c r="CE71" i="3" s="1"/>
  <c r="CD18" i="2"/>
  <c r="CD71" i="3" s="1"/>
  <c r="CC18" i="2"/>
  <c r="CC71" i="3" s="1"/>
  <c r="CC72" i="3" s="1"/>
  <c r="CB18" i="2"/>
  <c r="CB71" i="3" s="1"/>
  <c r="CA18" i="2"/>
  <c r="CA71" i="3" s="1"/>
  <c r="CA72" i="3" s="1"/>
  <c r="BZ18" i="2"/>
  <c r="BZ71" i="3" s="1"/>
  <c r="BY18" i="2"/>
  <c r="BY71" i="3" s="1"/>
  <c r="BY72" i="3" s="1"/>
  <c r="DE24" i="2"/>
  <c r="DE20" i="2"/>
  <c r="BG16" i="2"/>
  <c r="BG91" i="2" s="1"/>
  <c r="BE16" i="2"/>
  <c r="BA16" i="2"/>
  <c r="BA91" i="2" s="1"/>
  <c r="AZ16" i="2"/>
  <c r="AZ91" i="2" s="1"/>
  <c r="AY16" i="2"/>
  <c r="AY91" i="2" s="1"/>
  <c r="AX16" i="2"/>
  <c r="AX91" i="2" s="1"/>
  <c r="AW16" i="2"/>
  <c r="AW91" i="2" s="1"/>
  <c r="AV16" i="2"/>
  <c r="AV91" i="2" s="1"/>
  <c r="AU16" i="2"/>
  <c r="AU91" i="2" s="1"/>
  <c r="AT16" i="2"/>
  <c r="AT91" i="2" s="1"/>
  <c r="AS16" i="2"/>
  <c r="AS91" i="2" s="1"/>
  <c r="AR16" i="2"/>
  <c r="AR91" i="2" s="1"/>
  <c r="AQ16" i="2"/>
  <c r="AQ91" i="2" s="1"/>
  <c r="AP16" i="2"/>
  <c r="AP91" i="2" s="1"/>
  <c r="AO16" i="2"/>
  <c r="AO91" i="2" s="1"/>
  <c r="AN16" i="2"/>
  <c r="AN91" i="2" s="1"/>
  <c r="AM16" i="2"/>
  <c r="AM91" i="2" s="1"/>
  <c r="AK16" i="2"/>
  <c r="AI16" i="2"/>
  <c r="AI91" i="2" s="1"/>
  <c r="AH16" i="2"/>
  <c r="AG16" i="2"/>
  <c r="AF16" i="2"/>
  <c r="AE16" i="2"/>
  <c r="AE91" i="2" s="1"/>
  <c r="AC16" i="2"/>
  <c r="AA16" i="2"/>
  <c r="AA91" i="2" s="1"/>
  <c r="Y16" i="2"/>
  <c r="W16" i="2"/>
  <c r="W91" i="2" s="1"/>
  <c r="U16" i="2"/>
  <c r="S16" i="2"/>
  <c r="S91" i="2" s="1"/>
  <c r="Q16" i="2"/>
  <c r="O16" i="2"/>
  <c r="O91" i="2" s="1"/>
  <c r="M16" i="2"/>
  <c r="K16" i="2"/>
  <c r="K91" i="2" s="1"/>
  <c r="I16" i="2"/>
  <c r="G16" i="2"/>
  <c r="G91" i="2" s="1"/>
  <c r="BH15" i="2"/>
  <c r="BF15" i="2"/>
  <c r="BD15" i="2"/>
  <c r="BC15" i="2"/>
  <c r="BB15" i="2"/>
  <c r="AL15" i="2"/>
  <c r="AK15" i="2"/>
  <c r="AJ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F10" i="2"/>
  <c r="E10" i="2"/>
  <c r="D10" i="2"/>
  <c r="DC15" i="2"/>
  <c r="DB15" i="2"/>
  <c r="DA15" i="2"/>
  <c r="CZ15" i="2"/>
  <c r="CY15" i="2"/>
  <c r="CX15" i="2"/>
  <c r="CW15" i="2"/>
  <c r="CU15" i="2"/>
  <c r="CS15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L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Z134" i="2" s="1"/>
  <c r="CL9" i="2"/>
  <c r="CK9" i="2"/>
  <c r="CK151" i="3" s="1"/>
  <c r="CJ9" i="2"/>
  <c r="CJ16" i="2" s="1"/>
  <c r="CI9" i="2"/>
  <c r="CI151" i="3" s="1"/>
  <c r="CH9" i="2"/>
  <c r="CH16" i="2" s="1"/>
  <c r="CG9" i="2"/>
  <c r="CG151" i="3" s="1"/>
  <c r="CF9" i="2"/>
  <c r="CF16" i="2" s="1"/>
  <c r="CE9" i="2"/>
  <c r="CE151" i="3" s="1"/>
  <c r="CD9" i="2"/>
  <c r="CC9" i="2"/>
  <c r="CC151" i="3" s="1"/>
  <c r="CB9" i="2"/>
  <c r="CB16" i="2" s="1"/>
  <c r="CA9" i="2"/>
  <c r="CA151" i="3" s="1"/>
  <c r="BZ9" i="2"/>
  <c r="BZ16" i="2" s="1"/>
  <c r="BY9" i="2"/>
  <c r="BY151" i="3" s="1"/>
  <c r="DE13" i="2"/>
  <c r="DA6" i="3"/>
  <c r="CZ6" i="3"/>
  <c r="CY6" i="3"/>
  <c r="CX6" i="3"/>
  <c r="CW6" i="3"/>
  <c r="CV6" i="3"/>
  <c r="CU6" i="3"/>
  <c r="CT6" i="3"/>
  <c r="CS6" i="3"/>
  <c r="CR6" i="3"/>
  <c r="DG49" i="2"/>
  <c r="DG60" i="2" s="1"/>
  <c r="DF49" i="2"/>
  <c r="DF60" i="2" s="1"/>
  <c r="DE49" i="2"/>
  <c r="DE60" i="2" s="1"/>
  <c r="DD49" i="2"/>
  <c r="DD60" i="2" s="1"/>
  <c r="DC49" i="2"/>
  <c r="DC60" i="2" s="1"/>
  <c r="DB49" i="2"/>
  <c r="DB60" i="2" s="1"/>
  <c r="DA49" i="2"/>
  <c r="DA60" i="2" s="1"/>
  <c r="CZ49" i="2"/>
  <c r="CZ60" i="2" s="1"/>
  <c r="CY49" i="2"/>
  <c r="CY60" i="2" s="1"/>
  <c r="CX49" i="2"/>
  <c r="CX60" i="2" s="1"/>
  <c r="CW49" i="2"/>
  <c r="CW60" i="2" s="1"/>
  <c r="CV49" i="2"/>
  <c r="CV60" i="2" s="1"/>
  <c r="CU49" i="2"/>
  <c r="CU60" i="2" s="1"/>
  <c r="CT49" i="2"/>
  <c r="CT60" i="2" s="1"/>
  <c r="CS49" i="2"/>
  <c r="CS60" i="2" s="1"/>
  <c r="CR49" i="2"/>
  <c r="CR60" i="2" s="1"/>
  <c r="BS7" i="2"/>
  <c r="BR7" i="2"/>
  <c r="BQ7" i="2"/>
  <c r="BQ49" i="2" s="1"/>
  <c r="BQ60" i="2" s="1"/>
  <c r="BP7" i="2"/>
  <c r="BO7" i="2"/>
  <c r="BN7" i="2"/>
  <c r="BM7" i="2"/>
  <c r="BM49" i="2" s="1"/>
  <c r="BM60" i="2" s="1"/>
  <c r="BL7" i="2"/>
  <c r="BK7" i="2"/>
  <c r="BJ7" i="2"/>
  <c r="BJ49" i="2" s="1"/>
  <c r="BJ60" i="2" s="1"/>
  <c r="BI7" i="2"/>
  <c r="BI49" i="2" s="1"/>
  <c r="BI60" i="2" s="1"/>
  <c r="BH7" i="2"/>
  <c r="BG7" i="2"/>
  <c r="BF7" i="2"/>
  <c r="BE7" i="2"/>
  <c r="BE49" i="2" s="1"/>
  <c r="BE60" i="2" s="1"/>
  <c r="BD7" i="2"/>
  <c r="BS6" i="2"/>
  <c r="BS6" i="3" s="1"/>
  <c r="BR6" i="2"/>
  <c r="BR6" i="3" s="1"/>
  <c r="BQ6" i="2"/>
  <c r="BQ6" i="3" s="1"/>
  <c r="BP6" i="2"/>
  <c r="BP6" i="3" s="1"/>
  <c r="BO6" i="2"/>
  <c r="BO6" i="3" s="1"/>
  <c r="BN6" i="2"/>
  <c r="BN6" i="3" s="1"/>
  <c r="BM6" i="2"/>
  <c r="BM6" i="3" s="1"/>
  <c r="BL6" i="2"/>
  <c r="BL6" i="3" s="1"/>
  <c r="BK6" i="2"/>
  <c r="BK6" i="3" s="1"/>
  <c r="BJ6" i="2"/>
  <c r="BJ6" i="3" s="1"/>
  <c r="BI6" i="2"/>
  <c r="BI6" i="3" s="1"/>
  <c r="BH6" i="2"/>
  <c r="BH6" i="3" s="1"/>
  <c r="BG6" i="2"/>
  <c r="BG6" i="3" s="1"/>
  <c r="BF6" i="2"/>
  <c r="BF6" i="3" s="1"/>
  <c r="BE6" i="2"/>
  <c r="BE6" i="3" s="1"/>
  <c r="BD6" i="2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BS5" i="2"/>
  <c r="BS5" i="3" s="1"/>
  <c r="BR5" i="2"/>
  <c r="BR5" i="3" s="1"/>
  <c r="BQ5" i="2"/>
  <c r="BQ5" i="3" s="1"/>
  <c r="BP5" i="2"/>
  <c r="BP5" i="3" s="1"/>
  <c r="BO5" i="2"/>
  <c r="BO5" i="3" s="1"/>
  <c r="BN5" i="2"/>
  <c r="BN5" i="3" s="1"/>
  <c r="BM5" i="2"/>
  <c r="BM5" i="3" s="1"/>
  <c r="BL5" i="2"/>
  <c r="BL5" i="3" s="1"/>
  <c r="BK5" i="2"/>
  <c r="BK5" i="3" s="1"/>
  <c r="BJ5" i="2"/>
  <c r="BJ5" i="3" s="1"/>
  <c r="BI5" i="2"/>
  <c r="BI5" i="3" s="1"/>
  <c r="BH5" i="2"/>
  <c r="BH5" i="3" s="1"/>
  <c r="BG5" i="2"/>
  <c r="BG5" i="3" s="1"/>
  <c r="BF5" i="2"/>
  <c r="BF5" i="3" s="1"/>
  <c r="BE5" i="2"/>
  <c r="BE5" i="3" s="1"/>
  <c r="BD5" i="2"/>
  <c r="BD5" i="3" s="1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N224" i="53"/>
  <c r="CM224" i="53"/>
  <c r="CL224" i="53"/>
  <c r="CJ224" i="53"/>
  <c r="CI224" i="53"/>
  <c r="CH224" i="53"/>
  <c r="CF224" i="53"/>
  <c r="CE224" i="53"/>
  <c r="CD224" i="53"/>
  <c r="CB224" i="53"/>
  <c r="CA224" i="53"/>
  <c r="BZ224" i="53"/>
  <c r="BS224" i="53"/>
  <c r="BQ224" i="53"/>
  <c r="BP224" i="53"/>
  <c r="BO224" i="53"/>
  <c r="BL224" i="53"/>
  <c r="BK224" i="53"/>
  <c r="BH224" i="53"/>
  <c r="BG224" i="53"/>
  <c r="BE224" i="53"/>
  <c r="BD224" i="53"/>
  <c r="BC224" i="53"/>
  <c r="BA224" i="53"/>
  <c r="AZ224" i="53"/>
  <c r="AY224" i="53"/>
  <c r="AW224" i="53"/>
  <c r="AV224" i="53"/>
  <c r="AU224" i="53"/>
  <c r="AS224" i="53"/>
  <c r="AR224" i="53"/>
  <c r="AQ224" i="53"/>
  <c r="AO224" i="53"/>
  <c r="AN224" i="53"/>
  <c r="AM224" i="53"/>
  <c r="AK224" i="53"/>
  <c r="AJ224" i="53"/>
  <c r="AI224" i="53"/>
  <c r="AG224" i="53"/>
  <c r="AF224" i="53"/>
  <c r="AE224" i="53"/>
  <c r="AC224" i="53"/>
  <c r="AB224" i="53"/>
  <c r="AA224" i="53"/>
  <c r="Y224" i="53"/>
  <c r="X224" i="53"/>
  <c r="W224" i="53"/>
  <c r="U224" i="53"/>
  <c r="T224" i="53"/>
  <c r="S224" i="53"/>
  <c r="Q224" i="53"/>
  <c r="P224" i="53"/>
  <c r="O224" i="53"/>
  <c r="M224" i="53"/>
  <c r="L224" i="53"/>
  <c r="K224" i="53"/>
  <c r="I224" i="53"/>
  <c r="H224" i="53"/>
  <c r="G224" i="53"/>
  <c r="E224" i="53"/>
  <c r="D224" i="53"/>
  <c r="CL78" i="2"/>
  <c r="CJ78" i="2"/>
  <c r="H174" i="83" l="1"/>
  <c r="P174" i="83"/>
  <c r="X174" i="83"/>
  <c r="AF174" i="83"/>
  <c r="AN174" i="83"/>
  <c r="AV174" i="83"/>
  <c r="BD174" i="83"/>
  <c r="I16" i="3"/>
  <c r="J16" i="3" s="1"/>
  <c r="Q16" i="3"/>
  <c r="R16" i="3" s="1"/>
  <c r="Y16" i="3"/>
  <c r="Z16" i="3" s="1"/>
  <c r="AO16" i="3"/>
  <c r="AP16" i="3" s="1"/>
  <c r="D174" i="83"/>
  <c r="L174" i="83"/>
  <c r="T174" i="83"/>
  <c r="AB174" i="83"/>
  <c r="AJ174" i="83"/>
  <c r="AR174" i="83"/>
  <c r="AZ174" i="83"/>
  <c r="BH174" i="83"/>
  <c r="CS111" i="53"/>
  <c r="CU111" i="53"/>
  <c r="CW111" i="53"/>
  <c r="AM134" i="53"/>
  <c r="BZ163" i="53"/>
  <c r="CE164" i="53"/>
  <c r="CV162" i="53"/>
  <c r="CW163" i="53"/>
  <c r="AH91" i="2"/>
  <c r="CE69" i="3"/>
  <c r="CE72" i="3" s="1"/>
  <c r="CI69" i="3"/>
  <c r="CI72" i="3" s="1"/>
  <c r="AX142" i="3"/>
  <c r="BE131" i="3"/>
  <c r="CL16" i="2"/>
  <c r="AS50" i="2"/>
  <c r="F53" i="2"/>
  <c r="AF91" i="2"/>
  <c r="BD54" i="2"/>
  <c r="AT50" i="2"/>
  <c r="R53" i="2"/>
  <c r="BD52" i="2"/>
  <c r="BD51" i="2" s="1"/>
  <c r="BU53" i="2"/>
  <c r="H88" i="2"/>
  <c r="J88" i="2"/>
  <c r="L88" i="2"/>
  <c r="N88" i="2"/>
  <c r="P88" i="2"/>
  <c r="R88" i="2"/>
  <c r="T88" i="2"/>
  <c r="V88" i="2"/>
  <c r="X88" i="2"/>
  <c r="AI88" i="2"/>
  <c r="AK88" i="2"/>
  <c r="AM88" i="2"/>
  <c r="AO88" i="2"/>
  <c r="AP88" i="2"/>
  <c r="AR88" i="2"/>
  <c r="AR89" i="2" s="1"/>
  <c r="AT88" i="2"/>
  <c r="BE135" i="2"/>
  <c r="BG135" i="2"/>
  <c r="BK25" i="53"/>
  <c r="CV110" i="53"/>
  <c r="CV112" i="53"/>
  <c r="CH132" i="53"/>
  <c r="CA163" i="53"/>
  <c r="CB164" i="53"/>
  <c r="CD164" i="53"/>
  <c r="CU162" i="53"/>
  <c r="CW162" i="53"/>
  <c r="CV163" i="53"/>
  <c r="CX163" i="53"/>
  <c r="CD16" i="2"/>
  <c r="G125" i="2"/>
  <c r="I125" i="2"/>
  <c r="K125" i="2"/>
  <c r="M125" i="2"/>
  <c r="O125" i="2"/>
  <c r="Q125" i="2"/>
  <c r="S125" i="2"/>
  <c r="U125" i="2"/>
  <c r="W125" i="2"/>
  <c r="W127" i="2" s="1"/>
  <c r="Y125" i="2"/>
  <c r="AB125" i="2"/>
  <c r="AD125" i="2"/>
  <c r="AF125" i="2"/>
  <c r="AH125" i="2"/>
  <c r="AJ125" i="2"/>
  <c r="AL125" i="2"/>
  <c r="AN125" i="2"/>
  <c r="AP125" i="2"/>
  <c r="AR125" i="2"/>
  <c r="AT125" i="2"/>
  <c r="H135" i="2"/>
  <c r="J135" i="2"/>
  <c r="L135" i="2"/>
  <c r="M142" i="2" s="1"/>
  <c r="N135" i="2"/>
  <c r="P135" i="2"/>
  <c r="Q142" i="2" s="1"/>
  <c r="R135" i="2"/>
  <c r="T135" i="2"/>
  <c r="U142" i="2" s="1"/>
  <c r="V135" i="2"/>
  <c r="X135" i="2"/>
  <c r="Z135" i="2"/>
  <c r="AB135" i="2"/>
  <c r="AC142" i="2" s="1"/>
  <c r="AD135" i="2"/>
  <c r="AF135" i="2"/>
  <c r="AG142" i="2" s="1"/>
  <c r="AH135" i="2"/>
  <c r="AJ135" i="2"/>
  <c r="AK142" i="2" s="1"/>
  <c r="AL135" i="2"/>
  <c r="AN135" i="2"/>
  <c r="AO142" i="2" s="1"/>
  <c r="AP135" i="2"/>
  <c r="AR135" i="2"/>
  <c r="AS142" i="2" s="1"/>
  <c r="AT135" i="2"/>
  <c r="AV135" i="2"/>
  <c r="AX135" i="2"/>
  <c r="AZ135" i="2"/>
  <c r="BB135" i="2"/>
  <c r="BD135" i="2"/>
  <c r="BF135" i="2"/>
  <c r="BH135" i="2"/>
  <c r="I11" i="3"/>
  <c r="I172" i="83" s="1"/>
  <c r="I174" i="83" s="1"/>
  <c r="Q11" i="3"/>
  <c r="Q172" i="83" s="1"/>
  <c r="Q174" i="83" s="1"/>
  <c r="Y11" i="3"/>
  <c r="Y172" i="83" s="1"/>
  <c r="Y174" i="83" s="1"/>
  <c r="AG11" i="3"/>
  <c r="AG172" i="83" s="1"/>
  <c r="AG174" i="83" s="1"/>
  <c r="AO11" i="3"/>
  <c r="AO172" i="83" s="1"/>
  <c r="AO174" i="83" s="1"/>
  <c r="AW11" i="3"/>
  <c r="AW172" i="83" s="1"/>
  <c r="AW174" i="83" s="1"/>
  <c r="BE11" i="3"/>
  <c r="BE172" i="83" s="1"/>
  <c r="BE174" i="83" s="1"/>
  <c r="E11" i="3"/>
  <c r="E172" i="83" s="1"/>
  <c r="E174" i="83" s="1"/>
  <c r="M11" i="3"/>
  <c r="M172" i="83" s="1"/>
  <c r="M174" i="83" s="1"/>
  <c r="U11" i="3"/>
  <c r="U172" i="83" s="1"/>
  <c r="U174" i="83" s="1"/>
  <c r="AC11" i="3"/>
  <c r="AC172" i="83" s="1"/>
  <c r="AC174" i="83" s="1"/>
  <c r="AK11" i="3"/>
  <c r="AK172" i="83" s="1"/>
  <c r="AK174" i="83" s="1"/>
  <c r="AR82" i="53"/>
  <c r="BA11" i="3"/>
  <c r="BA172" i="83" s="1"/>
  <c r="BA174" i="83" s="1"/>
  <c r="BH82" i="53"/>
  <c r="AV65" i="3"/>
  <c r="AW16" i="3"/>
  <c r="AX16" i="3" s="1"/>
  <c r="BD65" i="3"/>
  <c r="BE16" i="3"/>
  <c r="BF16" i="3" s="1"/>
  <c r="BI31" i="3"/>
  <c r="BJ31" i="3" s="1"/>
  <c r="BK31" i="3" s="1"/>
  <c r="DF31" i="3" s="1"/>
  <c r="DF126" i="3" s="1"/>
  <c r="H36" i="3"/>
  <c r="X36" i="3"/>
  <c r="BD36" i="3"/>
  <c r="H47" i="3"/>
  <c r="X47" i="3"/>
  <c r="AN47" i="3"/>
  <c r="BD47" i="3"/>
  <c r="BY44" i="3"/>
  <c r="BY139" i="3" s="1"/>
  <c r="CC44" i="3"/>
  <c r="CC139" i="3" s="1"/>
  <c r="CG44" i="3"/>
  <c r="CG139" i="3" s="1"/>
  <c r="CK44" i="3"/>
  <c r="CK139" i="3" s="1"/>
  <c r="CD45" i="3"/>
  <c r="CD140" i="3" s="1"/>
  <c r="CA46" i="3"/>
  <c r="CA141" i="3" s="1"/>
  <c r="CI46" i="3"/>
  <c r="CI141" i="3" s="1"/>
  <c r="CS86" i="2"/>
  <c r="CS88" i="2" s="1"/>
  <c r="CU86" i="2"/>
  <c r="CU88" i="2" s="1"/>
  <c r="CW86" i="2"/>
  <c r="CW88" i="2" s="1"/>
  <c r="CY86" i="2"/>
  <c r="CY88" i="2" s="1"/>
  <c r="DA86" i="2"/>
  <c r="DA88" i="2" s="1"/>
  <c r="DC86" i="2"/>
  <c r="DC88" i="2" s="1"/>
  <c r="CR87" i="2"/>
  <c r="CT87" i="2"/>
  <c r="CV87" i="2"/>
  <c r="CX87" i="2"/>
  <c r="CZ87" i="2"/>
  <c r="DB87" i="2"/>
  <c r="DD87" i="2"/>
  <c r="G88" i="2"/>
  <c r="I88" i="2"/>
  <c r="K88" i="2"/>
  <c r="M88" i="2"/>
  <c r="O88" i="2"/>
  <c r="Q88" i="2"/>
  <c r="S88" i="2"/>
  <c r="U88" i="2"/>
  <c r="W88" i="2"/>
  <c r="Y88" i="2"/>
  <c r="AJ88" i="2"/>
  <c r="AL88" i="2"/>
  <c r="AN88" i="2"/>
  <c r="AQ88" i="2"/>
  <c r="AQ89" i="2" s="1"/>
  <c r="AS88" i="2"/>
  <c r="AU88" i="2"/>
  <c r="AU89" i="2" s="1"/>
  <c r="AS125" i="2"/>
  <c r="I135" i="2"/>
  <c r="J142" i="2" s="1"/>
  <c r="K135" i="2"/>
  <c r="M135" i="2"/>
  <c r="N142" i="2" s="1"/>
  <c r="O135" i="2"/>
  <c r="Q135" i="2"/>
  <c r="R142" i="2" s="1"/>
  <c r="S135" i="2"/>
  <c r="U135" i="2"/>
  <c r="V142" i="2" s="1"/>
  <c r="W135" i="2"/>
  <c r="Y135" i="2"/>
  <c r="Z142" i="2" s="1"/>
  <c r="AA135" i="2"/>
  <c r="AC135" i="2"/>
  <c r="AD142" i="2" s="1"/>
  <c r="AE135" i="2"/>
  <c r="AG135" i="2"/>
  <c r="AH142" i="2" s="1"/>
  <c r="AI135" i="2"/>
  <c r="AK135" i="2"/>
  <c r="AL142" i="2" s="1"/>
  <c r="AM135" i="2"/>
  <c r="AO135" i="2"/>
  <c r="AP142" i="2" s="1"/>
  <c r="AQ135" i="2"/>
  <c r="AS135" i="2"/>
  <c r="AT142" i="2" s="1"/>
  <c r="AU135" i="2"/>
  <c r="AW135" i="2"/>
  <c r="AY135" i="2"/>
  <c r="BA135" i="2"/>
  <c r="BC135" i="2"/>
  <c r="M91" i="2"/>
  <c r="U91" i="2"/>
  <c r="AC91" i="2"/>
  <c r="I91" i="2"/>
  <c r="Q91" i="2"/>
  <c r="Y91" i="2"/>
  <c r="AK91" i="2"/>
  <c r="BE91" i="2"/>
  <c r="AG91" i="2"/>
  <c r="AW15" i="3"/>
  <c r="D65" i="3"/>
  <c r="L65" i="3"/>
  <c r="T65" i="3"/>
  <c r="AB65" i="3"/>
  <c r="AJ65" i="3"/>
  <c r="AR65" i="3"/>
  <c r="AZ65" i="3"/>
  <c r="D47" i="3"/>
  <c r="T47" i="3"/>
  <c r="AJ47" i="3"/>
  <c r="AZ47" i="3"/>
  <c r="CH45" i="3"/>
  <c r="CH140" i="3" s="1"/>
  <c r="BY46" i="3"/>
  <c r="BY141" i="3" s="1"/>
  <c r="CC46" i="3"/>
  <c r="CC141" i="3" s="1"/>
  <c r="CG46" i="3"/>
  <c r="CG141" i="3" s="1"/>
  <c r="CK46" i="3"/>
  <c r="CK141" i="3" s="1"/>
  <c r="BH71" i="2"/>
  <c r="BH74" i="2" s="1"/>
  <c r="BI150" i="2"/>
  <c r="CR86" i="2"/>
  <c r="CR88" i="2" s="1"/>
  <c r="CT86" i="2"/>
  <c r="CT88" i="2" s="1"/>
  <c r="CV86" i="2"/>
  <c r="CV88" i="2" s="1"/>
  <c r="CX86" i="2"/>
  <c r="CX88" i="2" s="1"/>
  <c r="CZ86" i="2"/>
  <c r="CZ88" i="2" s="1"/>
  <c r="DB86" i="2"/>
  <c r="DB88" i="2" s="1"/>
  <c r="DD86" i="2"/>
  <c r="DD88" i="2" s="1"/>
  <c r="AV119" i="2"/>
  <c r="H125" i="2"/>
  <c r="J125" i="2"/>
  <c r="L125" i="2"/>
  <c r="N125" i="2"/>
  <c r="P125" i="2"/>
  <c r="P127" i="2" s="1"/>
  <c r="R125" i="2"/>
  <c r="T125" i="2"/>
  <c r="T127" i="2" s="1"/>
  <c r="V125" i="2"/>
  <c r="AC125" i="2"/>
  <c r="AC127" i="2" s="1"/>
  <c r="AE125" i="2"/>
  <c r="AG125" i="2"/>
  <c r="AG127" i="2" s="1"/>
  <c r="AI125" i="2"/>
  <c r="AK125" i="2"/>
  <c r="AK127" i="2" s="1"/>
  <c r="AM125" i="2"/>
  <c r="AO125" i="2"/>
  <c r="AO127" i="2" s="1"/>
  <c r="AQ125" i="2"/>
  <c r="AU125" i="2"/>
  <c r="AK82" i="53"/>
  <c r="BA82" i="53"/>
  <c r="AS11" i="3"/>
  <c r="AS172" i="83" s="1"/>
  <c r="AS174" i="83" s="1"/>
  <c r="CM12" i="3"/>
  <c r="CM107" i="3" s="1"/>
  <c r="R45" i="3"/>
  <c r="S45" i="3" s="1"/>
  <c r="AX45" i="3"/>
  <c r="AY45" i="3" s="1"/>
  <c r="AO15" i="3"/>
  <c r="AH45" i="3"/>
  <c r="AI45" i="3" s="1"/>
  <c r="D36" i="3"/>
  <c r="T36" i="3"/>
  <c r="AJ36" i="3"/>
  <c r="AZ36" i="3"/>
  <c r="CR44" i="3"/>
  <c r="CR139" i="3" s="1"/>
  <c r="CT44" i="3"/>
  <c r="CT139" i="3" s="1"/>
  <c r="CV44" i="3"/>
  <c r="CV139" i="3" s="1"/>
  <c r="CZ44" i="3"/>
  <c r="CZ139" i="3" s="1"/>
  <c r="DD44" i="3"/>
  <c r="DD139" i="3" s="1"/>
  <c r="CM49" i="3"/>
  <c r="CM144" i="3" s="1"/>
  <c r="D72" i="3"/>
  <c r="F72" i="3"/>
  <c r="H72" i="3"/>
  <c r="J72" i="3"/>
  <c r="L72" i="3"/>
  <c r="N72" i="3"/>
  <c r="P72" i="3"/>
  <c r="R72" i="3"/>
  <c r="T72" i="3"/>
  <c r="V72" i="3"/>
  <c r="X72" i="3"/>
  <c r="Z72" i="3"/>
  <c r="AB72" i="3"/>
  <c r="AD72" i="3"/>
  <c r="AF72" i="3"/>
  <c r="AH72" i="3"/>
  <c r="AJ72" i="3"/>
  <c r="AL72" i="3"/>
  <c r="AN72" i="3"/>
  <c r="AP72" i="3"/>
  <c r="AR72" i="3"/>
  <c r="AT72" i="3"/>
  <c r="AV72" i="3"/>
  <c r="AX72" i="3"/>
  <c r="AZ72" i="3"/>
  <c r="BB72" i="3"/>
  <c r="BD72" i="3"/>
  <c r="BF72" i="3"/>
  <c r="BH72" i="3"/>
  <c r="G72" i="3"/>
  <c r="I72" i="3"/>
  <c r="K72" i="3"/>
  <c r="M72" i="3"/>
  <c r="O72" i="3"/>
  <c r="Q72" i="3"/>
  <c r="S72" i="3"/>
  <c r="U72" i="3"/>
  <c r="W72" i="3"/>
  <c r="Y72" i="3"/>
  <c r="AA72" i="3"/>
  <c r="AC72" i="3"/>
  <c r="AE72" i="3"/>
  <c r="AG72" i="3"/>
  <c r="AI72" i="3"/>
  <c r="AK72" i="3"/>
  <c r="AM72" i="3"/>
  <c r="AO72" i="3"/>
  <c r="AQ72" i="3"/>
  <c r="AS72" i="3"/>
  <c r="AU72" i="3"/>
  <c r="AW72" i="3"/>
  <c r="AY72" i="3"/>
  <c r="BA72" i="3"/>
  <c r="BC72" i="3"/>
  <c r="BE72" i="3"/>
  <c r="BG72" i="3"/>
  <c r="BZ78" i="2"/>
  <c r="BZ81" i="2" s="1"/>
  <c r="CD78" i="2"/>
  <c r="CD81" i="2" s="1"/>
  <c r="CH78" i="2"/>
  <c r="CH81" i="2" s="1"/>
  <c r="F148" i="2"/>
  <c r="F224" i="53"/>
  <c r="J148" i="2"/>
  <c r="J224" i="53"/>
  <c r="N148" i="2"/>
  <c r="N224" i="53"/>
  <c r="R148" i="2"/>
  <c r="R224" i="53"/>
  <c r="V148" i="2"/>
  <c r="V224" i="53"/>
  <c r="Z148" i="2"/>
  <c r="Z224" i="53"/>
  <c r="AD148" i="2"/>
  <c r="AD224" i="53"/>
  <c r="AH148" i="2"/>
  <c r="AH224" i="53"/>
  <c r="AL148" i="2"/>
  <c r="AL224" i="53"/>
  <c r="AP148" i="2"/>
  <c r="AP224" i="53"/>
  <c r="AT148" i="2"/>
  <c r="AT224" i="53"/>
  <c r="AX148" i="2"/>
  <c r="AX224" i="53"/>
  <c r="BB148" i="2"/>
  <c r="BB224" i="53"/>
  <c r="BF148" i="2"/>
  <c r="BF224" i="53"/>
  <c r="CA78" i="2"/>
  <c r="CA81" i="2" s="1"/>
  <c r="CR148" i="2"/>
  <c r="BY224" i="53"/>
  <c r="CV148" i="2"/>
  <c r="CC224" i="53"/>
  <c r="CZ148" i="2"/>
  <c r="CG224" i="53"/>
  <c r="DD148" i="2"/>
  <c r="CK224" i="53"/>
  <c r="CO157" i="3"/>
  <c r="CO224" i="53"/>
  <c r="CI78" i="2"/>
  <c r="CI81" i="2" s="1"/>
  <c r="CB78" i="2"/>
  <c r="CB81" i="2" s="1"/>
  <c r="CF78" i="2"/>
  <c r="CF81" i="2" s="1"/>
  <c r="CE78" i="2"/>
  <c r="CE81" i="2" s="1"/>
  <c r="BY78" i="2"/>
  <c r="CC78" i="2"/>
  <c r="CC81" i="2" s="1"/>
  <c r="CG78" i="2"/>
  <c r="CG81" i="2" s="1"/>
  <c r="BJ148" i="2"/>
  <c r="BJ224" i="53"/>
  <c r="BN148" i="2"/>
  <c r="BN224" i="53"/>
  <c r="BR148" i="2"/>
  <c r="BR224" i="53"/>
  <c r="CZ132" i="53"/>
  <c r="AQ150" i="53"/>
  <c r="BH47" i="53"/>
  <c r="G11" i="53"/>
  <c r="H12" i="53" s="1"/>
  <c r="O11" i="53"/>
  <c r="W11" i="53"/>
  <c r="X12" i="53" s="1"/>
  <c r="AE11" i="53"/>
  <c r="AF12" i="53" s="1"/>
  <c r="AM11" i="53"/>
  <c r="AN12" i="53" s="1"/>
  <c r="BH36" i="53"/>
  <c r="AQ44" i="53"/>
  <c r="CA110" i="53"/>
  <c r="CE110" i="53"/>
  <c r="CA112" i="53"/>
  <c r="CE112" i="53"/>
  <c r="CG114" i="53"/>
  <c r="CG132" i="53"/>
  <c r="CG134" i="53" s="1"/>
  <c r="DA132" i="53"/>
  <c r="DA134" i="53" s="1"/>
  <c r="CT164" i="53"/>
  <c r="CD195" i="53"/>
  <c r="CF195" i="53"/>
  <c r="CH195" i="53"/>
  <c r="CU196" i="53"/>
  <c r="CW196" i="53"/>
  <c r="CY196" i="53"/>
  <c r="DA196" i="53"/>
  <c r="R196" i="53"/>
  <c r="T196" i="53"/>
  <c r="V196" i="53"/>
  <c r="X196" i="53"/>
  <c r="Z196" i="53"/>
  <c r="AB196" i="53"/>
  <c r="AD196" i="53"/>
  <c r="AF196" i="53"/>
  <c r="AH196" i="53"/>
  <c r="AJ196" i="53"/>
  <c r="AL196" i="53"/>
  <c r="AN196" i="53"/>
  <c r="AP196" i="53"/>
  <c r="F12" i="53"/>
  <c r="J12" i="53"/>
  <c r="L12" i="53"/>
  <c r="N12" i="53"/>
  <c r="P12" i="53"/>
  <c r="R12" i="53"/>
  <c r="T12" i="53"/>
  <c r="V12" i="53"/>
  <c r="Z12" i="53"/>
  <c r="AB12" i="53"/>
  <c r="AD12" i="53"/>
  <c r="AH12" i="53"/>
  <c r="AJ12" i="53"/>
  <c r="AL12" i="53"/>
  <c r="AP12" i="53"/>
  <c r="AR12" i="53"/>
  <c r="AT12" i="53"/>
  <c r="AV12" i="53"/>
  <c r="AX12" i="53"/>
  <c r="AZ12" i="53"/>
  <c r="BB12" i="53"/>
  <c r="BD12" i="53"/>
  <c r="BF12" i="53"/>
  <c r="BH12" i="53"/>
  <c r="BT13" i="53" s="1"/>
  <c r="H14" i="53"/>
  <c r="L14" i="53"/>
  <c r="P14" i="53"/>
  <c r="T14" i="53"/>
  <c r="X14" i="53"/>
  <c r="AB14" i="53"/>
  <c r="AF14" i="53"/>
  <c r="AJ14" i="53"/>
  <c r="AN14" i="53"/>
  <c r="AR14" i="53"/>
  <c r="AV14" i="53"/>
  <c r="AZ14" i="53"/>
  <c r="BD14" i="53"/>
  <c r="BH14" i="53"/>
  <c r="E23" i="53"/>
  <c r="G23" i="53"/>
  <c r="I23" i="53"/>
  <c r="K23" i="53"/>
  <c r="M23" i="53"/>
  <c r="O23" i="53"/>
  <c r="Q23" i="53"/>
  <c r="S23" i="53"/>
  <c r="U23" i="53"/>
  <c r="W23" i="53"/>
  <c r="Y23" i="53"/>
  <c r="AA23" i="53"/>
  <c r="AC23" i="53"/>
  <c r="AE23" i="53"/>
  <c r="AG23" i="53"/>
  <c r="AI23" i="53"/>
  <c r="AK23" i="53"/>
  <c r="AM23" i="53"/>
  <c r="AO23" i="53"/>
  <c r="AQ23" i="53"/>
  <c r="AS23" i="53"/>
  <c r="AU23" i="53"/>
  <c r="AW23" i="53"/>
  <c r="AY23" i="53"/>
  <c r="BA23" i="53"/>
  <c r="BC23" i="53"/>
  <c r="BE23" i="53"/>
  <c r="BG23" i="53"/>
  <c r="BJ25" i="53"/>
  <c r="BI23" i="53"/>
  <c r="K25" i="53"/>
  <c r="O25" i="53"/>
  <c r="S25" i="53"/>
  <c r="W25" i="53"/>
  <c r="AA25" i="53"/>
  <c r="AE25" i="53"/>
  <c r="AI25" i="53"/>
  <c r="AM25" i="53"/>
  <c r="AQ25" i="53"/>
  <c r="AU25" i="53"/>
  <c r="AY25" i="53"/>
  <c r="BC25" i="53"/>
  <c r="BG25" i="53"/>
  <c r="F34" i="53"/>
  <c r="H34" i="53"/>
  <c r="J34" i="53"/>
  <c r="L34" i="53"/>
  <c r="N34" i="53"/>
  <c r="P34" i="53"/>
  <c r="R34" i="53"/>
  <c r="T34" i="53"/>
  <c r="V34" i="53"/>
  <c r="X34" i="53"/>
  <c r="Z34" i="53"/>
  <c r="AB34" i="53"/>
  <c r="AD34" i="53"/>
  <c r="AF34" i="53"/>
  <c r="AH34" i="53"/>
  <c r="AJ34" i="53"/>
  <c r="AL34" i="53"/>
  <c r="AN34" i="53"/>
  <c r="AP34" i="53"/>
  <c r="AR34" i="53"/>
  <c r="AT34" i="53"/>
  <c r="AV34" i="53"/>
  <c r="AX34" i="53"/>
  <c r="AZ34" i="53"/>
  <c r="BB34" i="53"/>
  <c r="BD34" i="53"/>
  <c r="BH35" i="53" s="1"/>
  <c r="BF34" i="53"/>
  <c r="BN35" i="53" s="1"/>
  <c r="BI36" i="53"/>
  <c r="BH34" i="53"/>
  <c r="H36" i="53"/>
  <c r="L36" i="53"/>
  <c r="P36" i="53"/>
  <c r="T36" i="53"/>
  <c r="X36" i="53"/>
  <c r="AB36" i="53"/>
  <c r="AF36" i="53"/>
  <c r="AJ36" i="53"/>
  <c r="AN36" i="53"/>
  <c r="AR36" i="53"/>
  <c r="AV36" i="53"/>
  <c r="AZ36" i="53"/>
  <c r="BD36" i="53"/>
  <c r="CB44" i="53"/>
  <c r="CU44" i="53"/>
  <c r="CF44" i="53"/>
  <c r="CY44" i="53"/>
  <c r="AN45" i="53"/>
  <c r="AV45" i="53"/>
  <c r="CJ44" i="53"/>
  <c r="AZ45" i="53"/>
  <c r="BD45" i="53"/>
  <c r="BI47" i="53"/>
  <c r="BH45" i="53"/>
  <c r="AN47" i="53"/>
  <c r="AR47" i="53"/>
  <c r="AV47" i="53"/>
  <c r="AZ47" i="53"/>
  <c r="BD47" i="53"/>
  <c r="CS55" i="53"/>
  <c r="CU55" i="53"/>
  <c r="CW55" i="53"/>
  <c r="CY55" i="53"/>
  <c r="AO56" i="53"/>
  <c r="AQ58" i="53"/>
  <c r="AS58" i="53"/>
  <c r="AU58" i="53"/>
  <c r="AW58" i="53"/>
  <c r="AY58" i="53"/>
  <c r="BA58" i="53"/>
  <c r="BC58" i="53"/>
  <c r="BE58" i="53"/>
  <c r="BI58" i="53"/>
  <c r="BG58" i="53"/>
  <c r="CZ134" i="53"/>
  <c r="AM140" i="53"/>
  <c r="AQ134" i="53"/>
  <c r="AJ140" i="53"/>
  <c r="AJ141" i="53" s="1"/>
  <c r="AJ143" i="53" s="1"/>
  <c r="AN140" i="53"/>
  <c r="AR140" i="53"/>
  <c r="AR141" i="53" s="1"/>
  <c r="AR143" i="53" s="1"/>
  <c r="AV140" i="53"/>
  <c r="AZ140" i="53"/>
  <c r="AZ141" i="53" s="1"/>
  <c r="AZ143" i="53" s="1"/>
  <c r="CH150" i="53"/>
  <c r="DA150" i="53"/>
  <c r="AM156" i="53"/>
  <c r="AU156" i="53"/>
  <c r="AY150" i="53"/>
  <c r="BJ14" i="53"/>
  <c r="J14" i="53"/>
  <c r="N14" i="53"/>
  <c r="R14" i="53"/>
  <c r="V14" i="53"/>
  <c r="Z14" i="53"/>
  <c r="AD14" i="53"/>
  <c r="AH14" i="53"/>
  <c r="AL14" i="53"/>
  <c r="AP14" i="53"/>
  <c r="AT14" i="53"/>
  <c r="AX14" i="53"/>
  <c r="BB14" i="53"/>
  <c r="BF14" i="53"/>
  <c r="BI25" i="53"/>
  <c r="I25" i="53"/>
  <c r="M25" i="53"/>
  <c r="Q25" i="53"/>
  <c r="U25" i="53"/>
  <c r="Y25" i="53"/>
  <c r="AC25" i="53"/>
  <c r="AG25" i="53"/>
  <c r="AK25" i="53"/>
  <c r="AO25" i="53"/>
  <c r="AS25" i="53"/>
  <c r="AW25" i="53"/>
  <c r="BA25" i="53"/>
  <c r="BE25" i="53"/>
  <c r="BJ36" i="53"/>
  <c r="BI34" i="53"/>
  <c r="J36" i="53"/>
  <c r="N36" i="53"/>
  <c r="R36" i="53"/>
  <c r="V36" i="53"/>
  <c r="Z36" i="53"/>
  <c r="AD36" i="53"/>
  <c r="AH36" i="53"/>
  <c r="AL36" i="53"/>
  <c r="AP36" i="53"/>
  <c r="AT36" i="53"/>
  <c r="AX36" i="53"/>
  <c r="BB36" i="53"/>
  <c r="BF36" i="53"/>
  <c r="BJ47" i="53"/>
  <c r="BI45" i="53"/>
  <c r="AP47" i="53"/>
  <c r="AT47" i="53"/>
  <c r="AX47" i="53"/>
  <c r="BB47" i="53"/>
  <c r="BF47" i="53"/>
  <c r="BJ58" i="53"/>
  <c r="BI56" i="53"/>
  <c r="AL80" i="53"/>
  <c r="AL140" i="53"/>
  <c r="AL141" i="53" s="1"/>
  <c r="AL143" i="53" s="1"/>
  <c r="AP140" i="53"/>
  <c r="AP141" i="53" s="1"/>
  <c r="AP143" i="53" s="1"/>
  <c r="AT140" i="53"/>
  <c r="AT141" i="53" s="1"/>
  <c r="AT143" i="53" s="1"/>
  <c r="AX140" i="53"/>
  <c r="AX141" i="53" s="1"/>
  <c r="AX143" i="53" s="1"/>
  <c r="BB140" i="53"/>
  <c r="BB141" i="53" s="1"/>
  <c r="BB143" i="53" s="1"/>
  <c r="CJ150" i="53"/>
  <c r="CZ149" i="53"/>
  <c r="CV91" i="3"/>
  <c r="W173" i="53"/>
  <c r="W175" i="53" s="1"/>
  <c r="AE173" i="53"/>
  <c r="AE175" i="53" s="1"/>
  <c r="D173" i="53"/>
  <c r="D175" i="53" s="1"/>
  <c r="F173" i="53"/>
  <c r="F175" i="53" s="1"/>
  <c r="I173" i="53"/>
  <c r="I175" i="53" s="1"/>
  <c r="L173" i="53"/>
  <c r="L175" i="53" s="1"/>
  <c r="N173" i="53"/>
  <c r="N175" i="53" s="1"/>
  <c r="Q173" i="53"/>
  <c r="Q175" i="53" s="1"/>
  <c r="T173" i="53"/>
  <c r="T175" i="53" s="1"/>
  <c r="V173" i="53"/>
  <c r="V175" i="53" s="1"/>
  <c r="Y173" i="53"/>
  <c r="Y175" i="53" s="1"/>
  <c r="AB173" i="53"/>
  <c r="AB175" i="53" s="1"/>
  <c r="AD173" i="53"/>
  <c r="AD175" i="53" s="1"/>
  <c r="AG173" i="53"/>
  <c r="AG175" i="53" s="1"/>
  <c r="AJ173" i="53"/>
  <c r="AJ175" i="53" s="1"/>
  <c r="AL173" i="53"/>
  <c r="AL175" i="53" s="1"/>
  <c r="AO173" i="53"/>
  <c r="AO175" i="53" s="1"/>
  <c r="AR173" i="53"/>
  <c r="AR175" i="53" s="1"/>
  <c r="AT173" i="53"/>
  <c r="AT175" i="53" s="1"/>
  <c r="AV173" i="53"/>
  <c r="AV175" i="53" s="1"/>
  <c r="AX173" i="53"/>
  <c r="AX175" i="53" s="1"/>
  <c r="BA173" i="53"/>
  <c r="BA175" i="53" s="1"/>
  <c r="BD173" i="53"/>
  <c r="BD175" i="53" s="1"/>
  <c r="D49" i="2"/>
  <c r="D60" i="2" s="1"/>
  <c r="D77" i="2" s="1"/>
  <c r="D7" i="3"/>
  <c r="D102" i="3" s="1"/>
  <c r="F49" i="2"/>
  <c r="F60" i="2" s="1"/>
  <c r="F77" i="2" s="1"/>
  <c r="F7" i="3"/>
  <c r="F102" i="3" s="1"/>
  <c r="H49" i="2"/>
  <c r="H60" i="2" s="1"/>
  <c r="H77" i="2" s="1"/>
  <c r="H7" i="3"/>
  <c r="H102" i="3" s="1"/>
  <c r="J49" i="2"/>
  <c r="J60" i="2" s="1"/>
  <c r="J77" i="2" s="1"/>
  <c r="J7" i="3"/>
  <c r="J102" i="3" s="1"/>
  <c r="L49" i="2"/>
  <c r="L60" i="2" s="1"/>
  <c r="L7" i="3"/>
  <c r="L102" i="3" s="1"/>
  <c r="N49" i="2"/>
  <c r="N60" i="2" s="1"/>
  <c r="N77" i="2" s="1"/>
  <c r="N7" i="3"/>
  <c r="N102" i="3" s="1"/>
  <c r="P49" i="2"/>
  <c r="P60" i="2" s="1"/>
  <c r="P77" i="2" s="1"/>
  <c r="P7" i="3"/>
  <c r="P102" i="3" s="1"/>
  <c r="R49" i="2"/>
  <c r="R60" i="2" s="1"/>
  <c r="R77" i="2" s="1"/>
  <c r="R7" i="3"/>
  <c r="R102" i="3" s="1"/>
  <c r="T49" i="2"/>
  <c r="T60" i="2" s="1"/>
  <c r="T131" i="2" s="1"/>
  <c r="T7" i="3"/>
  <c r="T102" i="3" s="1"/>
  <c r="V49" i="2"/>
  <c r="V60" i="2" s="1"/>
  <c r="V123" i="2" s="1"/>
  <c r="V7" i="3"/>
  <c r="V102" i="3" s="1"/>
  <c r="X49" i="2"/>
  <c r="X60" i="2" s="1"/>
  <c r="X123" i="2" s="1"/>
  <c r="X7" i="3"/>
  <c r="X102" i="3" s="1"/>
  <c r="Z49" i="2"/>
  <c r="Z60" i="2" s="1"/>
  <c r="Z123" i="2" s="1"/>
  <c r="Z7" i="3"/>
  <c r="Z102" i="3" s="1"/>
  <c r="AB49" i="2"/>
  <c r="AB60" i="2" s="1"/>
  <c r="AB123" i="2" s="1"/>
  <c r="AB7" i="3"/>
  <c r="AB102" i="3" s="1"/>
  <c r="AD49" i="2"/>
  <c r="AD60" i="2" s="1"/>
  <c r="AD123" i="2" s="1"/>
  <c r="AD7" i="3"/>
  <c r="AD102" i="3" s="1"/>
  <c r="AF49" i="2"/>
  <c r="AF60" i="2" s="1"/>
  <c r="AF123" i="2" s="1"/>
  <c r="AF7" i="3"/>
  <c r="AF102" i="3" s="1"/>
  <c r="AH49" i="2"/>
  <c r="AH60" i="2" s="1"/>
  <c r="AH123" i="2" s="1"/>
  <c r="AH7" i="3"/>
  <c r="AH102" i="3" s="1"/>
  <c r="AJ49" i="2"/>
  <c r="AJ60" i="2" s="1"/>
  <c r="AJ123" i="2" s="1"/>
  <c r="AJ7" i="3"/>
  <c r="AJ102" i="3" s="1"/>
  <c r="AL49" i="2"/>
  <c r="AL60" i="2" s="1"/>
  <c r="AL123" i="2" s="1"/>
  <c r="AL7" i="3"/>
  <c r="AL102" i="3" s="1"/>
  <c r="AN49" i="2"/>
  <c r="AN60" i="2" s="1"/>
  <c r="AN123" i="2" s="1"/>
  <c r="AN7" i="3"/>
  <c r="AN102" i="3" s="1"/>
  <c r="AP49" i="2"/>
  <c r="AP60" i="2" s="1"/>
  <c r="AP123" i="2" s="1"/>
  <c r="AP7" i="3"/>
  <c r="AP102" i="3" s="1"/>
  <c r="AR49" i="2"/>
  <c r="AR60" i="2" s="1"/>
  <c r="AR123" i="2" s="1"/>
  <c r="AR7" i="3"/>
  <c r="AR102" i="3" s="1"/>
  <c r="AT49" i="2"/>
  <c r="AT60" i="2" s="1"/>
  <c r="AT123" i="2" s="1"/>
  <c r="AT7" i="3"/>
  <c r="AT102" i="3" s="1"/>
  <c r="AV49" i="2"/>
  <c r="AV60" i="2" s="1"/>
  <c r="AV123" i="2" s="1"/>
  <c r="AV7" i="3"/>
  <c r="AV102" i="3" s="1"/>
  <c r="AX49" i="2"/>
  <c r="AX60" i="2" s="1"/>
  <c r="AX123" i="2" s="1"/>
  <c r="AX7" i="3"/>
  <c r="AX102" i="3" s="1"/>
  <c r="AZ49" i="2"/>
  <c r="AZ60" i="2" s="1"/>
  <c r="AZ123" i="2" s="1"/>
  <c r="AZ7" i="3"/>
  <c r="AZ102" i="3" s="1"/>
  <c r="BB49" i="2"/>
  <c r="BB60" i="2" s="1"/>
  <c r="BB123" i="2" s="1"/>
  <c r="BB7" i="3"/>
  <c r="BB102" i="3" s="1"/>
  <c r="BY49" i="2"/>
  <c r="BY60" i="2" s="1"/>
  <c r="BY131" i="2" s="1"/>
  <c r="BY7" i="3"/>
  <c r="BY102" i="3" s="1"/>
  <c r="CA49" i="2"/>
  <c r="CA60" i="2" s="1"/>
  <c r="CA131" i="2" s="1"/>
  <c r="CA7" i="3"/>
  <c r="CA102" i="3" s="1"/>
  <c r="CC49" i="2"/>
  <c r="CC60" i="2" s="1"/>
  <c r="CC131" i="2" s="1"/>
  <c r="CC7" i="3"/>
  <c r="CC102" i="3" s="1"/>
  <c r="CE49" i="2"/>
  <c r="CE60" i="2" s="1"/>
  <c r="CE131" i="2" s="1"/>
  <c r="CE7" i="3"/>
  <c r="CE102" i="3" s="1"/>
  <c r="CG49" i="2"/>
  <c r="CG60" i="2" s="1"/>
  <c r="CG131" i="2" s="1"/>
  <c r="CG7" i="3"/>
  <c r="CG102" i="3" s="1"/>
  <c r="CI49" i="2"/>
  <c r="CI60" i="2" s="1"/>
  <c r="CI131" i="2" s="1"/>
  <c r="CI7" i="3"/>
  <c r="CI102" i="3" s="1"/>
  <c r="CK49" i="2"/>
  <c r="CK60" i="2" s="1"/>
  <c r="CK131" i="2" s="1"/>
  <c r="CK7" i="3"/>
  <c r="CK102" i="3" s="1"/>
  <c r="CM49" i="2"/>
  <c r="CM60" i="2" s="1"/>
  <c r="CM131" i="2" s="1"/>
  <c r="CM7" i="3"/>
  <c r="CM102" i="3" s="1"/>
  <c r="CO49" i="2"/>
  <c r="CO60" i="2" s="1"/>
  <c r="CO131" i="2" s="1"/>
  <c r="CO7" i="3"/>
  <c r="CO102" i="3" s="1"/>
  <c r="E49" i="2"/>
  <c r="E60" i="2" s="1"/>
  <c r="E131" i="2" s="1"/>
  <c r="E7" i="3"/>
  <c r="E61" i="3" s="1"/>
  <c r="E76" i="3" s="1"/>
  <c r="E86" i="3" s="1"/>
  <c r="G49" i="2"/>
  <c r="G60" i="2" s="1"/>
  <c r="G131" i="2" s="1"/>
  <c r="G7" i="3"/>
  <c r="G61" i="3" s="1"/>
  <c r="G76" i="3" s="1"/>
  <c r="G86" i="3" s="1"/>
  <c r="I49" i="2"/>
  <c r="I60" i="2" s="1"/>
  <c r="I131" i="2" s="1"/>
  <c r="I7" i="3"/>
  <c r="I61" i="3" s="1"/>
  <c r="I76" i="3" s="1"/>
  <c r="I86" i="3" s="1"/>
  <c r="K49" i="2"/>
  <c r="K60" i="2" s="1"/>
  <c r="K131" i="2" s="1"/>
  <c r="K7" i="3"/>
  <c r="K61" i="3" s="1"/>
  <c r="K76" i="3" s="1"/>
  <c r="K86" i="3" s="1"/>
  <c r="M49" i="2"/>
  <c r="M60" i="2" s="1"/>
  <c r="M131" i="2" s="1"/>
  <c r="M7" i="3"/>
  <c r="M61" i="3" s="1"/>
  <c r="M76" i="3" s="1"/>
  <c r="M86" i="3" s="1"/>
  <c r="O49" i="2"/>
  <c r="O60" i="2" s="1"/>
  <c r="O131" i="2" s="1"/>
  <c r="O7" i="3"/>
  <c r="O61" i="3" s="1"/>
  <c r="O76" i="3" s="1"/>
  <c r="O86" i="3" s="1"/>
  <c r="Q49" i="2"/>
  <c r="Q60" i="2" s="1"/>
  <c r="Q131" i="2" s="1"/>
  <c r="Q7" i="3"/>
  <c r="Q61" i="3" s="1"/>
  <c r="Q76" i="3" s="1"/>
  <c r="Q86" i="3" s="1"/>
  <c r="S49" i="2"/>
  <c r="S60" i="2" s="1"/>
  <c r="S7" i="3"/>
  <c r="S61" i="3" s="1"/>
  <c r="S76" i="3" s="1"/>
  <c r="S86" i="3" s="1"/>
  <c r="U49" i="2"/>
  <c r="U60" i="2" s="1"/>
  <c r="U131" i="2" s="1"/>
  <c r="U7" i="3"/>
  <c r="U61" i="3" s="1"/>
  <c r="U76" i="3" s="1"/>
  <c r="U86" i="3" s="1"/>
  <c r="W49" i="2"/>
  <c r="W60" i="2" s="1"/>
  <c r="W131" i="2" s="1"/>
  <c r="W7" i="3"/>
  <c r="W61" i="3" s="1"/>
  <c r="W76" i="3" s="1"/>
  <c r="W86" i="3" s="1"/>
  <c r="Y49" i="2"/>
  <c r="Y60" i="2" s="1"/>
  <c r="Y131" i="2" s="1"/>
  <c r="Y7" i="3"/>
  <c r="Y61" i="3" s="1"/>
  <c r="Y76" i="3" s="1"/>
  <c r="Y86" i="3" s="1"/>
  <c r="AA49" i="2"/>
  <c r="AA60" i="2" s="1"/>
  <c r="AA131" i="2" s="1"/>
  <c r="AA7" i="3"/>
  <c r="AA61" i="3" s="1"/>
  <c r="AA76" i="3" s="1"/>
  <c r="AA86" i="3" s="1"/>
  <c r="AC49" i="2"/>
  <c r="AC60" i="2" s="1"/>
  <c r="AC131" i="2" s="1"/>
  <c r="AC7" i="3"/>
  <c r="AC61" i="3" s="1"/>
  <c r="AC76" i="3" s="1"/>
  <c r="AC86" i="3" s="1"/>
  <c r="AE49" i="2"/>
  <c r="AE60" i="2" s="1"/>
  <c r="AE131" i="2" s="1"/>
  <c r="AE7" i="3"/>
  <c r="AE61" i="3" s="1"/>
  <c r="AE76" i="3" s="1"/>
  <c r="AE86" i="3" s="1"/>
  <c r="AG49" i="2"/>
  <c r="AG60" i="2" s="1"/>
  <c r="AG131" i="2" s="1"/>
  <c r="AG7" i="3"/>
  <c r="AG61" i="3" s="1"/>
  <c r="AG76" i="3" s="1"/>
  <c r="AG86" i="3" s="1"/>
  <c r="AI49" i="2"/>
  <c r="AI60" i="2" s="1"/>
  <c r="AI131" i="2" s="1"/>
  <c r="AI7" i="3"/>
  <c r="AI61" i="3" s="1"/>
  <c r="AI76" i="3" s="1"/>
  <c r="AI86" i="3" s="1"/>
  <c r="AK49" i="2"/>
  <c r="AK60" i="2" s="1"/>
  <c r="AK131" i="2" s="1"/>
  <c r="AK7" i="3"/>
  <c r="AK61" i="3" s="1"/>
  <c r="AK76" i="3" s="1"/>
  <c r="AK86" i="3" s="1"/>
  <c r="AM49" i="2"/>
  <c r="AM60" i="2" s="1"/>
  <c r="AM131" i="2" s="1"/>
  <c r="AM7" i="3"/>
  <c r="AM61" i="3" s="1"/>
  <c r="AM76" i="3" s="1"/>
  <c r="AM86" i="3" s="1"/>
  <c r="AO49" i="2"/>
  <c r="AO60" i="2" s="1"/>
  <c r="AO131" i="2" s="1"/>
  <c r="AO7" i="3"/>
  <c r="AO61" i="3" s="1"/>
  <c r="AO76" i="3" s="1"/>
  <c r="AO86" i="3" s="1"/>
  <c r="AQ49" i="2"/>
  <c r="AQ60" i="2" s="1"/>
  <c r="AQ131" i="2" s="1"/>
  <c r="AQ7" i="3"/>
  <c r="AQ61" i="3" s="1"/>
  <c r="AQ76" i="3" s="1"/>
  <c r="AQ86" i="3" s="1"/>
  <c r="AS49" i="2"/>
  <c r="AS60" i="2" s="1"/>
  <c r="AS131" i="2" s="1"/>
  <c r="AS7" i="3"/>
  <c r="AS61" i="3" s="1"/>
  <c r="AS76" i="3" s="1"/>
  <c r="AS86" i="3" s="1"/>
  <c r="AU49" i="2"/>
  <c r="AU60" i="2" s="1"/>
  <c r="AU131" i="2" s="1"/>
  <c r="AU7" i="3"/>
  <c r="AU61" i="3" s="1"/>
  <c r="AU76" i="3" s="1"/>
  <c r="AU86" i="3" s="1"/>
  <c r="AW49" i="2"/>
  <c r="AW60" i="2" s="1"/>
  <c r="AW131" i="2" s="1"/>
  <c r="AW7" i="3"/>
  <c r="AW61" i="3" s="1"/>
  <c r="AW76" i="3" s="1"/>
  <c r="AW86" i="3" s="1"/>
  <c r="AY49" i="2"/>
  <c r="AY60" i="2" s="1"/>
  <c r="AY7" i="3"/>
  <c r="AY61" i="3" s="1"/>
  <c r="AY76" i="3" s="1"/>
  <c r="AY86" i="3" s="1"/>
  <c r="BA49" i="2"/>
  <c r="BA60" i="2" s="1"/>
  <c r="BA131" i="2" s="1"/>
  <c r="BA7" i="3"/>
  <c r="BA61" i="3" s="1"/>
  <c r="BA76" i="3" s="1"/>
  <c r="BA86" i="3" s="1"/>
  <c r="BC49" i="2"/>
  <c r="BC60" i="2" s="1"/>
  <c r="BC131" i="2" s="1"/>
  <c r="BC7" i="3"/>
  <c r="BC61" i="3" s="1"/>
  <c r="BC76" i="3" s="1"/>
  <c r="BC86" i="3" s="1"/>
  <c r="BZ49" i="2"/>
  <c r="BZ60" i="2" s="1"/>
  <c r="BZ131" i="2" s="1"/>
  <c r="BZ7" i="3"/>
  <c r="BZ102" i="3" s="1"/>
  <c r="CB49" i="2"/>
  <c r="CB60" i="2" s="1"/>
  <c r="CB7" i="3"/>
  <c r="CB102" i="3" s="1"/>
  <c r="CD49" i="2"/>
  <c r="CD60" i="2" s="1"/>
  <c r="CD131" i="2" s="1"/>
  <c r="CD7" i="3"/>
  <c r="CD102" i="3" s="1"/>
  <c r="CF49" i="2"/>
  <c r="CF60" i="2" s="1"/>
  <c r="CF131" i="2" s="1"/>
  <c r="CF7" i="3"/>
  <c r="CF102" i="3" s="1"/>
  <c r="CH49" i="2"/>
  <c r="CH60" i="2" s="1"/>
  <c r="CH131" i="2" s="1"/>
  <c r="CH7" i="3"/>
  <c r="CH102" i="3" s="1"/>
  <c r="CJ49" i="2"/>
  <c r="CJ60" i="2" s="1"/>
  <c r="CJ131" i="2" s="1"/>
  <c r="CJ7" i="3"/>
  <c r="CJ102" i="3" s="1"/>
  <c r="CL49" i="2"/>
  <c r="CL60" i="2" s="1"/>
  <c r="CL131" i="2" s="1"/>
  <c r="CL7" i="3"/>
  <c r="CL102" i="3" s="1"/>
  <c r="CN49" i="2"/>
  <c r="CN60" i="2" s="1"/>
  <c r="CN131" i="2" s="1"/>
  <c r="CN7" i="3"/>
  <c r="CN102" i="3" s="1"/>
  <c r="CC91" i="3"/>
  <c r="CB76" i="53"/>
  <c r="CC76" i="53"/>
  <c r="CD76" i="53"/>
  <c r="E173" i="53"/>
  <c r="E175" i="53" s="1"/>
  <c r="H173" i="53"/>
  <c r="H175" i="53" s="1"/>
  <c r="J173" i="53"/>
  <c r="J175" i="53" s="1"/>
  <c r="M173" i="53"/>
  <c r="M175" i="53" s="1"/>
  <c r="P173" i="53"/>
  <c r="P175" i="53" s="1"/>
  <c r="R173" i="53"/>
  <c r="R175" i="53" s="1"/>
  <c r="U173" i="53"/>
  <c r="U175" i="53" s="1"/>
  <c r="X173" i="53"/>
  <c r="X175" i="53" s="1"/>
  <c r="Z173" i="53"/>
  <c r="Z175" i="53" s="1"/>
  <c r="AC173" i="53"/>
  <c r="AC175" i="53" s="1"/>
  <c r="AF173" i="53"/>
  <c r="AF175" i="53" s="1"/>
  <c r="AH173" i="53"/>
  <c r="AH175" i="53" s="1"/>
  <c r="AK173" i="53"/>
  <c r="AK175" i="53" s="1"/>
  <c r="AN173" i="53"/>
  <c r="AN175" i="53" s="1"/>
  <c r="AP173" i="53"/>
  <c r="AP175" i="53" s="1"/>
  <c r="AS173" i="53"/>
  <c r="AS175" i="53" s="1"/>
  <c r="AW173" i="53"/>
  <c r="AW175" i="53" s="1"/>
  <c r="AZ173" i="53"/>
  <c r="AZ175" i="53" s="1"/>
  <c r="BB173" i="53"/>
  <c r="BB175" i="53" s="1"/>
  <c r="F117" i="53"/>
  <c r="H117" i="53"/>
  <c r="J117" i="53"/>
  <c r="L117" i="53"/>
  <c r="N117" i="53"/>
  <c r="P117" i="53"/>
  <c r="R117" i="53"/>
  <c r="T117" i="53"/>
  <c r="V117" i="53"/>
  <c r="X117" i="53"/>
  <c r="Z117" i="53"/>
  <c r="AB117" i="53"/>
  <c r="AD117" i="53"/>
  <c r="AF117" i="53"/>
  <c r="AH117" i="53"/>
  <c r="CE76" i="53"/>
  <c r="M52" i="2"/>
  <c r="M51" i="2" s="1"/>
  <c r="Z52" i="2"/>
  <c r="Z51" i="2" s="1"/>
  <c r="BJ131" i="2"/>
  <c r="BJ123" i="2"/>
  <c r="BJ94" i="2"/>
  <c r="V45" i="3"/>
  <c r="W45" i="3" s="1"/>
  <c r="CV45" i="3" s="1"/>
  <c r="CV140" i="3" s="1"/>
  <c r="BB45" i="3"/>
  <c r="BC45" i="3" s="1"/>
  <c r="DD45" i="3" s="1"/>
  <c r="DD140" i="3" s="1"/>
  <c r="CK45" i="3"/>
  <c r="CK140" i="3" s="1"/>
  <c r="F45" i="3"/>
  <c r="G45" i="3" s="1"/>
  <c r="CR45" i="3" s="1"/>
  <c r="CR140" i="3" s="1"/>
  <c r="AL45" i="3"/>
  <c r="AM45" i="3" s="1"/>
  <c r="CZ45" i="3" s="1"/>
  <c r="CZ140" i="3" s="1"/>
  <c r="CM17" i="3"/>
  <c r="CM112" i="3" s="1"/>
  <c r="AW13" i="3"/>
  <c r="AS15" i="3"/>
  <c r="BH65" i="3"/>
  <c r="BI16" i="3"/>
  <c r="L36" i="3"/>
  <c r="AB36" i="3"/>
  <c r="AR36" i="3"/>
  <c r="BH36" i="3"/>
  <c r="BI29" i="3"/>
  <c r="CM34" i="3"/>
  <c r="CM129" i="3" s="1"/>
  <c r="L47" i="3"/>
  <c r="AB47" i="3"/>
  <c r="AR47" i="3"/>
  <c r="BH47" i="3"/>
  <c r="BI39" i="3"/>
  <c r="BI41" i="3"/>
  <c r="BJ41" i="3" s="1"/>
  <c r="BK41" i="3" s="1"/>
  <c r="DF41" i="3" s="1"/>
  <c r="DF136" i="3" s="1"/>
  <c r="CA44" i="3"/>
  <c r="CA139" i="3" s="1"/>
  <c r="CE44" i="3"/>
  <c r="CE139" i="3" s="1"/>
  <c r="CI44" i="3"/>
  <c r="CI139" i="3" s="1"/>
  <c r="CM44" i="3"/>
  <c r="CM139" i="3" s="1"/>
  <c r="Q43" i="3"/>
  <c r="Q110" i="83" s="1"/>
  <c r="AG43" i="3"/>
  <c r="AG110" i="83" s="1"/>
  <c r="AW43" i="3"/>
  <c r="AW110" i="83" s="1"/>
  <c r="M45" i="3"/>
  <c r="N45" i="3" s="1"/>
  <c r="O45" i="3" s="1"/>
  <c r="CT45" i="3" s="1"/>
  <c r="CT140" i="3" s="1"/>
  <c r="AC45" i="3"/>
  <c r="AD45" i="3" s="1"/>
  <c r="AE45" i="3" s="1"/>
  <c r="CX45" i="3" s="1"/>
  <c r="CX140" i="3" s="1"/>
  <c r="AS45" i="3"/>
  <c r="AT45" i="3" s="1"/>
  <c r="AU45" i="3" s="1"/>
  <c r="DB45" i="3" s="1"/>
  <c r="DB140" i="3" s="1"/>
  <c r="CL49" i="3"/>
  <c r="CL144" i="3" s="1"/>
  <c r="J11" i="3"/>
  <c r="J172" i="83" s="1"/>
  <c r="J174" i="83" s="1"/>
  <c r="R11" i="3"/>
  <c r="R172" i="83" s="1"/>
  <c r="R174" i="83" s="1"/>
  <c r="Z11" i="3"/>
  <c r="Z172" i="83" s="1"/>
  <c r="Z174" i="83" s="1"/>
  <c r="AH11" i="3"/>
  <c r="AH172" i="83" s="1"/>
  <c r="AH174" i="83" s="1"/>
  <c r="AP11" i="3"/>
  <c r="AP172" i="83" s="1"/>
  <c r="AP174" i="83" s="1"/>
  <c r="AX11" i="3"/>
  <c r="AX172" i="83" s="1"/>
  <c r="AX174" i="83" s="1"/>
  <c r="BF11" i="3"/>
  <c r="BF172" i="83" s="1"/>
  <c r="BF174" i="83" s="1"/>
  <c r="P36" i="3"/>
  <c r="AF36" i="3"/>
  <c r="AV36" i="3"/>
  <c r="P47" i="3"/>
  <c r="AF47" i="3"/>
  <c r="AV47" i="3"/>
  <c r="BI40" i="3"/>
  <c r="BJ40" i="3" s="1"/>
  <c r="BK40" i="3" s="1"/>
  <c r="DF40" i="3" s="1"/>
  <c r="DF135" i="3" s="1"/>
  <c r="BI42" i="3"/>
  <c r="BJ42" i="3" s="1"/>
  <c r="CL43" i="3"/>
  <c r="CL138" i="3" s="1"/>
  <c r="CB44" i="3"/>
  <c r="CB139" i="3" s="1"/>
  <c r="CF44" i="3"/>
  <c r="CF139" i="3" s="1"/>
  <c r="CJ44" i="3"/>
  <c r="CJ139" i="3" s="1"/>
  <c r="CM45" i="3"/>
  <c r="CM140" i="3" s="1"/>
  <c r="E43" i="3"/>
  <c r="E110" i="83" s="1"/>
  <c r="U43" i="3"/>
  <c r="U110" i="83" s="1"/>
  <c r="AK43" i="3"/>
  <c r="AK110" i="83" s="1"/>
  <c r="BA43" i="3"/>
  <c r="BA110" i="83" s="1"/>
  <c r="DE44" i="3"/>
  <c r="DE139" i="3" s="1"/>
  <c r="CS49" i="3"/>
  <c r="CS144" i="3" s="1"/>
  <c r="CU49" i="3"/>
  <c r="CU144" i="3" s="1"/>
  <c r="CW49" i="3"/>
  <c r="CW144" i="3" s="1"/>
  <c r="CY49" i="3"/>
  <c r="CY144" i="3" s="1"/>
  <c r="DA49" i="3"/>
  <c r="DA144" i="3" s="1"/>
  <c r="DC49" i="3"/>
  <c r="DC144" i="3" s="1"/>
  <c r="DE49" i="3"/>
  <c r="DE144" i="3" s="1"/>
  <c r="CM52" i="3"/>
  <c r="CM147" i="3" s="1"/>
  <c r="AJ82" i="53"/>
  <c r="AN82" i="53"/>
  <c r="AV82" i="53"/>
  <c r="AZ82" i="53"/>
  <c r="BD82" i="53"/>
  <c r="BI11" i="3"/>
  <c r="BI172" i="83" s="1"/>
  <c r="BI174" i="83" s="1"/>
  <c r="AO13" i="3"/>
  <c r="AP15" i="3"/>
  <c r="AX15" i="3"/>
  <c r="CM32" i="3"/>
  <c r="CM127" i="3" s="1"/>
  <c r="CX44" i="3"/>
  <c r="CX139" i="3" s="1"/>
  <c r="I43" i="3"/>
  <c r="I110" i="83" s="1"/>
  <c r="Y43" i="3"/>
  <c r="Y110" i="83" s="1"/>
  <c r="AO43" i="3"/>
  <c r="AO110" i="83" s="1"/>
  <c r="CS45" i="3"/>
  <c r="CS140" i="3" s="1"/>
  <c r="CY45" i="3"/>
  <c r="CY140" i="3" s="1"/>
  <c r="DA45" i="3"/>
  <c r="DA140" i="3" s="1"/>
  <c r="DC45" i="3"/>
  <c r="DC140" i="3" s="1"/>
  <c r="DE45" i="3"/>
  <c r="DE140" i="3" s="1"/>
  <c r="AO82" i="53"/>
  <c r="AW82" i="53"/>
  <c r="BE82" i="53"/>
  <c r="F11" i="3"/>
  <c r="F172" i="83" s="1"/>
  <c r="F174" i="83" s="1"/>
  <c r="N11" i="3"/>
  <c r="N172" i="83" s="1"/>
  <c r="N174" i="83" s="1"/>
  <c r="V11" i="3"/>
  <c r="V172" i="83" s="1"/>
  <c r="V174" i="83" s="1"/>
  <c r="AD11" i="3"/>
  <c r="AD172" i="83" s="1"/>
  <c r="AD174" i="83" s="1"/>
  <c r="AL11" i="3"/>
  <c r="AL172" i="83" s="1"/>
  <c r="AL174" i="83" s="1"/>
  <c r="AT11" i="3"/>
  <c r="AT172" i="83" s="1"/>
  <c r="AT174" i="83" s="1"/>
  <c r="BB11" i="3"/>
  <c r="BB172" i="83" s="1"/>
  <c r="BB174" i="83" s="1"/>
  <c r="AS13" i="3"/>
  <c r="AN36" i="3"/>
  <c r="BI30" i="3"/>
  <c r="M43" i="3"/>
  <c r="M110" i="83" s="1"/>
  <c r="AC43" i="3"/>
  <c r="AC110" i="83" s="1"/>
  <c r="AS43" i="3"/>
  <c r="AS110" i="83" s="1"/>
  <c r="BG50" i="2"/>
  <c r="BH54" i="2"/>
  <c r="AN50" i="2"/>
  <c r="T52" i="2"/>
  <c r="T51" i="2" s="1"/>
  <c r="AR52" i="2"/>
  <c r="AR51" i="2" s="1"/>
  <c r="AH53" i="2"/>
  <c r="W142" i="2"/>
  <c r="AG52" i="2"/>
  <c r="AG51" i="2" s="1"/>
  <c r="AO50" i="2"/>
  <c r="AZ50" i="2"/>
  <c r="H52" i="2"/>
  <c r="H51" i="2" s="1"/>
  <c r="V52" i="2"/>
  <c r="V51" i="2" s="1"/>
  <c r="AX53" i="2"/>
  <c r="AJ52" i="2"/>
  <c r="AJ51" i="2" s="1"/>
  <c r="AP54" i="2"/>
  <c r="AE52" i="2"/>
  <c r="AE51" i="2" s="1"/>
  <c r="AT52" i="2"/>
  <c r="AT51" i="2" s="1"/>
  <c r="P54" i="2"/>
  <c r="T54" i="2"/>
  <c r="X54" i="2"/>
  <c r="AB54" i="2"/>
  <c r="N52" i="2"/>
  <c r="N51" i="2" s="1"/>
  <c r="AZ52" i="2"/>
  <c r="AZ51" i="2" s="1"/>
  <c r="J54" i="2"/>
  <c r="BE50" i="2"/>
  <c r="I52" i="2"/>
  <c r="I51" i="2" s="1"/>
  <c r="S52" i="2"/>
  <c r="S51" i="2" s="1"/>
  <c r="AA52" i="2"/>
  <c r="AA51" i="2" s="1"/>
  <c r="BH52" i="2"/>
  <c r="BH51" i="2" s="1"/>
  <c r="AV54" i="2"/>
  <c r="BJ77" i="2"/>
  <c r="BB65" i="2"/>
  <c r="BB71" i="2" s="1"/>
  <c r="BB74" i="2" s="1"/>
  <c r="DC61" i="2"/>
  <c r="DC65" i="2" s="1"/>
  <c r="DC71" i="2" s="1"/>
  <c r="AS96" i="2"/>
  <c r="AS115" i="2" s="1"/>
  <c r="AS116" i="2" s="1"/>
  <c r="AR97" i="2"/>
  <c r="AQ101" i="2"/>
  <c r="CH101" i="2" s="1"/>
  <c r="BY56" i="3"/>
  <c r="CA56" i="3"/>
  <c r="CC56" i="3"/>
  <c r="CE56" i="3"/>
  <c r="CG56" i="3"/>
  <c r="CI56" i="3"/>
  <c r="CK56" i="3"/>
  <c r="CR56" i="3"/>
  <c r="CT56" i="3"/>
  <c r="CV56" i="3"/>
  <c r="CX56" i="3"/>
  <c r="CZ56" i="3"/>
  <c r="DB56" i="3"/>
  <c r="DD56" i="3"/>
  <c r="CR151" i="3"/>
  <c r="CT151" i="3"/>
  <c r="CV151" i="3"/>
  <c r="CX151" i="3"/>
  <c r="CZ151" i="3"/>
  <c r="DB151" i="3"/>
  <c r="DD151" i="3"/>
  <c r="AR111" i="2"/>
  <c r="AR112" i="2" s="1"/>
  <c r="X125" i="2"/>
  <c r="X127" i="2" s="1"/>
  <c r="BZ56" i="3"/>
  <c r="CB56" i="3"/>
  <c r="CD56" i="3"/>
  <c r="CF56" i="3"/>
  <c r="CH56" i="3"/>
  <c r="CJ56" i="3"/>
  <c r="CL56" i="3"/>
  <c r="CS56" i="3"/>
  <c r="CU56" i="3"/>
  <c r="CW56" i="3"/>
  <c r="CY56" i="3"/>
  <c r="DA56" i="3"/>
  <c r="DC56" i="3"/>
  <c r="BZ72" i="3"/>
  <c r="CB72" i="3"/>
  <c r="CD72" i="3"/>
  <c r="CF72" i="3"/>
  <c r="CH72" i="3"/>
  <c r="CJ72" i="3"/>
  <c r="CL72" i="3"/>
  <c r="BZ151" i="3"/>
  <c r="CB151" i="3"/>
  <c r="CD151" i="3"/>
  <c r="CF151" i="3"/>
  <c r="CH151" i="3"/>
  <c r="CJ151" i="3"/>
  <c r="CL151" i="3"/>
  <c r="CS151" i="3"/>
  <c r="CU151" i="3"/>
  <c r="CW151" i="3"/>
  <c r="CY151" i="3"/>
  <c r="DA151" i="3"/>
  <c r="DC151" i="3"/>
  <c r="I142" i="2"/>
  <c r="AF54" i="2"/>
  <c r="AG50" i="2"/>
  <c r="AR50" i="2"/>
  <c r="AW50" i="2"/>
  <c r="E52" i="2"/>
  <c r="E51" i="2" s="1"/>
  <c r="X52" i="2"/>
  <c r="X51" i="2" s="1"/>
  <c r="AY142" i="2"/>
  <c r="P52" i="2"/>
  <c r="P51" i="2" s="1"/>
  <c r="Y142" i="2"/>
  <c r="BB54" i="2"/>
  <c r="BA50" i="2"/>
  <c r="D52" i="2"/>
  <c r="D51" i="2" s="1"/>
  <c r="J52" i="2"/>
  <c r="J51" i="2" s="1"/>
  <c r="W52" i="2"/>
  <c r="W51" i="2" s="1"/>
  <c r="AB52" i="2"/>
  <c r="AB51" i="2" s="1"/>
  <c r="AO52" i="2"/>
  <c r="AO51" i="2" s="1"/>
  <c r="BB52" i="2"/>
  <c r="BB51" i="2" s="1"/>
  <c r="AP53" i="2"/>
  <c r="R54" i="2"/>
  <c r="V54" i="2"/>
  <c r="Z54" i="2"/>
  <c r="AD54" i="2"/>
  <c r="AL53" i="2"/>
  <c r="L52" i="2"/>
  <c r="L51" i="2" s="1"/>
  <c r="Q52" i="2"/>
  <c r="Q51" i="2" s="1"/>
  <c r="U52" i="2"/>
  <c r="U51" i="2" s="1"/>
  <c r="Y52" i="2"/>
  <c r="Y51" i="2" s="1"/>
  <c r="AC52" i="2"/>
  <c r="AC51" i="2" s="1"/>
  <c r="AW52" i="2"/>
  <c r="AW51" i="2" s="1"/>
  <c r="BF52" i="2"/>
  <c r="BF51" i="2" s="1"/>
  <c r="H54" i="2"/>
  <c r="BC54" i="2"/>
  <c r="BH117" i="53"/>
  <c r="BI131" i="2"/>
  <c r="BI123" i="2"/>
  <c r="BI94" i="2"/>
  <c r="BI77" i="2"/>
  <c r="R157" i="3"/>
  <c r="AH157" i="3"/>
  <c r="AX157" i="3"/>
  <c r="J157" i="3"/>
  <c r="Z157" i="3"/>
  <c r="AP157" i="3"/>
  <c r="BF157" i="3"/>
  <c r="BO33" i="2"/>
  <c r="BL148" i="2"/>
  <c r="BL157" i="3"/>
  <c r="BP148" i="2"/>
  <c r="BP157" i="3"/>
  <c r="CA148" i="2"/>
  <c r="CE148" i="2"/>
  <c r="CI157" i="3"/>
  <c r="CI148" i="2"/>
  <c r="CM148" i="2"/>
  <c r="BG49" i="2"/>
  <c r="BG60" i="2" s="1"/>
  <c r="BG123" i="2" s="1"/>
  <c r="BG7" i="3"/>
  <c r="BG102" i="3" s="1"/>
  <c r="BK49" i="2"/>
  <c r="BK60" i="2" s="1"/>
  <c r="BK123" i="2" s="1"/>
  <c r="BK7" i="3"/>
  <c r="BK61" i="3" s="1"/>
  <c r="BK76" i="3" s="1"/>
  <c r="BK86" i="3" s="1"/>
  <c r="BO49" i="2"/>
  <c r="BO60" i="2" s="1"/>
  <c r="BO123" i="2" s="1"/>
  <c r="BO7" i="3"/>
  <c r="BO102" i="3" s="1"/>
  <c r="BS49" i="2"/>
  <c r="BS60" i="2" s="1"/>
  <c r="BS123" i="2" s="1"/>
  <c r="BS7" i="3"/>
  <c r="BS102" i="3" s="1"/>
  <c r="AD53" i="2"/>
  <c r="AD52" i="2"/>
  <c r="AD51" i="2" s="1"/>
  <c r="AF53" i="2"/>
  <c r="AF52" i="2"/>
  <c r="AF51" i="2" s="1"/>
  <c r="AK53" i="2"/>
  <c r="AK52" i="2"/>
  <c r="AK51" i="2" s="1"/>
  <c r="AN53" i="2"/>
  <c r="AN52" i="2"/>
  <c r="AN51" i="2" s="1"/>
  <c r="AS53" i="2"/>
  <c r="AS52" i="2"/>
  <c r="AS51" i="2" s="1"/>
  <c r="AV53" i="2"/>
  <c r="AV52" i="2"/>
  <c r="AV51" i="2" s="1"/>
  <c r="BA53" i="2"/>
  <c r="BA52" i="2"/>
  <c r="BA51" i="2" s="1"/>
  <c r="BC53" i="2"/>
  <c r="BC52" i="2"/>
  <c r="BC51" i="2" s="1"/>
  <c r="BE53" i="2"/>
  <c r="BE52" i="2"/>
  <c r="BE51" i="2" s="1"/>
  <c r="BG53" i="2"/>
  <c r="BG52" i="2"/>
  <c r="BG51" i="2" s="1"/>
  <c r="BY148" i="2"/>
  <c r="CG148" i="2"/>
  <c r="CO148" i="2"/>
  <c r="BE7" i="3"/>
  <c r="BE61" i="3" s="1"/>
  <c r="BE76" i="3" s="1"/>
  <c r="BE86" i="3" s="1"/>
  <c r="BM7" i="3"/>
  <c r="BM61" i="3" s="1"/>
  <c r="BM76" i="3" s="1"/>
  <c r="BM86" i="3" s="1"/>
  <c r="BN157" i="3"/>
  <c r="CV157" i="3"/>
  <c r="D148" i="2"/>
  <c r="D157" i="3"/>
  <c r="H148" i="2"/>
  <c r="H157" i="3"/>
  <c r="L148" i="2"/>
  <c r="L157" i="3"/>
  <c r="P148" i="2"/>
  <c r="P157" i="3"/>
  <c r="T148" i="2"/>
  <c r="T157" i="3"/>
  <c r="X148" i="2"/>
  <c r="X157" i="3"/>
  <c r="AB148" i="2"/>
  <c r="AB157" i="3"/>
  <c r="AF148" i="2"/>
  <c r="AF157" i="3"/>
  <c r="AJ148" i="2"/>
  <c r="AJ157" i="3"/>
  <c r="AN148" i="2"/>
  <c r="AN157" i="3"/>
  <c r="AR148" i="2"/>
  <c r="AR157" i="3"/>
  <c r="AV148" i="2"/>
  <c r="AV157" i="3"/>
  <c r="AZ148" i="2"/>
  <c r="AZ157" i="3"/>
  <c r="BD148" i="2"/>
  <c r="BD157" i="3"/>
  <c r="BH148" i="2"/>
  <c r="BH157" i="3"/>
  <c r="D54" i="2"/>
  <c r="F54" i="2"/>
  <c r="L54" i="2"/>
  <c r="N54" i="2"/>
  <c r="AJ54" i="2"/>
  <c r="AL54" i="2"/>
  <c r="BF54" i="2"/>
  <c r="CC148" i="2"/>
  <c r="CK148" i="2"/>
  <c r="BI7" i="3"/>
  <c r="BQ7" i="3"/>
  <c r="BQ61" i="3" s="1"/>
  <c r="BQ76" i="3" s="1"/>
  <c r="BQ86" i="3" s="1"/>
  <c r="F157" i="3"/>
  <c r="N157" i="3"/>
  <c r="V157" i="3"/>
  <c r="AD157" i="3"/>
  <c r="AL157" i="3"/>
  <c r="AT157" i="3"/>
  <c r="BB157" i="3"/>
  <c r="BJ157" i="3"/>
  <c r="BR157" i="3"/>
  <c r="CR157" i="3"/>
  <c r="CZ157" i="3"/>
  <c r="DD157" i="3"/>
  <c r="E83" i="2"/>
  <c r="G83" i="2"/>
  <c r="I83" i="2"/>
  <c r="K83" i="2"/>
  <c r="M83" i="2"/>
  <c r="O83" i="2"/>
  <c r="Q83" i="2"/>
  <c r="S83" i="2"/>
  <c r="U83" i="2"/>
  <c r="W83" i="2"/>
  <c r="Y83" i="2"/>
  <c r="AA83" i="2"/>
  <c r="AC83" i="2"/>
  <c r="AE83" i="2"/>
  <c r="AG83" i="2"/>
  <c r="AI83" i="2"/>
  <c r="AK83" i="2"/>
  <c r="AM83" i="2"/>
  <c r="AO83" i="2"/>
  <c r="AQ83" i="2"/>
  <c r="AS83" i="2"/>
  <c r="AU83" i="2"/>
  <c r="AW83" i="2"/>
  <c r="AY83" i="2"/>
  <c r="BA83" i="2"/>
  <c r="BC83" i="2"/>
  <c r="BE83" i="2"/>
  <c r="BG83" i="2"/>
  <c r="AS89" i="2"/>
  <c r="BG173" i="53"/>
  <c r="BG175" i="53" s="1"/>
  <c r="E157" i="3"/>
  <c r="E148" i="2"/>
  <c r="G157" i="3"/>
  <c r="G148" i="2"/>
  <c r="I157" i="3"/>
  <c r="I148" i="2"/>
  <c r="K157" i="3"/>
  <c r="K148" i="2"/>
  <c r="M157" i="3"/>
  <c r="M148" i="2"/>
  <c r="O157" i="3"/>
  <c r="O148" i="2"/>
  <c r="Q157" i="3"/>
  <c r="Q148" i="2"/>
  <c r="S157" i="3"/>
  <c r="S148" i="2"/>
  <c r="U157" i="3"/>
  <c r="U148" i="2"/>
  <c r="W157" i="3"/>
  <c r="W148" i="2"/>
  <c r="Y157" i="3"/>
  <c r="Y148" i="2"/>
  <c r="AA157" i="3"/>
  <c r="AA148" i="2"/>
  <c r="AC157" i="3"/>
  <c r="AC148" i="2"/>
  <c r="AE157" i="3"/>
  <c r="AE148" i="2"/>
  <c r="AG157" i="3"/>
  <c r="AG148" i="2"/>
  <c r="AI157" i="3"/>
  <c r="AI148" i="2"/>
  <c r="AK157" i="3"/>
  <c r="AK148" i="2"/>
  <c r="AM157" i="3"/>
  <c r="AM148" i="2"/>
  <c r="AO157" i="3"/>
  <c r="AO148" i="2"/>
  <c r="AQ157" i="3"/>
  <c r="AQ148" i="2"/>
  <c r="AS157" i="3"/>
  <c r="AS148" i="2"/>
  <c r="AU157" i="3"/>
  <c r="AU148" i="2"/>
  <c r="AW157" i="3"/>
  <c r="AW148" i="2"/>
  <c r="AY157" i="3"/>
  <c r="AY148" i="2"/>
  <c r="BA157" i="3"/>
  <c r="BA148" i="2"/>
  <c r="BC157" i="3"/>
  <c r="BC148" i="2"/>
  <c r="BE157" i="3"/>
  <c r="BE148" i="2"/>
  <c r="BG157" i="3"/>
  <c r="BG148" i="2"/>
  <c r="BI157" i="3"/>
  <c r="BI148" i="2"/>
  <c r="BK157" i="3"/>
  <c r="BK148" i="2"/>
  <c r="BM157" i="3"/>
  <c r="BM148" i="2"/>
  <c r="BO157" i="3"/>
  <c r="BO148" i="2"/>
  <c r="BQ157" i="3"/>
  <c r="BQ148" i="2"/>
  <c r="BS157" i="3"/>
  <c r="BS148" i="2"/>
  <c r="BZ148" i="2"/>
  <c r="BZ157" i="3"/>
  <c r="CB148" i="2"/>
  <c r="CB157" i="3"/>
  <c r="CD148" i="2"/>
  <c r="CD157" i="3"/>
  <c r="CF148" i="2"/>
  <c r="CF157" i="3"/>
  <c r="CH148" i="2"/>
  <c r="CH157" i="3"/>
  <c r="CJ148" i="2"/>
  <c r="CJ157" i="3"/>
  <c r="CL148" i="2"/>
  <c r="CL157" i="3"/>
  <c r="CN148" i="2"/>
  <c r="CN157" i="3"/>
  <c r="BD6" i="3"/>
  <c r="BD49" i="2"/>
  <c r="BD7" i="3"/>
  <c r="BD102" i="3" s="1"/>
  <c r="BF49" i="2"/>
  <c r="BF60" i="2" s="1"/>
  <c r="BF131" i="2" s="1"/>
  <c r="BF7" i="3"/>
  <c r="BF102" i="3" s="1"/>
  <c r="BH49" i="2"/>
  <c r="BH60" i="2" s="1"/>
  <c r="BH131" i="2" s="1"/>
  <c r="BH7" i="3"/>
  <c r="BH102" i="3" s="1"/>
  <c r="BJ7" i="3"/>
  <c r="BL49" i="2"/>
  <c r="BL60" i="2" s="1"/>
  <c r="BL131" i="2" s="1"/>
  <c r="BL7" i="3"/>
  <c r="BL102" i="3" s="1"/>
  <c r="BN49" i="2"/>
  <c r="BN60" i="2" s="1"/>
  <c r="BN131" i="2" s="1"/>
  <c r="BN7" i="3"/>
  <c r="BN102" i="3" s="1"/>
  <c r="BP49" i="2"/>
  <c r="BP60" i="2" s="1"/>
  <c r="BP131" i="2" s="1"/>
  <c r="BP7" i="3"/>
  <c r="BP102" i="3" s="1"/>
  <c r="BR49" i="2"/>
  <c r="BR60" i="2" s="1"/>
  <c r="BR123" i="2" s="1"/>
  <c r="BR7" i="3"/>
  <c r="BR102" i="3" s="1"/>
  <c r="CK78" i="2"/>
  <c r="CK81" i="2" s="1"/>
  <c r="CS78" i="2"/>
  <c r="CS81" i="2" s="1"/>
  <c r="CU78" i="2"/>
  <c r="CU89" i="2" s="1"/>
  <c r="CW78" i="2"/>
  <c r="CW89" i="2" s="1"/>
  <c r="CY78" i="2"/>
  <c r="CY89" i="2" s="1"/>
  <c r="DA78" i="2"/>
  <c r="DA81" i="2" s="1"/>
  <c r="DC78" i="2"/>
  <c r="DC89" i="2" s="1"/>
  <c r="BD117" i="53"/>
  <c r="BF117" i="53"/>
  <c r="E54" i="2"/>
  <c r="I54" i="2"/>
  <c r="M54" i="2"/>
  <c r="Q54" i="2"/>
  <c r="S54" i="2"/>
  <c r="U54" i="2"/>
  <c r="W54" i="2"/>
  <c r="Y54" i="2"/>
  <c r="AA54" i="2"/>
  <c r="AC54" i="2"/>
  <c r="AE54" i="2"/>
  <c r="AK54" i="2"/>
  <c r="CR78" i="2"/>
  <c r="CR89" i="2" s="1"/>
  <c r="CT78" i="2"/>
  <c r="CT89" i="2" s="1"/>
  <c r="CV78" i="2"/>
  <c r="CV89" i="2" s="1"/>
  <c r="CX78" i="2"/>
  <c r="CX89" i="2" s="1"/>
  <c r="CZ78" i="2"/>
  <c r="CZ89" i="2" s="1"/>
  <c r="DB78" i="2"/>
  <c r="DB89" i="2" s="1"/>
  <c r="DD78" i="2"/>
  <c r="DD89" i="2" s="1"/>
  <c r="D83" i="2"/>
  <c r="F83" i="2"/>
  <c r="H83" i="2"/>
  <c r="J83" i="2"/>
  <c r="L83" i="2"/>
  <c r="N83" i="2"/>
  <c r="P83" i="2"/>
  <c r="R83" i="2"/>
  <c r="T83" i="2"/>
  <c r="V83" i="2"/>
  <c r="X83" i="2"/>
  <c r="Z83" i="2"/>
  <c r="AB83" i="2"/>
  <c r="AD83" i="2"/>
  <c r="AF83" i="2"/>
  <c r="AH83" i="2"/>
  <c r="AJ83" i="2"/>
  <c r="AL83" i="2"/>
  <c r="AN83" i="2"/>
  <c r="AP83" i="2"/>
  <c r="AR83" i="2"/>
  <c r="AT83" i="2"/>
  <c r="AV83" i="2"/>
  <c r="AX83" i="2"/>
  <c r="AZ83" i="2"/>
  <c r="BB83" i="2"/>
  <c r="BD83" i="2"/>
  <c r="BF83" i="2"/>
  <c r="BH83" i="2"/>
  <c r="AP89" i="2"/>
  <c r="AT89" i="2"/>
  <c r="L142" i="2"/>
  <c r="P142" i="2"/>
  <c r="T142" i="2"/>
  <c r="X142" i="2"/>
  <c r="AB142" i="2"/>
  <c r="AF142" i="2"/>
  <c r="AJ142" i="2"/>
  <c r="AN142" i="2"/>
  <c r="AR142" i="2"/>
  <c r="AV142" i="2"/>
  <c r="AW142" i="2" s="1"/>
  <c r="BY157" i="3"/>
  <c r="CA157" i="3"/>
  <c r="CC157" i="3"/>
  <c r="CE157" i="3"/>
  <c r="CG157" i="3"/>
  <c r="CK157" i="3"/>
  <c r="CM157" i="3"/>
  <c r="CR5" i="3"/>
  <c r="CR61" i="3" s="1"/>
  <c r="CR76" i="3" s="1"/>
  <c r="CR86" i="3" s="1"/>
  <c r="CR102" i="3" s="1"/>
  <c r="CT5" i="3"/>
  <c r="CT61" i="3" s="1"/>
  <c r="CT76" i="3" s="1"/>
  <c r="CT86" i="3" s="1"/>
  <c r="CT102" i="3" s="1"/>
  <c r="CV5" i="3"/>
  <c r="CV61" i="3" s="1"/>
  <c r="CV76" i="3" s="1"/>
  <c r="CV86" i="3" s="1"/>
  <c r="CV102" i="3" s="1"/>
  <c r="CX5" i="3"/>
  <c r="CX61" i="3" s="1"/>
  <c r="CX76" i="3" s="1"/>
  <c r="CX86" i="3" s="1"/>
  <c r="CX102" i="3" s="1"/>
  <c r="CZ5" i="3"/>
  <c r="CZ61" i="3" s="1"/>
  <c r="CZ76" i="3" s="1"/>
  <c r="CZ86" i="3" s="1"/>
  <c r="CZ102" i="3" s="1"/>
  <c r="DB5" i="3"/>
  <c r="DB61" i="3" s="1"/>
  <c r="DB76" i="3" s="1"/>
  <c r="DB86" i="3" s="1"/>
  <c r="DB102" i="3" s="1"/>
  <c r="DD5" i="3"/>
  <c r="DD61" i="3" s="1"/>
  <c r="DD76" i="3" s="1"/>
  <c r="DD86" i="3" s="1"/>
  <c r="DD102" i="3" s="1"/>
  <c r="DF5" i="3"/>
  <c r="DF61" i="3" s="1"/>
  <c r="DF76" i="3" s="1"/>
  <c r="DF86" i="3" s="1"/>
  <c r="DF102" i="3" s="1"/>
  <c r="CS5" i="3"/>
  <c r="CS61" i="3" s="1"/>
  <c r="CS76" i="3" s="1"/>
  <c r="CS86" i="3" s="1"/>
  <c r="CS102" i="3" s="1"/>
  <c r="CU5" i="3"/>
  <c r="CU61" i="3" s="1"/>
  <c r="CU76" i="3" s="1"/>
  <c r="CU86" i="3" s="1"/>
  <c r="CU102" i="3" s="1"/>
  <c r="CW5" i="3"/>
  <c r="CW61" i="3" s="1"/>
  <c r="CW76" i="3" s="1"/>
  <c r="CW86" i="3" s="1"/>
  <c r="CW102" i="3" s="1"/>
  <c r="CY5" i="3"/>
  <c r="CY61" i="3" s="1"/>
  <c r="CY76" i="3" s="1"/>
  <c r="CY86" i="3" s="1"/>
  <c r="CY102" i="3" s="1"/>
  <c r="DA5" i="3"/>
  <c r="DA61" i="3" s="1"/>
  <c r="DA76" i="3" s="1"/>
  <c r="DA86" i="3" s="1"/>
  <c r="DA102" i="3" s="1"/>
  <c r="DC5" i="3"/>
  <c r="DC61" i="3" s="1"/>
  <c r="DC76" i="3" s="1"/>
  <c r="DC86" i="3" s="1"/>
  <c r="DC102" i="3" s="1"/>
  <c r="DE5" i="3"/>
  <c r="DE61" i="3" s="1"/>
  <c r="DE76" i="3" s="1"/>
  <c r="DE86" i="3" s="1"/>
  <c r="DE102" i="3" s="1"/>
  <c r="DG5" i="3"/>
  <c r="DG61" i="3" s="1"/>
  <c r="DG76" i="3" s="1"/>
  <c r="DG86" i="3" s="1"/>
  <c r="DG102" i="3" s="1"/>
  <c r="AD13" i="53"/>
  <c r="AL13" i="53"/>
  <c r="AT13" i="53"/>
  <c r="BB13" i="53"/>
  <c r="BF13" i="53"/>
  <c r="BP13" i="53"/>
  <c r="AK24" i="53"/>
  <c r="BA24" i="53"/>
  <c r="AN35" i="53"/>
  <c r="BD35" i="53"/>
  <c r="E194" i="53"/>
  <c r="E190" i="53"/>
  <c r="E186" i="53"/>
  <c r="E179" i="53"/>
  <c r="E169" i="53"/>
  <c r="E154" i="53"/>
  <c r="E161" i="53"/>
  <c r="E147" i="53"/>
  <c r="E138" i="53"/>
  <c r="E131" i="53"/>
  <c r="E119" i="53"/>
  <c r="E109" i="53"/>
  <c r="E101" i="53"/>
  <c r="E95" i="53"/>
  <c r="G194" i="53"/>
  <c r="G190" i="53"/>
  <c r="G186" i="53"/>
  <c r="G179" i="53"/>
  <c r="G169" i="53"/>
  <c r="G161" i="53"/>
  <c r="G154" i="53"/>
  <c r="G147" i="53"/>
  <c r="G138" i="53"/>
  <c r="G131" i="53"/>
  <c r="G119" i="53"/>
  <c r="G109" i="53"/>
  <c r="G101" i="53"/>
  <c r="G95" i="53"/>
  <c r="I194" i="53"/>
  <c r="I190" i="53"/>
  <c r="I186" i="53"/>
  <c r="I179" i="53"/>
  <c r="I169" i="53"/>
  <c r="I161" i="53"/>
  <c r="I154" i="53"/>
  <c r="I147" i="53"/>
  <c r="I138" i="53"/>
  <c r="I131" i="53"/>
  <c r="I119" i="53"/>
  <c r="I109" i="53"/>
  <c r="I101" i="53"/>
  <c r="I95" i="53"/>
  <c r="K194" i="53"/>
  <c r="K190" i="53"/>
  <c r="K186" i="53"/>
  <c r="K179" i="53"/>
  <c r="K169" i="53"/>
  <c r="K161" i="53"/>
  <c r="K154" i="53"/>
  <c r="K147" i="53"/>
  <c r="K138" i="53"/>
  <c r="K131" i="53"/>
  <c r="K119" i="53"/>
  <c r="K109" i="53"/>
  <c r="K101" i="53"/>
  <c r="K95" i="53"/>
  <c r="M194" i="53"/>
  <c r="M190" i="53"/>
  <c r="M186" i="53"/>
  <c r="M179" i="53"/>
  <c r="M169" i="53"/>
  <c r="M154" i="53"/>
  <c r="M161" i="53"/>
  <c r="M147" i="53"/>
  <c r="M138" i="53"/>
  <c r="M131" i="53"/>
  <c r="M119" i="53"/>
  <c r="M109" i="53"/>
  <c r="M101" i="53"/>
  <c r="M95" i="53"/>
  <c r="O194" i="53"/>
  <c r="O190" i="53"/>
  <c r="O186" i="53"/>
  <c r="O179" i="53"/>
  <c r="O169" i="53"/>
  <c r="O161" i="53"/>
  <c r="O154" i="53"/>
  <c r="O147" i="53"/>
  <c r="O138" i="53"/>
  <c r="O131" i="53"/>
  <c r="O119" i="53"/>
  <c r="O109" i="53"/>
  <c r="O101" i="53"/>
  <c r="O95" i="53"/>
  <c r="Q194" i="53"/>
  <c r="Q190" i="53"/>
  <c r="Q186" i="53"/>
  <c r="Q179" i="53"/>
  <c r="Q169" i="53"/>
  <c r="Q161" i="53"/>
  <c r="Q154" i="53"/>
  <c r="Q147" i="53"/>
  <c r="Q138" i="53"/>
  <c r="Q131" i="53"/>
  <c r="Q119" i="53"/>
  <c r="Q109" i="53"/>
  <c r="Q101" i="53"/>
  <c r="Q95" i="53"/>
  <c r="S194" i="53"/>
  <c r="S190" i="53"/>
  <c r="S186" i="53"/>
  <c r="S179" i="53"/>
  <c r="S169" i="53"/>
  <c r="S161" i="53"/>
  <c r="S154" i="53"/>
  <c r="S147" i="53"/>
  <c r="S138" i="53"/>
  <c r="S131" i="53"/>
  <c r="S119" i="53"/>
  <c r="S109" i="53"/>
  <c r="S101" i="53"/>
  <c r="S95" i="53"/>
  <c r="U194" i="53"/>
  <c r="U190" i="53"/>
  <c r="U186" i="53"/>
  <c r="U179" i="53"/>
  <c r="U169" i="53"/>
  <c r="U154" i="53"/>
  <c r="U161" i="53"/>
  <c r="U147" i="53"/>
  <c r="U138" i="53"/>
  <c r="U131" i="53"/>
  <c r="U119" i="53"/>
  <c r="U109" i="53"/>
  <c r="U101" i="53"/>
  <c r="U95" i="53"/>
  <c r="W194" i="53"/>
  <c r="W190" i="53"/>
  <c r="W186" i="53"/>
  <c r="W179" i="53"/>
  <c r="W169" i="53"/>
  <c r="W161" i="53"/>
  <c r="W154" i="53"/>
  <c r="W147" i="53"/>
  <c r="W138" i="53"/>
  <c r="W131" i="53"/>
  <c r="W119" i="53"/>
  <c r="W101" i="53"/>
  <c r="W109" i="53"/>
  <c r="W95" i="53"/>
  <c r="Y194" i="53"/>
  <c r="Y190" i="53"/>
  <c r="Y186" i="53"/>
  <c r="Y179" i="53"/>
  <c r="Y169" i="53"/>
  <c r="Y161" i="53"/>
  <c r="Y154" i="53"/>
  <c r="Y147" i="53"/>
  <c r="Y138" i="53"/>
  <c r="Y131" i="53"/>
  <c r="Y119" i="53"/>
  <c r="Y109" i="53"/>
  <c r="Y101" i="53"/>
  <c r="Y95" i="53"/>
  <c r="AA194" i="53"/>
  <c r="AA190" i="53"/>
  <c r="AA186" i="53"/>
  <c r="AA179" i="53"/>
  <c r="AA169" i="53"/>
  <c r="AA161" i="53"/>
  <c r="AA154" i="53"/>
  <c r="AA147" i="53"/>
  <c r="AA138" i="53"/>
  <c r="AA131" i="53"/>
  <c r="AA119" i="53"/>
  <c r="AA109" i="53"/>
  <c r="AA101" i="53"/>
  <c r="AA95" i="53"/>
  <c r="AC194" i="53"/>
  <c r="AC190" i="53"/>
  <c r="AC186" i="53"/>
  <c r="AC179" i="53"/>
  <c r="AC169" i="53"/>
  <c r="AC154" i="53"/>
  <c r="AC161" i="53"/>
  <c r="AC147" i="53"/>
  <c r="AC138" i="53"/>
  <c r="AC131" i="53"/>
  <c r="AC119" i="53"/>
  <c r="AC109" i="53"/>
  <c r="AC101" i="53"/>
  <c r="AC95" i="53"/>
  <c r="AE194" i="53"/>
  <c r="AE190" i="53"/>
  <c r="AE186" i="53"/>
  <c r="AE179" i="53"/>
  <c r="AE169" i="53"/>
  <c r="AE161" i="53"/>
  <c r="AE154" i="53"/>
  <c r="AE147" i="53"/>
  <c r="AE138" i="53"/>
  <c r="AE131" i="53"/>
  <c r="AE119" i="53"/>
  <c r="AE101" i="53"/>
  <c r="AE109" i="53"/>
  <c r="AE95" i="53"/>
  <c r="AG194" i="53"/>
  <c r="AG190" i="53"/>
  <c r="AG186" i="53"/>
  <c r="AG179" i="53"/>
  <c r="AG169" i="53"/>
  <c r="AG161" i="53"/>
  <c r="AG154" i="53"/>
  <c r="AG147" i="53"/>
  <c r="AG138" i="53"/>
  <c r="AG131" i="53"/>
  <c r="AG119" i="53"/>
  <c r="AG109" i="53"/>
  <c r="AG101" i="53"/>
  <c r="AG95" i="53"/>
  <c r="AI194" i="53"/>
  <c r="AI190" i="53"/>
  <c r="AI186" i="53"/>
  <c r="AI179" i="53"/>
  <c r="AI169" i="53"/>
  <c r="AI161" i="53"/>
  <c r="AI154" i="53"/>
  <c r="AI147" i="53"/>
  <c r="AI138" i="53"/>
  <c r="AI131" i="53"/>
  <c r="AI119" i="53"/>
  <c r="AI109" i="53"/>
  <c r="AI101" i="53"/>
  <c r="AI95" i="53"/>
  <c r="AK194" i="53"/>
  <c r="AK190" i="53"/>
  <c r="AK186" i="53"/>
  <c r="AK179" i="53"/>
  <c r="AK169" i="53"/>
  <c r="AK154" i="53"/>
  <c r="AK147" i="53"/>
  <c r="AK161" i="53"/>
  <c r="AK138" i="53"/>
  <c r="AK131" i="53"/>
  <c r="AK119" i="53"/>
  <c r="AK109" i="53"/>
  <c r="AK101" i="53"/>
  <c r="AK95" i="53"/>
  <c r="AM194" i="53"/>
  <c r="AM190" i="53"/>
  <c r="AM186" i="53"/>
  <c r="AM179" i="53"/>
  <c r="AM169" i="53"/>
  <c r="AM161" i="53"/>
  <c r="AM154" i="53"/>
  <c r="AM147" i="53"/>
  <c r="AM131" i="53"/>
  <c r="AM138" i="53"/>
  <c r="AM119" i="53"/>
  <c r="AM101" i="53"/>
  <c r="AM109" i="53"/>
  <c r="AM95" i="53"/>
  <c r="AO194" i="53"/>
  <c r="AO190" i="53"/>
  <c r="AO186" i="53"/>
  <c r="AO179" i="53"/>
  <c r="AO169" i="53"/>
  <c r="AO161" i="53"/>
  <c r="AO154" i="53"/>
  <c r="AO147" i="53"/>
  <c r="AO131" i="53"/>
  <c r="AO138" i="53"/>
  <c r="AO119" i="53"/>
  <c r="AO109" i="53"/>
  <c r="AO101" i="53"/>
  <c r="AO95" i="53"/>
  <c r="AQ194" i="53"/>
  <c r="AQ190" i="53"/>
  <c r="AQ186" i="53"/>
  <c r="AQ179" i="53"/>
  <c r="AQ169" i="53"/>
  <c r="AQ161" i="53"/>
  <c r="AQ154" i="53"/>
  <c r="AQ147" i="53"/>
  <c r="AQ138" i="53"/>
  <c r="AQ131" i="53"/>
  <c r="AQ119" i="53"/>
  <c r="AQ109" i="53"/>
  <c r="AQ101" i="53"/>
  <c r="AQ95" i="53"/>
  <c r="AS194" i="53"/>
  <c r="AS190" i="53"/>
  <c r="AS186" i="53"/>
  <c r="AS179" i="53"/>
  <c r="AS169" i="53"/>
  <c r="AS154" i="53"/>
  <c r="AS147" i="53"/>
  <c r="AS161" i="53"/>
  <c r="AS138" i="53"/>
  <c r="AS131" i="53"/>
  <c r="AS119" i="53"/>
  <c r="AS109" i="53"/>
  <c r="AS101" i="53"/>
  <c r="AS95" i="53"/>
  <c r="AU194" i="53"/>
  <c r="AU190" i="53"/>
  <c r="AU186" i="53"/>
  <c r="AU179" i="53"/>
  <c r="AU169" i="53"/>
  <c r="AU154" i="53"/>
  <c r="AU161" i="53"/>
  <c r="AU147" i="53"/>
  <c r="AU131" i="53"/>
  <c r="AU138" i="53"/>
  <c r="AU119" i="53"/>
  <c r="AU101" i="53"/>
  <c r="AU109" i="53"/>
  <c r="AU95" i="53"/>
  <c r="AW194" i="53"/>
  <c r="AW190" i="53"/>
  <c r="AW186" i="53"/>
  <c r="AW179" i="53"/>
  <c r="AW169" i="53"/>
  <c r="AW154" i="53"/>
  <c r="AW161" i="53"/>
  <c r="AW147" i="53"/>
  <c r="AW131" i="53"/>
  <c r="AW138" i="53"/>
  <c r="AW119" i="53"/>
  <c r="AW101" i="53"/>
  <c r="AW109" i="53"/>
  <c r="AW95" i="53"/>
  <c r="AY194" i="53"/>
  <c r="AY190" i="53"/>
  <c r="AY186" i="53"/>
  <c r="AY179" i="53"/>
  <c r="AY169" i="53"/>
  <c r="AY161" i="53"/>
  <c r="AY154" i="53"/>
  <c r="AY147" i="53"/>
  <c r="AY138" i="53"/>
  <c r="AY131" i="53"/>
  <c r="AY119" i="53"/>
  <c r="AY109" i="53"/>
  <c r="AY101" i="53"/>
  <c r="AY95" i="53"/>
  <c r="BA194" i="53"/>
  <c r="BA190" i="53"/>
  <c r="BA186" i="53"/>
  <c r="BA179" i="53"/>
  <c r="BA169" i="53"/>
  <c r="BA161" i="53"/>
  <c r="BA154" i="53"/>
  <c r="BA147" i="53"/>
  <c r="BA138" i="53"/>
  <c r="BA131" i="53"/>
  <c r="BA119" i="53"/>
  <c r="BA109" i="53"/>
  <c r="BA101" i="53"/>
  <c r="BA95" i="53"/>
  <c r="BC194" i="53"/>
  <c r="BC190" i="53"/>
  <c r="BC186" i="53"/>
  <c r="BC179" i="53"/>
  <c r="BC169" i="53"/>
  <c r="BC161" i="53"/>
  <c r="BC154" i="53"/>
  <c r="BC147" i="53"/>
  <c r="BC138" i="53"/>
  <c r="BC131" i="53"/>
  <c r="BC119" i="53"/>
  <c r="BC109" i="53"/>
  <c r="BC101" i="53"/>
  <c r="BC95" i="53"/>
  <c r="BE194" i="53"/>
  <c r="BE190" i="53"/>
  <c r="BE186" i="53"/>
  <c r="BE179" i="53"/>
  <c r="BE169" i="53"/>
  <c r="BE154" i="53"/>
  <c r="BE147" i="53"/>
  <c r="BE161" i="53"/>
  <c r="BE138" i="53"/>
  <c r="BE131" i="53"/>
  <c r="BE119" i="53"/>
  <c r="BE109" i="53"/>
  <c r="BE101" i="53"/>
  <c r="BE95" i="53"/>
  <c r="BG194" i="53"/>
  <c r="BG190" i="53"/>
  <c r="BG186" i="53"/>
  <c r="BG169" i="53"/>
  <c r="BG179" i="53"/>
  <c r="BG154" i="53"/>
  <c r="BG147" i="53"/>
  <c r="BG161" i="53"/>
  <c r="BG138" i="53"/>
  <c r="BG131" i="53"/>
  <c r="BG119" i="53"/>
  <c r="BG109" i="53"/>
  <c r="BG101" i="53"/>
  <c r="BG95" i="53"/>
  <c r="BI194" i="53"/>
  <c r="BI190" i="53"/>
  <c r="BI186" i="53"/>
  <c r="BI179" i="53"/>
  <c r="BI169" i="53"/>
  <c r="BI154" i="53"/>
  <c r="BI147" i="53"/>
  <c r="BI161" i="53"/>
  <c r="BI138" i="53"/>
  <c r="BI131" i="53"/>
  <c r="BI109" i="53"/>
  <c r="BI101" i="53"/>
  <c r="BI95" i="53"/>
  <c r="BK194" i="53"/>
  <c r="BK190" i="53"/>
  <c r="BK186" i="53"/>
  <c r="BK179" i="53"/>
  <c r="BK169" i="53"/>
  <c r="BK154" i="53"/>
  <c r="BK147" i="53"/>
  <c r="BK161" i="53"/>
  <c r="BK138" i="53"/>
  <c r="BK131" i="53"/>
  <c r="BK109" i="53"/>
  <c r="BK101" i="53"/>
  <c r="BK95" i="53"/>
  <c r="BO194" i="53"/>
  <c r="BO190" i="53"/>
  <c r="BO186" i="53"/>
  <c r="BO179" i="53"/>
  <c r="BO169" i="53"/>
  <c r="BO154" i="53"/>
  <c r="BO147" i="53"/>
  <c r="BO161" i="53"/>
  <c r="BO138" i="53"/>
  <c r="BO131" i="53"/>
  <c r="BO119" i="53"/>
  <c r="BO109" i="53"/>
  <c r="BO101" i="53"/>
  <c r="BO95" i="53"/>
  <c r="BQ194" i="53"/>
  <c r="BQ190" i="53"/>
  <c r="BQ186" i="53"/>
  <c r="BQ179" i="53"/>
  <c r="BQ169" i="53"/>
  <c r="BQ154" i="53"/>
  <c r="BQ147" i="53"/>
  <c r="BQ161" i="53"/>
  <c r="BQ138" i="53"/>
  <c r="BQ131" i="53"/>
  <c r="BQ119" i="53"/>
  <c r="BQ109" i="53"/>
  <c r="BQ101" i="53"/>
  <c r="BQ95" i="53"/>
  <c r="BS194" i="53"/>
  <c r="BS190" i="53"/>
  <c r="BS186" i="53"/>
  <c r="BS179" i="53"/>
  <c r="BS169" i="53"/>
  <c r="BS154" i="53"/>
  <c r="BS147" i="53"/>
  <c r="BS161" i="53"/>
  <c r="BS138" i="53"/>
  <c r="BS131" i="53"/>
  <c r="BS119" i="53"/>
  <c r="BS109" i="53"/>
  <c r="BS101" i="53"/>
  <c r="BS95" i="53"/>
  <c r="BZ194" i="53"/>
  <c r="BZ190" i="53"/>
  <c r="BZ186" i="53"/>
  <c r="BZ179" i="53"/>
  <c r="BZ169" i="53"/>
  <c r="BZ154" i="53"/>
  <c r="BZ147" i="53"/>
  <c r="BZ161" i="53"/>
  <c r="BZ138" i="53"/>
  <c r="BZ131" i="53"/>
  <c r="BZ119" i="53"/>
  <c r="BZ109" i="53"/>
  <c r="BZ101" i="53"/>
  <c r="BZ95" i="53"/>
  <c r="CB194" i="53"/>
  <c r="CB190" i="53"/>
  <c r="CB186" i="53"/>
  <c r="CB179" i="53"/>
  <c r="CB169" i="53"/>
  <c r="CB154" i="53"/>
  <c r="CB147" i="53"/>
  <c r="CB161" i="53"/>
  <c r="CB138" i="53"/>
  <c r="CB131" i="53"/>
  <c r="CB119" i="53"/>
  <c r="CB109" i="53"/>
  <c r="CB101" i="53"/>
  <c r="CB95" i="53"/>
  <c r="CD194" i="53"/>
  <c r="CD190" i="53"/>
  <c r="CD186" i="53"/>
  <c r="CD179" i="53"/>
  <c r="CD169" i="53"/>
  <c r="CD154" i="53"/>
  <c r="CD147" i="53"/>
  <c r="CD161" i="53"/>
  <c r="CD138" i="53"/>
  <c r="CD131" i="53"/>
  <c r="CD119" i="53"/>
  <c r="CD109" i="53"/>
  <c r="CD101" i="53"/>
  <c r="CD95" i="53"/>
  <c r="CF194" i="53"/>
  <c r="CF190" i="53"/>
  <c r="CF186" i="53"/>
  <c r="CF179" i="53"/>
  <c r="CF169" i="53"/>
  <c r="CF154" i="53"/>
  <c r="CF147" i="53"/>
  <c r="CF161" i="53"/>
  <c r="CF138" i="53"/>
  <c r="CF131" i="53"/>
  <c r="CF119" i="53"/>
  <c r="CF109" i="53"/>
  <c r="CF101" i="53"/>
  <c r="CF95" i="53"/>
  <c r="CH194" i="53"/>
  <c r="CH190" i="53"/>
  <c r="CH186" i="53"/>
  <c r="CH179" i="53"/>
  <c r="CH169" i="53"/>
  <c r="CH154" i="53"/>
  <c r="CH147" i="53"/>
  <c r="CH161" i="53"/>
  <c r="CH138" i="53"/>
  <c r="CH131" i="53"/>
  <c r="CH119" i="53"/>
  <c r="CH109" i="53"/>
  <c r="CH101" i="53"/>
  <c r="CH95" i="53"/>
  <c r="CJ194" i="53"/>
  <c r="CJ190" i="53"/>
  <c r="CJ186" i="53"/>
  <c r="CJ179" i="53"/>
  <c r="CJ169" i="53"/>
  <c r="CJ154" i="53"/>
  <c r="CJ147" i="53"/>
  <c r="CJ161" i="53"/>
  <c r="CJ138" i="53"/>
  <c r="CJ131" i="53"/>
  <c r="CJ119" i="53"/>
  <c r="CJ109" i="53"/>
  <c r="CJ101" i="53"/>
  <c r="CJ95" i="53"/>
  <c r="CL194" i="53"/>
  <c r="CL190" i="53"/>
  <c r="CL186" i="53"/>
  <c r="CL179" i="53"/>
  <c r="CL169" i="53"/>
  <c r="CL154" i="53"/>
  <c r="CL147" i="53"/>
  <c r="CL161" i="53"/>
  <c r="CL138" i="53"/>
  <c r="CL131" i="53"/>
  <c r="CL119" i="53"/>
  <c r="CL109" i="53"/>
  <c r="CL101" i="53"/>
  <c r="CL95" i="53"/>
  <c r="CN194" i="53"/>
  <c r="CN190" i="53"/>
  <c r="CN186" i="53"/>
  <c r="CN179" i="53"/>
  <c r="CN169" i="53"/>
  <c r="CN154" i="53"/>
  <c r="CN147" i="53"/>
  <c r="CN161" i="53"/>
  <c r="CN138" i="53"/>
  <c r="CN131" i="53"/>
  <c r="CN119" i="53"/>
  <c r="CN109" i="53"/>
  <c r="CN101" i="53"/>
  <c r="CN95" i="53"/>
  <c r="CS194" i="53"/>
  <c r="CS190" i="53"/>
  <c r="CS186" i="53"/>
  <c r="CS179" i="53"/>
  <c r="CS169" i="53"/>
  <c r="CS154" i="53"/>
  <c r="CS147" i="53"/>
  <c r="CS161" i="53"/>
  <c r="CS138" i="53"/>
  <c r="CS131" i="53"/>
  <c r="CS119" i="53"/>
  <c r="CS109" i="53"/>
  <c r="CS101" i="53"/>
  <c r="CS95" i="53"/>
  <c r="CU194" i="53"/>
  <c r="CU190" i="53"/>
  <c r="CU186" i="53"/>
  <c r="CU179" i="53"/>
  <c r="CU169" i="53"/>
  <c r="CU154" i="53"/>
  <c r="CU147" i="53"/>
  <c r="CU161" i="53"/>
  <c r="CU138" i="53"/>
  <c r="CU131" i="53"/>
  <c r="CU119" i="53"/>
  <c r="CU109" i="53"/>
  <c r="CU101" i="53"/>
  <c r="CU95" i="53"/>
  <c r="CW194" i="53"/>
  <c r="CW190" i="53"/>
  <c r="CW186" i="53"/>
  <c r="CW179" i="53"/>
  <c r="CW169" i="53"/>
  <c r="CW154" i="53"/>
  <c r="CW147" i="53"/>
  <c r="CW161" i="53"/>
  <c r="CW138" i="53"/>
  <c r="CW131" i="53"/>
  <c r="CW119" i="53"/>
  <c r="CW109" i="53"/>
  <c r="CW101" i="53"/>
  <c r="CW95" i="53"/>
  <c r="CY194" i="53"/>
  <c r="CY190" i="53"/>
  <c r="CY186" i="53"/>
  <c r="CY179" i="53"/>
  <c r="CY169" i="53"/>
  <c r="CY154" i="53"/>
  <c r="CY147" i="53"/>
  <c r="CY161" i="53"/>
  <c r="CY138" i="53"/>
  <c r="CY131" i="53"/>
  <c r="CY119" i="53"/>
  <c r="CY109" i="53"/>
  <c r="CY101" i="53"/>
  <c r="CY95" i="53"/>
  <c r="DA194" i="53"/>
  <c r="DA190" i="53"/>
  <c r="DA186" i="53"/>
  <c r="DA179" i="53"/>
  <c r="DA169" i="53"/>
  <c r="DA154" i="53"/>
  <c r="DA147" i="53"/>
  <c r="DA161" i="53"/>
  <c r="DA138" i="53"/>
  <c r="DA131" i="53"/>
  <c r="DA119" i="53"/>
  <c r="DA109" i="53"/>
  <c r="DA101" i="53"/>
  <c r="DA95" i="53"/>
  <c r="DC194" i="53"/>
  <c r="DC190" i="53"/>
  <c r="DC186" i="53"/>
  <c r="DC179" i="53"/>
  <c r="DC169" i="53"/>
  <c r="DC154" i="53"/>
  <c r="DC147" i="53"/>
  <c r="DC161" i="53"/>
  <c r="DC138" i="53"/>
  <c r="DC131" i="53"/>
  <c r="DC119" i="53"/>
  <c r="DC109" i="53"/>
  <c r="DC101" i="53"/>
  <c r="DC95" i="53"/>
  <c r="DE194" i="53"/>
  <c r="DE190" i="53"/>
  <c r="DE186" i="53"/>
  <c r="DE179" i="53"/>
  <c r="DE169" i="53"/>
  <c r="DE154" i="53"/>
  <c r="DE147" i="53"/>
  <c r="DE161" i="53"/>
  <c r="DE138" i="53"/>
  <c r="DE131" i="53"/>
  <c r="DE119" i="53"/>
  <c r="DE109" i="53"/>
  <c r="DE101" i="53"/>
  <c r="DE95" i="53"/>
  <c r="DG194" i="53"/>
  <c r="DG190" i="53"/>
  <c r="DG186" i="53"/>
  <c r="DG179" i="53"/>
  <c r="DG169" i="53"/>
  <c r="DG154" i="53"/>
  <c r="DG147" i="53"/>
  <c r="DG161" i="53"/>
  <c r="DG138" i="53"/>
  <c r="DG131" i="53"/>
  <c r="DG119" i="53"/>
  <c r="DG109" i="53"/>
  <c r="DG101" i="53"/>
  <c r="DG95" i="53"/>
  <c r="CA11" i="53"/>
  <c r="CI11" i="53"/>
  <c r="CK11" i="53"/>
  <c r="CT11" i="53"/>
  <c r="CV11" i="53"/>
  <c r="CX11" i="53"/>
  <c r="DB11" i="53"/>
  <c r="DD11" i="53"/>
  <c r="E12" i="53"/>
  <c r="I12" i="53"/>
  <c r="K12" i="53"/>
  <c r="M12" i="53"/>
  <c r="Q12" i="53"/>
  <c r="S12" i="53"/>
  <c r="U12" i="53"/>
  <c r="W12" i="53"/>
  <c r="Y12" i="53"/>
  <c r="AA12" i="53"/>
  <c r="AC12" i="53"/>
  <c r="AG12" i="53"/>
  <c r="AI12" i="53"/>
  <c r="AK12" i="53"/>
  <c r="AO12" i="53"/>
  <c r="AQ12" i="53"/>
  <c r="AS12" i="53"/>
  <c r="AU12" i="53"/>
  <c r="AW12" i="53"/>
  <c r="AY12" i="53"/>
  <c r="BA12" i="53"/>
  <c r="BC12" i="53"/>
  <c r="BE12" i="53"/>
  <c r="BG12" i="53"/>
  <c r="BW13" i="53" s="1"/>
  <c r="I14" i="53"/>
  <c r="K14" i="53"/>
  <c r="M14" i="53"/>
  <c r="O14" i="53"/>
  <c r="Q14" i="53"/>
  <c r="S14" i="53"/>
  <c r="U14" i="53"/>
  <c r="W14" i="53"/>
  <c r="Y14" i="53"/>
  <c r="AA14" i="53"/>
  <c r="AC14" i="53"/>
  <c r="AE14" i="53"/>
  <c r="AG14" i="53"/>
  <c r="AI14" i="53"/>
  <c r="AK14" i="53"/>
  <c r="AO14" i="53"/>
  <c r="AS14" i="53"/>
  <c r="AU14" i="53"/>
  <c r="AW14" i="53"/>
  <c r="AY14" i="53"/>
  <c r="BA14" i="53"/>
  <c r="BC14" i="53"/>
  <c r="BE14" i="53"/>
  <c r="BG14" i="53"/>
  <c r="BZ22" i="53"/>
  <c r="CB22" i="53"/>
  <c r="CD22" i="53"/>
  <c r="CF22" i="53"/>
  <c r="CH22" i="53"/>
  <c r="CJ22" i="53"/>
  <c r="CL22" i="53"/>
  <c r="CS22" i="53"/>
  <c r="CU22" i="53"/>
  <c r="CW22" i="53"/>
  <c r="CY22" i="53"/>
  <c r="DA22" i="53"/>
  <c r="DC22" i="53"/>
  <c r="F23" i="53"/>
  <c r="H23" i="53"/>
  <c r="J23" i="53"/>
  <c r="L23" i="53"/>
  <c r="N23" i="53"/>
  <c r="P23" i="53"/>
  <c r="R23" i="53"/>
  <c r="T23" i="53"/>
  <c r="V23" i="53"/>
  <c r="X23" i="53"/>
  <c r="Z23" i="53"/>
  <c r="AB23" i="53"/>
  <c r="AD23" i="53"/>
  <c r="AF23" i="53"/>
  <c r="AH23" i="53"/>
  <c r="AJ23" i="53"/>
  <c r="AL23" i="53"/>
  <c r="AN23" i="53"/>
  <c r="AP23" i="53"/>
  <c r="AR23" i="53"/>
  <c r="AT23" i="53"/>
  <c r="AV23" i="53"/>
  <c r="AX23" i="53"/>
  <c r="AZ23" i="53"/>
  <c r="BB23" i="53"/>
  <c r="BD23" i="53"/>
  <c r="BF23" i="53"/>
  <c r="BH23" i="53"/>
  <c r="BT24" i="53" s="1"/>
  <c r="H25" i="53"/>
  <c r="J25" i="53"/>
  <c r="L25" i="53"/>
  <c r="N25" i="53"/>
  <c r="P25" i="53"/>
  <c r="R25" i="53"/>
  <c r="T25" i="53"/>
  <c r="V25" i="53"/>
  <c r="X25" i="53"/>
  <c r="Z25" i="53"/>
  <c r="AB25" i="53"/>
  <c r="AD25" i="53"/>
  <c r="AF25" i="53"/>
  <c r="AH25" i="53"/>
  <c r="AJ25" i="53"/>
  <c r="AL25" i="53"/>
  <c r="AN25" i="53"/>
  <c r="AP25" i="53"/>
  <c r="AR25" i="53"/>
  <c r="AT25" i="53"/>
  <c r="AV25" i="53"/>
  <c r="AX25" i="53"/>
  <c r="AZ25" i="53"/>
  <c r="BB25" i="53"/>
  <c r="BD25" i="53"/>
  <c r="BF25" i="53"/>
  <c r="BH25" i="53"/>
  <c r="BY33" i="53"/>
  <c r="CA33" i="53"/>
  <c r="CC33" i="53"/>
  <c r="CE33" i="53"/>
  <c r="CG33" i="53"/>
  <c r="CI33" i="53"/>
  <c r="CK33" i="53"/>
  <c r="CT33" i="53"/>
  <c r="CV33" i="53"/>
  <c r="CX33" i="53"/>
  <c r="CZ33" i="53"/>
  <c r="DB33" i="53"/>
  <c r="DD33" i="53"/>
  <c r="E34" i="53"/>
  <c r="G34" i="53"/>
  <c r="I34" i="53"/>
  <c r="K34" i="53"/>
  <c r="M34" i="53"/>
  <c r="O34" i="53"/>
  <c r="Q34" i="53"/>
  <c r="S34" i="53"/>
  <c r="U34" i="53"/>
  <c r="W34" i="53"/>
  <c r="Y34" i="53"/>
  <c r="AA34" i="53"/>
  <c r="AC34" i="53"/>
  <c r="AE34" i="53"/>
  <c r="AG34" i="53"/>
  <c r="AI34" i="53"/>
  <c r="AK34" i="53"/>
  <c r="AM34" i="53"/>
  <c r="AO34" i="53"/>
  <c r="AQ34" i="53"/>
  <c r="AS34" i="53"/>
  <c r="AU34" i="53"/>
  <c r="AW34" i="53"/>
  <c r="AY34" i="53"/>
  <c r="BA34" i="53"/>
  <c r="BC34" i="53"/>
  <c r="BE34" i="53"/>
  <c r="BG34" i="53"/>
  <c r="BW35" i="53" s="1"/>
  <c r="I36" i="53"/>
  <c r="K36" i="53"/>
  <c r="M36" i="53"/>
  <c r="O36" i="53"/>
  <c r="Q36" i="53"/>
  <c r="S36" i="53"/>
  <c r="U36" i="53"/>
  <c r="W36" i="53"/>
  <c r="Y36" i="53"/>
  <c r="AA36" i="53"/>
  <c r="AC36" i="53"/>
  <c r="AE36" i="53"/>
  <c r="AG36" i="53"/>
  <c r="AI36" i="53"/>
  <c r="AK36" i="53"/>
  <c r="AM36" i="53"/>
  <c r="AO36" i="53"/>
  <c r="AQ36" i="53"/>
  <c r="AS36" i="53"/>
  <c r="AU36" i="53"/>
  <c r="AW36" i="53"/>
  <c r="AY36" i="53"/>
  <c r="BA36" i="53"/>
  <c r="BC36" i="53"/>
  <c r="BE36" i="53"/>
  <c r="BG36" i="53"/>
  <c r="BY44" i="53"/>
  <c r="F66" i="53"/>
  <c r="F48" i="53" s="1"/>
  <c r="H66" i="53"/>
  <c r="J66" i="53"/>
  <c r="J48" i="53" s="1"/>
  <c r="CA44" i="53"/>
  <c r="N66" i="53"/>
  <c r="N59" i="53" s="1"/>
  <c r="P66" i="53"/>
  <c r="R66" i="53"/>
  <c r="R48" i="53" s="1"/>
  <c r="CC44" i="53"/>
  <c r="V66" i="53"/>
  <c r="V59" i="53" s="1"/>
  <c r="X66" i="53"/>
  <c r="Z66" i="53"/>
  <c r="Z59" i="53" s="1"/>
  <c r="CE44" i="53"/>
  <c r="AD66" i="53"/>
  <c r="AD48" i="53" s="1"/>
  <c r="AF66" i="53"/>
  <c r="AH66" i="53"/>
  <c r="AH59" i="53" s="1"/>
  <c r="CG44" i="53"/>
  <c r="AL66" i="53"/>
  <c r="AL48" i="53" s="1"/>
  <c r="AN66" i="53"/>
  <c r="AP66" i="53"/>
  <c r="AP59" i="53" s="1"/>
  <c r="CI44" i="53"/>
  <c r="AT66" i="53"/>
  <c r="AT167" i="53" s="1"/>
  <c r="AV66" i="53"/>
  <c r="AX66" i="53"/>
  <c r="AX48" i="53" s="1"/>
  <c r="CK44" i="53"/>
  <c r="BB66" i="53"/>
  <c r="BB167" i="53" s="1"/>
  <c r="BD66" i="53"/>
  <c r="BF66" i="53"/>
  <c r="DC44" i="53"/>
  <c r="F59" i="53"/>
  <c r="H59" i="53"/>
  <c r="J59" i="53"/>
  <c r="AN59" i="53"/>
  <c r="D194" i="53"/>
  <c r="D190" i="53"/>
  <c r="D186" i="53"/>
  <c r="D179" i="53"/>
  <c r="D169" i="53"/>
  <c r="D161" i="53"/>
  <c r="D154" i="53"/>
  <c r="D147" i="53"/>
  <c r="D138" i="53"/>
  <c r="D131" i="53"/>
  <c r="D109" i="53"/>
  <c r="D101" i="53"/>
  <c r="D95" i="53"/>
  <c r="D119" i="53"/>
  <c r="F194" i="53"/>
  <c r="F190" i="53"/>
  <c r="F186" i="53"/>
  <c r="F179" i="53"/>
  <c r="F169" i="53"/>
  <c r="F161" i="53"/>
  <c r="F154" i="53"/>
  <c r="F147" i="53"/>
  <c r="F138" i="53"/>
  <c r="F131" i="53"/>
  <c r="F109" i="53"/>
  <c r="F101" i="53"/>
  <c r="F95" i="53"/>
  <c r="F119" i="53"/>
  <c r="H194" i="53"/>
  <c r="H190" i="53"/>
  <c r="H186" i="53"/>
  <c r="H179" i="53"/>
  <c r="H169" i="53"/>
  <c r="H161" i="53"/>
  <c r="H154" i="53"/>
  <c r="H147" i="53"/>
  <c r="H138" i="53"/>
  <c r="H131" i="53"/>
  <c r="H101" i="53"/>
  <c r="H95" i="53"/>
  <c r="H119" i="53"/>
  <c r="H109" i="53"/>
  <c r="J194" i="53"/>
  <c r="J190" i="53"/>
  <c r="J186" i="53"/>
  <c r="J179" i="53"/>
  <c r="J169" i="53"/>
  <c r="J161" i="53"/>
  <c r="J154" i="53"/>
  <c r="J147" i="53"/>
  <c r="J138" i="53"/>
  <c r="J131" i="53"/>
  <c r="J101" i="53"/>
  <c r="J95" i="53"/>
  <c r="J119" i="53"/>
  <c r="J109" i="53"/>
  <c r="L194" i="53"/>
  <c r="L190" i="53"/>
  <c r="L186" i="53"/>
  <c r="L179" i="53"/>
  <c r="L169" i="53"/>
  <c r="L161" i="53"/>
  <c r="L154" i="53"/>
  <c r="L147" i="53"/>
  <c r="L138" i="53"/>
  <c r="L131" i="53"/>
  <c r="L109" i="53"/>
  <c r="L101" i="53"/>
  <c r="L95" i="53"/>
  <c r="L119" i="53"/>
  <c r="N194" i="53"/>
  <c r="N190" i="53"/>
  <c r="N186" i="53"/>
  <c r="N179" i="53"/>
  <c r="N169" i="53"/>
  <c r="N161" i="53"/>
  <c r="N154" i="53"/>
  <c r="N147" i="53"/>
  <c r="N138" i="53"/>
  <c r="N131" i="53"/>
  <c r="N109" i="53"/>
  <c r="N101" i="53"/>
  <c r="N95" i="53"/>
  <c r="N119" i="53"/>
  <c r="P194" i="53"/>
  <c r="P190" i="53"/>
  <c r="P186" i="53"/>
  <c r="P179" i="53"/>
  <c r="P169" i="53"/>
  <c r="P161" i="53"/>
  <c r="P154" i="53"/>
  <c r="P147" i="53"/>
  <c r="P138" i="53"/>
  <c r="P131" i="53"/>
  <c r="P101" i="53"/>
  <c r="P95" i="53"/>
  <c r="P119" i="53"/>
  <c r="P109" i="53"/>
  <c r="R194" i="53"/>
  <c r="R190" i="53"/>
  <c r="R186" i="53"/>
  <c r="R179" i="53"/>
  <c r="R169" i="53"/>
  <c r="R161" i="53"/>
  <c r="R154" i="53"/>
  <c r="R147" i="53"/>
  <c r="R138" i="53"/>
  <c r="R131" i="53"/>
  <c r="R101" i="53"/>
  <c r="R95" i="53"/>
  <c r="R119" i="53"/>
  <c r="R109" i="53"/>
  <c r="T194" i="53"/>
  <c r="T190" i="53"/>
  <c r="T186" i="53"/>
  <c r="T179" i="53"/>
  <c r="T169" i="53"/>
  <c r="T161" i="53"/>
  <c r="T154" i="53"/>
  <c r="T147" i="53"/>
  <c r="T138" i="53"/>
  <c r="T131" i="53"/>
  <c r="T109" i="53"/>
  <c r="T101" i="53"/>
  <c r="T95" i="53"/>
  <c r="T119" i="53"/>
  <c r="V194" i="53"/>
  <c r="V190" i="53"/>
  <c r="V186" i="53"/>
  <c r="V179" i="53"/>
  <c r="V169" i="53"/>
  <c r="V161" i="53"/>
  <c r="V154" i="53"/>
  <c r="V147" i="53"/>
  <c r="V138" i="53"/>
  <c r="V131" i="53"/>
  <c r="V109" i="53"/>
  <c r="V101" i="53"/>
  <c r="V95" i="53"/>
  <c r="V119" i="53"/>
  <c r="X194" i="53"/>
  <c r="X190" i="53"/>
  <c r="X186" i="53"/>
  <c r="X179" i="53"/>
  <c r="X169" i="53"/>
  <c r="X161" i="53"/>
  <c r="X154" i="53"/>
  <c r="X147" i="53"/>
  <c r="X138" i="53"/>
  <c r="X131" i="53"/>
  <c r="X95" i="53"/>
  <c r="X119" i="53"/>
  <c r="X109" i="53"/>
  <c r="X101" i="53"/>
  <c r="Z194" i="53"/>
  <c r="Z190" i="53"/>
  <c r="Z186" i="53"/>
  <c r="Z179" i="53"/>
  <c r="Z169" i="53"/>
  <c r="Z161" i="53"/>
  <c r="Z154" i="53"/>
  <c r="Z147" i="53"/>
  <c r="Z138" i="53"/>
  <c r="Z131" i="53"/>
  <c r="Z95" i="53"/>
  <c r="Z119" i="53"/>
  <c r="Z109" i="53"/>
  <c r="Z101" i="53"/>
  <c r="AB194" i="53"/>
  <c r="AB190" i="53"/>
  <c r="AB186" i="53"/>
  <c r="AB179" i="53"/>
  <c r="AB169" i="53"/>
  <c r="AB161" i="53"/>
  <c r="AB154" i="53"/>
  <c r="AB147" i="53"/>
  <c r="AB138" i="53"/>
  <c r="AB131" i="53"/>
  <c r="AB109" i="53"/>
  <c r="AB101" i="53"/>
  <c r="AB95" i="53"/>
  <c r="AB119" i="53"/>
  <c r="AD194" i="53"/>
  <c r="AD190" i="53"/>
  <c r="AD186" i="53"/>
  <c r="AD179" i="53"/>
  <c r="AD169" i="53"/>
  <c r="AD161" i="53"/>
  <c r="AD154" i="53"/>
  <c r="AD147" i="53"/>
  <c r="AD138" i="53"/>
  <c r="AD131" i="53"/>
  <c r="AD109" i="53"/>
  <c r="AD101" i="53"/>
  <c r="AD95" i="53"/>
  <c r="AD119" i="53"/>
  <c r="AF194" i="53"/>
  <c r="AF190" i="53"/>
  <c r="AF186" i="53"/>
  <c r="AF179" i="53"/>
  <c r="AF169" i="53"/>
  <c r="AF161" i="53"/>
  <c r="AF154" i="53"/>
  <c r="AF147" i="53"/>
  <c r="AF138" i="53"/>
  <c r="AF131" i="53"/>
  <c r="AF95" i="53"/>
  <c r="AF119" i="53"/>
  <c r="AF109" i="53"/>
  <c r="AF101" i="53"/>
  <c r="AH194" i="53"/>
  <c r="AH190" i="53"/>
  <c r="AH186" i="53"/>
  <c r="AH179" i="53"/>
  <c r="AH169" i="53"/>
  <c r="AH161" i="53"/>
  <c r="AH154" i="53"/>
  <c r="AH147" i="53"/>
  <c r="AH138" i="53"/>
  <c r="AH131" i="53"/>
  <c r="AH95" i="53"/>
  <c r="AH119" i="53"/>
  <c r="AH109" i="53"/>
  <c r="AH101" i="53"/>
  <c r="AJ194" i="53"/>
  <c r="AJ190" i="53"/>
  <c r="AJ186" i="53"/>
  <c r="AJ179" i="53"/>
  <c r="AJ169" i="53"/>
  <c r="AJ161" i="53"/>
  <c r="AJ154" i="53"/>
  <c r="AJ147" i="53"/>
  <c r="AJ138" i="53"/>
  <c r="AJ131" i="53"/>
  <c r="AJ109" i="53"/>
  <c r="AJ101" i="53"/>
  <c r="AJ95" i="53"/>
  <c r="AJ119" i="53"/>
  <c r="AL194" i="53"/>
  <c r="AL190" i="53"/>
  <c r="AL186" i="53"/>
  <c r="AL179" i="53"/>
  <c r="AL169" i="53"/>
  <c r="AL161" i="53"/>
  <c r="AL154" i="53"/>
  <c r="AL147" i="53"/>
  <c r="AL138" i="53"/>
  <c r="AL131" i="53"/>
  <c r="AL109" i="53"/>
  <c r="AL101" i="53"/>
  <c r="AL95" i="53"/>
  <c r="AL119" i="53"/>
  <c r="AN194" i="53"/>
  <c r="AN190" i="53"/>
  <c r="AN186" i="53"/>
  <c r="AN179" i="53"/>
  <c r="AN169" i="53"/>
  <c r="AN147" i="53"/>
  <c r="AN161" i="53"/>
  <c r="AN154" i="53"/>
  <c r="AN138" i="53"/>
  <c r="AN131" i="53"/>
  <c r="AN95" i="53"/>
  <c r="AN119" i="53"/>
  <c r="AN109" i="53"/>
  <c r="AN101" i="53"/>
  <c r="AP194" i="53"/>
  <c r="AP190" i="53"/>
  <c r="AP186" i="53"/>
  <c r="AP179" i="53"/>
  <c r="AP169" i="53"/>
  <c r="AP147" i="53"/>
  <c r="AP161" i="53"/>
  <c r="AP154" i="53"/>
  <c r="AP138" i="53"/>
  <c r="AP131" i="53"/>
  <c r="AP95" i="53"/>
  <c r="AP119" i="53"/>
  <c r="AP109" i="53"/>
  <c r="AP101" i="53"/>
  <c r="AR194" i="53"/>
  <c r="AR190" i="53"/>
  <c r="AR186" i="53"/>
  <c r="AR179" i="53"/>
  <c r="AR169" i="53"/>
  <c r="AR161" i="53"/>
  <c r="AR154" i="53"/>
  <c r="AR147" i="53"/>
  <c r="AR138" i="53"/>
  <c r="AR131" i="53"/>
  <c r="AR109" i="53"/>
  <c r="AR101" i="53"/>
  <c r="AR95" i="53"/>
  <c r="AR119" i="53"/>
  <c r="AT194" i="53"/>
  <c r="AT190" i="53"/>
  <c r="AT186" i="53"/>
  <c r="AT179" i="53"/>
  <c r="AT169" i="53"/>
  <c r="AT161" i="53"/>
  <c r="AT154" i="53"/>
  <c r="AT147" i="53"/>
  <c r="AT138" i="53"/>
  <c r="AT131" i="53"/>
  <c r="AT109" i="53"/>
  <c r="AT101" i="53"/>
  <c r="AT95" i="53"/>
  <c r="AT119" i="53"/>
  <c r="AV194" i="53"/>
  <c r="AV190" i="53"/>
  <c r="AV186" i="53"/>
  <c r="AV179" i="53"/>
  <c r="AV169" i="53"/>
  <c r="AV161" i="53"/>
  <c r="AV147" i="53"/>
  <c r="AV154" i="53"/>
  <c r="AV138" i="53"/>
  <c r="AV131" i="53"/>
  <c r="AV109" i="53"/>
  <c r="AV95" i="53"/>
  <c r="AV119" i="53"/>
  <c r="AV101" i="53"/>
  <c r="AX194" i="53"/>
  <c r="AX190" i="53"/>
  <c r="AX179" i="53"/>
  <c r="AX186" i="53"/>
  <c r="AX169" i="53"/>
  <c r="AX161" i="53"/>
  <c r="AX147" i="53"/>
  <c r="AX154" i="53"/>
  <c r="AX138" i="53"/>
  <c r="AX131" i="53"/>
  <c r="AX109" i="53"/>
  <c r="AX95" i="53"/>
  <c r="AX119" i="53"/>
  <c r="AX101" i="53"/>
  <c r="AZ194" i="53"/>
  <c r="AZ190" i="53"/>
  <c r="AZ186" i="53"/>
  <c r="AZ179" i="53"/>
  <c r="AZ169" i="53"/>
  <c r="AZ161" i="53"/>
  <c r="AZ154" i="53"/>
  <c r="AZ147" i="53"/>
  <c r="AZ138" i="53"/>
  <c r="AZ131" i="53"/>
  <c r="AZ101" i="53"/>
  <c r="AZ95" i="53"/>
  <c r="AZ119" i="53"/>
  <c r="AZ109" i="53"/>
  <c r="BB194" i="53"/>
  <c r="BB190" i="53"/>
  <c r="BB179" i="53"/>
  <c r="BB186" i="53"/>
  <c r="BB169" i="53"/>
  <c r="BB161" i="53"/>
  <c r="BB154" i="53"/>
  <c r="BB147" i="53"/>
  <c r="BB138" i="53"/>
  <c r="BB131" i="53"/>
  <c r="BB101" i="53"/>
  <c r="BB95" i="53"/>
  <c r="BB119" i="53"/>
  <c r="BB109" i="53"/>
  <c r="BD194" i="53"/>
  <c r="BD190" i="53"/>
  <c r="BD186" i="53"/>
  <c r="BD179" i="53"/>
  <c r="BD169" i="53"/>
  <c r="BD161" i="53"/>
  <c r="BD154" i="53"/>
  <c r="BD147" i="53"/>
  <c r="BD138" i="53"/>
  <c r="BD131" i="53"/>
  <c r="BD101" i="53"/>
  <c r="BD95" i="53"/>
  <c r="BD119" i="53"/>
  <c r="BD109" i="53"/>
  <c r="BF194" i="53"/>
  <c r="BF190" i="53"/>
  <c r="BF179" i="53"/>
  <c r="BF186" i="53"/>
  <c r="BF169" i="53"/>
  <c r="BF161" i="53"/>
  <c r="BF154" i="53"/>
  <c r="BF147" i="53"/>
  <c r="BF138" i="53"/>
  <c r="BF131" i="53"/>
  <c r="BF101" i="53"/>
  <c r="BF95" i="53"/>
  <c r="BF119" i="53"/>
  <c r="BF109" i="53"/>
  <c r="BH194" i="53"/>
  <c r="BH190" i="53"/>
  <c r="BH186" i="53"/>
  <c r="BH179" i="53"/>
  <c r="BH169" i="53"/>
  <c r="BH161" i="53"/>
  <c r="BH154" i="53"/>
  <c r="BH147" i="53"/>
  <c r="BH138" i="53"/>
  <c r="BH131" i="53"/>
  <c r="BH101" i="53"/>
  <c r="BH95" i="53"/>
  <c r="BH119" i="53"/>
  <c r="BH109" i="53"/>
  <c r="BJ194" i="53"/>
  <c r="BJ190" i="53"/>
  <c r="BJ179" i="53"/>
  <c r="BJ186" i="53"/>
  <c r="BJ169" i="53"/>
  <c r="BJ161" i="53"/>
  <c r="BJ154" i="53"/>
  <c r="BJ147" i="53"/>
  <c r="BJ138" i="53"/>
  <c r="BJ131" i="53"/>
  <c r="BJ101" i="53"/>
  <c r="BJ95" i="53"/>
  <c r="BJ109" i="53"/>
  <c r="BL194" i="53"/>
  <c r="BL190" i="53"/>
  <c r="BL186" i="53"/>
  <c r="BL179" i="53"/>
  <c r="BL169" i="53"/>
  <c r="BL161" i="53"/>
  <c r="BL154" i="53"/>
  <c r="BL147" i="53"/>
  <c r="BL138" i="53"/>
  <c r="BL131" i="53"/>
  <c r="BL101" i="53"/>
  <c r="BL95" i="53"/>
  <c r="BL119" i="53"/>
  <c r="BL109" i="53"/>
  <c r="BN194" i="53"/>
  <c r="BN190" i="53"/>
  <c r="BN179" i="53"/>
  <c r="BN186" i="53"/>
  <c r="BN169" i="53"/>
  <c r="BN161" i="53"/>
  <c r="BN154" i="53"/>
  <c r="BN147" i="53"/>
  <c r="BN138" i="53"/>
  <c r="BN131" i="53"/>
  <c r="BN101" i="53"/>
  <c r="BN95" i="53"/>
  <c r="BN119" i="53"/>
  <c r="BN109" i="53"/>
  <c r="BP194" i="53"/>
  <c r="BP190" i="53"/>
  <c r="BP186" i="53"/>
  <c r="BP179" i="53"/>
  <c r="BP169" i="53"/>
  <c r="BP161" i="53"/>
  <c r="BP154" i="53"/>
  <c r="BP147" i="53"/>
  <c r="BP138" i="53"/>
  <c r="BP131" i="53"/>
  <c r="BP101" i="53"/>
  <c r="BP95" i="53"/>
  <c r="BP119" i="53"/>
  <c r="BP109" i="53"/>
  <c r="BR194" i="53"/>
  <c r="BR190" i="53"/>
  <c r="BR179" i="53"/>
  <c r="BR186" i="53"/>
  <c r="BR169" i="53"/>
  <c r="BR161" i="53"/>
  <c r="BR154" i="53"/>
  <c r="BR147" i="53"/>
  <c r="BR138" i="53"/>
  <c r="BR131" i="53"/>
  <c r="BR101" i="53"/>
  <c r="BR95" i="53"/>
  <c r="BR119" i="53"/>
  <c r="BR109" i="53"/>
  <c r="BY194" i="53"/>
  <c r="BY190" i="53"/>
  <c r="BY186" i="53"/>
  <c r="BY179" i="53"/>
  <c r="BY169" i="53"/>
  <c r="BY161" i="53"/>
  <c r="BY154" i="53"/>
  <c r="BY147" i="53"/>
  <c r="BY138" i="53"/>
  <c r="BY131" i="53"/>
  <c r="BY101" i="53"/>
  <c r="BY95" i="53"/>
  <c r="BY119" i="53"/>
  <c r="BY109" i="53"/>
  <c r="CA194" i="53"/>
  <c r="CA190" i="53"/>
  <c r="CA179" i="53"/>
  <c r="CA186" i="53"/>
  <c r="CA169" i="53"/>
  <c r="CA161" i="53"/>
  <c r="CA154" i="53"/>
  <c r="CA147" i="53"/>
  <c r="CA138" i="53"/>
  <c r="CA131" i="53"/>
  <c r="CA101" i="53"/>
  <c r="CA95" i="53"/>
  <c r="CA119" i="53"/>
  <c r="CA109" i="53"/>
  <c r="CC194" i="53"/>
  <c r="CC190" i="53"/>
  <c r="CC186" i="53"/>
  <c r="CC179" i="53"/>
  <c r="CC169" i="53"/>
  <c r="CC161" i="53"/>
  <c r="CC154" i="53"/>
  <c r="CC147" i="53"/>
  <c r="CC138" i="53"/>
  <c r="CC131" i="53"/>
  <c r="CC101" i="53"/>
  <c r="CC95" i="53"/>
  <c r="CC119" i="53"/>
  <c r="CC109" i="53"/>
  <c r="CE194" i="53"/>
  <c r="CE190" i="53"/>
  <c r="CE179" i="53"/>
  <c r="CE186" i="53"/>
  <c r="CE169" i="53"/>
  <c r="CE161" i="53"/>
  <c r="CE154" i="53"/>
  <c r="CE147" i="53"/>
  <c r="CE138" i="53"/>
  <c r="CE131" i="53"/>
  <c r="CE101" i="53"/>
  <c r="CE95" i="53"/>
  <c r="CE119" i="53"/>
  <c r="CE109" i="53"/>
  <c r="CG194" i="53"/>
  <c r="CG190" i="53"/>
  <c r="CG186" i="53"/>
  <c r="CG179" i="53"/>
  <c r="CG169" i="53"/>
  <c r="CG161" i="53"/>
  <c r="CG154" i="53"/>
  <c r="CG147" i="53"/>
  <c r="CG138" i="53"/>
  <c r="CG131" i="53"/>
  <c r="CG101" i="53"/>
  <c r="CG95" i="53"/>
  <c r="CG119" i="53"/>
  <c r="CG109" i="53"/>
  <c r="CI194" i="53"/>
  <c r="CI190" i="53"/>
  <c r="CI179" i="53"/>
  <c r="CI186" i="53"/>
  <c r="CI169" i="53"/>
  <c r="CI161" i="53"/>
  <c r="CI154" i="53"/>
  <c r="CI147" i="53"/>
  <c r="CI138" i="53"/>
  <c r="CI131" i="53"/>
  <c r="CI101" i="53"/>
  <c r="CI95" i="53"/>
  <c r="CI119" i="53"/>
  <c r="CI109" i="53"/>
  <c r="CK194" i="53"/>
  <c r="CK190" i="53"/>
  <c r="CK186" i="53"/>
  <c r="CK179" i="53"/>
  <c r="CK169" i="53"/>
  <c r="CK161" i="53"/>
  <c r="CK154" i="53"/>
  <c r="CK147" i="53"/>
  <c r="CK138" i="53"/>
  <c r="CK131" i="53"/>
  <c r="CK101" i="53"/>
  <c r="CK95" i="53"/>
  <c r="CK119" i="53"/>
  <c r="CK109" i="53"/>
  <c r="CM194" i="53"/>
  <c r="CM190" i="53"/>
  <c r="CM179" i="53"/>
  <c r="CM186" i="53"/>
  <c r="CM169" i="53"/>
  <c r="CM161" i="53"/>
  <c r="CM154" i="53"/>
  <c r="CM147" i="53"/>
  <c r="CM138" i="53"/>
  <c r="CM131" i="53"/>
  <c r="CM101" i="53"/>
  <c r="CM95" i="53"/>
  <c r="CM119" i="53"/>
  <c r="CM109" i="53"/>
  <c r="CO194" i="53"/>
  <c r="CO190" i="53"/>
  <c r="CO186" i="53"/>
  <c r="CO179" i="53"/>
  <c r="CO169" i="53"/>
  <c r="CO161" i="53"/>
  <c r="CO154" i="53"/>
  <c r="CO147" i="53"/>
  <c r="CO138" i="53"/>
  <c r="CO131" i="53"/>
  <c r="CO101" i="53"/>
  <c r="CO95" i="53"/>
  <c r="CO119" i="53"/>
  <c r="CO109" i="53"/>
  <c r="CT194" i="53"/>
  <c r="CT190" i="53"/>
  <c r="CT179" i="53"/>
  <c r="CT186" i="53"/>
  <c r="CT169" i="53"/>
  <c r="CT161" i="53"/>
  <c r="CT154" i="53"/>
  <c r="CT147" i="53"/>
  <c r="CT138" i="53"/>
  <c r="CT131" i="53"/>
  <c r="CT101" i="53"/>
  <c r="CT95" i="53"/>
  <c r="CT119" i="53"/>
  <c r="CT109" i="53"/>
  <c r="CV194" i="53"/>
  <c r="CV190" i="53"/>
  <c r="CV186" i="53"/>
  <c r="CV179" i="53"/>
  <c r="CV169" i="53"/>
  <c r="CV161" i="53"/>
  <c r="CV154" i="53"/>
  <c r="CV147" i="53"/>
  <c r="CV138" i="53"/>
  <c r="CV131" i="53"/>
  <c r="CV101" i="53"/>
  <c r="CV95" i="53"/>
  <c r="CV119" i="53"/>
  <c r="CV109" i="53"/>
  <c r="CX194" i="53"/>
  <c r="CX190" i="53"/>
  <c r="CX179" i="53"/>
  <c r="CX186" i="53"/>
  <c r="CX169" i="53"/>
  <c r="CX161" i="53"/>
  <c r="CX154" i="53"/>
  <c r="CX147" i="53"/>
  <c r="CX138" i="53"/>
  <c r="CX131" i="53"/>
  <c r="CX101" i="53"/>
  <c r="CX95" i="53"/>
  <c r="CX119" i="53"/>
  <c r="CX109" i="53"/>
  <c r="CZ194" i="53"/>
  <c r="CZ190" i="53"/>
  <c r="CZ186" i="53"/>
  <c r="CZ179" i="53"/>
  <c r="CZ169" i="53"/>
  <c r="CZ161" i="53"/>
  <c r="CZ154" i="53"/>
  <c r="CZ147" i="53"/>
  <c r="CZ138" i="53"/>
  <c r="CZ131" i="53"/>
  <c r="CZ101" i="53"/>
  <c r="CZ95" i="53"/>
  <c r="CZ119" i="53"/>
  <c r="CZ109" i="53"/>
  <c r="DB194" i="53"/>
  <c r="DB190" i="53"/>
  <c r="DB179" i="53"/>
  <c r="DB186" i="53"/>
  <c r="DB169" i="53"/>
  <c r="DB161" i="53"/>
  <c r="DB154" i="53"/>
  <c r="DB147" i="53"/>
  <c r="DB138" i="53"/>
  <c r="DB131" i="53"/>
  <c r="DB101" i="53"/>
  <c r="DB95" i="53"/>
  <c r="DB119" i="53"/>
  <c r="DB109" i="53"/>
  <c r="DD194" i="53"/>
  <c r="DD190" i="53"/>
  <c r="DD186" i="53"/>
  <c r="DD179" i="53"/>
  <c r="DD169" i="53"/>
  <c r="DD161" i="53"/>
  <c r="DD154" i="53"/>
  <c r="DD147" i="53"/>
  <c r="DD138" i="53"/>
  <c r="DD131" i="53"/>
  <c r="DD101" i="53"/>
  <c r="DD95" i="53"/>
  <c r="DD119" i="53"/>
  <c r="DD109" i="53"/>
  <c r="DF194" i="53"/>
  <c r="DF190" i="53"/>
  <c r="DF179" i="53"/>
  <c r="DF186" i="53"/>
  <c r="DF169" i="53"/>
  <c r="DF161" i="53"/>
  <c r="DF154" i="53"/>
  <c r="DF147" i="53"/>
  <c r="DF138" i="53"/>
  <c r="DF131" i="53"/>
  <c r="DF101" i="53"/>
  <c r="DF95" i="53"/>
  <c r="DF119" i="53"/>
  <c r="DF109" i="53"/>
  <c r="BZ11" i="53"/>
  <c r="CB11" i="53"/>
  <c r="CD11" i="53"/>
  <c r="CF11" i="53"/>
  <c r="CH11" i="53"/>
  <c r="CJ11" i="53"/>
  <c r="CL11" i="53"/>
  <c r="CS11" i="53"/>
  <c r="CU11" i="53"/>
  <c r="CW11" i="53"/>
  <c r="CY11" i="53"/>
  <c r="DA11" i="53"/>
  <c r="DC11" i="53"/>
  <c r="BY22" i="53"/>
  <c r="CA22" i="53"/>
  <c r="CC22" i="53"/>
  <c r="CE22" i="53"/>
  <c r="CG22" i="53"/>
  <c r="CI22" i="53"/>
  <c r="CK22" i="53"/>
  <c r="CT22" i="53"/>
  <c r="CV22" i="53"/>
  <c r="CX22" i="53"/>
  <c r="CZ22" i="53"/>
  <c r="DB22" i="53"/>
  <c r="DD22" i="53"/>
  <c r="BZ33" i="53"/>
  <c r="CB33" i="53"/>
  <c r="CD33" i="53"/>
  <c r="CF33" i="53"/>
  <c r="CH33" i="53"/>
  <c r="CJ33" i="53"/>
  <c r="CL33" i="53"/>
  <c r="CS33" i="53"/>
  <c r="CU33" i="53"/>
  <c r="CW33" i="53"/>
  <c r="CY33" i="53"/>
  <c r="DA33" i="53"/>
  <c r="DC33" i="53"/>
  <c r="DE33" i="53"/>
  <c r="E66" i="53"/>
  <c r="G66" i="53"/>
  <c r="G48" i="53" s="1"/>
  <c r="I66" i="53"/>
  <c r="K66" i="53"/>
  <c r="M66" i="53"/>
  <c r="O66" i="53"/>
  <c r="CT44" i="53"/>
  <c r="Q66" i="53"/>
  <c r="S66" i="53"/>
  <c r="S59" i="53" s="1"/>
  <c r="U66" i="53"/>
  <c r="U59" i="53" s="1"/>
  <c r="CV44" i="53"/>
  <c r="Y66" i="53"/>
  <c r="AA66" i="53"/>
  <c r="AC66" i="53"/>
  <c r="CX44" i="53"/>
  <c r="AG66" i="53"/>
  <c r="AG167" i="53" s="1"/>
  <c r="AI66" i="53"/>
  <c r="AI59" i="53" s="1"/>
  <c r="AK66" i="53"/>
  <c r="AK59" i="53" s="1"/>
  <c r="AK45" i="53"/>
  <c r="AM45" i="53"/>
  <c r="CZ44" i="53"/>
  <c r="AO66" i="53"/>
  <c r="AO47" i="53"/>
  <c r="AO45" i="53"/>
  <c r="AQ45" i="53"/>
  <c r="AS66" i="53"/>
  <c r="AS47" i="53"/>
  <c r="AS45" i="53"/>
  <c r="AU66" i="53"/>
  <c r="AU45" i="53"/>
  <c r="DB44" i="53"/>
  <c r="AW66" i="53"/>
  <c r="AW59" i="53" s="1"/>
  <c r="AW47" i="53"/>
  <c r="AW45" i="53"/>
  <c r="AY66" i="53"/>
  <c r="AY59" i="53" s="1"/>
  <c r="AY47" i="53"/>
  <c r="AY45" i="53"/>
  <c r="BA66" i="53"/>
  <c r="BA59" i="53" s="1"/>
  <c r="BA47" i="53"/>
  <c r="BA45" i="53"/>
  <c r="BC66" i="53"/>
  <c r="BC47" i="53"/>
  <c r="BC45" i="53"/>
  <c r="DD44" i="53"/>
  <c r="BE66" i="53"/>
  <c r="BE47" i="53"/>
  <c r="BE45" i="53"/>
  <c r="BG66" i="53"/>
  <c r="BK69" i="53" s="1"/>
  <c r="BG47" i="53"/>
  <c r="BG45" i="53"/>
  <c r="BZ44" i="53"/>
  <c r="CD44" i="53"/>
  <c r="CL44" i="53"/>
  <c r="CS44" i="53"/>
  <c r="CW44" i="53"/>
  <c r="AL45" i="53"/>
  <c r="AP45" i="53"/>
  <c r="AT45" i="53"/>
  <c r="AX45" i="53"/>
  <c r="BB45" i="53"/>
  <c r="BF45" i="53"/>
  <c r="G59" i="53"/>
  <c r="O59" i="53"/>
  <c r="AC59" i="53"/>
  <c r="H48" i="53"/>
  <c r="X48" i="53"/>
  <c r="AV48" i="53"/>
  <c r="BD48" i="53"/>
  <c r="BY55" i="53"/>
  <c r="CA55" i="53"/>
  <c r="CC55" i="53"/>
  <c r="CE55" i="53"/>
  <c r="CG55" i="53"/>
  <c r="CI55" i="53"/>
  <c r="CK55" i="53"/>
  <c r="CT55" i="53"/>
  <c r="CV55" i="53"/>
  <c r="CX55" i="53"/>
  <c r="CZ55" i="53"/>
  <c r="DB55" i="53"/>
  <c r="DD55" i="53"/>
  <c r="AN56" i="53"/>
  <c r="AP56" i="53"/>
  <c r="AR56" i="53"/>
  <c r="AT56" i="53"/>
  <c r="AV56" i="53"/>
  <c r="AX56" i="53"/>
  <c r="AZ56" i="53"/>
  <c r="BB56" i="53"/>
  <c r="BD56" i="53"/>
  <c r="BF56" i="53"/>
  <c r="BH56" i="53"/>
  <c r="AR58" i="53"/>
  <c r="AT58" i="53"/>
  <c r="AV58" i="53"/>
  <c r="AX58" i="53"/>
  <c r="AZ58" i="53"/>
  <c r="BB58" i="53"/>
  <c r="BD58" i="53"/>
  <c r="BF58" i="53"/>
  <c r="BH58" i="53"/>
  <c r="BC59" i="53"/>
  <c r="D66" i="53"/>
  <c r="D37" i="53" s="1"/>
  <c r="L66" i="53"/>
  <c r="L167" i="53" s="1"/>
  <c r="T66" i="53"/>
  <c r="AB66" i="53"/>
  <c r="AB167" i="53" s="1"/>
  <c r="AJ66" i="53"/>
  <c r="AR66" i="53"/>
  <c r="AR167" i="53" s="1"/>
  <c r="AZ66" i="53"/>
  <c r="BH66" i="53"/>
  <c r="BL69" i="53" s="1"/>
  <c r="AJ136" i="53"/>
  <c r="AJ117" i="53"/>
  <c r="AL136" i="53"/>
  <c r="AL117" i="53"/>
  <c r="AN136" i="53"/>
  <c r="AN117" i="53"/>
  <c r="AP136" i="53"/>
  <c r="AP117" i="53"/>
  <c r="AR136" i="53"/>
  <c r="AR117" i="53"/>
  <c r="AT136" i="53"/>
  <c r="AT117" i="53"/>
  <c r="AV136" i="53"/>
  <c r="AV117" i="53"/>
  <c r="AX136" i="53"/>
  <c r="AX117" i="53"/>
  <c r="AZ136" i="53"/>
  <c r="AZ117" i="53"/>
  <c r="BB136" i="53"/>
  <c r="BB117" i="53"/>
  <c r="I117" i="53"/>
  <c r="Q117" i="53"/>
  <c r="Y117" i="53"/>
  <c r="AG117" i="53"/>
  <c r="AO117" i="53"/>
  <c r="BA117" i="53"/>
  <c r="BE117" i="53"/>
  <c r="BG117" i="53"/>
  <c r="BZ55" i="53"/>
  <c r="CB55" i="53"/>
  <c r="CD55" i="53"/>
  <c r="CF55" i="53"/>
  <c r="CH55" i="53"/>
  <c r="CJ55" i="53"/>
  <c r="CL55" i="53"/>
  <c r="DA55" i="53"/>
  <c r="DC55" i="53"/>
  <c r="AQ56" i="53"/>
  <c r="AS56" i="53"/>
  <c r="AU56" i="53"/>
  <c r="AW56" i="53"/>
  <c r="AY56" i="53"/>
  <c r="BA56" i="53"/>
  <c r="BC56" i="53"/>
  <c r="BE56" i="53"/>
  <c r="BG56" i="53"/>
  <c r="E117" i="53"/>
  <c r="M117" i="53"/>
  <c r="U117" i="53"/>
  <c r="AC117" i="53"/>
  <c r="AK117" i="53"/>
  <c r="AS117" i="53"/>
  <c r="AW117" i="53"/>
  <c r="BY115" i="53"/>
  <c r="CA115" i="53"/>
  <c r="CC115" i="53"/>
  <c r="CG115" i="53"/>
  <c r="CI115" i="53"/>
  <c r="CS110" i="53"/>
  <c r="CU110" i="53"/>
  <c r="CW110" i="53"/>
  <c r="CY110" i="53"/>
  <c r="CT115" i="53"/>
  <c r="CV115" i="53"/>
  <c r="CX115" i="53"/>
  <c r="CZ115" i="53"/>
  <c r="D124" i="53"/>
  <c r="D122" i="53"/>
  <c r="D123" i="53"/>
  <c r="D121" i="53"/>
  <c r="F124" i="53"/>
  <c r="F122" i="53"/>
  <c r="F123" i="53"/>
  <c r="F121" i="53"/>
  <c r="H124" i="53"/>
  <c r="H122" i="53"/>
  <c r="H123" i="53"/>
  <c r="H121" i="53"/>
  <c r="J124" i="53"/>
  <c r="J122" i="53"/>
  <c r="J123" i="53"/>
  <c r="J121" i="53"/>
  <c r="L124" i="53"/>
  <c r="L122" i="53"/>
  <c r="L123" i="53"/>
  <c r="L121" i="53"/>
  <c r="N124" i="53"/>
  <c r="N122" i="53"/>
  <c r="N123" i="53"/>
  <c r="N121" i="53"/>
  <c r="P124" i="53"/>
  <c r="P122" i="53"/>
  <c r="P123" i="53"/>
  <c r="P121" i="53"/>
  <c r="R124" i="53"/>
  <c r="R122" i="53"/>
  <c r="R123" i="53"/>
  <c r="R121" i="53"/>
  <c r="T124" i="53"/>
  <c r="T122" i="53"/>
  <c r="T123" i="53"/>
  <c r="T121" i="53"/>
  <c r="V124" i="53"/>
  <c r="V122" i="53"/>
  <c r="V123" i="53"/>
  <c r="V121" i="53"/>
  <c r="X124" i="53"/>
  <c r="X122" i="53"/>
  <c r="X123" i="53"/>
  <c r="X121" i="53"/>
  <c r="Z124" i="53"/>
  <c r="Z122" i="53"/>
  <c r="Z123" i="53"/>
  <c r="Z121" i="53"/>
  <c r="AB124" i="53"/>
  <c r="AB122" i="53"/>
  <c r="AB123" i="53"/>
  <c r="AB121" i="53"/>
  <c r="AD124" i="53"/>
  <c r="AD122" i="53"/>
  <c r="AD123" i="53"/>
  <c r="AD121" i="53"/>
  <c r="AF124" i="53"/>
  <c r="AF122" i="53"/>
  <c r="AF123" i="53"/>
  <c r="AF121" i="53"/>
  <c r="AH124" i="53"/>
  <c r="AH122" i="53"/>
  <c r="AH123" i="53"/>
  <c r="AH121" i="53"/>
  <c r="AJ124" i="53"/>
  <c r="AJ122" i="53"/>
  <c r="AJ123" i="53"/>
  <c r="AJ121" i="53"/>
  <c r="AL124" i="53"/>
  <c r="AL122" i="53"/>
  <c r="AL123" i="53"/>
  <c r="AL121" i="53"/>
  <c r="AN124" i="53"/>
  <c r="AN122" i="53"/>
  <c r="AN123" i="53"/>
  <c r="AN121" i="53"/>
  <c r="AP124" i="53"/>
  <c r="AP122" i="53"/>
  <c r="AP123" i="53"/>
  <c r="AP121" i="53"/>
  <c r="AR124" i="53"/>
  <c r="AR122" i="53"/>
  <c r="AR123" i="53"/>
  <c r="AR121" i="53"/>
  <c r="AT124" i="53"/>
  <c r="AT122" i="53"/>
  <c r="AT123" i="53"/>
  <c r="AT121" i="53"/>
  <c r="AV124" i="53"/>
  <c r="AV122" i="53"/>
  <c r="AV123" i="53"/>
  <c r="AV121" i="53"/>
  <c r="AX124" i="53"/>
  <c r="AX122" i="53"/>
  <c r="AX123" i="53"/>
  <c r="AX121" i="53"/>
  <c r="AZ124" i="53"/>
  <c r="AZ122" i="53"/>
  <c r="AZ123" i="53"/>
  <c r="AZ121" i="53"/>
  <c r="BB124" i="53"/>
  <c r="BB122" i="53"/>
  <c r="BB123" i="53"/>
  <c r="BB121" i="53"/>
  <c r="BD124" i="53"/>
  <c r="BD122" i="53"/>
  <c r="BD123" i="53"/>
  <c r="BD121" i="53"/>
  <c r="BF124" i="53"/>
  <c r="BF122" i="53"/>
  <c r="BF123" i="53"/>
  <c r="BF121" i="53"/>
  <c r="BH124" i="53"/>
  <c r="BH122" i="53"/>
  <c r="BH123" i="53"/>
  <c r="BH121" i="53"/>
  <c r="BC117" i="53"/>
  <c r="D120" i="53"/>
  <c r="F120" i="53"/>
  <c r="H120" i="53"/>
  <c r="J120" i="53"/>
  <c r="L120" i="53"/>
  <c r="N120" i="53"/>
  <c r="P120" i="53"/>
  <c r="R120" i="53"/>
  <c r="T120" i="53"/>
  <c r="V120" i="53"/>
  <c r="X120" i="53"/>
  <c r="Z120" i="53"/>
  <c r="AB120" i="53"/>
  <c r="AD120" i="53"/>
  <c r="AF120" i="53"/>
  <c r="AH120" i="53"/>
  <c r="AJ120" i="53"/>
  <c r="AL120" i="53"/>
  <c r="AN120" i="53"/>
  <c r="AR120" i="53"/>
  <c r="AV120" i="53"/>
  <c r="AZ120" i="53"/>
  <c r="BD120" i="53"/>
  <c r="BH120" i="53"/>
  <c r="BZ115" i="53"/>
  <c r="CB115" i="53"/>
  <c r="CD115" i="53"/>
  <c r="CF115" i="53"/>
  <c r="CH115" i="53"/>
  <c r="CJ115" i="53"/>
  <c r="DA115" i="53"/>
  <c r="E123" i="53"/>
  <c r="E124" i="53"/>
  <c r="E122" i="53"/>
  <c r="G115" i="53"/>
  <c r="G122" i="53" s="1"/>
  <c r="I123" i="53"/>
  <c r="I124" i="53"/>
  <c r="I122" i="53"/>
  <c r="K115" i="53"/>
  <c r="M123" i="53"/>
  <c r="M124" i="53"/>
  <c r="M122" i="53"/>
  <c r="O115" i="53"/>
  <c r="O122" i="53" s="1"/>
  <c r="Q123" i="53"/>
  <c r="Q124" i="53"/>
  <c r="Q122" i="53"/>
  <c r="S115" i="53"/>
  <c r="U123" i="53"/>
  <c r="U124" i="53"/>
  <c r="U122" i="53"/>
  <c r="W115" i="53"/>
  <c r="W122" i="53" s="1"/>
  <c r="Y123" i="53"/>
  <c r="Y124" i="53"/>
  <c r="Y122" i="53"/>
  <c r="AA115" i="53"/>
  <c r="AC123" i="53"/>
  <c r="AC124" i="53"/>
  <c r="AC122" i="53"/>
  <c r="AE115" i="53"/>
  <c r="AE122" i="53" s="1"/>
  <c r="AG123" i="53"/>
  <c r="AG124" i="53"/>
  <c r="AG122" i="53"/>
  <c r="AI115" i="53"/>
  <c r="AK123" i="53"/>
  <c r="AK124" i="53"/>
  <c r="AK122" i="53"/>
  <c r="AM115" i="53"/>
  <c r="AO123" i="53"/>
  <c r="AO124" i="53"/>
  <c r="AO122" i="53"/>
  <c r="AO120" i="53"/>
  <c r="AQ115" i="53"/>
  <c r="AS123" i="53"/>
  <c r="AS124" i="53"/>
  <c r="AS122" i="53"/>
  <c r="AS120" i="53"/>
  <c r="AU123" i="53"/>
  <c r="AU124" i="53"/>
  <c r="AU122" i="53"/>
  <c r="AU120" i="53"/>
  <c r="AW123" i="53"/>
  <c r="AW124" i="53"/>
  <c r="AW122" i="53"/>
  <c r="AW120" i="53"/>
  <c r="AY115" i="53"/>
  <c r="AY157" i="53" s="1"/>
  <c r="BA123" i="53"/>
  <c r="BA124" i="53"/>
  <c r="BA122" i="53"/>
  <c r="BA120" i="53"/>
  <c r="BC123" i="53"/>
  <c r="BC124" i="53"/>
  <c r="BC122" i="53"/>
  <c r="BC120" i="53"/>
  <c r="BE123" i="53"/>
  <c r="BE124" i="53"/>
  <c r="BE122" i="53"/>
  <c r="BE120" i="53"/>
  <c r="BG123" i="53"/>
  <c r="BG121" i="53"/>
  <c r="BG124" i="53"/>
  <c r="BG122" i="53"/>
  <c r="BG120" i="53"/>
  <c r="E120" i="53"/>
  <c r="I120" i="53"/>
  <c r="M120" i="53"/>
  <c r="Q120" i="53"/>
  <c r="U120" i="53"/>
  <c r="Y120" i="53"/>
  <c r="AC120" i="53"/>
  <c r="AG120" i="53"/>
  <c r="AK120" i="53"/>
  <c r="AP120" i="53"/>
  <c r="AT120" i="53"/>
  <c r="AX120" i="53"/>
  <c r="BB120" i="53"/>
  <c r="BF120" i="53"/>
  <c r="E121" i="53"/>
  <c r="I121" i="53"/>
  <c r="M121" i="53"/>
  <c r="Q121" i="53"/>
  <c r="U121" i="53"/>
  <c r="Y121" i="53"/>
  <c r="AC121" i="53"/>
  <c r="AG121" i="53"/>
  <c r="AK121" i="53"/>
  <c r="AO121" i="53"/>
  <c r="AS121" i="53"/>
  <c r="AW121" i="53"/>
  <c r="BA121" i="53"/>
  <c r="BE121" i="53"/>
  <c r="CH134" i="53"/>
  <c r="AQ140" i="53"/>
  <c r="AN141" i="53"/>
  <c r="AN143" i="53" s="1"/>
  <c r="AV141" i="53"/>
  <c r="AV143" i="53" s="1"/>
  <c r="AM155" i="53"/>
  <c r="AU155" i="53"/>
  <c r="AJ157" i="53"/>
  <c r="AL157" i="53"/>
  <c r="AO157" i="53"/>
  <c r="AR157" i="53"/>
  <c r="AT157" i="53"/>
  <c r="AW157" i="53"/>
  <c r="AZ157" i="53"/>
  <c r="BB157" i="53"/>
  <c r="CI134" i="53"/>
  <c r="AK140" i="53"/>
  <c r="AK141" i="53" s="1"/>
  <c r="AK143" i="53" s="1"/>
  <c r="AK136" i="53"/>
  <c r="AO140" i="53"/>
  <c r="AO141" i="53" s="1"/>
  <c r="AO143" i="53" s="1"/>
  <c r="AO136" i="53"/>
  <c r="AS140" i="53"/>
  <c r="AS141" i="53" s="1"/>
  <c r="AS143" i="53" s="1"/>
  <c r="AS136" i="53"/>
  <c r="AU134" i="53"/>
  <c r="AW140" i="53"/>
  <c r="AW141" i="53" s="1"/>
  <c r="AW143" i="53" s="1"/>
  <c r="AW136" i="53"/>
  <c r="AY134" i="53"/>
  <c r="BA140" i="53"/>
  <c r="BA141" i="53" s="1"/>
  <c r="BA143" i="53" s="1"/>
  <c r="BA136" i="53"/>
  <c r="AM139" i="53"/>
  <c r="AQ139" i="53"/>
  <c r="AQ141" i="53" s="1"/>
  <c r="AQ143" i="53" s="1"/>
  <c r="AK157" i="53"/>
  <c r="AN157" i="53"/>
  <c r="AP157" i="53"/>
  <c r="AS157" i="53"/>
  <c r="AV157" i="53"/>
  <c r="AX157" i="53"/>
  <c r="BA157" i="53"/>
  <c r="CG148" i="53"/>
  <c r="CI148" i="53"/>
  <c r="CZ148" i="53"/>
  <c r="AQ156" i="53"/>
  <c r="AY156" i="53"/>
  <c r="BY165" i="53"/>
  <c r="CA165" i="53"/>
  <c r="CC165" i="53"/>
  <c r="CE165" i="53"/>
  <c r="CG165" i="53"/>
  <c r="CI165" i="53"/>
  <c r="CV165" i="53"/>
  <c r="CX165" i="53"/>
  <c r="CZ165" i="53"/>
  <c r="DA165" i="53"/>
  <c r="S173" i="53"/>
  <c r="S175" i="53" s="1"/>
  <c r="AA173" i="53"/>
  <c r="AA175" i="53" s="1"/>
  <c r="BC173" i="53"/>
  <c r="BC175" i="53" s="1"/>
  <c r="H167" i="53"/>
  <c r="J167" i="53"/>
  <c r="P167" i="53"/>
  <c r="R167" i="53"/>
  <c r="X167" i="53"/>
  <c r="Z167" i="53"/>
  <c r="AF167" i="53"/>
  <c r="AN167" i="53"/>
  <c r="AZ167" i="53"/>
  <c r="AM150" i="53"/>
  <c r="AU150" i="53"/>
  <c r="BZ165" i="53"/>
  <c r="CB165" i="53"/>
  <c r="CD165" i="53"/>
  <c r="CF165" i="53"/>
  <c r="CH165" i="53"/>
  <c r="CW165" i="53"/>
  <c r="F167" i="53"/>
  <c r="Q167" i="53"/>
  <c r="Y167" i="53"/>
  <c r="AL167" i="53"/>
  <c r="AV167" i="53"/>
  <c r="BD167" i="53"/>
  <c r="CS164" i="53"/>
  <c r="CU164" i="53"/>
  <c r="CY165" i="53"/>
  <c r="G165" i="53"/>
  <c r="G167" i="53" s="1"/>
  <c r="K165" i="53"/>
  <c r="O165" i="53"/>
  <c r="O167" i="53" s="1"/>
  <c r="S165" i="53"/>
  <c r="W165" i="53"/>
  <c r="AA165" i="53"/>
  <c r="AE165" i="53"/>
  <c r="AI165" i="53"/>
  <c r="AM165" i="53"/>
  <c r="AQ165" i="53"/>
  <c r="AY165" i="53"/>
  <c r="BC165" i="53"/>
  <c r="CE188" i="53"/>
  <c r="CE196" i="53" s="1"/>
  <c r="CC188" i="53"/>
  <c r="CC196" i="53" s="1"/>
  <c r="CG188" i="53"/>
  <c r="CG196" i="53" s="1"/>
  <c r="CD188" i="53"/>
  <c r="CD196" i="53" s="1"/>
  <c r="CF188" i="53"/>
  <c r="CF196" i="53" s="1"/>
  <c r="CH188" i="53"/>
  <c r="CH196" i="53" s="1"/>
  <c r="F82" i="3"/>
  <c r="F79" i="3"/>
  <c r="G11" i="3"/>
  <c r="G172" i="83" s="1"/>
  <c r="J82" i="3"/>
  <c r="J79" i="3"/>
  <c r="K11" i="3"/>
  <c r="K172" i="83" s="1"/>
  <c r="O11" i="3"/>
  <c r="O172" i="83" s="1"/>
  <c r="R82" i="3"/>
  <c r="R79" i="3"/>
  <c r="S11" i="3"/>
  <c r="S172" i="83" s="1"/>
  <c r="V82" i="3"/>
  <c r="V79" i="3"/>
  <c r="W11" i="3"/>
  <c r="W172" i="83" s="1"/>
  <c r="Z82" i="3"/>
  <c r="Z79" i="3"/>
  <c r="AA11" i="3"/>
  <c r="AA172" i="83" s="1"/>
  <c r="AE11" i="3"/>
  <c r="AE172" i="83" s="1"/>
  <c r="AH82" i="3"/>
  <c r="AH79" i="3"/>
  <c r="AI11" i="3"/>
  <c r="AI172" i="83" s="1"/>
  <c r="AL82" i="3"/>
  <c r="AL79" i="3"/>
  <c r="AM11" i="3"/>
  <c r="AM172" i="83" s="1"/>
  <c r="AP82" i="3"/>
  <c r="AP79" i="3"/>
  <c r="AQ11" i="3"/>
  <c r="AQ172" i="83" s="1"/>
  <c r="AU11" i="3"/>
  <c r="AU172" i="83" s="1"/>
  <c r="AX82" i="3"/>
  <c r="AY11" i="3"/>
  <c r="AY172" i="83" s="1"/>
  <c r="BB82" i="3"/>
  <c r="BB79" i="3"/>
  <c r="BC11" i="3"/>
  <c r="BC172" i="83" s="1"/>
  <c r="BF82" i="3"/>
  <c r="BF79" i="3"/>
  <c r="BG11" i="3"/>
  <c r="BG172" i="83" s="1"/>
  <c r="G12" i="3"/>
  <c r="CR12" i="3" s="1"/>
  <c r="CR107" i="3" s="1"/>
  <c r="K12" i="3"/>
  <c r="CS12" i="3" s="1"/>
  <c r="CS107" i="3" s="1"/>
  <c r="O12" i="3"/>
  <c r="CT12" i="3" s="1"/>
  <c r="CT107" i="3" s="1"/>
  <c r="S12" i="3"/>
  <c r="CU12" i="3" s="1"/>
  <c r="CU107" i="3" s="1"/>
  <c r="W12" i="3"/>
  <c r="CV12" i="3" s="1"/>
  <c r="CV107" i="3" s="1"/>
  <c r="AA12" i="3"/>
  <c r="CW12" i="3" s="1"/>
  <c r="CW107" i="3" s="1"/>
  <c r="AE12" i="3"/>
  <c r="CX12" i="3" s="1"/>
  <c r="CX107" i="3" s="1"/>
  <c r="AI12" i="3"/>
  <c r="CY12" i="3" s="1"/>
  <c r="CY107" i="3" s="1"/>
  <c r="AM12" i="3"/>
  <c r="CZ12" i="3" s="1"/>
  <c r="CZ107" i="3" s="1"/>
  <c r="AQ12" i="3"/>
  <c r="DA12" i="3" s="1"/>
  <c r="DA107" i="3" s="1"/>
  <c r="AU12" i="3"/>
  <c r="DB12" i="3" s="1"/>
  <c r="DB107" i="3" s="1"/>
  <c r="AY12" i="3"/>
  <c r="DC12" i="3" s="1"/>
  <c r="DC107" i="3" s="1"/>
  <c r="BC12" i="3"/>
  <c r="DD12" i="3" s="1"/>
  <c r="DD107" i="3" s="1"/>
  <c r="BG12" i="3"/>
  <c r="DE12" i="3" s="1"/>
  <c r="DE107" i="3" s="1"/>
  <c r="F13" i="3"/>
  <c r="G13" i="3" s="1"/>
  <c r="N13" i="3"/>
  <c r="O13" i="3" s="1"/>
  <c r="V13" i="3"/>
  <c r="W13" i="3" s="1"/>
  <c r="AD13" i="3"/>
  <c r="AE13" i="3" s="1"/>
  <c r="AL13" i="3"/>
  <c r="AM13" i="3" s="1"/>
  <c r="AT13" i="3"/>
  <c r="BB13" i="3"/>
  <c r="BC13" i="3" s="1"/>
  <c r="F14" i="3"/>
  <c r="G14" i="3" s="1"/>
  <c r="N14" i="3"/>
  <c r="O14" i="3" s="1"/>
  <c r="V14" i="3"/>
  <c r="W14" i="3" s="1"/>
  <c r="AD14" i="3"/>
  <c r="AE14" i="3" s="1"/>
  <c r="AL14" i="3"/>
  <c r="AM14" i="3" s="1"/>
  <c r="AT14" i="3"/>
  <c r="AU14" i="3" s="1"/>
  <c r="BB14" i="3"/>
  <c r="BC14" i="3" s="1"/>
  <c r="G15" i="3"/>
  <c r="CR15" i="3" s="1"/>
  <c r="CR110" i="3" s="1"/>
  <c r="K15" i="3"/>
  <c r="CS15" i="3" s="1"/>
  <c r="CS110" i="3" s="1"/>
  <c r="O15" i="3"/>
  <c r="CT15" i="3" s="1"/>
  <c r="CT110" i="3" s="1"/>
  <c r="S15" i="3"/>
  <c r="CU15" i="3" s="1"/>
  <c r="CU110" i="3" s="1"/>
  <c r="W15" i="3"/>
  <c r="CV15" i="3" s="1"/>
  <c r="CV110" i="3" s="1"/>
  <c r="AA15" i="3"/>
  <c r="CW15" i="3" s="1"/>
  <c r="CW110" i="3" s="1"/>
  <c r="AE15" i="3"/>
  <c r="CX15" i="3" s="1"/>
  <c r="CX110" i="3" s="1"/>
  <c r="AI15" i="3"/>
  <c r="CY15" i="3" s="1"/>
  <c r="CY110" i="3" s="1"/>
  <c r="AM15" i="3"/>
  <c r="CZ15" i="3" s="1"/>
  <c r="CZ110" i="3" s="1"/>
  <c r="AQ15" i="3"/>
  <c r="AY15" i="3"/>
  <c r="BC15" i="3"/>
  <c r="DD15" i="3" s="1"/>
  <c r="DD110" i="3" s="1"/>
  <c r="BG15" i="3"/>
  <c r="G16" i="3"/>
  <c r="BY16" i="3" s="1"/>
  <c r="K16" i="3"/>
  <c r="BZ16" i="3" s="1"/>
  <c r="O16" i="3"/>
  <c r="CA16" i="3" s="1"/>
  <c r="S16" i="3"/>
  <c r="CB16" i="3" s="1"/>
  <c r="W16" i="3"/>
  <c r="CC16" i="3" s="1"/>
  <c r="AA16" i="3"/>
  <c r="CD16" i="3" s="1"/>
  <c r="AE16" i="3"/>
  <c r="CE16" i="3" s="1"/>
  <c r="AI16" i="3"/>
  <c r="CF16" i="3" s="1"/>
  <c r="AM16" i="3"/>
  <c r="CG16" i="3" s="1"/>
  <c r="AQ16" i="3"/>
  <c r="CH16" i="3" s="1"/>
  <c r="AU16" i="3"/>
  <c r="CI16" i="3" s="1"/>
  <c r="AY16" i="3"/>
  <c r="CJ16" i="3" s="1"/>
  <c r="BC16" i="3"/>
  <c r="CK16" i="3" s="1"/>
  <c r="BG16" i="3"/>
  <c r="CL16" i="3" s="1"/>
  <c r="F17" i="3"/>
  <c r="G17" i="3" s="1"/>
  <c r="N17" i="3"/>
  <c r="O17" i="3" s="1"/>
  <c r="V17" i="3"/>
  <c r="W17" i="3" s="1"/>
  <c r="AD17" i="3"/>
  <c r="AE17" i="3" s="1"/>
  <c r="AL17" i="3"/>
  <c r="AM17" i="3" s="1"/>
  <c r="AT17" i="3"/>
  <c r="AU17" i="3" s="1"/>
  <c r="BB17" i="3"/>
  <c r="BC17" i="3" s="1"/>
  <c r="G18" i="3"/>
  <c r="CR18" i="3" s="1"/>
  <c r="CR113" i="3" s="1"/>
  <c r="K18" i="3"/>
  <c r="CS18" i="3" s="1"/>
  <c r="CS113" i="3" s="1"/>
  <c r="O18" i="3"/>
  <c r="CT18" i="3" s="1"/>
  <c r="CT113" i="3" s="1"/>
  <c r="S18" i="3"/>
  <c r="CU18" i="3" s="1"/>
  <c r="CU113" i="3" s="1"/>
  <c r="W18" i="3"/>
  <c r="CV18" i="3" s="1"/>
  <c r="CV113" i="3" s="1"/>
  <c r="AA18" i="3"/>
  <c r="CW18" i="3" s="1"/>
  <c r="CW113" i="3" s="1"/>
  <c r="AE18" i="3"/>
  <c r="CX18" i="3" s="1"/>
  <c r="CX113" i="3" s="1"/>
  <c r="AI18" i="3"/>
  <c r="CY18" i="3" s="1"/>
  <c r="CY113" i="3" s="1"/>
  <c r="AM18" i="3"/>
  <c r="CZ18" i="3" s="1"/>
  <c r="CZ113" i="3" s="1"/>
  <c r="AQ18" i="3"/>
  <c r="DA18" i="3" s="1"/>
  <c r="DA113" i="3" s="1"/>
  <c r="AU18" i="3"/>
  <c r="DB18" i="3" s="1"/>
  <c r="DB113" i="3" s="1"/>
  <c r="AY18" i="3"/>
  <c r="DC18" i="3" s="1"/>
  <c r="DC113" i="3" s="1"/>
  <c r="BC18" i="3"/>
  <c r="DD18" i="3" s="1"/>
  <c r="DD113" i="3" s="1"/>
  <c r="BG18" i="3"/>
  <c r="DE18" i="3" s="1"/>
  <c r="DE113" i="3" s="1"/>
  <c r="J30" i="3"/>
  <c r="K30" i="3" s="1"/>
  <c r="CS30" i="3" s="1"/>
  <c r="CS125" i="3" s="1"/>
  <c r="R30" i="3"/>
  <c r="S30" i="3" s="1"/>
  <c r="CU30" i="3" s="1"/>
  <c r="CU125" i="3" s="1"/>
  <c r="Z30" i="3"/>
  <c r="AA30" i="3" s="1"/>
  <c r="CW30" i="3" s="1"/>
  <c r="CW125" i="3" s="1"/>
  <c r="AH30" i="3"/>
  <c r="AI30" i="3" s="1"/>
  <c r="CY30" i="3" s="1"/>
  <c r="CY125" i="3" s="1"/>
  <c r="AP30" i="3"/>
  <c r="AQ30" i="3" s="1"/>
  <c r="DA30" i="3" s="1"/>
  <c r="DA125" i="3" s="1"/>
  <c r="AX30" i="3"/>
  <c r="AY30" i="3" s="1"/>
  <c r="DC30" i="3" s="1"/>
  <c r="DC125" i="3" s="1"/>
  <c r="BF30" i="3"/>
  <c r="BG30" i="3" s="1"/>
  <c r="J32" i="3"/>
  <c r="K32" i="3" s="1"/>
  <c r="CS32" i="3" s="1"/>
  <c r="CS127" i="3" s="1"/>
  <c r="R32" i="3"/>
  <c r="S32" i="3" s="1"/>
  <c r="Z32" i="3"/>
  <c r="AA32" i="3" s="1"/>
  <c r="AH32" i="3"/>
  <c r="AI32" i="3" s="1"/>
  <c r="AP32" i="3"/>
  <c r="AQ32" i="3" s="1"/>
  <c r="AX32" i="3"/>
  <c r="AY32" i="3" s="1"/>
  <c r="BF32" i="3"/>
  <c r="BG32" i="3" s="1"/>
  <c r="DE32" i="3" s="1"/>
  <c r="DE127" i="3" s="1"/>
  <c r="J34" i="3"/>
  <c r="K34" i="3" s="1"/>
  <c r="R34" i="3"/>
  <c r="S34" i="3" s="1"/>
  <c r="Z34" i="3"/>
  <c r="AA34" i="3" s="1"/>
  <c r="AH34" i="3"/>
  <c r="AI34" i="3" s="1"/>
  <c r="AP34" i="3"/>
  <c r="AQ34" i="3" s="1"/>
  <c r="AX34" i="3"/>
  <c r="AY34" i="3" s="1"/>
  <c r="BF34" i="3"/>
  <c r="BG34" i="3" s="1"/>
  <c r="DE34" i="3" s="1"/>
  <c r="DE129" i="3" s="1"/>
  <c r="BY40" i="3"/>
  <c r="BY135" i="3" s="1"/>
  <c r="CA40" i="3"/>
  <c r="CA135" i="3" s="1"/>
  <c r="CC40" i="3"/>
  <c r="CC135" i="3" s="1"/>
  <c r="CE40" i="3"/>
  <c r="CE135" i="3" s="1"/>
  <c r="CG40" i="3"/>
  <c r="CG135" i="3" s="1"/>
  <c r="CI40" i="3"/>
  <c r="CI135" i="3" s="1"/>
  <c r="CK40" i="3"/>
  <c r="CK135" i="3" s="1"/>
  <c r="BY42" i="3"/>
  <c r="BY137" i="3" s="1"/>
  <c r="CA42" i="3"/>
  <c r="CA137" i="3" s="1"/>
  <c r="CC42" i="3"/>
  <c r="CC137" i="3" s="1"/>
  <c r="CE42" i="3"/>
  <c r="CE137" i="3" s="1"/>
  <c r="CG42" i="3"/>
  <c r="CG137" i="3" s="1"/>
  <c r="CI42" i="3"/>
  <c r="CI137" i="3" s="1"/>
  <c r="CK42" i="3"/>
  <c r="CK137" i="3" s="1"/>
  <c r="J13" i="3"/>
  <c r="K13" i="3" s="1"/>
  <c r="R13" i="3"/>
  <c r="S13" i="3" s="1"/>
  <c r="CU13" i="3" s="1"/>
  <c r="CU108" i="3" s="1"/>
  <c r="Z13" i="3"/>
  <c r="AA13" i="3" s="1"/>
  <c r="AH13" i="3"/>
  <c r="AI13" i="3" s="1"/>
  <c r="AP13" i="3"/>
  <c r="AX13" i="3"/>
  <c r="BF13" i="3"/>
  <c r="BG13" i="3" s="1"/>
  <c r="J14" i="3"/>
  <c r="K14" i="3" s="1"/>
  <c r="R14" i="3"/>
  <c r="S14" i="3" s="1"/>
  <c r="Z14" i="3"/>
  <c r="AA14" i="3" s="1"/>
  <c r="CW14" i="3" s="1"/>
  <c r="CW109" i="3" s="1"/>
  <c r="AH14" i="3"/>
  <c r="AI14" i="3" s="1"/>
  <c r="AP14" i="3"/>
  <c r="AQ14" i="3" s="1"/>
  <c r="AX14" i="3"/>
  <c r="AY14" i="3" s="1"/>
  <c r="BF14" i="3"/>
  <c r="BG14" i="3" s="1"/>
  <c r="DE14" i="3" s="1"/>
  <c r="DE109" i="3" s="1"/>
  <c r="J17" i="3"/>
  <c r="K17" i="3" s="1"/>
  <c r="R17" i="3"/>
  <c r="S17" i="3" s="1"/>
  <c r="Z17" i="3"/>
  <c r="AA17" i="3" s="1"/>
  <c r="AH17" i="3"/>
  <c r="AI17" i="3" s="1"/>
  <c r="AP17" i="3"/>
  <c r="AQ17" i="3" s="1"/>
  <c r="AX17" i="3"/>
  <c r="AY17" i="3" s="1"/>
  <c r="BF17" i="3"/>
  <c r="BG17" i="3" s="1"/>
  <c r="DE17" i="3" s="1"/>
  <c r="DE112" i="3" s="1"/>
  <c r="CR30" i="3"/>
  <c r="CR125" i="3" s="1"/>
  <c r="G31" i="3"/>
  <c r="CR31" i="3" s="1"/>
  <c r="CR126" i="3" s="1"/>
  <c r="O31" i="3"/>
  <c r="CT31" i="3" s="1"/>
  <c r="CT126" i="3" s="1"/>
  <c r="W31" i="3"/>
  <c r="CV31" i="3" s="1"/>
  <c r="CV126" i="3" s="1"/>
  <c r="AE31" i="3"/>
  <c r="CX31" i="3" s="1"/>
  <c r="CX126" i="3" s="1"/>
  <c r="AM31" i="3"/>
  <c r="CZ31" i="3" s="1"/>
  <c r="CZ126" i="3" s="1"/>
  <c r="AU31" i="3"/>
  <c r="DB31" i="3" s="1"/>
  <c r="DB126" i="3" s="1"/>
  <c r="BC31" i="3"/>
  <c r="DD31" i="3" s="1"/>
  <c r="DD126" i="3" s="1"/>
  <c r="V32" i="3"/>
  <c r="W32" i="3" s="1"/>
  <c r="AD32" i="3"/>
  <c r="AE32" i="3" s="1"/>
  <c r="AL32" i="3"/>
  <c r="AM32" i="3" s="1"/>
  <c r="AT32" i="3"/>
  <c r="AU32" i="3" s="1"/>
  <c r="BB32" i="3"/>
  <c r="BC32" i="3" s="1"/>
  <c r="G33" i="3"/>
  <c r="CR33" i="3" s="1"/>
  <c r="CR128" i="3" s="1"/>
  <c r="K33" i="3"/>
  <c r="CS33" i="3" s="1"/>
  <c r="CS128" i="3" s="1"/>
  <c r="O33" i="3"/>
  <c r="CT33" i="3" s="1"/>
  <c r="CT128" i="3" s="1"/>
  <c r="S33" i="3"/>
  <c r="CU33" i="3" s="1"/>
  <c r="CU128" i="3" s="1"/>
  <c r="W33" i="3"/>
  <c r="CV33" i="3" s="1"/>
  <c r="CV128" i="3" s="1"/>
  <c r="AA33" i="3"/>
  <c r="CW33" i="3" s="1"/>
  <c r="CW128" i="3" s="1"/>
  <c r="AE33" i="3"/>
  <c r="CX33" i="3" s="1"/>
  <c r="CX128" i="3" s="1"/>
  <c r="AI33" i="3"/>
  <c r="CY33" i="3" s="1"/>
  <c r="CY128" i="3" s="1"/>
  <c r="AM33" i="3"/>
  <c r="CZ33" i="3" s="1"/>
  <c r="CZ128" i="3" s="1"/>
  <c r="AQ33" i="3"/>
  <c r="DA33" i="3" s="1"/>
  <c r="DA128" i="3" s="1"/>
  <c r="AU33" i="3"/>
  <c r="DB33" i="3" s="1"/>
  <c r="DB128" i="3" s="1"/>
  <c r="AY33" i="3"/>
  <c r="DC33" i="3" s="1"/>
  <c r="DC128" i="3" s="1"/>
  <c r="BC33" i="3"/>
  <c r="DD33" i="3" s="1"/>
  <c r="DD128" i="3" s="1"/>
  <c r="BG33" i="3"/>
  <c r="DE33" i="3" s="1"/>
  <c r="DE128" i="3" s="1"/>
  <c r="F34" i="3"/>
  <c r="G34" i="3" s="1"/>
  <c r="N34" i="3"/>
  <c r="O34" i="3" s="1"/>
  <c r="V34" i="3"/>
  <c r="W34" i="3" s="1"/>
  <c r="AD34" i="3"/>
  <c r="AE34" i="3" s="1"/>
  <c r="AL34" i="3"/>
  <c r="AM34" i="3" s="1"/>
  <c r="AT34" i="3"/>
  <c r="AU34" i="3" s="1"/>
  <c r="BB34" i="3"/>
  <c r="BC34" i="3" s="1"/>
  <c r="G35" i="3"/>
  <c r="CR35" i="3" s="1"/>
  <c r="CR130" i="3" s="1"/>
  <c r="K35" i="3"/>
  <c r="CS35" i="3" s="1"/>
  <c r="CS130" i="3" s="1"/>
  <c r="O35" i="3"/>
  <c r="CT35" i="3" s="1"/>
  <c r="CT130" i="3" s="1"/>
  <c r="S35" i="3"/>
  <c r="CU35" i="3" s="1"/>
  <c r="CU130" i="3" s="1"/>
  <c r="W35" i="3"/>
  <c r="CV35" i="3" s="1"/>
  <c r="CV130" i="3" s="1"/>
  <c r="AA35" i="3"/>
  <c r="CW35" i="3" s="1"/>
  <c r="CW130" i="3" s="1"/>
  <c r="AE35" i="3"/>
  <c r="CX35" i="3" s="1"/>
  <c r="CX130" i="3" s="1"/>
  <c r="AI35" i="3"/>
  <c r="CY35" i="3" s="1"/>
  <c r="CY130" i="3" s="1"/>
  <c r="AM35" i="3"/>
  <c r="CZ35" i="3" s="1"/>
  <c r="CZ130" i="3" s="1"/>
  <c r="AQ35" i="3"/>
  <c r="DA35" i="3" s="1"/>
  <c r="DA130" i="3" s="1"/>
  <c r="AU35" i="3"/>
  <c r="DB35" i="3" s="1"/>
  <c r="DB130" i="3" s="1"/>
  <c r="AY35" i="3"/>
  <c r="DC35" i="3" s="1"/>
  <c r="DC130" i="3" s="1"/>
  <c r="BC35" i="3"/>
  <c r="DD35" i="3" s="1"/>
  <c r="DD130" i="3" s="1"/>
  <c r="BG35" i="3"/>
  <c r="DE35" i="3" s="1"/>
  <c r="DE130" i="3" s="1"/>
  <c r="J61" i="3"/>
  <c r="J76" i="3" s="1"/>
  <c r="J86" i="3" s="1"/>
  <c r="Z61" i="3"/>
  <c r="Z76" i="3" s="1"/>
  <c r="Z86" i="3" s="1"/>
  <c r="AP61" i="3"/>
  <c r="AP76" i="3" s="1"/>
  <c r="AP86" i="3" s="1"/>
  <c r="BY61" i="3"/>
  <c r="BY76" i="3" s="1"/>
  <c r="BY86" i="3" s="1"/>
  <c r="CO61" i="3"/>
  <c r="CO76" i="3" s="1"/>
  <c r="CO86" i="3" s="1"/>
  <c r="D82" i="3"/>
  <c r="D79" i="3"/>
  <c r="H82" i="3"/>
  <c r="H79" i="3"/>
  <c r="L82" i="3"/>
  <c r="L79" i="3"/>
  <c r="P82" i="3"/>
  <c r="P79" i="3"/>
  <c r="T82" i="3"/>
  <c r="T79" i="3"/>
  <c r="X82" i="3"/>
  <c r="X79" i="3"/>
  <c r="AB82" i="3"/>
  <c r="AB79" i="3"/>
  <c r="AF82" i="3"/>
  <c r="AF79" i="3"/>
  <c r="AJ82" i="3"/>
  <c r="AJ79" i="3"/>
  <c r="AN82" i="3"/>
  <c r="AN79" i="3"/>
  <c r="AR82" i="3"/>
  <c r="AR79" i="3"/>
  <c r="AV82" i="3"/>
  <c r="AV79" i="3"/>
  <c r="AZ82" i="3"/>
  <c r="AZ79" i="3"/>
  <c r="BD82" i="3"/>
  <c r="BD79" i="3"/>
  <c r="BH82" i="3"/>
  <c r="BH79" i="3"/>
  <c r="CC11" i="3"/>
  <c r="BQ82" i="53" s="1"/>
  <c r="CK11" i="3"/>
  <c r="CN111" i="3"/>
  <c r="CN65" i="3"/>
  <c r="E20" i="3"/>
  <c r="F20" i="3" s="1"/>
  <c r="G20" i="3" s="1"/>
  <c r="I20" i="3"/>
  <c r="J20" i="3" s="1"/>
  <c r="K20" i="3" s="1"/>
  <c r="M20" i="3"/>
  <c r="N20" i="3" s="1"/>
  <c r="O20" i="3" s="1"/>
  <c r="Q20" i="3"/>
  <c r="R20" i="3" s="1"/>
  <c r="S20" i="3" s="1"/>
  <c r="U20" i="3"/>
  <c r="V20" i="3" s="1"/>
  <c r="W20" i="3" s="1"/>
  <c r="Y20" i="3"/>
  <c r="Z20" i="3" s="1"/>
  <c r="AA20" i="3" s="1"/>
  <c r="AC20" i="3"/>
  <c r="AD20" i="3" s="1"/>
  <c r="AE20" i="3" s="1"/>
  <c r="AG20" i="3"/>
  <c r="AH20" i="3" s="1"/>
  <c r="AI20" i="3" s="1"/>
  <c r="AK20" i="3"/>
  <c r="AL20" i="3" s="1"/>
  <c r="AM20" i="3" s="1"/>
  <c r="AO20" i="3"/>
  <c r="AP20" i="3" s="1"/>
  <c r="AQ20" i="3" s="1"/>
  <c r="AS20" i="3"/>
  <c r="AT20" i="3" s="1"/>
  <c r="AU20" i="3" s="1"/>
  <c r="AW20" i="3"/>
  <c r="AX20" i="3" s="1"/>
  <c r="AY20" i="3" s="1"/>
  <c r="BA20" i="3"/>
  <c r="BB20" i="3" s="1"/>
  <c r="BC20" i="3" s="1"/>
  <c r="BE20" i="3"/>
  <c r="BF20" i="3" s="1"/>
  <c r="BG20" i="3" s="1"/>
  <c r="E21" i="3"/>
  <c r="F21" i="3" s="1"/>
  <c r="G21" i="3" s="1"/>
  <c r="I21" i="3"/>
  <c r="J21" i="3" s="1"/>
  <c r="K21" i="3" s="1"/>
  <c r="M21" i="3"/>
  <c r="N21" i="3" s="1"/>
  <c r="O21" i="3" s="1"/>
  <c r="Q21" i="3"/>
  <c r="R21" i="3" s="1"/>
  <c r="S21" i="3" s="1"/>
  <c r="U21" i="3"/>
  <c r="V21" i="3" s="1"/>
  <c r="W21" i="3" s="1"/>
  <c r="Y21" i="3"/>
  <c r="Z21" i="3" s="1"/>
  <c r="AA21" i="3" s="1"/>
  <c r="AC21" i="3"/>
  <c r="AD21" i="3" s="1"/>
  <c r="AE21" i="3" s="1"/>
  <c r="AG21" i="3"/>
  <c r="AH21" i="3" s="1"/>
  <c r="AI21" i="3" s="1"/>
  <c r="AK21" i="3"/>
  <c r="AL21" i="3" s="1"/>
  <c r="AM21" i="3" s="1"/>
  <c r="AO21" i="3"/>
  <c r="AP21" i="3" s="1"/>
  <c r="AQ21" i="3" s="1"/>
  <c r="AS21" i="3"/>
  <c r="AT21" i="3" s="1"/>
  <c r="AU21" i="3" s="1"/>
  <c r="AW21" i="3"/>
  <c r="AX21" i="3" s="1"/>
  <c r="AY21" i="3" s="1"/>
  <c r="BA21" i="3"/>
  <c r="BB21" i="3" s="1"/>
  <c r="BC21" i="3" s="1"/>
  <c r="BE21" i="3"/>
  <c r="BF21" i="3" s="1"/>
  <c r="BG21" i="3" s="1"/>
  <c r="E22" i="3"/>
  <c r="F22" i="3" s="1"/>
  <c r="G22" i="3" s="1"/>
  <c r="I22" i="3"/>
  <c r="J22" i="3" s="1"/>
  <c r="K22" i="3" s="1"/>
  <c r="M22" i="3"/>
  <c r="N22" i="3" s="1"/>
  <c r="O22" i="3" s="1"/>
  <c r="Q22" i="3"/>
  <c r="R22" i="3" s="1"/>
  <c r="S22" i="3" s="1"/>
  <c r="U22" i="3"/>
  <c r="V22" i="3" s="1"/>
  <c r="W22" i="3" s="1"/>
  <c r="Y22" i="3"/>
  <c r="Z22" i="3" s="1"/>
  <c r="AA22" i="3" s="1"/>
  <c r="AC22" i="3"/>
  <c r="AD22" i="3" s="1"/>
  <c r="AE22" i="3" s="1"/>
  <c r="AG22" i="3"/>
  <c r="AH22" i="3" s="1"/>
  <c r="AI22" i="3" s="1"/>
  <c r="AK22" i="3"/>
  <c r="AL22" i="3" s="1"/>
  <c r="AM22" i="3" s="1"/>
  <c r="AO22" i="3"/>
  <c r="AP22" i="3" s="1"/>
  <c r="AQ22" i="3" s="1"/>
  <c r="AS22" i="3"/>
  <c r="AT22" i="3" s="1"/>
  <c r="AU22" i="3" s="1"/>
  <c r="AW22" i="3"/>
  <c r="AX22" i="3" s="1"/>
  <c r="AY22" i="3" s="1"/>
  <c r="BA22" i="3"/>
  <c r="BB22" i="3" s="1"/>
  <c r="BC22" i="3" s="1"/>
  <c r="BE22" i="3"/>
  <c r="BF22" i="3" s="1"/>
  <c r="BG22" i="3" s="1"/>
  <c r="DE22" i="3" s="1"/>
  <c r="DE117" i="3" s="1"/>
  <c r="E23" i="3"/>
  <c r="F23" i="3" s="1"/>
  <c r="G23" i="3" s="1"/>
  <c r="I23" i="3"/>
  <c r="J23" i="3" s="1"/>
  <c r="K23" i="3" s="1"/>
  <c r="M23" i="3"/>
  <c r="N23" i="3" s="1"/>
  <c r="O23" i="3" s="1"/>
  <c r="Q23" i="3"/>
  <c r="R23" i="3" s="1"/>
  <c r="S23" i="3" s="1"/>
  <c r="U23" i="3"/>
  <c r="V23" i="3" s="1"/>
  <c r="W23" i="3" s="1"/>
  <c r="Y23" i="3"/>
  <c r="Z23" i="3" s="1"/>
  <c r="AA23" i="3" s="1"/>
  <c r="AC23" i="3"/>
  <c r="AD23" i="3" s="1"/>
  <c r="AE23" i="3" s="1"/>
  <c r="AG23" i="3"/>
  <c r="AH23" i="3" s="1"/>
  <c r="AI23" i="3" s="1"/>
  <c r="AK23" i="3"/>
  <c r="AL23" i="3" s="1"/>
  <c r="AM23" i="3" s="1"/>
  <c r="AO23" i="3"/>
  <c r="AP23" i="3" s="1"/>
  <c r="AQ23" i="3" s="1"/>
  <c r="AS23" i="3"/>
  <c r="AT23" i="3" s="1"/>
  <c r="AU23" i="3" s="1"/>
  <c r="AW23" i="3"/>
  <c r="AX23" i="3" s="1"/>
  <c r="AY23" i="3" s="1"/>
  <c r="BA23" i="3"/>
  <c r="BB23" i="3" s="1"/>
  <c r="BC23" i="3" s="1"/>
  <c r="BE23" i="3"/>
  <c r="BF23" i="3" s="1"/>
  <c r="BG23" i="3" s="1"/>
  <c r="E24" i="3"/>
  <c r="F24" i="3" s="1"/>
  <c r="G24" i="3" s="1"/>
  <c r="I24" i="3"/>
  <c r="J24" i="3" s="1"/>
  <c r="K24" i="3" s="1"/>
  <c r="M24" i="3"/>
  <c r="N24" i="3" s="1"/>
  <c r="O24" i="3" s="1"/>
  <c r="Q24" i="3"/>
  <c r="R24" i="3" s="1"/>
  <c r="S24" i="3" s="1"/>
  <c r="U24" i="3"/>
  <c r="V24" i="3" s="1"/>
  <c r="W24" i="3" s="1"/>
  <c r="Y24" i="3"/>
  <c r="Z24" i="3" s="1"/>
  <c r="AA24" i="3" s="1"/>
  <c r="AC24" i="3"/>
  <c r="AD24" i="3" s="1"/>
  <c r="AE24" i="3" s="1"/>
  <c r="AG24" i="3"/>
  <c r="AH24" i="3" s="1"/>
  <c r="AI24" i="3" s="1"/>
  <c r="AK24" i="3"/>
  <c r="AL24" i="3" s="1"/>
  <c r="AM24" i="3" s="1"/>
  <c r="AO24" i="3"/>
  <c r="AP24" i="3" s="1"/>
  <c r="AQ24" i="3" s="1"/>
  <c r="AS24" i="3"/>
  <c r="AT24" i="3" s="1"/>
  <c r="AU24" i="3" s="1"/>
  <c r="AW24" i="3"/>
  <c r="AX24" i="3" s="1"/>
  <c r="AY24" i="3" s="1"/>
  <c r="BA24" i="3"/>
  <c r="BB24" i="3" s="1"/>
  <c r="BC24" i="3" s="1"/>
  <c r="BE24" i="3"/>
  <c r="BF24" i="3" s="1"/>
  <c r="BG24" i="3" s="1"/>
  <c r="E25" i="3"/>
  <c r="F25" i="3" s="1"/>
  <c r="G25" i="3" s="1"/>
  <c r="I25" i="3"/>
  <c r="J25" i="3" s="1"/>
  <c r="K25" i="3" s="1"/>
  <c r="M25" i="3"/>
  <c r="N25" i="3" s="1"/>
  <c r="O25" i="3" s="1"/>
  <c r="Q25" i="3"/>
  <c r="R25" i="3" s="1"/>
  <c r="S25" i="3" s="1"/>
  <c r="U25" i="3"/>
  <c r="V25" i="3" s="1"/>
  <c r="W25" i="3" s="1"/>
  <c r="Y25" i="3"/>
  <c r="Z25" i="3" s="1"/>
  <c r="AA25" i="3" s="1"/>
  <c r="AC25" i="3"/>
  <c r="AD25" i="3" s="1"/>
  <c r="AE25" i="3" s="1"/>
  <c r="AG25" i="3"/>
  <c r="AH25" i="3" s="1"/>
  <c r="AI25" i="3" s="1"/>
  <c r="AK25" i="3"/>
  <c r="AL25" i="3" s="1"/>
  <c r="AM25" i="3" s="1"/>
  <c r="AO25" i="3"/>
  <c r="AP25" i="3" s="1"/>
  <c r="AQ25" i="3" s="1"/>
  <c r="AS25" i="3"/>
  <c r="AT25" i="3" s="1"/>
  <c r="AU25" i="3" s="1"/>
  <c r="AW25" i="3"/>
  <c r="AX25" i="3" s="1"/>
  <c r="AY25" i="3" s="1"/>
  <c r="BA25" i="3"/>
  <c r="BB25" i="3" s="1"/>
  <c r="BC25" i="3" s="1"/>
  <c r="BE25" i="3"/>
  <c r="BF25" i="3" s="1"/>
  <c r="BG25" i="3" s="1"/>
  <c r="E29" i="3"/>
  <c r="I29" i="3"/>
  <c r="M29" i="3"/>
  <c r="Q29" i="3"/>
  <c r="U29" i="3"/>
  <c r="Y29" i="3"/>
  <c r="AC29" i="3"/>
  <c r="AG29" i="3"/>
  <c r="AK29" i="3"/>
  <c r="AO29" i="3"/>
  <c r="AS29" i="3"/>
  <c r="AW29" i="3"/>
  <c r="BA29" i="3"/>
  <c r="BE29" i="3"/>
  <c r="BY30" i="3"/>
  <c r="BY125" i="3" s="1"/>
  <c r="CA30" i="3"/>
  <c r="CA125" i="3" s="1"/>
  <c r="CC30" i="3"/>
  <c r="CC125" i="3" s="1"/>
  <c r="CE30" i="3"/>
  <c r="CE125" i="3" s="1"/>
  <c r="CG30" i="3"/>
  <c r="CG125" i="3" s="1"/>
  <c r="CI30" i="3"/>
  <c r="CI125" i="3" s="1"/>
  <c r="CK30" i="3"/>
  <c r="CK125" i="3" s="1"/>
  <c r="BZ31" i="3"/>
  <c r="BZ126" i="3" s="1"/>
  <c r="CB31" i="3"/>
  <c r="CB126" i="3" s="1"/>
  <c r="CD31" i="3"/>
  <c r="CD126" i="3" s="1"/>
  <c r="CF31" i="3"/>
  <c r="CF126" i="3" s="1"/>
  <c r="CH31" i="3"/>
  <c r="CH126" i="3" s="1"/>
  <c r="CJ31" i="3"/>
  <c r="CJ126" i="3" s="1"/>
  <c r="CL31" i="3"/>
  <c r="CL126" i="3" s="1"/>
  <c r="BY32" i="3"/>
  <c r="BY127" i="3" s="1"/>
  <c r="CA32" i="3"/>
  <c r="CA127" i="3" s="1"/>
  <c r="E39" i="3"/>
  <c r="I39" i="3"/>
  <c r="M39" i="3"/>
  <c r="Q39" i="3"/>
  <c r="U39" i="3"/>
  <c r="Y39" i="3"/>
  <c r="AC39" i="3"/>
  <c r="AG39" i="3"/>
  <c r="AK39" i="3"/>
  <c r="AO39" i="3"/>
  <c r="AS39" i="3"/>
  <c r="AW39" i="3"/>
  <c r="BA39" i="3"/>
  <c r="BE39" i="3"/>
  <c r="J40" i="3"/>
  <c r="K40" i="3" s="1"/>
  <c r="CS40" i="3" s="1"/>
  <c r="CS135" i="3" s="1"/>
  <c r="R40" i="3"/>
  <c r="S40" i="3" s="1"/>
  <c r="CU40" i="3" s="1"/>
  <c r="CU135" i="3" s="1"/>
  <c r="Z40" i="3"/>
  <c r="AA40" i="3" s="1"/>
  <c r="CW40" i="3" s="1"/>
  <c r="CW135" i="3" s="1"/>
  <c r="AH40" i="3"/>
  <c r="AI40" i="3" s="1"/>
  <c r="CY40" i="3" s="1"/>
  <c r="CY135" i="3" s="1"/>
  <c r="AP40" i="3"/>
  <c r="AQ40" i="3" s="1"/>
  <c r="DA40" i="3" s="1"/>
  <c r="DA135" i="3" s="1"/>
  <c r="AX40" i="3"/>
  <c r="AY40" i="3" s="1"/>
  <c r="DC40" i="3" s="1"/>
  <c r="DC135" i="3" s="1"/>
  <c r="BF40" i="3"/>
  <c r="BG40" i="3" s="1"/>
  <c r="DE40" i="3" s="1"/>
  <c r="DE135" i="3" s="1"/>
  <c r="E41" i="3"/>
  <c r="F41" i="3" s="1"/>
  <c r="G41" i="3" s="1"/>
  <c r="I41" i="3"/>
  <c r="J41" i="3" s="1"/>
  <c r="K41" i="3" s="1"/>
  <c r="M41" i="3"/>
  <c r="N41" i="3" s="1"/>
  <c r="O41" i="3" s="1"/>
  <c r="Q41" i="3"/>
  <c r="R41" i="3" s="1"/>
  <c r="S41" i="3" s="1"/>
  <c r="U41" i="3"/>
  <c r="V41" i="3" s="1"/>
  <c r="W41" i="3" s="1"/>
  <c r="Y41" i="3"/>
  <c r="Z41" i="3" s="1"/>
  <c r="AA41" i="3" s="1"/>
  <c r="AC41" i="3"/>
  <c r="AD41" i="3" s="1"/>
  <c r="AE41" i="3" s="1"/>
  <c r="AG41" i="3"/>
  <c r="AH41" i="3" s="1"/>
  <c r="AI41" i="3" s="1"/>
  <c r="AK41" i="3"/>
  <c r="AL41" i="3" s="1"/>
  <c r="AM41" i="3" s="1"/>
  <c r="AO41" i="3"/>
  <c r="AP41" i="3" s="1"/>
  <c r="AQ41" i="3" s="1"/>
  <c r="AS41" i="3"/>
  <c r="AT41" i="3" s="1"/>
  <c r="AU41" i="3" s="1"/>
  <c r="AW41" i="3"/>
  <c r="AX41" i="3" s="1"/>
  <c r="AY41" i="3" s="1"/>
  <c r="BA41" i="3"/>
  <c r="BB41" i="3" s="1"/>
  <c r="BC41" i="3" s="1"/>
  <c r="BE41" i="3"/>
  <c r="BF41" i="3" s="1"/>
  <c r="BG41" i="3" s="1"/>
  <c r="DE41" i="3" s="1"/>
  <c r="DE136" i="3" s="1"/>
  <c r="J42" i="3"/>
  <c r="K42" i="3" s="1"/>
  <c r="CS42" i="3" s="1"/>
  <c r="CS137" i="3" s="1"/>
  <c r="R42" i="3"/>
  <c r="S42" i="3" s="1"/>
  <c r="CU42" i="3" s="1"/>
  <c r="CU137" i="3" s="1"/>
  <c r="Z42" i="3"/>
  <c r="AA42" i="3" s="1"/>
  <c r="CW42" i="3" s="1"/>
  <c r="CW137" i="3" s="1"/>
  <c r="AH42" i="3"/>
  <c r="AI42" i="3" s="1"/>
  <c r="CY42" i="3" s="1"/>
  <c r="CY137" i="3" s="1"/>
  <c r="AP42" i="3"/>
  <c r="AQ42" i="3" s="1"/>
  <c r="DA42" i="3" s="1"/>
  <c r="DA137" i="3" s="1"/>
  <c r="AX42" i="3"/>
  <c r="AY42" i="3" s="1"/>
  <c r="DC42" i="3" s="1"/>
  <c r="DC137" i="3" s="1"/>
  <c r="BF42" i="3"/>
  <c r="BG42" i="3" s="1"/>
  <c r="DE42" i="3" s="1"/>
  <c r="DE137" i="3" s="1"/>
  <c r="CS44" i="3"/>
  <c r="CS139" i="3" s="1"/>
  <c r="CU44" i="3"/>
  <c r="CU139" i="3" s="1"/>
  <c r="CW44" i="3"/>
  <c r="CW139" i="3" s="1"/>
  <c r="CY44" i="3"/>
  <c r="CY139" i="3" s="1"/>
  <c r="DA44" i="3"/>
  <c r="DA139" i="3" s="1"/>
  <c r="DC44" i="3"/>
  <c r="DC139" i="3" s="1"/>
  <c r="J46" i="3"/>
  <c r="R46" i="3"/>
  <c r="Z46" i="3"/>
  <c r="AH46" i="3"/>
  <c r="AP46" i="3"/>
  <c r="AX46" i="3"/>
  <c r="BF46" i="3"/>
  <c r="BZ49" i="3"/>
  <c r="BZ144" i="3" s="1"/>
  <c r="CB49" i="3"/>
  <c r="CB144" i="3" s="1"/>
  <c r="CD49" i="3"/>
  <c r="CD144" i="3" s="1"/>
  <c r="CF49" i="3"/>
  <c r="CF144" i="3" s="1"/>
  <c r="CH49" i="3"/>
  <c r="CH144" i="3" s="1"/>
  <c r="CJ49" i="3"/>
  <c r="CJ144" i="3" s="1"/>
  <c r="E102" i="3"/>
  <c r="U102" i="3"/>
  <c r="AK102" i="3"/>
  <c r="BA102" i="3"/>
  <c r="CL61" i="3"/>
  <c r="CL76" i="3" s="1"/>
  <c r="CL86" i="3" s="1"/>
  <c r="E82" i="3"/>
  <c r="E79" i="3"/>
  <c r="I82" i="3"/>
  <c r="I79" i="3"/>
  <c r="M82" i="3"/>
  <c r="M79" i="3"/>
  <c r="Q82" i="3"/>
  <c r="Q79" i="3"/>
  <c r="U82" i="3"/>
  <c r="U79" i="3"/>
  <c r="Y82" i="3"/>
  <c r="Y79" i="3"/>
  <c r="AC82" i="3"/>
  <c r="AC79" i="3"/>
  <c r="AG82" i="3"/>
  <c r="AG79" i="3"/>
  <c r="AK82" i="3"/>
  <c r="AK79" i="3"/>
  <c r="AO82" i="3"/>
  <c r="AO79" i="3"/>
  <c r="AS82" i="3"/>
  <c r="AS79" i="3"/>
  <c r="AW82" i="3"/>
  <c r="AW79" i="3"/>
  <c r="BA82" i="3"/>
  <c r="BA79" i="3"/>
  <c r="BE82" i="3"/>
  <c r="BE79" i="3"/>
  <c r="BZ11" i="3"/>
  <c r="CB11" i="3"/>
  <c r="BP82" i="53" s="1"/>
  <c r="CD11" i="3"/>
  <c r="BR82" i="53" s="1"/>
  <c r="CF11" i="3"/>
  <c r="CH11" i="3"/>
  <c r="CJ11" i="3"/>
  <c r="CL11" i="3"/>
  <c r="CO111" i="3"/>
  <c r="CO65" i="3"/>
  <c r="DG111" i="3"/>
  <c r="DG65" i="3"/>
  <c r="E65" i="3"/>
  <c r="I65" i="3"/>
  <c r="M65" i="3"/>
  <c r="Q65" i="3"/>
  <c r="U65" i="3"/>
  <c r="Y65" i="3"/>
  <c r="AC65" i="3"/>
  <c r="AG65" i="3"/>
  <c r="AK65" i="3"/>
  <c r="AO65" i="3"/>
  <c r="AS65" i="3"/>
  <c r="AW65" i="3"/>
  <c r="BA65" i="3"/>
  <c r="BE65" i="3"/>
  <c r="D89" i="3"/>
  <c r="D62" i="3"/>
  <c r="D64" i="3" s="1"/>
  <c r="H89" i="3"/>
  <c r="H62" i="3"/>
  <c r="H64" i="3" s="1"/>
  <c r="L89" i="3"/>
  <c r="L62" i="3"/>
  <c r="L64" i="3" s="1"/>
  <c r="P89" i="3"/>
  <c r="P62" i="3"/>
  <c r="P64" i="3" s="1"/>
  <c r="T89" i="3"/>
  <c r="T62" i="3"/>
  <c r="T64" i="3" s="1"/>
  <c r="X89" i="3"/>
  <c r="X62" i="3"/>
  <c r="X64" i="3" s="1"/>
  <c r="AB89" i="3"/>
  <c r="AB62" i="3"/>
  <c r="AB64" i="3" s="1"/>
  <c r="AF89" i="3"/>
  <c r="AF62" i="3"/>
  <c r="AF64" i="3" s="1"/>
  <c r="AJ89" i="3"/>
  <c r="AJ62" i="3"/>
  <c r="AJ64" i="3" s="1"/>
  <c r="AN89" i="3"/>
  <c r="AN62" i="3"/>
  <c r="AN64" i="3" s="1"/>
  <c r="AR89" i="3"/>
  <c r="AR62" i="3"/>
  <c r="AR64" i="3" s="1"/>
  <c r="AV89" i="3"/>
  <c r="AV62" i="3"/>
  <c r="AV64" i="3" s="1"/>
  <c r="AZ89" i="3"/>
  <c r="AZ62" i="3"/>
  <c r="AZ64" i="3" s="1"/>
  <c r="BD89" i="3"/>
  <c r="BD62" i="3"/>
  <c r="BD64" i="3" s="1"/>
  <c r="BH89" i="3"/>
  <c r="BH62" i="3"/>
  <c r="BH64" i="3" s="1"/>
  <c r="CO134" i="3"/>
  <c r="G52" i="3"/>
  <c r="CR52" i="3" s="1"/>
  <c r="CR147" i="3" s="1"/>
  <c r="K52" i="3"/>
  <c r="CS52" i="3" s="1"/>
  <c r="CS147" i="3" s="1"/>
  <c r="O52" i="3"/>
  <c r="CT52" i="3" s="1"/>
  <c r="CT147" i="3" s="1"/>
  <c r="S52" i="3"/>
  <c r="CU52" i="3" s="1"/>
  <c r="CU147" i="3" s="1"/>
  <c r="W52" i="3"/>
  <c r="CV52" i="3" s="1"/>
  <c r="CV147" i="3" s="1"/>
  <c r="AA52" i="3"/>
  <c r="CW52" i="3" s="1"/>
  <c r="CW147" i="3" s="1"/>
  <c r="AE52" i="3"/>
  <c r="CX52" i="3" s="1"/>
  <c r="CX147" i="3" s="1"/>
  <c r="AI52" i="3"/>
  <c r="CY52" i="3" s="1"/>
  <c r="CY147" i="3" s="1"/>
  <c r="AM52" i="3"/>
  <c r="CZ52" i="3" s="1"/>
  <c r="CZ147" i="3" s="1"/>
  <c r="AQ52" i="3"/>
  <c r="DA52" i="3" s="1"/>
  <c r="DA147" i="3" s="1"/>
  <c r="AU52" i="3"/>
  <c r="DB52" i="3" s="1"/>
  <c r="DB147" i="3" s="1"/>
  <c r="AY52" i="3"/>
  <c r="DC52" i="3" s="1"/>
  <c r="DC147" i="3" s="1"/>
  <c r="BC52" i="3"/>
  <c r="DD52" i="3" s="1"/>
  <c r="DD147" i="3" s="1"/>
  <c r="BG52" i="3"/>
  <c r="DE52" i="3" s="1"/>
  <c r="DE147" i="3" s="1"/>
  <c r="BY49" i="3"/>
  <c r="BY144" i="3" s="1"/>
  <c r="CA49" i="3"/>
  <c r="CA144" i="3" s="1"/>
  <c r="CC49" i="3"/>
  <c r="CC144" i="3" s="1"/>
  <c r="CE49" i="3"/>
  <c r="CE144" i="3" s="1"/>
  <c r="CG49" i="3"/>
  <c r="CG144" i="3" s="1"/>
  <c r="CI49" i="3"/>
  <c r="CI144" i="3" s="1"/>
  <c r="CK49" i="3"/>
  <c r="CK144" i="3" s="1"/>
  <c r="CR69" i="3"/>
  <c r="CR72" i="3" s="1"/>
  <c r="CT69" i="3"/>
  <c r="CT72" i="3" s="1"/>
  <c r="CV69" i="3"/>
  <c r="CX69" i="3"/>
  <c r="CX72" i="3" s="1"/>
  <c r="CZ69" i="3"/>
  <c r="CZ72" i="3" s="1"/>
  <c r="DB69" i="3"/>
  <c r="DB72" i="3" s="1"/>
  <c r="DD69" i="3"/>
  <c r="DD72" i="3" s="1"/>
  <c r="E69" i="3"/>
  <c r="E72" i="3" s="1"/>
  <c r="O77" i="3"/>
  <c r="CA77" i="3" s="1"/>
  <c r="AE77" i="3"/>
  <c r="CE77" i="3" s="1"/>
  <c r="CS69" i="3"/>
  <c r="CS72" i="3" s="1"/>
  <c r="CU69" i="3"/>
  <c r="CU72" i="3" s="1"/>
  <c r="CW69" i="3"/>
  <c r="CW72" i="3" s="1"/>
  <c r="CY69" i="3"/>
  <c r="CY72" i="3" s="1"/>
  <c r="DA69" i="3"/>
  <c r="DA72" i="3" s="1"/>
  <c r="DC69" i="3"/>
  <c r="DC72" i="3" s="1"/>
  <c r="CV72" i="3"/>
  <c r="G77" i="3"/>
  <c r="BY77" i="3" s="1"/>
  <c r="W77" i="3"/>
  <c r="CC77" i="3" s="1"/>
  <c r="AW142" i="3"/>
  <c r="AY142" i="3"/>
  <c r="BH142" i="3"/>
  <c r="BR134" i="3"/>
  <c r="BK134" i="2"/>
  <c r="DE10" i="2"/>
  <c r="DE21" i="2"/>
  <c r="DE31" i="2"/>
  <c r="DE14" i="2"/>
  <c r="BZ25" i="2"/>
  <c r="BZ67" i="3" s="1"/>
  <c r="CB25" i="2"/>
  <c r="CB67" i="3" s="1"/>
  <c r="CD25" i="2"/>
  <c r="CD67" i="3" s="1"/>
  <c r="CF25" i="2"/>
  <c r="CF67" i="3" s="1"/>
  <c r="CH25" i="2"/>
  <c r="CH67" i="3" s="1"/>
  <c r="CJ25" i="2"/>
  <c r="CJ67" i="3" s="1"/>
  <c r="CL25" i="2"/>
  <c r="CL67" i="3" s="1"/>
  <c r="DE19" i="2"/>
  <c r="DE23" i="2"/>
  <c r="DE29" i="2"/>
  <c r="S131" i="2"/>
  <c r="AY131" i="2"/>
  <c r="BE131" i="2"/>
  <c r="BE123" i="2"/>
  <c r="BE94" i="2"/>
  <c r="BE77" i="2"/>
  <c r="BM131" i="2"/>
  <c r="BM123" i="2"/>
  <c r="BM94" i="2"/>
  <c r="BM77" i="2"/>
  <c r="BQ131" i="2"/>
  <c r="BQ123" i="2"/>
  <c r="BQ94" i="2"/>
  <c r="BQ77" i="2"/>
  <c r="CS131" i="2"/>
  <c r="CS123" i="2"/>
  <c r="CS94" i="2"/>
  <c r="CS77" i="2"/>
  <c r="CU131" i="2"/>
  <c r="CU123" i="2"/>
  <c r="CU94" i="2"/>
  <c r="CU77" i="2"/>
  <c r="CW131" i="2"/>
  <c r="CW123" i="2"/>
  <c r="CW94" i="2"/>
  <c r="CW77" i="2"/>
  <c r="CY131" i="2"/>
  <c r="CY123" i="2"/>
  <c r="CY94" i="2"/>
  <c r="CY77" i="2"/>
  <c r="DA131" i="2"/>
  <c r="DA123" i="2"/>
  <c r="DA94" i="2"/>
  <c r="DA77" i="2"/>
  <c r="DC131" i="2"/>
  <c r="DC123" i="2"/>
  <c r="DC94" i="2"/>
  <c r="DC77" i="2"/>
  <c r="DE131" i="2"/>
  <c r="DE123" i="2"/>
  <c r="DE94" i="2"/>
  <c r="DE77" i="2"/>
  <c r="DG131" i="2"/>
  <c r="DG123" i="2"/>
  <c r="DG94" i="2"/>
  <c r="DG77" i="2"/>
  <c r="CB131" i="2"/>
  <c r="BZ133" i="2"/>
  <c r="BZ135" i="2" s="1"/>
  <c r="BY86" i="2"/>
  <c r="CA138" i="2"/>
  <c r="CB133" i="2"/>
  <c r="CA86" i="2"/>
  <c r="CC138" i="2"/>
  <c r="CD133" i="2"/>
  <c r="CC86" i="2"/>
  <c r="CE138" i="2"/>
  <c r="CF133" i="2"/>
  <c r="CE86" i="2"/>
  <c r="CG138" i="2"/>
  <c r="CH133" i="2"/>
  <c r="CG86" i="2"/>
  <c r="CI138" i="2"/>
  <c r="CJ133" i="2"/>
  <c r="CI86" i="2"/>
  <c r="CK138" i="2"/>
  <c r="CL133" i="2"/>
  <c r="CK86" i="2"/>
  <c r="BZ139" i="2"/>
  <c r="CA134" i="2"/>
  <c r="CB139" i="2"/>
  <c r="CC134" i="2"/>
  <c r="CD139" i="2"/>
  <c r="CE134" i="2"/>
  <c r="CF139" i="2"/>
  <c r="CG134" i="2"/>
  <c r="CH139" i="2"/>
  <c r="CI134" i="2"/>
  <c r="CJ139" i="2"/>
  <c r="CK134" i="2"/>
  <c r="CL139" i="2"/>
  <c r="CM134" i="2"/>
  <c r="CK15" i="2"/>
  <c r="CK16" i="2" s="1"/>
  <c r="CR15" i="2"/>
  <c r="CT15" i="2"/>
  <c r="CT16" i="2" s="1"/>
  <c r="CV15" i="2"/>
  <c r="CV16" i="2" s="1"/>
  <c r="DD15" i="2"/>
  <c r="CR16" i="2"/>
  <c r="CX16" i="2"/>
  <c r="CZ16" i="2"/>
  <c r="DB16" i="2"/>
  <c r="E134" i="2"/>
  <c r="E135" i="2" s="1"/>
  <c r="F142" i="2" s="1"/>
  <c r="D86" i="2"/>
  <c r="D88" i="2" s="1"/>
  <c r="F139" i="2"/>
  <c r="F140" i="2" s="1"/>
  <c r="G134" i="2"/>
  <c r="G135" i="2" s="1"/>
  <c r="H142" i="2" s="1"/>
  <c r="F86" i="2"/>
  <c r="F88" i="2" s="1"/>
  <c r="D16" i="2"/>
  <c r="F16" i="2"/>
  <c r="H16" i="2"/>
  <c r="J16" i="2"/>
  <c r="L16" i="2"/>
  <c r="N16" i="2"/>
  <c r="P16" i="2"/>
  <c r="R16" i="2"/>
  <c r="T16" i="2"/>
  <c r="V16" i="2"/>
  <c r="X16" i="2"/>
  <c r="Z16" i="2"/>
  <c r="AB16" i="2"/>
  <c r="AD16" i="2"/>
  <c r="AJ16" i="2"/>
  <c r="AL16" i="2"/>
  <c r="BB16" i="2"/>
  <c r="BD16" i="2"/>
  <c r="BF16" i="2"/>
  <c r="BH16" i="2"/>
  <c r="AF25" i="2"/>
  <c r="AF67" i="3" s="1"/>
  <c r="AH25" i="2"/>
  <c r="AH67" i="3" s="1"/>
  <c r="AN25" i="2"/>
  <c r="AN67" i="3" s="1"/>
  <c r="AP25" i="2"/>
  <c r="AP67" i="3" s="1"/>
  <c r="AR25" i="2"/>
  <c r="AR67" i="3" s="1"/>
  <c r="AT25" i="2"/>
  <c r="AT67" i="3" s="1"/>
  <c r="AV25" i="2"/>
  <c r="AV67" i="3" s="1"/>
  <c r="AX25" i="2"/>
  <c r="AX67" i="3" s="1"/>
  <c r="AZ25" i="2"/>
  <c r="AZ67" i="3" s="1"/>
  <c r="CB34" i="2"/>
  <c r="CB91" i="2" s="1"/>
  <c r="CF34" i="2"/>
  <c r="CF91" i="2" s="1"/>
  <c r="CJ34" i="2"/>
  <c r="CJ91" i="2" s="1"/>
  <c r="CT34" i="2"/>
  <c r="CT44" i="2" s="1"/>
  <c r="CX34" i="2"/>
  <c r="CX44" i="2" s="1"/>
  <c r="DB34" i="2"/>
  <c r="DB44" i="2" s="1"/>
  <c r="DE39" i="2"/>
  <c r="CB44" i="2"/>
  <c r="DE62" i="2"/>
  <c r="BG61" i="2"/>
  <c r="BF65" i="2"/>
  <c r="BF71" i="2" s="1"/>
  <c r="BF74" i="2" s="1"/>
  <c r="DD61" i="2"/>
  <c r="DE68" i="2"/>
  <c r="L77" i="2"/>
  <c r="AF94" i="2"/>
  <c r="AV94" i="2"/>
  <c r="CR131" i="2"/>
  <c r="CR123" i="2"/>
  <c r="CR94" i="2"/>
  <c r="CR77" i="2"/>
  <c r="CT131" i="2"/>
  <c r="CT123" i="2"/>
  <c r="CT94" i="2"/>
  <c r="CT77" i="2"/>
  <c r="CV131" i="2"/>
  <c r="CV123" i="2"/>
  <c r="CV94" i="2"/>
  <c r="CV77" i="2"/>
  <c r="CX131" i="2"/>
  <c r="CX123" i="2"/>
  <c r="CX94" i="2"/>
  <c r="CX77" i="2"/>
  <c r="CZ131" i="2"/>
  <c r="CZ123" i="2"/>
  <c r="CZ94" i="2"/>
  <c r="CZ77" i="2"/>
  <c r="DB131" i="2"/>
  <c r="DB123" i="2"/>
  <c r="DB94" i="2"/>
  <c r="DB77" i="2"/>
  <c r="DD131" i="2"/>
  <c r="DD123" i="2"/>
  <c r="DD94" i="2"/>
  <c r="DD77" i="2"/>
  <c r="DF131" i="2"/>
  <c r="DF123" i="2"/>
  <c r="DF94" i="2"/>
  <c r="DF77" i="2"/>
  <c r="CE123" i="2"/>
  <c r="BZ138" i="2"/>
  <c r="BZ140" i="2" s="1"/>
  <c r="CA133" i="2"/>
  <c r="BZ86" i="2"/>
  <c r="CB138" i="2"/>
  <c r="CC133" i="2"/>
  <c r="CC135" i="2" s="1"/>
  <c r="CB86" i="2"/>
  <c r="CD138" i="2"/>
  <c r="CD140" i="2" s="1"/>
  <c r="CE133" i="2"/>
  <c r="CD86" i="2"/>
  <c r="CF138" i="2"/>
  <c r="CG133" i="2"/>
  <c r="CG135" i="2" s="1"/>
  <c r="CF86" i="2"/>
  <c r="CH138" i="2"/>
  <c r="CH140" i="2" s="1"/>
  <c r="CI133" i="2"/>
  <c r="CH86" i="2"/>
  <c r="CJ138" i="2"/>
  <c r="CK133" i="2"/>
  <c r="CK135" i="2" s="1"/>
  <c r="CJ86" i="2"/>
  <c r="CL138" i="2"/>
  <c r="CL140" i="2" s="1"/>
  <c r="CM133" i="2"/>
  <c r="CL86" i="2"/>
  <c r="CA139" i="2"/>
  <c r="CB134" i="2"/>
  <c r="CC139" i="2"/>
  <c r="CD134" i="2"/>
  <c r="CE139" i="2"/>
  <c r="CF134" i="2"/>
  <c r="CG139" i="2"/>
  <c r="CH134" i="2"/>
  <c r="CI139" i="2"/>
  <c r="CJ134" i="2"/>
  <c r="CK139" i="2"/>
  <c r="CL134" i="2"/>
  <c r="BY16" i="2"/>
  <c r="CA16" i="2"/>
  <c r="CC16" i="2"/>
  <c r="CE16" i="2"/>
  <c r="CG16" i="2"/>
  <c r="CI16" i="2"/>
  <c r="CS16" i="2"/>
  <c r="CU16" i="2"/>
  <c r="CW16" i="2"/>
  <c r="CY16" i="2"/>
  <c r="DA16" i="2"/>
  <c r="DC16" i="2"/>
  <c r="F134" i="2"/>
  <c r="F135" i="2" s="1"/>
  <c r="E139" i="2"/>
  <c r="E140" i="2" s="1"/>
  <c r="E86" i="2"/>
  <c r="E88" i="2" s="1"/>
  <c r="E16" i="2"/>
  <c r="BC16" i="2"/>
  <c r="G25" i="2"/>
  <c r="I25" i="2"/>
  <c r="K25" i="2"/>
  <c r="M25" i="2"/>
  <c r="O25" i="2"/>
  <c r="Q25" i="2"/>
  <c r="S25" i="2"/>
  <c r="U25" i="2"/>
  <c r="W25" i="2"/>
  <c r="Y25" i="2"/>
  <c r="AA25" i="2"/>
  <c r="AC25" i="2"/>
  <c r="AE25" i="2"/>
  <c r="AG25" i="2"/>
  <c r="AI25" i="2"/>
  <c r="AK25" i="2"/>
  <c r="AM25" i="2"/>
  <c r="AO25" i="2"/>
  <c r="AQ25" i="2"/>
  <c r="AS25" i="2"/>
  <c r="AU25" i="2"/>
  <c r="AW25" i="2"/>
  <c r="AY25" i="2"/>
  <c r="BA25" i="2"/>
  <c r="BE25" i="2"/>
  <c r="BG25" i="2"/>
  <c r="DE32" i="2"/>
  <c r="BZ124" i="2"/>
  <c r="BZ87" i="2"/>
  <c r="CB124" i="2"/>
  <c r="CB87" i="2"/>
  <c r="CD124" i="2"/>
  <c r="CD87" i="2"/>
  <c r="CF124" i="2"/>
  <c r="CF87" i="2"/>
  <c r="CH124" i="2"/>
  <c r="CH87" i="2"/>
  <c r="CJ124" i="2"/>
  <c r="CJ87" i="2"/>
  <c r="CM33" i="2"/>
  <c r="BZ34" i="2"/>
  <c r="BZ44" i="2" s="1"/>
  <c r="BZ46" i="2" s="1"/>
  <c r="CD34" i="2"/>
  <c r="CD44" i="2" s="1"/>
  <c r="CH34" i="2"/>
  <c r="CH44" i="2" s="1"/>
  <c r="CL34" i="2"/>
  <c r="CR34" i="2"/>
  <c r="CR44" i="2" s="1"/>
  <c r="CV34" i="2"/>
  <c r="CV44" i="2" s="1"/>
  <c r="CZ34" i="2"/>
  <c r="CZ44" i="2" s="1"/>
  <c r="DD34" i="2"/>
  <c r="DD44" i="2" s="1"/>
  <c r="AN46" i="2"/>
  <c r="DE37" i="2"/>
  <c r="CJ65" i="2"/>
  <c r="CJ71" i="2" s="1"/>
  <c r="DE70" i="2"/>
  <c r="BY124" i="2"/>
  <c r="BY87" i="2"/>
  <c r="CA124" i="2"/>
  <c r="CB125" i="2" s="1"/>
  <c r="CA87" i="2"/>
  <c r="CC124" i="2"/>
  <c r="CD125" i="2" s="1"/>
  <c r="CC87" i="2"/>
  <c r="CE124" i="2"/>
  <c r="CF125" i="2" s="1"/>
  <c r="CE87" i="2"/>
  <c r="CG124" i="2"/>
  <c r="CH125" i="2" s="1"/>
  <c r="CG87" i="2"/>
  <c r="CI124" i="2"/>
  <c r="CJ125" i="2" s="1"/>
  <c r="CI87" i="2"/>
  <c r="CK124" i="2"/>
  <c r="CK87" i="2"/>
  <c r="BY34" i="2"/>
  <c r="BY44" i="2" s="1"/>
  <c r="CA34" i="2"/>
  <c r="CA44" i="2" s="1"/>
  <c r="CC34" i="2"/>
  <c r="CC44" i="2" s="1"/>
  <c r="CE34" i="2"/>
  <c r="CE44" i="2" s="1"/>
  <c r="CG34" i="2"/>
  <c r="CG44" i="2" s="1"/>
  <c r="CI34" i="2"/>
  <c r="CI44" i="2" s="1"/>
  <c r="CK34" i="2"/>
  <c r="CK44" i="2" s="1"/>
  <c r="CS34" i="2"/>
  <c r="CS44" i="2" s="1"/>
  <c r="CU34" i="2"/>
  <c r="CU44" i="2" s="1"/>
  <c r="CW34" i="2"/>
  <c r="CW44" i="2" s="1"/>
  <c r="CY34" i="2"/>
  <c r="CY44" i="2" s="1"/>
  <c r="DA34" i="2"/>
  <c r="DA44" i="2" s="1"/>
  <c r="DC34" i="2"/>
  <c r="DC44" i="2" s="1"/>
  <c r="BC124" i="2"/>
  <c r="BC87" i="2"/>
  <c r="BC88" i="2" s="1"/>
  <c r="BC89" i="2" s="1"/>
  <c r="BE124" i="2"/>
  <c r="BE87" i="2"/>
  <c r="BG124" i="2"/>
  <c r="BG87" i="2"/>
  <c r="BG88" i="2" s="1"/>
  <c r="BG89" i="2" s="1"/>
  <c r="CL36" i="2"/>
  <c r="CL87" i="2" s="1"/>
  <c r="AV124" i="2"/>
  <c r="AV125" i="2" s="1"/>
  <c r="AV127" i="2" s="1"/>
  <c r="AV87" i="2"/>
  <c r="AX124" i="2"/>
  <c r="AX87" i="2"/>
  <c r="AX88" i="2" s="1"/>
  <c r="AX89" i="2" s="1"/>
  <c r="AZ124" i="2"/>
  <c r="AZ87" i="2"/>
  <c r="AZ88" i="2" s="1"/>
  <c r="AZ89" i="2" s="1"/>
  <c r="BB124" i="2"/>
  <c r="BB87" i="2"/>
  <c r="BB88" i="2" s="1"/>
  <c r="BB89" i="2" s="1"/>
  <c r="BY82" i="2"/>
  <c r="BY81" i="2"/>
  <c r="CA82" i="2"/>
  <c r="CC82" i="2"/>
  <c r="CE82" i="2"/>
  <c r="CG82" i="2"/>
  <c r="CI82" i="2"/>
  <c r="CK82" i="2"/>
  <c r="CS82" i="2"/>
  <c r="CU82" i="2"/>
  <c r="CW82" i="2"/>
  <c r="CY82" i="2"/>
  <c r="DA82" i="2"/>
  <c r="DC82" i="2"/>
  <c r="BK61" i="2"/>
  <c r="BZ65" i="2"/>
  <c r="BZ71" i="2" s="1"/>
  <c r="BZ74" i="2" s="1"/>
  <c r="CB65" i="2"/>
  <c r="CB71" i="2" s="1"/>
  <c r="CD65" i="2"/>
  <c r="CD71" i="2" s="1"/>
  <c r="CF65" i="2"/>
  <c r="CF71" i="2" s="1"/>
  <c r="CH65" i="2"/>
  <c r="CH71" i="2" s="1"/>
  <c r="CR65" i="2"/>
  <c r="CR71" i="2" s="1"/>
  <c r="CR74" i="2" s="1"/>
  <c r="CT65" i="2"/>
  <c r="CT71" i="2" s="1"/>
  <c r="CV65" i="2"/>
  <c r="CV71" i="2" s="1"/>
  <c r="CX65" i="2"/>
  <c r="CX71" i="2" s="1"/>
  <c r="CZ65" i="2"/>
  <c r="CZ71" i="2" s="1"/>
  <c r="DB65" i="2"/>
  <c r="DB71" i="2" s="1"/>
  <c r="BC61" i="2"/>
  <c r="BK67" i="2"/>
  <c r="D71" i="2"/>
  <c r="D74" i="2" s="1"/>
  <c r="F71" i="2"/>
  <c r="F74" i="2" s="1"/>
  <c r="H71" i="2"/>
  <c r="H74" i="2" s="1"/>
  <c r="J71" i="2"/>
  <c r="J74" i="2" s="1"/>
  <c r="L71" i="2"/>
  <c r="L74" i="2" s="1"/>
  <c r="N71" i="2"/>
  <c r="N74" i="2" s="1"/>
  <c r="P71" i="2"/>
  <c r="P74" i="2" s="1"/>
  <c r="R71" i="2"/>
  <c r="R74" i="2" s="1"/>
  <c r="T71" i="2"/>
  <c r="T74" i="2" s="1"/>
  <c r="V71" i="2"/>
  <c r="V74" i="2" s="1"/>
  <c r="X71" i="2"/>
  <c r="X74" i="2" s="1"/>
  <c r="Z71" i="2"/>
  <c r="Z74" i="2" s="1"/>
  <c r="AB71" i="2"/>
  <c r="AB74" i="2" s="1"/>
  <c r="AD71" i="2"/>
  <c r="AD74" i="2" s="1"/>
  <c r="AF71" i="2"/>
  <c r="AF74" i="2" s="1"/>
  <c r="AH71" i="2"/>
  <c r="AH74" i="2" s="1"/>
  <c r="AJ71" i="2"/>
  <c r="AJ74" i="2" s="1"/>
  <c r="AL71" i="2"/>
  <c r="AL74" i="2" s="1"/>
  <c r="AN71" i="2"/>
  <c r="AN74" i="2" s="1"/>
  <c r="AP71" i="2"/>
  <c r="AP74" i="2" s="1"/>
  <c r="AR71" i="2"/>
  <c r="AR74" i="2" s="1"/>
  <c r="AT71" i="2"/>
  <c r="AT74" i="2" s="1"/>
  <c r="AV71" i="2"/>
  <c r="AV74" i="2" s="1"/>
  <c r="CT74" i="2"/>
  <c r="CV73" i="2"/>
  <c r="CW73" i="2"/>
  <c r="CX73" i="2"/>
  <c r="CY73" i="2"/>
  <c r="CZ73" i="2"/>
  <c r="CZ74" i="2" s="1"/>
  <c r="DA73" i="2"/>
  <c r="DB73" i="2"/>
  <c r="AX74" i="2"/>
  <c r="AZ74" i="2"/>
  <c r="DC73" i="2"/>
  <c r="BD74" i="2"/>
  <c r="DD73" i="2"/>
  <c r="AV88" i="2"/>
  <c r="AV89" i="2" s="1"/>
  <c r="Z124" i="2"/>
  <c r="AA125" i="2" s="1"/>
  <c r="Z87" i="2"/>
  <c r="Z88" i="2" s="1"/>
  <c r="BD124" i="2"/>
  <c r="BD87" i="2"/>
  <c r="BD88" i="2" s="1"/>
  <c r="BD89" i="2" s="1"/>
  <c r="BF124" i="2"/>
  <c r="BF87" i="2"/>
  <c r="BF88" i="2" s="1"/>
  <c r="BF89" i="2" s="1"/>
  <c r="BH124" i="2"/>
  <c r="BI125" i="2" s="1"/>
  <c r="BH87" i="2"/>
  <c r="BH88" i="2" s="1"/>
  <c r="BH89" i="2" s="1"/>
  <c r="AW124" i="2"/>
  <c r="AX125" i="2" s="1"/>
  <c r="AX127" i="2" s="1"/>
  <c r="AW87" i="2"/>
  <c r="AW88" i="2" s="1"/>
  <c r="AW89" i="2" s="1"/>
  <c r="AY124" i="2"/>
  <c r="AZ125" i="2" s="1"/>
  <c r="AZ127" i="2" s="1"/>
  <c r="AY87" i="2"/>
  <c r="AY88" i="2" s="1"/>
  <c r="AY89" i="2" s="1"/>
  <c r="BA124" i="2"/>
  <c r="BB125" i="2" s="1"/>
  <c r="BB127" i="2" s="1"/>
  <c r="BA87" i="2"/>
  <c r="BA88" i="2" s="1"/>
  <c r="BA89" i="2" s="1"/>
  <c r="BZ82" i="2"/>
  <c r="CB82" i="2"/>
  <c r="CD82" i="2"/>
  <c r="CF82" i="2"/>
  <c r="CH82" i="2"/>
  <c r="CJ81" i="2"/>
  <c r="CJ82" i="2"/>
  <c r="CJ83" i="2" s="1"/>
  <c r="CL81" i="2"/>
  <c r="CL82" i="2"/>
  <c r="CL83" i="2" s="1"/>
  <c r="CR82" i="2"/>
  <c r="CT82" i="2"/>
  <c r="CV82" i="2"/>
  <c r="CX82" i="2"/>
  <c r="CZ82" i="2"/>
  <c r="DB82" i="2"/>
  <c r="DD82" i="2"/>
  <c r="BY65" i="2"/>
  <c r="BY71" i="2" s="1"/>
  <c r="BY74" i="2" s="1"/>
  <c r="CA65" i="2"/>
  <c r="CA71" i="2" s="1"/>
  <c r="CC65" i="2"/>
  <c r="CC71" i="2" s="1"/>
  <c r="CE65" i="2"/>
  <c r="CE71" i="2" s="1"/>
  <c r="CG65" i="2"/>
  <c r="CG71" i="2" s="1"/>
  <c r="CI65" i="2"/>
  <c r="CI71" i="2" s="1"/>
  <c r="DE61" i="2"/>
  <c r="CS65" i="2"/>
  <c r="CS71" i="2" s="1"/>
  <c r="CS74" i="2" s="1"/>
  <c r="CU65" i="2"/>
  <c r="CU71" i="2" s="1"/>
  <c r="CU74" i="2" s="1"/>
  <c r="CW65" i="2"/>
  <c r="CW71" i="2" s="1"/>
  <c r="CY65" i="2"/>
  <c r="CY71" i="2" s="1"/>
  <c r="DA65" i="2"/>
  <c r="DA71" i="2" s="1"/>
  <c r="AW65" i="2"/>
  <c r="AW71" i="2" s="1"/>
  <c r="AW74" i="2" s="1"/>
  <c r="AY65" i="2"/>
  <c r="AY71" i="2" s="1"/>
  <c r="AY74" i="2" s="1"/>
  <c r="BA65" i="2"/>
  <c r="BA71" i="2" s="1"/>
  <c r="BA74" i="2" s="1"/>
  <c r="BE65" i="2"/>
  <c r="BE71" i="2" s="1"/>
  <c r="BE74" i="2" s="1"/>
  <c r="E71" i="2"/>
  <c r="E74" i="2" s="1"/>
  <c r="G71" i="2"/>
  <c r="G74" i="2" s="1"/>
  <c r="I71" i="2"/>
  <c r="I74" i="2" s="1"/>
  <c r="K71" i="2"/>
  <c r="K74" i="2" s="1"/>
  <c r="M71" i="2"/>
  <c r="M74" i="2" s="1"/>
  <c r="O71" i="2"/>
  <c r="O74" i="2" s="1"/>
  <c r="Q71" i="2"/>
  <c r="Q74" i="2" s="1"/>
  <c r="S71" i="2"/>
  <c r="S74" i="2" s="1"/>
  <c r="U71" i="2"/>
  <c r="U74" i="2" s="1"/>
  <c r="W71" i="2"/>
  <c r="W74" i="2" s="1"/>
  <c r="Y71" i="2"/>
  <c r="Y74" i="2" s="1"/>
  <c r="AA71" i="2"/>
  <c r="AA74" i="2" s="1"/>
  <c r="AC71" i="2"/>
  <c r="AC74" i="2" s="1"/>
  <c r="AE71" i="2"/>
  <c r="AE74" i="2" s="1"/>
  <c r="AG71" i="2"/>
  <c r="AG74" i="2" s="1"/>
  <c r="AI71" i="2"/>
  <c r="AI74" i="2" s="1"/>
  <c r="AK71" i="2"/>
  <c r="AK74" i="2" s="1"/>
  <c r="AM71" i="2"/>
  <c r="AM74" i="2" s="1"/>
  <c r="AO71" i="2"/>
  <c r="AO74" i="2" s="1"/>
  <c r="AQ71" i="2"/>
  <c r="AQ74" i="2" s="1"/>
  <c r="AS71" i="2"/>
  <c r="AS74" i="2" s="1"/>
  <c r="AU71" i="2"/>
  <c r="AU74" i="2" s="1"/>
  <c r="CA73" i="2"/>
  <c r="CB73" i="2"/>
  <c r="CB74" i="2" s="1"/>
  <c r="CC73" i="2"/>
  <c r="CC74" i="2" s="1"/>
  <c r="CD73" i="2"/>
  <c r="CE73" i="2"/>
  <c r="CF73" i="2"/>
  <c r="CF74" i="2" s="1"/>
  <c r="CG73" i="2"/>
  <c r="CG74" i="2" s="1"/>
  <c r="CH73" i="2"/>
  <c r="CI73" i="2"/>
  <c r="CJ73" i="2"/>
  <c r="CK73" i="2"/>
  <c r="CL73" i="2"/>
  <c r="BE88" i="2"/>
  <c r="AR116" i="2"/>
  <c r="AR120" i="2"/>
  <c r="AT96" i="2"/>
  <c r="AS104" i="2"/>
  <c r="AW119" i="2"/>
  <c r="F125" i="2"/>
  <c r="M127" i="2"/>
  <c r="Q127" i="2"/>
  <c r="U127" i="2"/>
  <c r="Y127" i="2"/>
  <c r="AS127" i="2"/>
  <c r="N127" i="2"/>
  <c r="R127" i="2"/>
  <c r="V127" i="2"/>
  <c r="AB127" i="2"/>
  <c r="AD127" i="2"/>
  <c r="AF127" i="2"/>
  <c r="AH127" i="2"/>
  <c r="AJ127" i="2"/>
  <c r="AL127" i="2"/>
  <c r="AN127" i="2"/>
  <c r="AP127" i="2"/>
  <c r="AR127" i="2"/>
  <c r="AT127" i="2"/>
  <c r="BK142" i="2"/>
  <c r="BG174" i="83" l="1"/>
  <c r="DC172" i="83"/>
  <c r="DC174" i="83" s="1"/>
  <c r="AY174" i="83"/>
  <c r="DB172" i="83"/>
  <c r="DB174" i="83" s="1"/>
  <c r="AU174" i="83"/>
  <c r="CZ172" i="83"/>
  <c r="CZ174" i="83" s="1"/>
  <c r="AM174" i="83"/>
  <c r="CX172" i="83"/>
  <c r="CX174" i="83" s="1"/>
  <c r="AE174" i="83"/>
  <c r="CV172" i="83"/>
  <c r="CV174" i="83" s="1"/>
  <c r="W174" i="83"/>
  <c r="CT172" i="83"/>
  <c r="CT174" i="83" s="1"/>
  <c r="O174" i="83"/>
  <c r="CR172" i="83"/>
  <c r="CR174" i="83" s="1"/>
  <c r="G174" i="83"/>
  <c r="CK172" i="83"/>
  <c r="CK174" i="83" s="1"/>
  <c r="CI172" i="83"/>
  <c r="CI174" i="83" s="1"/>
  <c r="CG172" i="83"/>
  <c r="CG174" i="83" s="1"/>
  <c r="CE172" i="83"/>
  <c r="CE174" i="83" s="1"/>
  <c r="CC172" i="83"/>
  <c r="CC174" i="83" s="1"/>
  <c r="CA172" i="83"/>
  <c r="CA174" i="83" s="1"/>
  <c r="BY172" i="83"/>
  <c r="BY174" i="83" s="1"/>
  <c r="DD172" i="83"/>
  <c r="DD174" i="83" s="1"/>
  <c r="BC174" i="83"/>
  <c r="DA172" i="83"/>
  <c r="DA174" i="83" s="1"/>
  <c r="AQ174" i="83"/>
  <c r="CY172" i="83"/>
  <c r="CY174" i="83" s="1"/>
  <c r="AI174" i="83"/>
  <c r="CW172" i="83"/>
  <c r="CW174" i="83" s="1"/>
  <c r="AA174" i="83"/>
  <c r="CU172" i="83"/>
  <c r="CU174" i="83" s="1"/>
  <c r="S174" i="83"/>
  <c r="CS172" i="83"/>
  <c r="CS174" i="83" s="1"/>
  <c r="K174" i="83"/>
  <c r="CL172" i="83"/>
  <c r="CL174" i="83" s="1"/>
  <c r="CJ172" i="83"/>
  <c r="CJ174" i="83" s="1"/>
  <c r="CH172" i="83"/>
  <c r="CH174" i="83" s="1"/>
  <c r="CF172" i="83"/>
  <c r="CF174" i="83" s="1"/>
  <c r="CD172" i="83"/>
  <c r="CD174" i="83" s="1"/>
  <c r="CB172" i="83"/>
  <c r="CB174" i="83" s="1"/>
  <c r="BZ172" i="83"/>
  <c r="BZ174" i="83" s="1"/>
  <c r="CF83" i="2"/>
  <c r="BN46" i="53"/>
  <c r="BV24" i="53"/>
  <c r="BN24" i="53"/>
  <c r="BM35" i="53"/>
  <c r="BM46" i="53"/>
  <c r="BM24" i="53"/>
  <c r="CD61" i="3"/>
  <c r="CD76" i="3" s="1"/>
  <c r="CD86" i="3" s="1"/>
  <c r="AS102" i="3"/>
  <c r="AC102" i="3"/>
  <c r="M102" i="3"/>
  <c r="CG61" i="3"/>
  <c r="CG76" i="3" s="1"/>
  <c r="CG86" i="3" s="1"/>
  <c r="AX61" i="3"/>
  <c r="AX76" i="3" s="1"/>
  <c r="AX86" i="3" s="1"/>
  <c r="AH61" i="3"/>
  <c r="AH76" i="3" s="1"/>
  <c r="AH86" i="3" s="1"/>
  <c r="R61" i="3"/>
  <c r="R76" i="3" s="1"/>
  <c r="R86" i="3" s="1"/>
  <c r="BV82" i="53"/>
  <c r="CM31" i="3"/>
  <c r="CM126" i="3" s="1"/>
  <c r="BT82" i="53"/>
  <c r="CZ30" i="3"/>
  <c r="CZ125" i="3" s="1"/>
  <c r="BY52" i="3"/>
  <c r="BY147" i="3" s="1"/>
  <c r="M59" i="53"/>
  <c r="AL79" i="53"/>
  <c r="CM123" i="2"/>
  <c r="BL94" i="2"/>
  <c r="AN94" i="2"/>
  <c r="X94" i="2"/>
  <c r="BK94" i="2"/>
  <c r="BU35" i="53"/>
  <c r="BR35" i="53"/>
  <c r="BV35" i="53"/>
  <c r="BK24" i="53"/>
  <c r="BW24" i="53"/>
  <c r="BC167" i="53"/>
  <c r="AI167" i="53"/>
  <c r="K167" i="53"/>
  <c r="AX167" i="53"/>
  <c r="AD167" i="53"/>
  <c r="V167" i="53"/>
  <c r="N167" i="53"/>
  <c r="AP167" i="53"/>
  <c r="AH167" i="53"/>
  <c r="AC167" i="53"/>
  <c r="K59" i="53"/>
  <c r="AH48" i="53"/>
  <c r="N48" i="53"/>
  <c r="Y59" i="53"/>
  <c r="AE66" i="53"/>
  <c r="AE12" i="53"/>
  <c r="O12" i="53"/>
  <c r="CE11" i="53"/>
  <c r="AV35" i="53"/>
  <c r="AF35" i="53"/>
  <c r="BQ24" i="53"/>
  <c r="AS24" i="53"/>
  <c r="AC24" i="53"/>
  <c r="AX13" i="53"/>
  <c r="AP13" i="53"/>
  <c r="AH13" i="53"/>
  <c r="BT35" i="53"/>
  <c r="BU24" i="53"/>
  <c r="CH46" i="2"/>
  <c r="BV53" i="2"/>
  <c r="AX59" i="53"/>
  <c r="AD59" i="53"/>
  <c r="AE167" i="53"/>
  <c r="AS167" i="53"/>
  <c r="M167" i="53"/>
  <c r="AA167" i="53"/>
  <c r="S167" i="53"/>
  <c r="BA167" i="53"/>
  <c r="I167" i="53"/>
  <c r="AW167" i="53"/>
  <c r="E167" i="53"/>
  <c r="AA59" i="53"/>
  <c r="AP48" i="53"/>
  <c r="Z48" i="53"/>
  <c r="V48" i="53"/>
  <c r="I59" i="53"/>
  <c r="E59" i="53"/>
  <c r="AL59" i="53"/>
  <c r="R59" i="53"/>
  <c r="BL24" i="53"/>
  <c r="G12" i="53"/>
  <c r="CC11" i="53"/>
  <c r="BY11" i="53"/>
  <c r="AZ35" i="53"/>
  <c r="AR35" i="53"/>
  <c r="AJ35" i="53"/>
  <c r="AB35" i="53"/>
  <c r="BS24" i="53"/>
  <c r="BE24" i="53"/>
  <c r="AW24" i="53"/>
  <c r="AO24" i="53"/>
  <c r="AG24" i="53"/>
  <c r="Y24" i="53"/>
  <c r="BH13" i="53"/>
  <c r="BD13" i="53"/>
  <c r="AZ13" i="53"/>
  <c r="AV13" i="53"/>
  <c r="AR13" i="53"/>
  <c r="AN13" i="53"/>
  <c r="AJ13" i="53"/>
  <c r="AF13" i="53"/>
  <c r="Z13" i="53"/>
  <c r="BL35" i="53"/>
  <c r="BL13" i="53"/>
  <c r="AL83" i="3"/>
  <c r="F83" i="3"/>
  <c r="DB83" i="2"/>
  <c r="CT83" i="2"/>
  <c r="CH83" i="2"/>
  <c r="BZ83" i="2"/>
  <c r="CI123" i="2"/>
  <c r="CA123" i="2"/>
  <c r="AZ94" i="2"/>
  <c r="AR94" i="2"/>
  <c r="AJ94" i="2"/>
  <c r="AB94" i="2"/>
  <c r="T94" i="2"/>
  <c r="BO94" i="2"/>
  <c r="BG131" i="2"/>
  <c r="DF33" i="2"/>
  <c r="CD83" i="2"/>
  <c r="CB83" i="2"/>
  <c r="CE83" i="2"/>
  <c r="CC83" i="2"/>
  <c r="CA83" i="2"/>
  <c r="CH61" i="3"/>
  <c r="CH76" i="3" s="1"/>
  <c r="CH86" i="3" s="1"/>
  <c r="BZ61" i="3"/>
  <c r="BZ76" i="3" s="1"/>
  <c r="BZ86" i="3" s="1"/>
  <c r="AW102" i="3"/>
  <c r="AO102" i="3"/>
  <c r="AG102" i="3"/>
  <c r="Y102" i="3"/>
  <c r="Q102" i="3"/>
  <c r="I102" i="3"/>
  <c r="CK61" i="3"/>
  <c r="CK76" i="3" s="1"/>
  <c r="CK86" i="3" s="1"/>
  <c r="CC61" i="3"/>
  <c r="CC76" i="3" s="1"/>
  <c r="CC86" i="3" s="1"/>
  <c r="BB61" i="3"/>
  <c r="BB76" i="3" s="1"/>
  <c r="BB86" i="3" s="1"/>
  <c r="AT61" i="3"/>
  <c r="AT76" i="3" s="1"/>
  <c r="AT86" i="3" s="1"/>
  <c r="AL61" i="3"/>
  <c r="AL76" i="3" s="1"/>
  <c r="AL86" i="3" s="1"/>
  <c r="AD61" i="3"/>
  <c r="AD76" i="3" s="1"/>
  <c r="AD86" i="3" s="1"/>
  <c r="V61" i="3"/>
  <c r="V76" i="3" s="1"/>
  <c r="V86" i="3" s="1"/>
  <c r="N61" i="3"/>
  <c r="N76" i="3" s="1"/>
  <c r="N86" i="3" s="1"/>
  <c r="F61" i="3"/>
  <c r="F76" i="3" s="1"/>
  <c r="F86" i="3" s="1"/>
  <c r="BK46" i="53"/>
  <c r="AE48" i="53"/>
  <c r="AC48" i="53"/>
  <c r="AA48" i="53"/>
  <c r="Y48" i="53"/>
  <c r="BD59" i="53"/>
  <c r="X59" i="53"/>
  <c r="BK35" i="53"/>
  <c r="BK13" i="53"/>
  <c r="CI74" i="2"/>
  <c r="CE74" i="2"/>
  <c r="CA74" i="2"/>
  <c r="BG125" i="2"/>
  <c r="BE125" i="2"/>
  <c r="AV46" i="2"/>
  <c r="CI83" i="2"/>
  <c r="CG83" i="2"/>
  <c r="BY83" i="2"/>
  <c r="CO123" i="2"/>
  <c r="CK123" i="2"/>
  <c r="CG123" i="2"/>
  <c r="CC123" i="2"/>
  <c r="BY123" i="2"/>
  <c r="BB94" i="2"/>
  <c r="AX94" i="2"/>
  <c r="AT94" i="2"/>
  <c r="AP94" i="2"/>
  <c r="AL94" i="2"/>
  <c r="AH94" i="2"/>
  <c r="AD94" i="2"/>
  <c r="Z94" i="2"/>
  <c r="V94" i="2"/>
  <c r="BS94" i="2"/>
  <c r="BO131" i="2"/>
  <c r="BG94" i="2"/>
  <c r="BM102" i="3"/>
  <c r="CT32" i="3"/>
  <c r="CT127" i="3" s="1"/>
  <c r="DD30" i="3"/>
  <c r="DD125" i="3" s="1"/>
  <c r="CV30" i="3"/>
  <c r="CV125" i="3" s="1"/>
  <c r="DA17" i="3"/>
  <c r="DA112" i="3" s="1"/>
  <c r="CW17" i="3"/>
  <c r="CW112" i="3" s="1"/>
  <c r="CS17" i="3"/>
  <c r="CS112" i="3" s="1"/>
  <c r="DC14" i="3"/>
  <c r="DC109" i="3" s="1"/>
  <c r="CY14" i="3"/>
  <c r="CY109" i="3" s="1"/>
  <c r="CU14" i="3"/>
  <c r="CU109" i="3" s="1"/>
  <c r="CW13" i="3"/>
  <c r="CW108" i="3" s="1"/>
  <c r="CS13" i="3"/>
  <c r="CS108" i="3" s="1"/>
  <c r="AP83" i="3"/>
  <c r="AH83" i="3"/>
  <c r="J83" i="3"/>
  <c r="CG11" i="3"/>
  <c r="DE31" i="3"/>
  <c r="DE126" i="3" s="1"/>
  <c r="AS97" i="2"/>
  <c r="CJ74" i="2"/>
  <c r="CH74" i="2"/>
  <c r="CD74" i="2"/>
  <c r="DB74" i="2"/>
  <c r="CX74" i="2"/>
  <c r="AP46" i="2"/>
  <c r="CM135" i="2"/>
  <c r="CI135" i="2"/>
  <c r="CE135" i="2"/>
  <c r="CA135" i="2"/>
  <c r="BF77" i="2"/>
  <c r="CN61" i="3"/>
  <c r="CN76" i="3" s="1"/>
  <c r="CN86" i="3" s="1"/>
  <c r="CJ61" i="3"/>
  <c r="CJ76" i="3" s="1"/>
  <c r="CJ86" i="3" s="1"/>
  <c r="CF61" i="3"/>
  <c r="CF76" i="3" s="1"/>
  <c r="CF86" i="3" s="1"/>
  <c r="CB61" i="3"/>
  <c r="CB76" i="3" s="1"/>
  <c r="CB86" i="3" s="1"/>
  <c r="BQ102" i="3"/>
  <c r="BC102" i="3"/>
  <c r="AY102" i="3"/>
  <c r="AU102" i="3"/>
  <c r="AQ102" i="3"/>
  <c r="AM102" i="3"/>
  <c r="AI102" i="3"/>
  <c r="AE102" i="3"/>
  <c r="AA102" i="3"/>
  <c r="W102" i="3"/>
  <c r="S102" i="3"/>
  <c r="O102" i="3"/>
  <c r="K102" i="3"/>
  <c r="G102" i="3"/>
  <c r="CM61" i="3"/>
  <c r="CM76" i="3" s="1"/>
  <c r="CM86" i="3" s="1"/>
  <c r="CI61" i="3"/>
  <c r="CI76" i="3" s="1"/>
  <c r="CI86" i="3" s="1"/>
  <c r="CE61" i="3"/>
  <c r="CE76" i="3" s="1"/>
  <c r="CE86" i="3" s="1"/>
  <c r="CA61" i="3"/>
  <c r="CA76" i="3" s="1"/>
  <c r="CA86" i="3" s="1"/>
  <c r="BN61" i="3"/>
  <c r="BN76" i="3" s="1"/>
  <c r="BN86" i="3" s="1"/>
  <c r="AZ61" i="3"/>
  <c r="AZ76" i="3" s="1"/>
  <c r="AZ86" i="3" s="1"/>
  <c r="AV61" i="3"/>
  <c r="AV76" i="3" s="1"/>
  <c r="AV86" i="3" s="1"/>
  <c r="AR61" i="3"/>
  <c r="AR76" i="3" s="1"/>
  <c r="AR86" i="3" s="1"/>
  <c r="AN61" i="3"/>
  <c r="AN76" i="3" s="1"/>
  <c r="AN86" i="3" s="1"/>
  <c r="AJ61" i="3"/>
  <c r="AJ76" i="3" s="1"/>
  <c r="AJ86" i="3" s="1"/>
  <c r="AF61" i="3"/>
  <c r="AF76" i="3" s="1"/>
  <c r="AF86" i="3" s="1"/>
  <c r="AB61" i="3"/>
  <c r="AB76" i="3" s="1"/>
  <c r="AB86" i="3" s="1"/>
  <c r="X61" i="3"/>
  <c r="X76" i="3" s="1"/>
  <c r="X86" i="3" s="1"/>
  <c r="T61" i="3"/>
  <c r="T76" i="3" s="1"/>
  <c r="T86" i="3" s="1"/>
  <c r="P61" i="3"/>
  <c r="P76" i="3" s="1"/>
  <c r="P86" i="3" s="1"/>
  <c r="L61" i="3"/>
  <c r="L76" i="3" s="1"/>
  <c r="L86" i="3" s="1"/>
  <c r="H61" i="3"/>
  <c r="H76" i="3" s="1"/>
  <c r="H86" i="3" s="1"/>
  <c r="D61" i="3"/>
  <c r="D76" i="3" s="1"/>
  <c r="D86" i="3" s="1"/>
  <c r="CG52" i="3"/>
  <c r="CG147" i="3" s="1"/>
  <c r="DC25" i="3"/>
  <c r="DC120" i="3" s="1"/>
  <c r="DA25" i="3"/>
  <c r="DA120" i="3" s="1"/>
  <c r="CY25" i="3"/>
  <c r="CY120" i="3" s="1"/>
  <c r="CW25" i="3"/>
  <c r="CW120" i="3" s="1"/>
  <c r="CU25" i="3"/>
  <c r="CU120" i="3" s="1"/>
  <c r="CS25" i="3"/>
  <c r="CS120" i="3" s="1"/>
  <c r="DC23" i="3"/>
  <c r="DC118" i="3" s="1"/>
  <c r="DA23" i="3"/>
  <c r="DA118" i="3" s="1"/>
  <c r="CY23" i="3"/>
  <c r="CY118" i="3" s="1"/>
  <c r="CW23" i="3"/>
  <c r="CW118" i="3" s="1"/>
  <c r="CU23" i="3"/>
  <c r="CU118" i="3" s="1"/>
  <c r="CS23" i="3"/>
  <c r="CS118" i="3" s="1"/>
  <c r="DC21" i="3"/>
  <c r="DC116" i="3" s="1"/>
  <c r="DA21" i="3"/>
  <c r="DA116" i="3" s="1"/>
  <c r="CY21" i="3"/>
  <c r="CY116" i="3" s="1"/>
  <c r="CW21" i="3"/>
  <c r="CW116" i="3" s="1"/>
  <c r="CU21" i="3"/>
  <c r="CU116" i="3" s="1"/>
  <c r="CS21" i="3"/>
  <c r="CS116" i="3" s="1"/>
  <c r="CW45" i="3"/>
  <c r="CW140" i="3" s="1"/>
  <c r="CG45" i="3"/>
  <c r="CG140" i="3" s="1"/>
  <c r="BY45" i="3"/>
  <c r="BY140" i="3" s="1"/>
  <c r="CI45" i="3"/>
  <c r="CI140" i="3" s="1"/>
  <c r="Z125" i="2"/>
  <c r="Z127" i="2" s="1"/>
  <c r="CV74" i="2"/>
  <c r="CJ140" i="2"/>
  <c r="CF140" i="2"/>
  <c r="CB140" i="2"/>
  <c r="CO77" i="2"/>
  <c r="CM77" i="2"/>
  <c r="CK77" i="2"/>
  <c r="CI77" i="2"/>
  <c r="CG77" i="2"/>
  <c r="CE77" i="2"/>
  <c r="CC77" i="2"/>
  <c r="CA77" i="2"/>
  <c r="BY77" i="2"/>
  <c r="BR131" i="2"/>
  <c r="BB131" i="2"/>
  <c r="AZ131" i="2"/>
  <c r="AX131" i="2"/>
  <c r="AV131" i="2"/>
  <c r="AT131" i="2"/>
  <c r="AR131" i="2"/>
  <c r="AP131" i="2"/>
  <c r="AN131" i="2"/>
  <c r="AL131" i="2"/>
  <c r="AJ131" i="2"/>
  <c r="AH131" i="2"/>
  <c r="AF131" i="2"/>
  <c r="AD131" i="2"/>
  <c r="AB131" i="2"/>
  <c r="Z131" i="2"/>
  <c r="X131" i="2"/>
  <c r="V131" i="2"/>
  <c r="BG61" i="3"/>
  <c r="BG76" i="3" s="1"/>
  <c r="BG86" i="3" s="1"/>
  <c r="BF61" i="3"/>
  <c r="BF76" i="3" s="1"/>
  <c r="BF86" i="3" s="1"/>
  <c r="CD22" i="3"/>
  <c r="CD117" i="3" s="1"/>
  <c r="DC34" i="3"/>
  <c r="DC129" i="3" s="1"/>
  <c r="CU34" i="3"/>
  <c r="CU129" i="3" s="1"/>
  <c r="DA32" i="3"/>
  <c r="DA127" i="3" s="1"/>
  <c r="BB65" i="3"/>
  <c r="AT65" i="3"/>
  <c r="AL65" i="3"/>
  <c r="AD65" i="3"/>
  <c r="V65" i="3"/>
  <c r="N65" i="3"/>
  <c r="F65" i="3"/>
  <c r="CF45" i="3"/>
  <c r="CF140" i="3" s="1"/>
  <c r="CJ45" i="3"/>
  <c r="CJ140" i="3" s="1"/>
  <c r="CB45" i="3"/>
  <c r="CB140" i="3" s="1"/>
  <c r="CK52" i="3"/>
  <c r="CK147" i="3" s="1"/>
  <c r="CC52" i="3"/>
  <c r="CC147" i="3" s="1"/>
  <c r="BE83" i="3"/>
  <c r="BA83" i="3"/>
  <c r="AW83" i="3"/>
  <c r="AS83" i="3"/>
  <c r="AO83" i="3"/>
  <c r="AK83" i="3"/>
  <c r="AG83" i="3"/>
  <c r="AC83" i="3"/>
  <c r="Y83" i="3"/>
  <c r="U83" i="3"/>
  <c r="Q83" i="3"/>
  <c r="M83" i="3"/>
  <c r="I83" i="3"/>
  <c r="E83" i="3"/>
  <c r="CL35" i="3"/>
  <c r="CL130" i="3" s="1"/>
  <c r="CK35" i="3"/>
  <c r="CK130" i="3" s="1"/>
  <c r="CJ35" i="3"/>
  <c r="CJ130" i="3" s="1"/>
  <c r="CI35" i="3"/>
  <c r="CI130" i="3" s="1"/>
  <c r="CH35" i="3"/>
  <c r="CH130" i="3" s="1"/>
  <c r="CG35" i="3"/>
  <c r="CG130" i="3" s="1"/>
  <c r="CF35" i="3"/>
  <c r="CF130" i="3" s="1"/>
  <c r="CE35" i="3"/>
  <c r="CE130" i="3" s="1"/>
  <c r="CD35" i="3"/>
  <c r="CD130" i="3" s="1"/>
  <c r="CC35" i="3"/>
  <c r="CC130" i="3" s="1"/>
  <c r="CB35" i="3"/>
  <c r="CB130" i="3" s="1"/>
  <c r="CA35" i="3"/>
  <c r="CA130" i="3" s="1"/>
  <c r="BZ35" i="3"/>
  <c r="BZ130" i="3" s="1"/>
  <c r="BY35" i="3"/>
  <c r="BY130" i="3" s="1"/>
  <c r="CK34" i="3"/>
  <c r="CK129" i="3" s="1"/>
  <c r="CI34" i="3"/>
  <c r="CI129" i="3" s="1"/>
  <c r="CG34" i="3"/>
  <c r="CG129" i="3" s="1"/>
  <c r="CE34" i="3"/>
  <c r="CE129" i="3" s="1"/>
  <c r="CC34" i="3"/>
  <c r="CC129" i="3" s="1"/>
  <c r="CA34" i="3"/>
  <c r="CA129" i="3" s="1"/>
  <c r="BY34" i="3"/>
  <c r="BY129" i="3" s="1"/>
  <c r="CL33" i="3"/>
  <c r="CL128" i="3" s="1"/>
  <c r="CK33" i="3"/>
  <c r="CK128" i="3" s="1"/>
  <c r="CJ33" i="3"/>
  <c r="CJ128" i="3" s="1"/>
  <c r="CI33" i="3"/>
  <c r="CI128" i="3" s="1"/>
  <c r="CH33" i="3"/>
  <c r="CH128" i="3" s="1"/>
  <c r="CG33" i="3"/>
  <c r="CG128" i="3" s="1"/>
  <c r="CF33" i="3"/>
  <c r="CF128" i="3" s="1"/>
  <c r="CE33" i="3"/>
  <c r="CE128" i="3" s="1"/>
  <c r="CD33" i="3"/>
  <c r="CD128" i="3" s="1"/>
  <c r="CC33" i="3"/>
  <c r="CC128" i="3" s="1"/>
  <c r="CB33" i="3"/>
  <c r="CB128" i="3" s="1"/>
  <c r="CA33" i="3"/>
  <c r="CA128" i="3" s="1"/>
  <c r="BZ33" i="3"/>
  <c r="BZ128" i="3" s="1"/>
  <c r="BY33" i="3"/>
  <c r="BY128" i="3" s="1"/>
  <c r="CK32" i="3"/>
  <c r="CK127" i="3" s="1"/>
  <c r="CI32" i="3"/>
  <c r="CI127" i="3" s="1"/>
  <c r="CG32" i="3"/>
  <c r="CG127" i="3" s="1"/>
  <c r="CE32" i="3"/>
  <c r="CE127" i="3" s="1"/>
  <c r="CC32" i="3"/>
  <c r="CC127" i="3" s="1"/>
  <c r="CD24" i="3"/>
  <c r="CD119" i="3" s="1"/>
  <c r="CD20" i="3"/>
  <c r="CD115" i="3" s="1"/>
  <c r="DC17" i="3"/>
  <c r="DC112" i="3" s="1"/>
  <c r="CU17" i="3"/>
  <c r="CU112" i="3" s="1"/>
  <c r="BF83" i="3"/>
  <c r="BB83" i="3"/>
  <c r="Z83" i="3"/>
  <c r="V83" i="3"/>
  <c r="R83" i="3"/>
  <c r="CM40" i="3"/>
  <c r="CM135" i="3" s="1"/>
  <c r="CM41" i="3"/>
  <c r="CM136" i="3" s="1"/>
  <c r="AS82" i="53"/>
  <c r="CB46" i="2"/>
  <c r="AX46" i="2"/>
  <c r="CD46" i="2"/>
  <c r="BG125" i="53"/>
  <c r="BG127" i="53" s="1"/>
  <c r="AU125" i="53"/>
  <c r="AU127" i="53" s="1"/>
  <c r="AS125" i="53"/>
  <c r="AS127" i="53" s="1"/>
  <c r="O48" i="53"/>
  <c r="M48" i="53"/>
  <c r="K48" i="53"/>
  <c r="I48" i="53"/>
  <c r="E48" i="53"/>
  <c r="AZ48" i="53"/>
  <c r="AB13" i="53"/>
  <c r="CT165" i="53"/>
  <c r="CE115" i="53"/>
  <c r="AQ47" i="53"/>
  <c r="AU47" i="53"/>
  <c r="AJ167" i="53"/>
  <c r="T167" i="53"/>
  <c r="D167" i="53"/>
  <c r="BF125" i="53"/>
  <c r="BF127" i="53" s="1"/>
  <c r="AX125" i="53"/>
  <c r="AX127" i="53" s="1"/>
  <c r="AP125" i="53"/>
  <c r="AP127" i="53" s="1"/>
  <c r="AU59" i="53"/>
  <c r="DA44" i="53"/>
  <c r="CH44" i="53"/>
  <c r="BG59" i="53"/>
  <c r="AQ66" i="53"/>
  <c r="AQ48" i="53" s="1"/>
  <c r="AM66" i="53"/>
  <c r="BF59" i="53"/>
  <c r="BF48" i="53"/>
  <c r="BB59" i="53"/>
  <c r="BB48" i="53"/>
  <c r="AT59" i="53"/>
  <c r="AT48" i="53"/>
  <c r="AQ14" i="53"/>
  <c r="AM14" i="53"/>
  <c r="AM12" i="53"/>
  <c r="CZ11" i="53"/>
  <c r="CG11" i="53"/>
  <c r="AM80" i="53"/>
  <c r="AR45" i="53"/>
  <c r="BL46" i="53" s="1"/>
  <c r="BP35" i="53"/>
  <c r="BF35" i="53"/>
  <c r="BB35" i="53"/>
  <c r="AX35" i="53"/>
  <c r="AT35" i="53"/>
  <c r="AP35" i="53"/>
  <c r="AL35" i="53"/>
  <c r="AH35" i="53"/>
  <c r="AD35" i="53"/>
  <c r="Z35" i="53"/>
  <c r="BO24" i="53"/>
  <c r="BG24" i="53"/>
  <c r="BC24" i="53"/>
  <c r="AY24" i="53"/>
  <c r="AU24" i="53"/>
  <c r="AQ24" i="53"/>
  <c r="AM24" i="53"/>
  <c r="AI24" i="53"/>
  <c r="AE24" i="53"/>
  <c r="AA24" i="53"/>
  <c r="AM141" i="53"/>
  <c r="AM143" i="53" s="1"/>
  <c r="AM122" i="53"/>
  <c r="BD125" i="53"/>
  <c r="BD127" i="53" s="1"/>
  <c r="AV125" i="53"/>
  <c r="AV127" i="53" s="1"/>
  <c r="AN125" i="53"/>
  <c r="AN127" i="53" s="1"/>
  <c r="AJ125" i="53"/>
  <c r="AJ127" i="53" s="1"/>
  <c r="AF125" i="53"/>
  <c r="AF127" i="53" s="1"/>
  <c r="AB125" i="53"/>
  <c r="AB127" i="53" s="1"/>
  <c r="X125" i="53"/>
  <c r="X127" i="53" s="1"/>
  <c r="T125" i="53"/>
  <c r="T127" i="53" s="1"/>
  <c r="P125" i="53"/>
  <c r="P127" i="53" s="1"/>
  <c r="L125" i="53"/>
  <c r="L127" i="53" s="1"/>
  <c r="H125" i="53"/>
  <c r="H127" i="53" s="1"/>
  <c r="D125" i="53"/>
  <c r="D127" i="53" s="1"/>
  <c r="W66" i="53"/>
  <c r="W59" i="53" s="1"/>
  <c r="L26" i="53"/>
  <c r="AX46" i="53"/>
  <c r="BC26" i="53"/>
  <c r="AY26" i="53"/>
  <c r="AQ46" i="53"/>
  <c r="AK48" i="53"/>
  <c r="U48" i="53"/>
  <c r="BI35" i="53"/>
  <c r="BE35" i="53"/>
  <c r="BA35" i="53"/>
  <c r="AW35" i="53"/>
  <c r="AS35" i="53"/>
  <c r="AO35" i="53"/>
  <c r="AK35" i="53"/>
  <c r="AG35" i="53"/>
  <c r="AC35" i="53"/>
  <c r="Y35" i="53"/>
  <c r="BH24" i="53"/>
  <c r="BD24" i="53"/>
  <c r="AZ24" i="53"/>
  <c r="AV24" i="53"/>
  <c r="AR24" i="53"/>
  <c r="AN24" i="53"/>
  <c r="AJ24" i="53"/>
  <c r="AF24" i="53"/>
  <c r="AB24" i="53"/>
  <c r="BI13" i="53"/>
  <c r="BE13" i="53"/>
  <c r="BA13" i="53"/>
  <c r="AW13" i="53"/>
  <c r="AS13" i="53"/>
  <c r="AO13" i="53"/>
  <c r="AK13" i="53"/>
  <c r="AG13" i="53"/>
  <c r="AC13" i="53"/>
  <c r="Y13" i="53"/>
  <c r="AR46" i="53"/>
  <c r="BJ35" i="53"/>
  <c r="BI24" i="53"/>
  <c r="BH26" i="53"/>
  <c r="AR26" i="53"/>
  <c r="AB26" i="53"/>
  <c r="BF46" i="53"/>
  <c r="AG48" i="53"/>
  <c r="Q48" i="53"/>
  <c r="CJ66" i="53"/>
  <c r="CF66" i="53"/>
  <c r="CB66" i="53"/>
  <c r="AY167" i="53"/>
  <c r="AO167" i="53"/>
  <c r="BG167" i="53"/>
  <c r="AU167" i="53"/>
  <c r="AK167" i="53"/>
  <c r="U167" i="53"/>
  <c r="AQ157" i="53"/>
  <c r="AU140" i="53"/>
  <c r="BB125" i="53"/>
  <c r="BB127" i="53" s="1"/>
  <c r="AT125" i="53"/>
  <c r="AT127" i="53" s="1"/>
  <c r="AY122" i="53"/>
  <c r="BE59" i="53"/>
  <c r="AS59" i="53"/>
  <c r="AO59" i="53"/>
  <c r="AN48" i="53"/>
  <c r="AJ48" i="53"/>
  <c r="AF48" i="53"/>
  <c r="P48" i="53"/>
  <c r="AG59" i="53"/>
  <c r="Q59" i="53"/>
  <c r="BJ46" i="53"/>
  <c r="BG48" i="53"/>
  <c r="BI46" i="53"/>
  <c r="BE48" i="53"/>
  <c r="BA48" i="53"/>
  <c r="AW48" i="53"/>
  <c r="AY46" i="53"/>
  <c r="AU48" i="53"/>
  <c r="AW46" i="53"/>
  <c r="AS48" i="53"/>
  <c r="AU46" i="53"/>
  <c r="AS46" i="53"/>
  <c r="AO48" i="53"/>
  <c r="AM48" i="53"/>
  <c r="AI26" i="53"/>
  <c r="S26" i="53"/>
  <c r="G67" i="53"/>
  <c r="AV59" i="53"/>
  <c r="AF59" i="53"/>
  <c r="P59" i="53"/>
  <c r="BF37" i="53"/>
  <c r="BJ69" i="53"/>
  <c r="BB37" i="53"/>
  <c r="AX37" i="53"/>
  <c r="AT37" i="53"/>
  <c r="AP37" i="53"/>
  <c r="AL37" i="53"/>
  <c r="AH37" i="53"/>
  <c r="AD37" i="53"/>
  <c r="Z37" i="53"/>
  <c r="V37" i="53"/>
  <c r="R37" i="53"/>
  <c r="N37" i="53"/>
  <c r="J37" i="53"/>
  <c r="F37" i="53"/>
  <c r="BG35" i="53"/>
  <c r="BC35" i="53"/>
  <c r="AY35" i="53"/>
  <c r="AU35" i="53"/>
  <c r="AQ35" i="53"/>
  <c r="AM35" i="53"/>
  <c r="AI35" i="53"/>
  <c r="AE35" i="53"/>
  <c r="AA35" i="53"/>
  <c r="BJ24" i="53"/>
  <c r="BF24" i="53"/>
  <c r="BB24" i="53"/>
  <c r="AX24" i="53"/>
  <c r="AT24" i="53"/>
  <c r="AP24" i="53"/>
  <c r="AL24" i="53"/>
  <c r="AH24" i="53"/>
  <c r="AD24" i="53"/>
  <c r="Z24" i="53"/>
  <c r="BG13" i="53"/>
  <c r="BC13" i="53"/>
  <c r="AM13" i="53"/>
  <c r="AI13" i="53"/>
  <c r="AE13" i="53"/>
  <c r="AA13" i="53"/>
  <c r="BJ13" i="53"/>
  <c r="CN123" i="2"/>
  <c r="CN77" i="2"/>
  <c r="CL123" i="2"/>
  <c r="CL77" i="2"/>
  <c r="CJ123" i="2"/>
  <c r="CJ77" i="2"/>
  <c r="CH123" i="2"/>
  <c r="CH77" i="2"/>
  <c r="CF123" i="2"/>
  <c r="CF77" i="2"/>
  <c r="CD123" i="2"/>
  <c r="CD77" i="2"/>
  <c r="CB123" i="2"/>
  <c r="CB77" i="2"/>
  <c r="BZ123" i="2"/>
  <c r="BZ77" i="2"/>
  <c r="BC123" i="2"/>
  <c r="BC77" i="2"/>
  <c r="BA123" i="2"/>
  <c r="BA77" i="2"/>
  <c r="AY123" i="2"/>
  <c r="AY77" i="2"/>
  <c r="AW123" i="2"/>
  <c r="AW77" i="2"/>
  <c r="AU123" i="2"/>
  <c r="AU77" i="2"/>
  <c r="AS123" i="2"/>
  <c r="AS77" i="2"/>
  <c r="AQ123" i="2"/>
  <c r="AQ77" i="2"/>
  <c r="AO123" i="2"/>
  <c r="AO77" i="2"/>
  <c r="AM123" i="2"/>
  <c r="AM77" i="2"/>
  <c r="AK123" i="2"/>
  <c r="AK77" i="2"/>
  <c r="AI123" i="2"/>
  <c r="AI77" i="2"/>
  <c r="AG123" i="2"/>
  <c r="AG77" i="2"/>
  <c r="AE123" i="2"/>
  <c r="AE77" i="2"/>
  <c r="AC123" i="2"/>
  <c r="AC77" i="2"/>
  <c r="AA123" i="2"/>
  <c r="AA77" i="2"/>
  <c r="Y123" i="2"/>
  <c r="Y77" i="2"/>
  <c r="W123" i="2"/>
  <c r="W77" i="2"/>
  <c r="U123" i="2"/>
  <c r="U77" i="2"/>
  <c r="S123" i="2"/>
  <c r="S77" i="2"/>
  <c r="Q123" i="2"/>
  <c r="Q77" i="2"/>
  <c r="O123" i="2"/>
  <c r="O77" i="2"/>
  <c r="M123" i="2"/>
  <c r="M77" i="2"/>
  <c r="K123" i="2"/>
  <c r="K77" i="2"/>
  <c r="I123" i="2"/>
  <c r="I77" i="2"/>
  <c r="G123" i="2"/>
  <c r="G77" i="2"/>
  <c r="E123" i="2"/>
  <c r="E77" i="2"/>
  <c r="R131" i="2"/>
  <c r="R94" i="2"/>
  <c r="P131" i="2"/>
  <c r="P94" i="2"/>
  <c r="N131" i="2"/>
  <c r="N94" i="2"/>
  <c r="L131" i="2"/>
  <c r="L94" i="2"/>
  <c r="J131" i="2"/>
  <c r="J94" i="2"/>
  <c r="H131" i="2"/>
  <c r="H94" i="2"/>
  <c r="F131" i="2"/>
  <c r="F94" i="2"/>
  <c r="D131" i="2"/>
  <c r="D94" i="2"/>
  <c r="CO94" i="2"/>
  <c r="CM94" i="2"/>
  <c r="CK94" i="2"/>
  <c r="CI94" i="2"/>
  <c r="CG94" i="2"/>
  <c r="CE94" i="2"/>
  <c r="CC94" i="2"/>
  <c r="CA94" i="2"/>
  <c r="BY94" i="2"/>
  <c r="BB77" i="2"/>
  <c r="AZ77" i="2"/>
  <c r="AX77" i="2"/>
  <c r="AV77" i="2"/>
  <c r="AT77" i="2"/>
  <c r="AR77" i="2"/>
  <c r="AP77" i="2"/>
  <c r="AN77" i="2"/>
  <c r="AL77" i="2"/>
  <c r="AJ77" i="2"/>
  <c r="AH77" i="2"/>
  <c r="AF77" i="2"/>
  <c r="AD77" i="2"/>
  <c r="AB77" i="2"/>
  <c r="Z77" i="2"/>
  <c r="X77" i="2"/>
  <c r="V77" i="2"/>
  <c r="T77" i="2"/>
  <c r="T123" i="2"/>
  <c r="R123" i="2"/>
  <c r="P123" i="2"/>
  <c r="N123" i="2"/>
  <c r="L123" i="2"/>
  <c r="J123" i="2"/>
  <c r="H123" i="2"/>
  <c r="F123" i="2"/>
  <c r="D123" i="2"/>
  <c r="CN94" i="2"/>
  <c r="CL94" i="2"/>
  <c r="CJ94" i="2"/>
  <c r="CH94" i="2"/>
  <c r="CF94" i="2"/>
  <c r="CD94" i="2"/>
  <c r="CB94" i="2"/>
  <c r="BZ94" i="2"/>
  <c r="BC94" i="2"/>
  <c r="BA94" i="2"/>
  <c r="AY94" i="2"/>
  <c r="AW94" i="2"/>
  <c r="AU94" i="2"/>
  <c r="AS94" i="2"/>
  <c r="AQ94" i="2"/>
  <c r="AO94" i="2"/>
  <c r="AM94" i="2"/>
  <c r="AK94" i="2"/>
  <c r="AI94" i="2"/>
  <c r="AG94" i="2"/>
  <c r="AE94" i="2"/>
  <c r="AC94" i="2"/>
  <c r="AA94" i="2"/>
  <c r="Y94" i="2"/>
  <c r="W94" i="2"/>
  <c r="U94" i="2"/>
  <c r="S94" i="2"/>
  <c r="Q94" i="2"/>
  <c r="O94" i="2"/>
  <c r="M94" i="2"/>
  <c r="K94" i="2"/>
  <c r="I94" i="2"/>
  <c r="G94" i="2"/>
  <c r="E94" i="2"/>
  <c r="BJ102" i="3"/>
  <c r="BJ61" i="3"/>
  <c r="BJ76" i="3" s="1"/>
  <c r="BJ86" i="3" s="1"/>
  <c r="BY11" i="3"/>
  <c r="BY82" i="3" s="1"/>
  <c r="CL22" i="3"/>
  <c r="CL117" i="3" s="1"/>
  <c r="CL20" i="3"/>
  <c r="AQ13" i="3"/>
  <c r="CY34" i="3"/>
  <c r="CY129" i="3" s="1"/>
  <c r="CW32" i="3"/>
  <c r="CW127" i="3" s="1"/>
  <c r="AT82" i="3"/>
  <c r="AD82" i="3"/>
  <c r="N82" i="3"/>
  <c r="AL82" i="53"/>
  <c r="AX43" i="3"/>
  <c r="AX110" i="83" s="1"/>
  <c r="R43" i="3"/>
  <c r="R110" i="83" s="1"/>
  <c r="CE52" i="3"/>
  <c r="CE147" i="3" s="1"/>
  <c r="DA41" i="3"/>
  <c r="DA136" i="3" s="1"/>
  <c r="CW41" i="3"/>
  <c r="CW136" i="3" s="1"/>
  <c r="CS41" i="3"/>
  <c r="CS136" i="3" s="1"/>
  <c r="DD24" i="3"/>
  <c r="DD119" i="3" s="1"/>
  <c r="CZ24" i="3"/>
  <c r="CZ119" i="3" s="1"/>
  <c r="CV24" i="3"/>
  <c r="CV119" i="3" s="1"/>
  <c r="CR24" i="3"/>
  <c r="CR119" i="3" s="1"/>
  <c r="DD22" i="3"/>
  <c r="DD117" i="3" s="1"/>
  <c r="CZ22" i="3"/>
  <c r="CZ117" i="3" s="1"/>
  <c r="CV22" i="3"/>
  <c r="CV117" i="3" s="1"/>
  <c r="CR22" i="3"/>
  <c r="CR117" i="3" s="1"/>
  <c r="DD20" i="3"/>
  <c r="DD115" i="3" s="1"/>
  <c r="CZ20" i="3"/>
  <c r="CZ115" i="3" s="1"/>
  <c r="CV20" i="3"/>
  <c r="CV115" i="3" s="1"/>
  <c r="CR20" i="3"/>
  <c r="CR115" i="3" s="1"/>
  <c r="CE11" i="3"/>
  <c r="BS82" i="53" s="1"/>
  <c r="CI31" i="3"/>
  <c r="CI126" i="3" s="1"/>
  <c r="CE31" i="3"/>
  <c r="CE126" i="3" s="1"/>
  <c r="CA31" i="3"/>
  <c r="CA126" i="3" s="1"/>
  <c r="CH24" i="3"/>
  <c r="CH119" i="3" s="1"/>
  <c r="CH22" i="3"/>
  <c r="CH117" i="3" s="1"/>
  <c r="CH20" i="3"/>
  <c r="DA14" i="3"/>
  <c r="DA109" i="3" s="1"/>
  <c r="CS14" i="3"/>
  <c r="CS109" i="3" s="1"/>
  <c r="CY13" i="3"/>
  <c r="CY108" i="3" s="1"/>
  <c r="CW34" i="3"/>
  <c r="CW129" i="3" s="1"/>
  <c r="DC32" i="3"/>
  <c r="DC127" i="3" s="1"/>
  <c r="CU32" i="3"/>
  <c r="CU127" i="3" s="1"/>
  <c r="DC15" i="3"/>
  <c r="DC110" i="3" s="1"/>
  <c r="AU13" i="3"/>
  <c r="AT43" i="3"/>
  <c r="AT110" i="83" s="1"/>
  <c r="N43" i="3"/>
  <c r="N110" i="83" s="1"/>
  <c r="CU45" i="3"/>
  <c r="CU140" i="3" s="1"/>
  <c r="AP43" i="3"/>
  <c r="AP110" i="83" s="1"/>
  <c r="J43" i="3"/>
  <c r="J110" i="83" s="1"/>
  <c r="AL43" i="3"/>
  <c r="AL110" i="83" s="1"/>
  <c r="F43" i="3"/>
  <c r="F110" i="83" s="1"/>
  <c r="AP82" i="53"/>
  <c r="BI62" i="3"/>
  <c r="BI64" i="3" s="1"/>
  <c r="BJ29" i="3"/>
  <c r="BK29" i="3" s="1"/>
  <c r="BI89" i="3"/>
  <c r="AT15" i="3"/>
  <c r="CC45" i="3"/>
  <c r="CC140" i="3" s="1"/>
  <c r="CO82" i="53"/>
  <c r="BG82" i="53"/>
  <c r="BC82" i="53"/>
  <c r="AY82" i="53"/>
  <c r="AU82" i="53"/>
  <c r="AQ82" i="53"/>
  <c r="AM82" i="53"/>
  <c r="BI36" i="3"/>
  <c r="BJ30" i="3"/>
  <c r="BK30" i="3" s="1"/>
  <c r="DF30" i="3" s="1"/>
  <c r="DF125" i="3" s="1"/>
  <c r="AT82" i="53"/>
  <c r="AX82" i="53"/>
  <c r="AH43" i="3"/>
  <c r="AH110" i="83" s="1"/>
  <c r="CI52" i="3"/>
  <c r="CI147" i="3" s="1"/>
  <c r="CA52" i="3"/>
  <c r="CA147" i="3" s="1"/>
  <c r="DC41" i="3"/>
  <c r="DC136" i="3" s="1"/>
  <c r="CY41" i="3"/>
  <c r="CY136" i="3" s="1"/>
  <c r="CU41" i="3"/>
  <c r="CU136" i="3" s="1"/>
  <c r="DB24" i="3"/>
  <c r="DB119" i="3" s="1"/>
  <c r="CX24" i="3"/>
  <c r="CX119" i="3" s="1"/>
  <c r="CT24" i="3"/>
  <c r="CT119" i="3" s="1"/>
  <c r="DB22" i="3"/>
  <c r="DB117" i="3" s="1"/>
  <c r="CX22" i="3"/>
  <c r="CX117" i="3" s="1"/>
  <c r="CT22" i="3"/>
  <c r="CT117" i="3" s="1"/>
  <c r="DB20" i="3"/>
  <c r="DB115" i="3" s="1"/>
  <c r="CX20" i="3"/>
  <c r="CX115" i="3" s="1"/>
  <c r="CT20" i="3"/>
  <c r="CT115" i="3" s="1"/>
  <c r="CI11" i="3"/>
  <c r="CA11" i="3"/>
  <c r="CK31" i="3"/>
  <c r="CK126" i="3" s="1"/>
  <c r="CG31" i="3"/>
  <c r="CG126" i="3" s="1"/>
  <c r="CC31" i="3"/>
  <c r="CC126" i="3" s="1"/>
  <c r="BY31" i="3"/>
  <c r="BY126" i="3" s="1"/>
  <c r="BZ24" i="3"/>
  <c r="BZ119" i="3" s="1"/>
  <c r="BZ22" i="3"/>
  <c r="BZ117" i="3" s="1"/>
  <c r="BZ20" i="3"/>
  <c r="BZ115" i="3" s="1"/>
  <c r="CY17" i="3"/>
  <c r="CY112" i="3" s="1"/>
  <c r="AY13" i="3"/>
  <c r="DA34" i="3"/>
  <c r="DA129" i="3" s="1"/>
  <c r="CS34" i="3"/>
  <c r="CS129" i="3" s="1"/>
  <c r="CY32" i="3"/>
  <c r="CY127" i="3" s="1"/>
  <c r="DE30" i="3"/>
  <c r="DE125" i="3" s="1"/>
  <c r="DA15" i="3"/>
  <c r="DA110" i="3" s="1"/>
  <c r="AX79" i="3"/>
  <c r="AX83" i="3" s="1"/>
  <c r="AT79" i="3"/>
  <c r="AD79" i="3"/>
  <c r="AD80" i="3" s="1"/>
  <c r="N79" i="3"/>
  <c r="AD43" i="3"/>
  <c r="AD110" i="83" s="1"/>
  <c r="CM30" i="3"/>
  <c r="CM125" i="3" s="1"/>
  <c r="BB82" i="53"/>
  <c r="Z43" i="3"/>
  <c r="Z110" i="83" s="1"/>
  <c r="BI82" i="3"/>
  <c r="BJ11" i="3"/>
  <c r="BJ172" i="83" s="1"/>
  <c r="BJ174" i="83" s="1"/>
  <c r="BI79" i="3"/>
  <c r="BI88" i="3"/>
  <c r="BI26" i="3"/>
  <c r="BI95" i="3" s="1"/>
  <c r="BI96" i="3" s="1"/>
  <c r="BI82" i="53"/>
  <c r="CH82" i="53"/>
  <c r="BB43" i="3"/>
  <c r="BB110" i="83" s="1"/>
  <c r="V43" i="3"/>
  <c r="V110" i="83" s="1"/>
  <c r="BF82" i="53"/>
  <c r="BJ39" i="3"/>
  <c r="BI47" i="3"/>
  <c r="BI65" i="3"/>
  <c r="BJ16" i="3"/>
  <c r="CA45" i="3"/>
  <c r="CA140" i="3" s="1"/>
  <c r="CE45" i="3"/>
  <c r="CE140" i="3" s="1"/>
  <c r="DA89" i="2"/>
  <c r="BN77" i="2"/>
  <c r="BS131" i="2"/>
  <c r="BK131" i="2"/>
  <c r="CJ1" i="53"/>
  <c r="BN123" i="2"/>
  <c r="BR94" i="2"/>
  <c r="CY81" i="2"/>
  <c r="BO61" i="3"/>
  <c r="BO76" i="3" s="1"/>
  <c r="BO86" i="3" s="1"/>
  <c r="DC81" i="2"/>
  <c r="CU81" i="2"/>
  <c r="CS89" i="2"/>
  <c r="BR61" i="3"/>
  <c r="BR76" i="3" s="1"/>
  <c r="BR86" i="3" s="1"/>
  <c r="AR1" i="53"/>
  <c r="CX81" i="2"/>
  <c r="CW81" i="2"/>
  <c r="BF123" i="2"/>
  <c r="BE102" i="3"/>
  <c r="BC125" i="2"/>
  <c r="CL44" i="2"/>
  <c r="CL46" i="2" s="1"/>
  <c r="CJ44" i="2"/>
  <c r="CJ46" i="2" s="1"/>
  <c r="BE89" i="2"/>
  <c r="L1" i="53"/>
  <c r="BI102" i="3"/>
  <c r="BI61" i="3"/>
  <c r="BI76" i="3" s="1"/>
  <c r="BI86" i="3" s="1"/>
  <c r="DB81" i="2"/>
  <c r="CT81" i="2"/>
  <c r="BR77" i="2"/>
  <c r="BP94" i="2"/>
  <c r="BN94" i="2"/>
  <c r="BH94" i="2"/>
  <c r="BF94" i="2"/>
  <c r="BK102" i="3"/>
  <c r="F1" i="53"/>
  <c r="AZ46" i="2"/>
  <c r="AF46" i="2"/>
  <c r="AR46" i="2"/>
  <c r="AS46" i="2"/>
  <c r="AS67" i="3"/>
  <c r="U46" i="2"/>
  <c r="U67" i="3"/>
  <c r="BE46" i="2"/>
  <c r="BE67" i="3"/>
  <c r="AU46" i="2"/>
  <c r="AU67" i="3"/>
  <c r="AM46" i="2"/>
  <c r="AM67" i="3"/>
  <c r="AE46" i="2"/>
  <c r="AE67" i="3"/>
  <c r="W46" i="2"/>
  <c r="W67" i="3"/>
  <c r="O46" i="2"/>
  <c r="O67" i="3"/>
  <c r="G46" i="2"/>
  <c r="G67" i="3"/>
  <c r="BA46" i="2"/>
  <c r="BA67" i="3"/>
  <c r="AC46" i="2"/>
  <c r="AC67" i="3"/>
  <c r="AT46" i="2"/>
  <c r="AH46" i="2"/>
  <c r="AY46" i="2"/>
  <c r="AY67" i="3"/>
  <c r="AQ46" i="2"/>
  <c r="AQ67" i="3"/>
  <c r="AI46" i="2"/>
  <c r="AI67" i="3"/>
  <c r="AA46" i="2"/>
  <c r="AA67" i="3"/>
  <c r="S46" i="2"/>
  <c r="S67" i="3"/>
  <c r="K46" i="2"/>
  <c r="K67" i="3"/>
  <c r="AK46" i="2"/>
  <c r="AK67" i="3"/>
  <c r="M46" i="2"/>
  <c r="M67" i="3"/>
  <c r="BG46" i="2"/>
  <c r="BG67" i="3"/>
  <c r="AW46" i="2"/>
  <c r="AW67" i="3"/>
  <c r="AO46" i="2"/>
  <c r="AO67" i="3"/>
  <c r="AG46" i="2"/>
  <c r="AG67" i="3"/>
  <c r="Y46" i="2"/>
  <c r="Y67" i="3"/>
  <c r="Q46" i="2"/>
  <c r="Q67" i="3"/>
  <c r="I46" i="2"/>
  <c r="I67" i="3"/>
  <c r="AB1" i="53"/>
  <c r="AL1" i="53"/>
  <c r="CN1" i="53"/>
  <c r="BP77" i="2"/>
  <c r="BL77" i="2"/>
  <c r="BH77" i="2"/>
  <c r="CY1" i="53"/>
  <c r="AT1" i="53"/>
  <c r="N1" i="53"/>
  <c r="DD1" i="53"/>
  <c r="AZ1" i="53"/>
  <c r="T1" i="53"/>
  <c r="CX83" i="2"/>
  <c r="BP123" i="2"/>
  <c r="BL123" i="2"/>
  <c r="BH123" i="2"/>
  <c r="BS61" i="3"/>
  <c r="BS76" i="3" s="1"/>
  <c r="BS86" i="3" s="1"/>
  <c r="BN1" i="53"/>
  <c r="AD1" i="53"/>
  <c r="CH1" i="53"/>
  <c r="AJ1" i="53"/>
  <c r="D1" i="53"/>
  <c r="DE1" i="53"/>
  <c r="BF1" i="53"/>
  <c r="V1" i="53"/>
  <c r="BL1" i="53"/>
  <c r="DE24" i="3"/>
  <c r="DE119" i="3" s="1"/>
  <c r="CM22" i="3"/>
  <c r="CM117" i="3" s="1"/>
  <c r="CM46" i="3"/>
  <c r="CM141" i="3" s="1"/>
  <c r="DF148" i="2"/>
  <c r="DF157" i="3"/>
  <c r="CX148" i="2"/>
  <c r="CX157" i="3"/>
  <c r="CT148" i="2"/>
  <c r="CT157" i="3"/>
  <c r="DD81" i="2"/>
  <c r="CZ81" i="2"/>
  <c r="CV81" i="2"/>
  <c r="CR81" i="2"/>
  <c r="DC83" i="2"/>
  <c r="DA83" i="2"/>
  <c r="CY83" i="2"/>
  <c r="CW83" i="2"/>
  <c r="CU83" i="2"/>
  <c r="CS83" i="2"/>
  <c r="CK83" i="2"/>
  <c r="BS77" i="2"/>
  <c r="BO77" i="2"/>
  <c r="BK77" i="2"/>
  <c r="BG77" i="2"/>
  <c r="BP61" i="3"/>
  <c r="BP76" i="3" s="1"/>
  <c r="BP86" i="3" s="1"/>
  <c r="BL61" i="3"/>
  <c r="BL76" i="3" s="1"/>
  <c r="BL86" i="3" s="1"/>
  <c r="BH61" i="3"/>
  <c r="BH76" i="3" s="1"/>
  <c r="BH86" i="3" s="1"/>
  <c r="BD61" i="3"/>
  <c r="BD76" i="3" s="1"/>
  <c r="BD86" i="3" s="1"/>
  <c r="DG1" i="53"/>
  <c r="DC1" i="53"/>
  <c r="CM1" i="53"/>
  <c r="CF1" i="53"/>
  <c r="BJ1" i="53"/>
  <c r="AX1" i="53"/>
  <c r="AP1" i="53"/>
  <c r="AH1" i="53"/>
  <c r="Z1" i="53"/>
  <c r="R1" i="53"/>
  <c r="J1" i="53"/>
  <c r="DF1" i="53"/>
  <c r="DA1" i="53"/>
  <c r="CL1" i="53"/>
  <c r="CB1" i="53"/>
  <c r="BH1" i="53"/>
  <c r="AV1" i="53"/>
  <c r="AN1" i="53"/>
  <c r="AF1" i="53"/>
  <c r="X1" i="53"/>
  <c r="P1" i="53"/>
  <c r="H1" i="53"/>
  <c r="DE78" i="2"/>
  <c r="DG157" i="3"/>
  <c r="DG148" i="2"/>
  <c r="DC157" i="3"/>
  <c r="DC148" i="2"/>
  <c r="CY157" i="3"/>
  <c r="CY148" i="2"/>
  <c r="CU157" i="3"/>
  <c r="CU148" i="2"/>
  <c r="DD83" i="2"/>
  <c r="CZ83" i="2"/>
  <c r="CV83" i="2"/>
  <c r="CR83" i="2"/>
  <c r="BD60" i="2"/>
  <c r="DE157" i="3"/>
  <c r="DE148" i="2"/>
  <c r="DA157" i="3"/>
  <c r="DA148" i="2"/>
  <c r="CW157" i="3"/>
  <c r="CW148" i="2"/>
  <c r="CS157" i="3"/>
  <c r="CS148" i="2"/>
  <c r="DB6" i="3"/>
  <c r="CJ48" i="53"/>
  <c r="CB48" i="53"/>
  <c r="CU165" i="53"/>
  <c r="AU157" i="53"/>
  <c r="CI150" i="53"/>
  <c r="AK125" i="53"/>
  <c r="AK127" i="53" s="1"/>
  <c r="AC125" i="53"/>
  <c r="AC127" i="53" s="1"/>
  <c r="U125" i="53"/>
  <c r="U127" i="53" s="1"/>
  <c r="M125" i="53"/>
  <c r="M127" i="53" s="1"/>
  <c r="E125" i="53"/>
  <c r="E127" i="53" s="1"/>
  <c r="BE125" i="53"/>
  <c r="BE127" i="53" s="1"/>
  <c r="BC125" i="53"/>
  <c r="BC127" i="53" s="1"/>
  <c r="BA125" i="53"/>
  <c r="BA127" i="53" s="1"/>
  <c r="AO125" i="53"/>
  <c r="AO127" i="53" s="1"/>
  <c r="AI123" i="53"/>
  <c r="AI124" i="53"/>
  <c r="AE123" i="53"/>
  <c r="AE124" i="53"/>
  <c r="AE117" i="53"/>
  <c r="AA123" i="53"/>
  <c r="AA124" i="53"/>
  <c r="AA117" i="53"/>
  <c r="W123" i="53"/>
  <c r="W124" i="53"/>
  <c r="W117" i="53"/>
  <c r="S123" i="53"/>
  <c r="S124" i="53"/>
  <c r="S117" i="53"/>
  <c r="O123" i="53"/>
  <c r="O124" i="53"/>
  <c r="K123" i="53"/>
  <c r="K124" i="53"/>
  <c r="G123" i="53"/>
  <c r="G124" i="53"/>
  <c r="AY124" i="53"/>
  <c r="AY120" i="53"/>
  <c r="AQ122" i="53"/>
  <c r="AM124" i="53"/>
  <c r="AI122" i="53"/>
  <c r="AA122" i="53"/>
  <c r="S122" i="53"/>
  <c r="K122" i="53"/>
  <c r="AU139" i="53"/>
  <c r="AU141" i="53" s="1"/>
  <c r="AU143" i="53" s="1"/>
  <c r="BH125" i="53"/>
  <c r="BH127" i="53" s="1"/>
  <c r="AZ125" i="53"/>
  <c r="AZ127" i="53" s="1"/>
  <c r="AR125" i="53"/>
  <c r="AR127" i="53" s="1"/>
  <c r="AL125" i="53"/>
  <c r="AL127" i="53" s="1"/>
  <c r="AH125" i="53"/>
  <c r="AH127" i="53" s="1"/>
  <c r="AD125" i="53"/>
  <c r="AD127" i="53" s="1"/>
  <c r="Z125" i="53"/>
  <c r="Z127" i="53" s="1"/>
  <c r="V125" i="53"/>
  <c r="V127" i="53" s="1"/>
  <c r="R125" i="53"/>
  <c r="R127" i="53" s="1"/>
  <c r="N125" i="53"/>
  <c r="N127" i="53" s="1"/>
  <c r="J125" i="53"/>
  <c r="J127" i="53" s="1"/>
  <c r="F125" i="53"/>
  <c r="F127" i="53" s="1"/>
  <c r="AY123" i="53"/>
  <c r="AM123" i="53"/>
  <c r="CY115" i="53"/>
  <c r="CU115" i="53"/>
  <c r="AM120" i="53"/>
  <c r="AE120" i="53"/>
  <c r="W120" i="53"/>
  <c r="O120" i="53"/>
  <c r="G120" i="53"/>
  <c r="DA58" i="53"/>
  <c r="CJ59" i="53"/>
  <c r="CJ58" i="53"/>
  <c r="CF59" i="53"/>
  <c r="AM121" i="53"/>
  <c r="AE121" i="53"/>
  <c r="W121" i="53"/>
  <c r="O121" i="53"/>
  <c r="G121" i="53"/>
  <c r="AZ67" i="53"/>
  <c r="AZ69" i="53"/>
  <c r="AJ79" i="53"/>
  <c r="AJ69" i="53"/>
  <c r="AJ67" i="53"/>
  <c r="T69" i="53"/>
  <c r="T67" i="53"/>
  <c r="DB58" i="53"/>
  <c r="CK58" i="53"/>
  <c r="BB46" i="53"/>
  <c r="AT46" i="53"/>
  <c r="DE44" i="53"/>
  <c r="CW66" i="53"/>
  <c r="CW15" i="53" s="1"/>
  <c r="CL66" i="53"/>
  <c r="CL47" i="53"/>
  <c r="CD66" i="53"/>
  <c r="BG69" i="53"/>
  <c r="BG67" i="53"/>
  <c r="BE69" i="53"/>
  <c r="BE67" i="53"/>
  <c r="BG46" i="53"/>
  <c r="BC48" i="53"/>
  <c r="BE46" i="53"/>
  <c r="BC46" i="53"/>
  <c r="AY48" i="53"/>
  <c r="BA46" i="53"/>
  <c r="DB66" i="53"/>
  <c r="DB15" i="53" s="1"/>
  <c r="AU69" i="53"/>
  <c r="AU67" i="53"/>
  <c r="AS69" i="53"/>
  <c r="AS67" i="53"/>
  <c r="AO69" i="53"/>
  <c r="AO67" i="53"/>
  <c r="AM69" i="53"/>
  <c r="AI48" i="53"/>
  <c r="CX66" i="53"/>
  <c r="AE69" i="53"/>
  <c r="AE67" i="53"/>
  <c r="AC69" i="53"/>
  <c r="AC67" i="53"/>
  <c r="AA69" i="53"/>
  <c r="AA67" i="53"/>
  <c r="Y69" i="53"/>
  <c r="Y67" i="53"/>
  <c r="W48" i="53"/>
  <c r="S48" i="53"/>
  <c r="CT66" i="53"/>
  <c r="CT15" i="53" s="1"/>
  <c r="O69" i="53"/>
  <c r="O67" i="53"/>
  <c r="M69" i="53"/>
  <c r="M67" i="53"/>
  <c r="K69" i="53"/>
  <c r="K67" i="53"/>
  <c r="I69" i="53"/>
  <c r="I67" i="53"/>
  <c r="E67" i="53"/>
  <c r="DC36" i="53"/>
  <c r="CY36" i="53"/>
  <c r="CU36" i="53"/>
  <c r="CL36" i="53"/>
  <c r="CL37" i="53"/>
  <c r="CH36" i="53"/>
  <c r="CD36" i="53"/>
  <c r="BZ36" i="53"/>
  <c r="DB25" i="53"/>
  <c r="CX25" i="53"/>
  <c r="CT25" i="53"/>
  <c r="CI25" i="53"/>
  <c r="CE25" i="53"/>
  <c r="CA25" i="53"/>
  <c r="DA14" i="53"/>
  <c r="CW14" i="53"/>
  <c r="CJ14" i="53"/>
  <c r="CF14" i="53"/>
  <c r="CB14" i="53"/>
  <c r="BH59" i="53"/>
  <c r="AZ59" i="53"/>
  <c r="AR59" i="53"/>
  <c r="AJ59" i="53"/>
  <c r="AB59" i="53"/>
  <c r="T59" i="53"/>
  <c r="L59" i="53"/>
  <c r="D59" i="53"/>
  <c r="BD67" i="53"/>
  <c r="BD69" i="53"/>
  <c r="CK47" i="53"/>
  <c r="CK66" i="53"/>
  <c r="CK15" i="53" s="1"/>
  <c r="AV67" i="53"/>
  <c r="AV69" i="53"/>
  <c r="CI47" i="53"/>
  <c r="CI66" i="53"/>
  <c r="AN67" i="53"/>
  <c r="AN69" i="53"/>
  <c r="AF69" i="53"/>
  <c r="AF67" i="53"/>
  <c r="CE66" i="53"/>
  <c r="CE59" i="53" s="1"/>
  <c r="X69" i="53"/>
  <c r="X67" i="53"/>
  <c r="CC66" i="53"/>
  <c r="P69" i="53"/>
  <c r="P67" i="53"/>
  <c r="CA66" i="53"/>
  <c r="H69" i="53"/>
  <c r="H67" i="53"/>
  <c r="BG37" i="53"/>
  <c r="BC37" i="53"/>
  <c r="AY37" i="53"/>
  <c r="AU37" i="53"/>
  <c r="AQ37" i="53"/>
  <c r="AM37" i="53"/>
  <c r="AI37" i="53"/>
  <c r="AE37" i="53"/>
  <c r="AA37" i="53"/>
  <c r="W37" i="53"/>
  <c r="S37" i="53"/>
  <c r="O37" i="53"/>
  <c r="K37" i="53"/>
  <c r="G37" i="53"/>
  <c r="BQ35" i="53"/>
  <c r="DB36" i="53"/>
  <c r="CX37" i="53"/>
  <c r="CX36" i="53"/>
  <c r="CT36" i="53"/>
  <c r="CK37" i="53"/>
  <c r="CK36" i="53"/>
  <c r="CG36" i="53"/>
  <c r="CC37" i="53"/>
  <c r="CC36" i="53"/>
  <c r="BD26" i="53"/>
  <c r="AZ26" i="53"/>
  <c r="AV26" i="53"/>
  <c r="AN26" i="53"/>
  <c r="AJ26" i="53"/>
  <c r="AF26" i="53"/>
  <c r="X26" i="53"/>
  <c r="T26" i="53"/>
  <c r="P26" i="53"/>
  <c r="H26" i="53"/>
  <c r="D26" i="53"/>
  <c r="BP24" i="53"/>
  <c r="DA25" i="53"/>
  <c r="CW25" i="53"/>
  <c r="CJ25" i="53"/>
  <c r="CF25" i="53"/>
  <c r="CB25" i="53"/>
  <c r="BG15" i="53"/>
  <c r="BC15" i="53"/>
  <c r="AY15" i="53"/>
  <c r="AU15" i="53"/>
  <c r="AM15" i="53"/>
  <c r="AI15" i="53"/>
  <c r="AE15" i="53"/>
  <c r="AA15" i="53"/>
  <c r="W15" i="53"/>
  <c r="S15" i="53"/>
  <c r="O15" i="53"/>
  <c r="K15" i="53"/>
  <c r="G15" i="53"/>
  <c r="DB14" i="53"/>
  <c r="CX15" i="53"/>
  <c r="CX14" i="53"/>
  <c r="CT14" i="53"/>
  <c r="CK14" i="53"/>
  <c r="CG14" i="53"/>
  <c r="CC15" i="53"/>
  <c r="CC14" i="53"/>
  <c r="BF15" i="53"/>
  <c r="BB15" i="53"/>
  <c r="AX15" i="53"/>
  <c r="AT15" i="53"/>
  <c r="AP15" i="53"/>
  <c r="AL15" i="53"/>
  <c r="AH15" i="53"/>
  <c r="AD15" i="53"/>
  <c r="Z15" i="53"/>
  <c r="V15" i="53"/>
  <c r="R15" i="53"/>
  <c r="N15" i="53"/>
  <c r="J15" i="53"/>
  <c r="F15" i="53"/>
  <c r="CJ47" i="53"/>
  <c r="CY66" i="53"/>
  <c r="CU66" i="53"/>
  <c r="BG26" i="53"/>
  <c r="AU26" i="53"/>
  <c r="AM26" i="53"/>
  <c r="AE26" i="53"/>
  <c r="AA26" i="53"/>
  <c r="O26" i="53"/>
  <c r="K26" i="53"/>
  <c r="G26" i="53"/>
  <c r="AM157" i="53"/>
  <c r="CS165" i="53"/>
  <c r="CZ150" i="53"/>
  <c r="CG150" i="53"/>
  <c r="AY139" i="53"/>
  <c r="AY140" i="53"/>
  <c r="CJ134" i="53"/>
  <c r="AG125" i="53"/>
  <c r="AG127" i="53" s="1"/>
  <c r="Y125" i="53"/>
  <c r="Y127" i="53" s="1"/>
  <c r="Q125" i="53"/>
  <c r="Q127" i="53" s="1"/>
  <c r="I125" i="53"/>
  <c r="I127" i="53" s="1"/>
  <c r="AW125" i="53"/>
  <c r="AW127" i="53" s="1"/>
  <c r="AQ124" i="53"/>
  <c r="AQ120" i="53"/>
  <c r="AQ123" i="53"/>
  <c r="CW115" i="53"/>
  <c r="CS115" i="53"/>
  <c r="AQ121" i="53"/>
  <c r="AI121" i="53"/>
  <c r="AA121" i="53"/>
  <c r="S121" i="53"/>
  <c r="K121" i="53"/>
  <c r="DC58" i="53"/>
  <c r="CL59" i="53"/>
  <c r="CL58" i="53"/>
  <c r="CH58" i="53"/>
  <c r="CD59" i="53"/>
  <c r="AY121" i="53"/>
  <c r="AI120" i="53"/>
  <c r="AA120" i="53"/>
  <c r="AA125" i="53" s="1"/>
  <c r="AA127" i="53" s="1"/>
  <c r="S120" i="53"/>
  <c r="K120" i="53"/>
  <c r="K125" i="53" s="1"/>
  <c r="K127" i="53" s="1"/>
  <c r="AN80" i="53"/>
  <c r="BH67" i="53"/>
  <c r="BH69" i="53"/>
  <c r="AR67" i="53"/>
  <c r="AR69" i="53"/>
  <c r="AB69" i="53"/>
  <c r="AB67" i="53"/>
  <c r="L69" i="53"/>
  <c r="L67" i="53"/>
  <c r="DD58" i="53"/>
  <c r="CI58" i="53"/>
  <c r="BH48" i="53"/>
  <c r="AR48" i="53"/>
  <c r="AB48" i="53"/>
  <c r="T48" i="53"/>
  <c r="L48" i="53"/>
  <c r="D48" i="53"/>
  <c r="DA66" i="53"/>
  <c r="CS66" i="53"/>
  <c r="CH47" i="53"/>
  <c r="BZ66" i="53"/>
  <c r="DD66" i="53"/>
  <c r="DD47" i="53"/>
  <c r="BC69" i="53"/>
  <c r="BC67" i="53"/>
  <c r="BA69" i="53"/>
  <c r="BA67" i="53"/>
  <c r="AY69" i="53"/>
  <c r="AY67" i="53"/>
  <c r="AW69" i="53"/>
  <c r="AW67" i="53"/>
  <c r="CZ66" i="53"/>
  <c r="CZ47" i="53"/>
  <c r="AK79" i="53"/>
  <c r="AK69" i="53"/>
  <c r="AK67" i="53"/>
  <c r="AI69" i="53"/>
  <c r="AI67" i="53"/>
  <c r="AG69" i="53"/>
  <c r="AG67" i="53"/>
  <c r="CV66" i="53"/>
  <c r="W69" i="53"/>
  <c r="U69" i="53"/>
  <c r="U67" i="53"/>
  <c r="S69" i="53"/>
  <c r="S67" i="53"/>
  <c r="Q69" i="53"/>
  <c r="Q67" i="53"/>
  <c r="DE36" i="53"/>
  <c r="DA36" i="53"/>
  <c r="CW37" i="53"/>
  <c r="CW36" i="53"/>
  <c r="CJ36" i="53"/>
  <c r="CF36" i="53"/>
  <c r="CB36" i="53"/>
  <c r="DD25" i="53"/>
  <c r="CZ25" i="53"/>
  <c r="CV25" i="53"/>
  <c r="CK25" i="53"/>
  <c r="CK26" i="53"/>
  <c r="CG25" i="53"/>
  <c r="CC25" i="53"/>
  <c r="CC26" i="53"/>
  <c r="DC14" i="53"/>
  <c r="CY14" i="53"/>
  <c r="CU15" i="53"/>
  <c r="CU14" i="53"/>
  <c r="CL14" i="53"/>
  <c r="CL15" i="53"/>
  <c r="CH14" i="53"/>
  <c r="CD14" i="53"/>
  <c r="CD15" i="53"/>
  <c r="BZ14" i="53"/>
  <c r="BZ15" i="53"/>
  <c r="DC66" i="53"/>
  <c r="DC48" i="53" s="1"/>
  <c r="DC47" i="53"/>
  <c r="BF67" i="53"/>
  <c r="BF69" i="53"/>
  <c r="BB67" i="53"/>
  <c r="BB69" i="53"/>
  <c r="AX67" i="53"/>
  <c r="AX69" i="53"/>
  <c r="AT67" i="53"/>
  <c r="AT69" i="53"/>
  <c r="AP67" i="53"/>
  <c r="AP69" i="53"/>
  <c r="AL67" i="53"/>
  <c r="AL69" i="53"/>
  <c r="AH69" i="53"/>
  <c r="AH67" i="53"/>
  <c r="AD69" i="53"/>
  <c r="AD67" i="53"/>
  <c r="Z69" i="53"/>
  <c r="Z67" i="53"/>
  <c r="V69" i="53"/>
  <c r="V67" i="53"/>
  <c r="R69" i="53"/>
  <c r="R67" i="53"/>
  <c r="N69" i="53"/>
  <c r="N67" i="53"/>
  <c r="J69" i="53"/>
  <c r="J67" i="53"/>
  <c r="F67" i="53"/>
  <c r="BE37" i="53"/>
  <c r="BA37" i="53"/>
  <c r="AW37" i="53"/>
  <c r="AS37" i="53"/>
  <c r="AO37" i="53"/>
  <c r="AK37" i="53"/>
  <c r="AG37" i="53"/>
  <c r="AC37" i="53"/>
  <c r="Y37" i="53"/>
  <c r="U37" i="53"/>
  <c r="Q37" i="53"/>
  <c r="M37" i="53"/>
  <c r="I37" i="53"/>
  <c r="E37" i="53"/>
  <c r="BS35" i="53"/>
  <c r="BO35" i="53"/>
  <c r="DD37" i="53"/>
  <c r="DD36" i="53"/>
  <c r="CZ37" i="53"/>
  <c r="CZ36" i="53"/>
  <c r="CV37" i="53"/>
  <c r="CV36" i="53"/>
  <c r="CI37" i="53"/>
  <c r="CI36" i="53"/>
  <c r="CE37" i="53"/>
  <c r="CE36" i="53"/>
  <c r="CA37" i="53"/>
  <c r="CA36" i="53"/>
  <c r="BF26" i="53"/>
  <c r="BB26" i="53"/>
  <c r="AX26" i="53"/>
  <c r="AT26" i="53"/>
  <c r="AP26" i="53"/>
  <c r="AL26" i="53"/>
  <c r="AH26" i="53"/>
  <c r="AD26" i="53"/>
  <c r="Z26" i="53"/>
  <c r="V26" i="53"/>
  <c r="R26" i="53"/>
  <c r="N26" i="53"/>
  <c r="J26" i="53"/>
  <c r="F26" i="53"/>
  <c r="BR24" i="53"/>
  <c r="DC26" i="53"/>
  <c r="DC25" i="53"/>
  <c r="CY26" i="53"/>
  <c r="CY25" i="53"/>
  <c r="CU26" i="53"/>
  <c r="CU25" i="53"/>
  <c r="CL26" i="53"/>
  <c r="CL25" i="53"/>
  <c r="CH25" i="53"/>
  <c r="CD26" i="53"/>
  <c r="CD25" i="53"/>
  <c r="BZ26" i="53"/>
  <c r="BZ25" i="53"/>
  <c r="BE15" i="53"/>
  <c r="BA15" i="53"/>
  <c r="AW15" i="53"/>
  <c r="AS15" i="53"/>
  <c r="AO15" i="53"/>
  <c r="AK15" i="53"/>
  <c r="AG15" i="53"/>
  <c r="AC15" i="53"/>
  <c r="Y15" i="53"/>
  <c r="U15" i="53"/>
  <c r="Q15" i="53"/>
  <c r="M15" i="53"/>
  <c r="I15" i="53"/>
  <c r="E15" i="53"/>
  <c r="BS13" i="53"/>
  <c r="BO13" i="53"/>
  <c r="DD14" i="53"/>
  <c r="CZ14" i="53"/>
  <c r="CV14" i="53"/>
  <c r="CI15" i="53"/>
  <c r="CI14" i="53"/>
  <c r="CE15" i="53"/>
  <c r="CA15" i="53"/>
  <c r="CA14" i="53"/>
  <c r="BH15" i="53"/>
  <c r="BD15" i="53"/>
  <c r="AZ15" i="53"/>
  <c r="AV15" i="53"/>
  <c r="AR15" i="53"/>
  <c r="AN15" i="53"/>
  <c r="AJ15" i="53"/>
  <c r="AF15" i="53"/>
  <c r="AB15" i="53"/>
  <c r="X15" i="53"/>
  <c r="T15" i="53"/>
  <c r="P15" i="53"/>
  <c r="L15" i="53"/>
  <c r="H15" i="53"/>
  <c r="D15" i="53"/>
  <c r="BH37" i="53"/>
  <c r="BD37" i="53"/>
  <c r="AZ37" i="53"/>
  <c r="AV37" i="53"/>
  <c r="AR37" i="53"/>
  <c r="AN37" i="53"/>
  <c r="AJ37" i="53"/>
  <c r="AF37" i="53"/>
  <c r="AB37" i="53"/>
  <c r="X37" i="53"/>
  <c r="T37" i="53"/>
  <c r="P37" i="53"/>
  <c r="L37" i="53"/>
  <c r="H37" i="53"/>
  <c r="BE26" i="53"/>
  <c r="BA26" i="53"/>
  <c r="AW26" i="53"/>
  <c r="AS26" i="53"/>
  <c r="AO26" i="53"/>
  <c r="AK26" i="53"/>
  <c r="AG26" i="53"/>
  <c r="AC26" i="53"/>
  <c r="Y26" i="53"/>
  <c r="U26" i="53"/>
  <c r="Q26" i="53"/>
  <c r="M26" i="53"/>
  <c r="I26" i="53"/>
  <c r="E26" i="53"/>
  <c r="CM68" i="3"/>
  <c r="CL111" i="3"/>
  <c r="CJ111" i="3"/>
  <c r="CH111" i="3"/>
  <c r="CF111" i="3"/>
  <c r="CD111" i="3"/>
  <c r="CB111" i="3"/>
  <c r="BZ111" i="3"/>
  <c r="BO134" i="3"/>
  <c r="CL106" i="3"/>
  <c r="CL82" i="3"/>
  <c r="CH106" i="3"/>
  <c r="CH82" i="3"/>
  <c r="CD106" i="3"/>
  <c r="CD82" i="3"/>
  <c r="BZ106" i="3"/>
  <c r="BZ82" i="3"/>
  <c r="CM77" i="3"/>
  <c r="CL52" i="3"/>
  <c r="CL147" i="3" s="1"/>
  <c r="CJ52" i="3"/>
  <c r="CJ147" i="3" s="1"/>
  <c r="CH52" i="3"/>
  <c r="CH147" i="3" s="1"/>
  <c r="CF52" i="3"/>
  <c r="CF147" i="3" s="1"/>
  <c r="CD52" i="3"/>
  <c r="CD147" i="3" s="1"/>
  <c r="CB52" i="3"/>
  <c r="CB147" i="3" s="1"/>
  <c r="BZ52" i="3"/>
  <c r="BZ147" i="3" s="1"/>
  <c r="CJ106" i="3"/>
  <c r="CJ82" i="3"/>
  <c r="CF106" i="3"/>
  <c r="CF82" i="3"/>
  <c r="CB106" i="3"/>
  <c r="CB82" i="3"/>
  <c r="BE80" i="3"/>
  <c r="BE78" i="3"/>
  <c r="BA80" i="3"/>
  <c r="BA78" i="3"/>
  <c r="AW80" i="3"/>
  <c r="AW78" i="3"/>
  <c r="AS80" i="3"/>
  <c r="AS78" i="3"/>
  <c r="AO80" i="3"/>
  <c r="AO78" i="3"/>
  <c r="AK80" i="3"/>
  <c r="AK78" i="3"/>
  <c r="AG80" i="3"/>
  <c r="AG78" i="3"/>
  <c r="AC80" i="3"/>
  <c r="AC78" i="3"/>
  <c r="Y80" i="3"/>
  <c r="Y78" i="3"/>
  <c r="U80" i="3"/>
  <c r="U78" i="3"/>
  <c r="Q80" i="3"/>
  <c r="Q78" i="3"/>
  <c r="M80" i="3"/>
  <c r="M78" i="3"/>
  <c r="I80" i="3"/>
  <c r="I78" i="3"/>
  <c r="E80" i="3"/>
  <c r="E78" i="3"/>
  <c r="BG46" i="3"/>
  <c r="DD46" i="3"/>
  <c r="DD141" i="3" s="1"/>
  <c r="AY46" i="3"/>
  <c r="DB46" i="3"/>
  <c r="DB141" i="3" s="1"/>
  <c r="AQ46" i="3"/>
  <c r="CZ46" i="3"/>
  <c r="CZ141" i="3" s="1"/>
  <c r="AI46" i="3"/>
  <c r="CX46" i="3"/>
  <c r="CX141" i="3" s="1"/>
  <c r="AA46" i="3"/>
  <c r="CV46" i="3"/>
  <c r="CV141" i="3" s="1"/>
  <c r="S46" i="3"/>
  <c r="CT46" i="3"/>
  <c r="CT141" i="3" s="1"/>
  <c r="K46" i="3"/>
  <c r="CR46" i="3"/>
  <c r="CR141" i="3" s="1"/>
  <c r="DD41" i="3"/>
  <c r="DD136" i="3" s="1"/>
  <c r="DB41" i="3"/>
  <c r="DB136" i="3" s="1"/>
  <c r="CZ41" i="3"/>
  <c r="CZ136" i="3" s="1"/>
  <c r="CX41" i="3"/>
  <c r="CX136" i="3" s="1"/>
  <c r="CV41" i="3"/>
  <c r="CV136" i="3" s="1"/>
  <c r="CT41" i="3"/>
  <c r="CT136" i="3" s="1"/>
  <c r="CR41" i="3"/>
  <c r="CR136" i="3" s="1"/>
  <c r="BE47" i="3"/>
  <c r="BF39" i="3"/>
  <c r="AW47" i="3"/>
  <c r="AX39" i="3"/>
  <c r="AO47" i="3"/>
  <c r="AP39" i="3"/>
  <c r="AG47" i="3"/>
  <c r="AH39" i="3"/>
  <c r="Y47" i="3"/>
  <c r="Z39" i="3"/>
  <c r="Q47" i="3"/>
  <c r="R39" i="3"/>
  <c r="I47" i="3"/>
  <c r="J39" i="3"/>
  <c r="BA89" i="3"/>
  <c r="BA62" i="3"/>
  <c r="BA64" i="3" s="1"/>
  <c r="BA36" i="3"/>
  <c r="BB29" i="3"/>
  <c r="AS89" i="3"/>
  <c r="AS62" i="3"/>
  <c r="AS64" i="3" s="1"/>
  <c r="AS36" i="3"/>
  <c r="AT29" i="3"/>
  <c r="AK89" i="3"/>
  <c r="AK62" i="3"/>
  <c r="AK64" i="3" s="1"/>
  <c r="AK36" i="3"/>
  <c r="AL29" i="3"/>
  <c r="AC89" i="3"/>
  <c r="AC62" i="3"/>
  <c r="AC64" i="3" s="1"/>
  <c r="AC36" i="3"/>
  <c r="AD29" i="3"/>
  <c r="U89" i="3"/>
  <c r="U62" i="3"/>
  <c r="U64" i="3" s="1"/>
  <c r="U36" i="3"/>
  <c r="V29" i="3"/>
  <c r="M89" i="3"/>
  <c r="M62" i="3"/>
  <c r="M64" i="3" s="1"/>
  <c r="M36" i="3"/>
  <c r="N29" i="3"/>
  <c r="E89" i="3"/>
  <c r="E62" i="3"/>
  <c r="E64" i="3" s="1"/>
  <c r="E36" i="3"/>
  <c r="F29" i="3"/>
  <c r="DD25" i="3"/>
  <c r="DD120" i="3" s="1"/>
  <c r="DB25" i="3"/>
  <c r="DB120" i="3" s="1"/>
  <c r="CZ25" i="3"/>
  <c r="CZ120" i="3" s="1"/>
  <c r="CX25" i="3"/>
  <c r="CX120" i="3" s="1"/>
  <c r="CV25" i="3"/>
  <c r="CV120" i="3" s="1"/>
  <c r="CT25" i="3"/>
  <c r="CT120" i="3" s="1"/>
  <c r="CR25" i="3"/>
  <c r="CR120" i="3" s="1"/>
  <c r="DC24" i="3"/>
  <c r="DC119" i="3" s="1"/>
  <c r="DA24" i="3"/>
  <c r="DA119" i="3" s="1"/>
  <c r="CY24" i="3"/>
  <c r="CY119" i="3" s="1"/>
  <c r="CW24" i="3"/>
  <c r="CW119" i="3" s="1"/>
  <c r="CU24" i="3"/>
  <c r="CU119" i="3" s="1"/>
  <c r="CS24" i="3"/>
  <c r="CS119" i="3" s="1"/>
  <c r="DD23" i="3"/>
  <c r="DD118" i="3" s="1"/>
  <c r="DB23" i="3"/>
  <c r="DB118" i="3" s="1"/>
  <c r="CZ23" i="3"/>
  <c r="CZ118" i="3" s="1"/>
  <c r="CX23" i="3"/>
  <c r="CX118" i="3" s="1"/>
  <c r="CV23" i="3"/>
  <c r="CV118" i="3" s="1"/>
  <c r="CT23" i="3"/>
  <c r="CT118" i="3" s="1"/>
  <c r="CR23" i="3"/>
  <c r="CR118" i="3" s="1"/>
  <c r="DC22" i="3"/>
  <c r="DC117" i="3" s="1"/>
  <c r="DA22" i="3"/>
  <c r="DA117" i="3" s="1"/>
  <c r="CY22" i="3"/>
  <c r="CY117" i="3" s="1"/>
  <c r="CW22" i="3"/>
  <c r="CW117" i="3" s="1"/>
  <c r="CU22" i="3"/>
  <c r="CU117" i="3" s="1"/>
  <c r="CS22" i="3"/>
  <c r="CS117" i="3" s="1"/>
  <c r="DD21" i="3"/>
  <c r="DD116" i="3" s="1"/>
  <c r="DB21" i="3"/>
  <c r="DB116" i="3" s="1"/>
  <c r="CZ21" i="3"/>
  <c r="CZ116" i="3" s="1"/>
  <c r="CX21" i="3"/>
  <c r="CX116" i="3" s="1"/>
  <c r="CV21" i="3"/>
  <c r="CV116" i="3" s="1"/>
  <c r="CT21" i="3"/>
  <c r="CT116" i="3" s="1"/>
  <c r="CR21" i="3"/>
  <c r="CR116" i="3" s="1"/>
  <c r="DC20" i="3"/>
  <c r="DC115" i="3" s="1"/>
  <c r="DA20" i="3"/>
  <c r="DA115" i="3" s="1"/>
  <c r="CY20" i="3"/>
  <c r="CY115" i="3" s="1"/>
  <c r="CW20" i="3"/>
  <c r="CW115" i="3" s="1"/>
  <c r="CU20" i="3"/>
  <c r="CU115" i="3" s="1"/>
  <c r="CS20" i="3"/>
  <c r="CS115" i="3" s="1"/>
  <c r="CK106" i="3"/>
  <c r="CK82" i="3"/>
  <c r="CG106" i="3"/>
  <c r="CG82" i="3"/>
  <c r="CC106" i="3"/>
  <c r="CC82" i="3"/>
  <c r="BY106" i="3"/>
  <c r="BH83" i="3"/>
  <c r="BD83" i="3"/>
  <c r="AZ83" i="3"/>
  <c r="AV83" i="3"/>
  <c r="AR83" i="3"/>
  <c r="AN83" i="3"/>
  <c r="AJ83" i="3"/>
  <c r="AF83" i="3"/>
  <c r="AB83" i="3"/>
  <c r="X83" i="3"/>
  <c r="T83" i="3"/>
  <c r="P83" i="3"/>
  <c r="L83" i="3"/>
  <c r="H83" i="3"/>
  <c r="D83" i="3"/>
  <c r="CL42" i="3"/>
  <c r="CL137" i="3" s="1"/>
  <c r="CJ42" i="3"/>
  <c r="CJ137" i="3" s="1"/>
  <c r="CH42" i="3"/>
  <c r="CH137" i="3" s="1"/>
  <c r="CF42" i="3"/>
  <c r="CF137" i="3" s="1"/>
  <c r="CD42" i="3"/>
  <c r="CD137" i="3" s="1"/>
  <c r="CB42" i="3"/>
  <c r="CB137" i="3" s="1"/>
  <c r="BZ42" i="3"/>
  <c r="BZ137" i="3" s="1"/>
  <c r="CK41" i="3"/>
  <c r="CK136" i="3" s="1"/>
  <c r="CG41" i="3"/>
  <c r="CG136" i="3" s="1"/>
  <c r="CC41" i="3"/>
  <c r="CC136" i="3" s="1"/>
  <c r="BY41" i="3"/>
  <c r="BY136" i="3" s="1"/>
  <c r="DD40" i="3"/>
  <c r="DD135" i="3" s="1"/>
  <c r="DB40" i="3"/>
  <c r="DB135" i="3" s="1"/>
  <c r="CZ40" i="3"/>
  <c r="CZ135" i="3" s="1"/>
  <c r="CX40" i="3"/>
  <c r="CX135" i="3" s="1"/>
  <c r="CV40" i="3"/>
  <c r="CV135" i="3" s="1"/>
  <c r="CT40" i="3"/>
  <c r="CT135" i="3" s="1"/>
  <c r="CR40" i="3"/>
  <c r="CR135" i="3" s="1"/>
  <c r="DD34" i="3"/>
  <c r="DD129" i="3" s="1"/>
  <c r="DB34" i="3"/>
  <c r="DB129" i="3" s="1"/>
  <c r="CZ34" i="3"/>
  <c r="CZ129" i="3" s="1"/>
  <c r="CX34" i="3"/>
  <c r="CX129" i="3" s="1"/>
  <c r="CV34" i="3"/>
  <c r="CV129" i="3" s="1"/>
  <c r="CT34" i="3"/>
  <c r="CT129" i="3" s="1"/>
  <c r="CR34" i="3"/>
  <c r="CR129" i="3" s="1"/>
  <c r="DD32" i="3"/>
  <c r="DD127" i="3" s="1"/>
  <c r="DB32" i="3"/>
  <c r="DB127" i="3" s="1"/>
  <c r="CZ32" i="3"/>
  <c r="CZ127" i="3" s="1"/>
  <c r="CX32" i="3"/>
  <c r="CX127" i="3" s="1"/>
  <c r="CV32" i="3"/>
  <c r="CV127" i="3" s="1"/>
  <c r="CR32" i="3"/>
  <c r="CR127" i="3" s="1"/>
  <c r="DB30" i="3"/>
  <c r="DB125" i="3" s="1"/>
  <c r="CX30" i="3"/>
  <c r="CX125" i="3" s="1"/>
  <c r="CT30" i="3"/>
  <c r="CT125" i="3" s="1"/>
  <c r="CL25" i="3"/>
  <c r="CL120" i="3" s="1"/>
  <c r="CH25" i="3"/>
  <c r="CH120" i="3" s="1"/>
  <c r="CD25" i="3"/>
  <c r="CD120" i="3" s="1"/>
  <c r="BZ25" i="3"/>
  <c r="BZ120" i="3" s="1"/>
  <c r="CJ24" i="3"/>
  <c r="CJ119" i="3" s="1"/>
  <c r="CF24" i="3"/>
  <c r="CF119" i="3" s="1"/>
  <c r="CB24" i="3"/>
  <c r="CB119" i="3" s="1"/>
  <c r="CL23" i="3"/>
  <c r="CL118" i="3" s="1"/>
  <c r="CH23" i="3"/>
  <c r="CH118" i="3" s="1"/>
  <c r="CD23" i="3"/>
  <c r="CD118" i="3" s="1"/>
  <c r="BZ23" i="3"/>
  <c r="BZ118" i="3" s="1"/>
  <c r="CJ22" i="3"/>
  <c r="CJ117" i="3" s="1"/>
  <c r="CF22" i="3"/>
  <c r="CF117" i="3" s="1"/>
  <c r="CB22" i="3"/>
  <c r="CB117" i="3" s="1"/>
  <c r="CL21" i="3"/>
  <c r="CL116" i="3" s="1"/>
  <c r="CH21" i="3"/>
  <c r="CH116" i="3" s="1"/>
  <c r="CD21" i="3"/>
  <c r="CD116" i="3" s="1"/>
  <c r="BZ21" i="3"/>
  <c r="BZ116" i="3" s="1"/>
  <c r="CJ20" i="3"/>
  <c r="CF20" i="3"/>
  <c r="CB20" i="3"/>
  <c r="CB115" i="3" s="1"/>
  <c r="CL17" i="3"/>
  <c r="CL112" i="3" s="1"/>
  <c r="CJ17" i="3"/>
  <c r="CJ112" i="3" s="1"/>
  <c r="CH17" i="3"/>
  <c r="CH112" i="3" s="1"/>
  <c r="CF17" i="3"/>
  <c r="CF112" i="3" s="1"/>
  <c r="CD17" i="3"/>
  <c r="CD112" i="3" s="1"/>
  <c r="CB17" i="3"/>
  <c r="CB112" i="3" s="1"/>
  <c r="BZ17" i="3"/>
  <c r="BZ112" i="3" s="1"/>
  <c r="CL14" i="3"/>
  <c r="CL109" i="3" s="1"/>
  <c r="CJ14" i="3"/>
  <c r="CJ109" i="3" s="1"/>
  <c r="CH14" i="3"/>
  <c r="CH109" i="3" s="1"/>
  <c r="CF14" i="3"/>
  <c r="CF109" i="3" s="1"/>
  <c r="CD14" i="3"/>
  <c r="CD109" i="3" s="1"/>
  <c r="CB14" i="3"/>
  <c r="CB109" i="3" s="1"/>
  <c r="BZ14" i="3"/>
  <c r="BZ109" i="3" s="1"/>
  <c r="CL13" i="3"/>
  <c r="CJ13" i="3"/>
  <c r="CH13" i="3"/>
  <c r="CF13" i="3"/>
  <c r="CD13" i="3"/>
  <c r="CD108" i="3" s="1"/>
  <c r="CB13" i="3"/>
  <c r="CB108" i="3" s="1"/>
  <c r="BZ13" i="3"/>
  <c r="BZ108" i="3" s="1"/>
  <c r="CL41" i="3"/>
  <c r="CL136" i="3" s="1"/>
  <c r="CH41" i="3"/>
  <c r="CH136" i="3" s="1"/>
  <c r="CD41" i="3"/>
  <c r="CD136" i="3" s="1"/>
  <c r="BZ41" i="3"/>
  <c r="BZ136" i="3" s="1"/>
  <c r="CL34" i="3"/>
  <c r="CL129" i="3" s="1"/>
  <c r="CJ34" i="3"/>
  <c r="CJ129" i="3" s="1"/>
  <c r="CH34" i="3"/>
  <c r="CH129" i="3" s="1"/>
  <c r="CF34" i="3"/>
  <c r="CF129" i="3" s="1"/>
  <c r="CD34" i="3"/>
  <c r="CD129" i="3" s="1"/>
  <c r="CB34" i="3"/>
  <c r="CB129" i="3" s="1"/>
  <c r="BZ34" i="3"/>
  <c r="BZ129" i="3" s="1"/>
  <c r="CL32" i="3"/>
  <c r="CL127" i="3" s="1"/>
  <c r="CJ32" i="3"/>
  <c r="CJ127" i="3" s="1"/>
  <c r="CH32" i="3"/>
  <c r="CH127" i="3" s="1"/>
  <c r="CF32" i="3"/>
  <c r="CF127" i="3" s="1"/>
  <c r="CD32" i="3"/>
  <c r="CD127" i="3" s="1"/>
  <c r="CB32" i="3"/>
  <c r="CB127" i="3" s="1"/>
  <c r="BZ32" i="3"/>
  <c r="BZ127" i="3" s="1"/>
  <c r="CL30" i="3"/>
  <c r="CL125" i="3" s="1"/>
  <c r="CJ30" i="3"/>
  <c r="CJ125" i="3" s="1"/>
  <c r="CH30" i="3"/>
  <c r="CH125" i="3" s="1"/>
  <c r="CF30" i="3"/>
  <c r="CF125" i="3" s="1"/>
  <c r="CD30" i="3"/>
  <c r="CD125" i="3" s="1"/>
  <c r="CB30" i="3"/>
  <c r="CB125" i="3" s="1"/>
  <c r="BZ30" i="3"/>
  <c r="BZ125" i="3" s="1"/>
  <c r="CK25" i="3"/>
  <c r="CK120" i="3" s="1"/>
  <c r="CG25" i="3"/>
  <c r="CG120" i="3" s="1"/>
  <c r="CC25" i="3"/>
  <c r="CC120" i="3" s="1"/>
  <c r="BY25" i="3"/>
  <c r="BY120" i="3" s="1"/>
  <c r="CI24" i="3"/>
  <c r="CI119" i="3" s="1"/>
  <c r="CE24" i="3"/>
  <c r="CE119" i="3" s="1"/>
  <c r="CA24" i="3"/>
  <c r="CA119" i="3" s="1"/>
  <c r="CK23" i="3"/>
  <c r="CK118" i="3" s="1"/>
  <c r="CG23" i="3"/>
  <c r="CG118" i="3" s="1"/>
  <c r="CC23" i="3"/>
  <c r="CC118" i="3" s="1"/>
  <c r="BY23" i="3"/>
  <c r="BY118" i="3" s="1"/>
  <c r="CI22" i="3"/>
  <c r="CI117" i="3" s="1"/>
  <c r="CE22" i="3"/>
  <c r="CE117" i="3" s="1"/>
  <c r="CA22" i="3"/>
  <c r="CA117" i="3" s="1"/>
  <c r="CK21" i="3"/>
  <c r="CK116" i="3" s="1"/>
  <c r="CG21" i="3"/>
  <c r="CG116" i="3" s="1"/>
  <c r="CC21" i="3"/>
  <c r="CC116" i="3" s="1"/>
  <c r="BY21" i="3"/>
  <c r="BY116" i="3" s="1"/>
  <c r="CI20" i="3"/>
  <c r="CE20" i="3"/>
  <c r="CE115" i="3" s="1"/>
  <c r="CA20" i="3"/>
  <c r="CA115" i="3" s="1"/>
  <c r="CL18" i="3"/>
  <c r="CL113" i="3" s="1"/>
  <c r="CK18" i="3"/>
  <c r="CK113" i="3" s="1"/>
  <c r="CJ18" i="3"/>
  <c r="CJ113" i="3" s="1"/>
  <c r="CI18" i="3"/>
  <c r="CI113" i="3" s="1"/>
  <c r="CH18" i="3"/>
  <c r="CH113" i="3" s="1"/>
  <c r="CG18" i="3"/>
  <c r="CG113" i="3" s="1"/>
  <c r="CF18" i="3"/>
  <c r="CF113" i="3" s="1"/>
  <c r="CE18" i="3"/>
  <c r="CE113" i="3" s="1"/>
  <c r="CD18" i="3"/>
  <c r="CD113" i="3" s="1"/>
  <c r="CC18" i="3"/>
  <c r="CC113" i="3" s="1"/>
  <c r="CB18" i="3"/>
  <c r="CB113" i="3" s="1"/>
  <c r="CA18" i="3"/>
  <c r="CA113" i="3" s="1"/>
  <c r="BZ18" i="3"/>
  <c r="BZ113" i="3" s="1"/>
  <c r="BY18" i="3"/>
  <c r="BY113" i="3" s="1"/>
  <c r="CK17" i="3"/>
  <c r="CK112" i="3" s="1"/>
  <c r="CI17" i="3"/>
  <c r="CI112" i="3" s="1"/>
  <c r="CG17" i="3"/>
  <c r="CG112" i="3" s="1"/>
  <c r="CE17" i="3"/>
  <c r="CE112" i="3" s="1"/>
  <c r="CC17" i="3"/>
  <c r="CC112" i="3" s="1"/>
  <c r="CA17" i="3"/>
  <c r="CA112" i="3" s="1"/>
  <c r="BY17" i="3"/>
  <c r="BY112" i="3" s="1"/>
  <c r="BF65" i="3"/>
  <c r="BC65" i="3"/>
  <c r="DD16" i="3"/>
  <c r="AX65" i="3"/>
  <c r="AU65" i="3"/>
  <c r="DB16" i="3"/>
  <c r="AP65" i="3"/>
  <c r="AM65" i="3"/>
  <c r="CZ16" i="3"/>
  <c r="AH65" i="3"/>
  <c r="AE65" i="3"/>
  <c r="CX16" i="3"/>
  <c r="Z65" i="3"/>
  <c r="W65" i="3"/>
  <c r="CV16" i="3"/>
  <c r="R65" i="3"/>
  <c r="O65" i="3"/>
  <c r="CT16" i="3"/>
  <c r="J65" i="3"/>
  <c r="G65" i="3"/>
  <c r="CR16" i="3"/>
  <c r="CL15" i="3"/>
  <c r="CL110" i="3" s="1"/>
  <c r="CK15" i="3"/>
  <c r="CK110" i="3" s="1"/>
  <c r="CJ15" i="3"/>
  <c r="CJ110" i="3" s="1"/>
  <c r="CH15" i="3"/>
  <c r="CH110" i="3" s="1"/>
  <c r="CG15" i="3"/>
  <c r="CG110" i="3" s="1"/>
  <c r="CF15" i="3"/>
  <c r="CF110" i="3" s="1"/>
  <c r="CE15" i="3"/>
  <c r="CE110" i="3" s="1"/>
  <c r="CD15" i="3"/>
  <c r="CD110" i="3" s="1"/>
  <c r="CC15" i="3"/>
  <c r="CC110" i="3" s="1"/>
  <c r="CB15" i="3"/>
  <c r="CB110" i="3" s="1"/>
  <c r="CA15" i="3"/>
  <c r="CA110" i="3" s="1"/>
  <c r="BZ15" i="3"/>
  <c r="BZ110" i="3" s="1"/>
  <c r="BY15" i="3"/>
  <c r="BY110" i="3" s="1"/>
  <c r="CK14" i="3"/>
  <c r="CK109" i="3" s="1"/>
  <c r="CI14" i="3"/>
  <c r="CI109" i="3" s="1"/>
  <c r="CG14" i="3"/>
  <c r="CG109" i="3" s="1"/>
  <c r="CE14" i="3"/>
  <c r="CE109" i="3" s="1"/>
  <c r="CC14" i="3"/>
  <c r="CC109" i="3" s="1"/>
  <c r="CA14" i="3"/>
  <c r="CA109" i="3" s="1"/>
  <c r="BY14" i="3"/>
  <c r="BY109" i="3" s="1"/>
  <c r="CK13" i="3"/>
  <c r="CG13" i="3"/>
  <c r="CE13" i="3"/>
  <c r="CE108" i="3" s="1"/>
  <c r="CC13" i="3"/>
  <c r="CC108" i="3" s="1"/>
  <c r="CA13" i="3"/>
  <c r="CA108" i="3" s="1"/>
  <c r="BY13" i="3"/>
  <c r="BY108" i="3" s="1"/>
  <c r="CL12" i="3"/>
  <c r="CL107" i="3" s="1"/>
  <c r="CK12" i="3"/>
  <c r="CK107" i="3" s="1"/>
  <c r="CJ12" i="3"/>
  <c r="CJ107" i="3" s="1"/>
  <c r="CI12" i="3"/>
  <c r="CI107" i="3" s="1"/>
  <c r="CH12" i="3"/>
  <c r="CH107" i="3" s="1"/>
  <c r="CG12" i="3"/>
  <c r="CG107" i="3" s="1"/>
  <c r="CF12" i="3"/>
  <c r="CF107" i="3" s="1"/>
  <c r="CE12" i="3"/>
  <c r="CE107" i="3" s="1"/>
  <c r="CD12" i="3"/>
  <c r="CD107" i="3" s="1"/>
  <c r="CC12" i="3"/>
  <c r="CC107" i="3" s="1"/>
  <c r="CB12" i="3"/>
  <c r="CB107" i="3" s="1"/>
  <c r="CA12" i="3"/>
  <c r="CA107" i="3" s="1"/>
  <c r="BZ12" i="3"/>
  <c r="BZ107" i="3" s="1"/>
  <c r="BY12" i="3"/>
  <c r="BY107" i="3" s="1"/>
  <c r="BF80" i="3"/>
  <c r="BF78" i="3"/>
  <c r="BB80" i="3"/>
  <c r="BB78" i="3"/>
  <c r="AX78" i="3"/>
  <c r="AT80" i="3"/>
  <c r="AT78" i="3"/>
  <c r="AP80" i="3"/>
  <c r="AP78" i="3"/>
  <c r="AL80" i="3"/>
  <c r="AL78" i="3"/>
  <c r="AH80" i="3"/>
  <c r="AH78" i="3"/>
  <c r="AD78" i="3"/>
  <c r="Z80" i="3"/>
  <c r="Z78" i="3"/>
  <c r="V80" i="3"/>
  <c r="V78" i="3"/>
  <c r="R80" i="3"/>
  <c r="R78" i="3"/>
  <c r="N80" i="3"/>
  <c r="N78" i="3"/>
  <c r="J80" i="3"/>
  <c r="J78" i="3"/>
  <c r="F80" i="3"/>
  <c r="F78" i="3"/>
  <c r="BS134" i="3"/>
  <c r="BA47" i="3"/>
  <c r="BB39" i="3"/>
  <c r="AS47" i="3"/>
  <c r="AT39" i="3"/>
  <c r="AK47" i="3"/>
  <c r="AL39" i="3"/>
  <c r="AC47" i="3"/>
  <c r="AD39" i="3"/>
  <c r="U47" i="3"/>
  <c r="V39" i="3"/>
  <c r="M47" i="3"/>
  <c r="N39" i="3"/>
  <c r="E47" i="3"/>
  <c r="F39" i="3"/>
  <c r="BE89" i="3"/>
  <c r="BE62" i="3"/>
  <c r="BE64" i="3" s="1"/>
  <c r="BE36" i="3"/>
  <c r="BF29" i="3"/>
  <c r="AW89" i="3"/>
  <c r="AW62" i="3"/>
  <c r="AW64" i="3" s="1"/>
  <c r="AW36" i="3"/>
  <c r="AX29" i="3"/>
  <c r="AO89" i="3"/>
  <c r="AO62" i="3"/>
  <c r="AO64" i="3" s="1"/>
  <c r="AO36" i="3"/>
  <c r="AP29" i="3"/>
  <c r="AG89" i="3"/>
  <c r="AG62" i="3"/>
  <c r="AG64" i="3" s="1"/>
  <c r="AG36" i="3"/>
  <c r="AH29" i="3"/>
  <c r="Y89" i="3"/>
  <c r="Y62" i="3"/>
  <c r="Y64" i="3" s="1"/>
  <c r="Y36" i="3"/>
  <c r="Z29" i="3"/>
  <c r="Q89" i="3"/>
  <c r="Q62" i="3"/>
  <c r="Q64" i="3" s="1"/>
  <c r="Q36" i="3"/>
  <c r="R29" i="3"/>
  <c r="I89" i="3"/>
  <c r="I62" i="3"/>
  <c r="I64" i="3" s="1"/>
  <c r="I36" i="3"/>
  <c r="J29" i="3"/>
  <c r="CI82" i="3"/>
  <c r="CE106" i="3"/>
  <c r="CE82" i="3"/>
  <c r="CA106" i="3"/>
  <c r="CA82" i="3"/>
  <c r="BH80" i="3"/>
  <c r="BH78" i="3"/>
  <c r="BD80" i="3"/>
  <c r="BD78" i="3"/>
  <c r="AZ80" i="3"/>
  <c r="AZ78" i="3"/>
  <c r="AV80" i="3"/>
  <c r="AV78" i="3"/>
  <c r="AR80" i="3"/>
  <c r="AR78" i="3"/>
  <c r="AN80" i="3"/>
  <c r="AN78" i="3"/>
  <c r="AJ80" i="3"/>
  <c r="AJ78" i="3"/>
  <c r="AF80" i="3"/>
  <c r="AF78" i="3"/>
  <c r="AB80" i="3"/>
  <c r="AB78" i="3"/>
  <c r="X80" i="3"/>
  <c r="X78" i="3"/>
  <c r="T80" i="3"/>
  <c r="T78" i="3"/>
  <c r="P80" i="3"/>
  <c r="P78" i="3"/>
  <c r="L80" i="3"/>
  <c r="L78" i="3"/>
  <c r="H80" i="3"/>
  <c r="H78" i="3"/>
  <c r="D80" i="3"/>
  <c r="D78" i="3"/>
  <c r="DD42" i="3"/>
  <c r="DD137" i="3" s="1"/>
  <c r="DB42" i="3"/>
  <c r="DB137" i="3" s="1"/>
  <c r="CZ42" i="3"/>
  <c r="CZ137" i="3" s="1"/>
  <c r="CX42" i="3"/>
  <c r="CX137" i="3" s="1"/>
  <c r="CV42" i="3"/>
  <c r="CV137" i="3" s="1"/>
  <c r="CT42" i="3"/>
  <c r="CT137" i="3" s="1"/>
  <c r="CR42" i="3"/>
  <c r="CR137" i="3" s="1"/>
  <c r="CI41" i="3"/>
  <c r="CI136" i="3" s="1"/>
  <c r="CE41" i="3"/>
  <c r="CE136" i="3" s="1"/>
  <c r="CA41" i="3"/>
  <c r="CA136" i="3" s="1"/>
  <c r="CL40" i="3"/>
  <c r="CL135" i="3" s="1"/>
  <c r="CJ40" i="3"/>
  <c r="CJ135" i="3" s="1"/>
  <c r="CH40" i="3"/>
  <c r="CH135" i="3" s="1"/>
  <c r="CF40" i="3"/>
  <c r="CF135" i="3" s="1"/>
  <c r="CD40" i="3"/>
  <c r="CD135" i="3" s="1"/>
  <c r="CB40" i="3"/>
  <c r="CB135" i="3" s="1"/>
  <c r="BZ40" i="3"/>
  <c r="BZ135" i="3" s="1"/>
  <c r="CJ25" i="3"/>
  <c r="CJ120" i="3" s="1"/>
  <c r="CF25" i="3"/>
  <c r="CF120" i="3" s="1"/>
  <c r="CB25" i="3"/>
  <c r="CB120" i="3" s="1"/>
  <c r="CL24" i="3"/>
  <c r="CL119" i="3" s="1"/>
  <c r="CJ23" i="3"/>
  <c r="CJ118" i="3" s="1"/>
  <c r="CF23" i="3"/>
  <c r="CF118" i="3" s="1"/>
  <c r="CB23" i="3"/>
  <c r="CB118" i="3" s="1"/>
  <c r="CJ21" i="3"/>
  <c r="CJ116" i="3" s="1"/>
  <c r="CF21" i="3"/>
  <c r="CF116" i="3" s="1"/>
  <c r="CB21" i="3"/>
  <c r="CB116" i="3" s="1"/>
  <c r="CJ41" i="3"/>
  <c r="CJ136" i="3" s="1"/>
  <c r="CF41" i="3"/>
  <c r="CF136" i="3" s="1"/>
  <c r="CB41" i="3"/>
  <c r="CB136" i="3" s="1"/>
  <c r="CI25" i="3"/>
  <c r="CI120" i="3" s="1"/>
  <c r="CE25" i="3"/>
  <c r="CE120" i="3" s="1"/>
  <c r="CA25" i="3"/>
  <c r="CA120" i="3" s="1"/>
  <c r="CK24" i="3"/>
  <c r="CK119" i="3" s="1"/>
  <c r="CG24" i="3"/>
  <c r="CG119" i="3" s="1"/>
  <c r="CC24" i="3"/>
  <c r="CC119" i="3" s="1"/>
  <c r="BY24" i="3"/>
  <c r="BY119" i="3" s="1"/>
  <c r="CI23" i="3"/>
  <c r="CI118" i="3" s="1"/>
  <c r="CE23" i="3"/>
  <c r="CE118" i="3" s="1"/>
  <c r="CA23" i="3"/>
  <c r="CA118" i="3" s="1"/>
  <c r="CK22" i="3"/>
  <c r="CK117" i="3" s="1"/>
  <c r="CG22" i="3"/>
  <c r="CG117" i="3" s="1"/>
  <c r="CC22" i="3"/>
  <c r="CC117" i="3" s="1"/>
  <c r="BY22" i="3"/>
  <c r="BY117" i="3" s="1"/>
  <c r="CI21" i="3"/>
  <c r="CI116" i="3" s="1"/>
  <c r="CE21" i="3"/>
  <c r="CE116" i="3" s="1"/>
  <c r="CA21" i="3"/>
  <c r="CA116" i="3" s="1"/>
  <c r="CK20" i="3"/>
  <c r="CG20" i="3"/>
  <c r="CC20" i="3"/>
  <c r="CC115" i="3" s="1"/>
  <c r="BY20" i="3"/>
  <c r="BY115" i="3" s="1"/>
  <c r="DD17" i="3"/>
  <c r="DD112" i="3" s="1"/>
  <c r="DB17" i="3"/>
  <c r="DB112" i="3" s="1"/>
  <c r="CZ17" i="3"/>
  <c r="CZ112" i="3" s="1"/>
  <c r="CX17" i="3"/>
  <c r="CX112" i="3" s="1"/>
  <c r="CV17" i="3"/>
  <c r="CV112" i="3" s="1"/>
  <c r="CT17" i="3"/>
  <c r="CT112" i="3" s="1"/>
  <c r="CR17" i="3"/>
  <c r="CR112" i="3" s="1"/>
  <c r="BG65" i="3"/>
  <c r="CK111" i="3"/>
  <c r="CK65" i="3"/>
  <c r="AY65" i="3"/>
  <c r="DC16" i="3"/>
  <c r="CI111" i="3"/>
  <c r="AQ65" i="3"/>
  <c r="DA16" i="3"/>
  <c r="CG111" i="3"/>
  <c r="CG65" i="3"/>
  <c r="AI65" i="3"/>
  <c r="CY16" i="3"/>
  <c r="CE111" i="3"/>
  <c r="AA65" i="3"/>
  <c r="CW16" i="3"/>
  <c r="CC111" i="3"/>
  <c r="CC65" i="3"/>
  <c r="S65" i="3"/>
  <c r="CU16" i="3"/>
  <c r="CA111" i="3"/>
  <c r="K65" i="3"/>
  <c r="CS16" i="3"/>
  <c r="BY111" i="3"/>
  <c r="BY65" i="3"/>
  <c r="DD14" i="3"/>
  <c r="DD109" i="3" s="1"/>
  <c r="DB14" i="3"/>
  <c r="DB109" i="3" s="1"/>
  <c r="CZ14" i="3"/>
  <c r="CZ109" i="3" s="1"/>
  <c r="CX14" i="3"/>
  <c r="CX109" i="3" s="1"/>
  <c r="CV14" i="3"/>
  <c r="CV109" i="3" s="1"/>
  <c r="CT14" i="3"/>
  <c r="CT109" i="3" s="1"/>
  <c r="CR14" i="3"/>
  <c r="CR109" i="3" s="1"/>
  <c r="DD13" i="3"/>
  <c r="DD108" i="3" s="1"/>
  <c r="DB13" i="3"/>
  <c r="DB108" i="3" s="1"/>
  <c r="CZ13" i="3"/>
  <c r="CZ108" i="3" s="1"/>
  <c r="CX13" i="3"/>
  <c r="CX108" i="3" s="1"/>
  <c r="CV13" i="3"/>
  <c r="CV108" i="3" s="1"/>
  <c r="CT13" i="3"/>
  <c r="CT108" i="3" s="1"/>
  <c r="CR13" i="3"/>
  <c r="CR108" i="3" s="1"/>
  <c r="BG82" i="3"/>
  <c r="BG79" i="3"/>
  <c r="BC82" i="3"/>
  <c r="BC79" i="3"/>
  <c r="DD11" i="3"/>
  <c r="AY82" i="3"/>
  <c r="AY79" i="3"/>
  <c r="DC11" i="3"/>
  <c r="AU82" i="3"/>
  <c r="AU79" i="3"/>
  <c r="DB11" i="3"/>
  <c r="AQ82" i="3"/>
  <c r="AQ79" i="3"/>
  <c r="DA11" i="3"/>
  <c r="AM82" i="3"/>
  <c r="AM79" i="3"/>
  <c r="CZ11" i="3"/>
  <c r="AI82" i="3"/>
  <c r="AI79" i="3"/>
  <c r="CY11" i="3"/>
  <c r="AE82" i="3"/>
  <c r="AE79" i="3"/>
  <c r="CX11" i="3"/>
  <c r="AA82" i="3"/>
  <c r="AA79" i="3"/>
  <c r="CW11" i="3"/>
  <c r="W82" i="3"/>
  <c r="W79" i="3"/>
  <c r="CV11" i="3"/>
  <c r="S82" i="3"/>
  <c r="S79" i="3"/>
  <c r="CU11" i="3"/>
  <c r="O82" i="3"/>
  <c r="O79" i="3"/>
  <c r="CT11" i="3"/>
  <c r="K82" i="3"/>
  <c r="K79" i="3"/>
  <c r="CS11" i="3"/>
  <c r="G82" i="3"/>
  <c r="G79" i="3"/>
  <c r="CR11" i="3"/>
  <c r="BL67" i="2"/>
  <c r="BM67" i="2" s="1"/>
  <c r="CM67" i="2"/>
  <c r="CM61" i="2"/>
  <c r="BL61" i="2"/>
  <c r="BA125" i="2"/>
  <c r="BA127" i="2" s="1"/>
  <c r="AY125" i="2"/>
  <c r="AW125" i="2"/>
  <c r="CM40" i="2"/>
  <c r="BM40" i="2"/>
  <c r="BZ125" i="2"/>
  <c r="BY125" i="2"/>
  <c r="CM70" i="2"/>
  <c r="CL124" i="2"/>
  <c r="CL125" i="2" s="1"/>
  <c r="CK125" i="2"/>
  <c r="CI125" i="2"/>
  <c r="CG125" i="2"/>
  <c r="CE125" i="2"/>
  <c r="CC125" i="2"/>
  <c r="CA125" i="2"/>
  <c r="BC91" i="2"/>
  <c r="BC25" i="2"/>
  <c r="DA91" i="2"/>
  <c r="DA25" i="2"/>
  <c r="DA67" i="3" s="1"/>
  <c r="CW91" i="2"/>
  <c r="CW25" i="2"/>
  <c r="CW67" i="3" s="1"/>
  <c r="CS91" i="2"/>
  <c r="CS25" i="2"/>
  <c r="CS67" i="3" s="1"/>
  <c r="CI91" i="2"/>
  <c r="CI25" i="2"/>
  <c r="CI67" i="3" s="1"/>
  <c r="CE91" i="2"/>
  <c r="CE25" i="2"/>
  <c r="CE67" i="3" s="1"/>
  <c r="CA91" i="2"/>
  <c r="CA25" i="2"/>
  <c r="CA67" i="3" s="1"/>
  <c r="CL88" i="2"/>
  <c r="CL89" i="2" s="1"/>
  <c r="CH88" i="2"/>
  <c r="CH89" i="2" s="1"/>
  <c r="CD88" i="2"/>
  <c r="BZ88" i="2"/>
  <c r="CF44" i="2"/>
  <c r="CF46" i="2" s="1"/>
  <c r="CM39" i="2"/>
  <c r="CM30" i="2"/>
  <c r="CM24" i="2"/>
  <c r="CM20" i="2"/>
  <c r="BF91" i="2"/>
  <c r="BF25" i="2"/>
  <c r="BB91" i="2"/>
  <c r="BB25" i="2"/>
  <c r="AJ91" i="2"/>
  <c r="AJ25" i="2"/>
  <c r="AB91" i="2"/>
  <c r="AB25" i="2"/>
  <c r="X91" i="2"/>
  <c r="X25" i="2"/>
  <c r="T91" i="2"/>
  <c r="T25" i="2"/>
  <c r="P91" i="2"/>
  <c r="P25" i="2"/>
  <c r="L91" i="2"/>
  <c r="L25" i="2"/>
  <c r="H91" i="2"/>
  <c r="H25" i="2"/>
  <c r="D91" i="2"/>
  <c r="D25" i="2"/>
  <c r="DD16" i="2"/>
  <c r="CZ91" i="2"/>
  <c r="CZ25" i="2"/>
  <c r="CV91" i="2"/>
  <c r="CV25" i="2"/>
  <c r="CR91" i="2"/>
  <c r="CR25" i="2"/>
  <c r="CK88" i="2"/>
  <c r="CK89" i="2" s="1"/>
  <c r="CK140" i="2"/>
  <c r="CJ135" i="2"/>
  <c r="CG88" i="2"/>
  <c r="CG140" i="2"/>
  <c r="CF135" i="2"/>
  <c r="CC88" i="2"/>
  <c r="CC140" i="2"/>
  <c r="CB135" i="2"/>
  <c r="BY88" i="2"/>
  <c r="CM13" i="2"/>
  <c r="CL91" i="2"/>
  <c r="CH91" i="2"/>
  <c r="CD91" i="2"/>
  <c r="BZ91" i="2"/>
  <c r="CN33" i="2"/>
  <c r="BP33" i="2"/>
  <c r="BQ33" i="2" s="1"/>
  <c r="BR33" i="2" s="1"/>
  <c r="BK139" i="2"/>
  <c r="BL134" i="2"/>
  <c r="CM10" i="2"/>
  <c r="AX119" i="2"/>
  <c r="AT115" i="2"/>
  <c r="AT97" i="2"/>
  <c r="AU96" i="2"/>
  <c r="BL142" i="2"/>
  <c r="AS111" i="2"/>
  <c r="AT104" i="2"/>
  <c r="AR121" i="2"/>
  <c r="DC74" i="2"/>
  <c r="DA74" i="2"/>
  <c r="CY74" i="2"/>
  <c r="CW74" i="2"/>
  <c r="BC65" i="2"/>
  <c r="CK61" i="2"/>
  <c r="CM63" i="2"/>
  <c r="CM38" i="2"/>
  <c r="BH125" i="2"/>
  <c r="BF125" i="2"/>
  <c r="BD125" i="2"/>
  <c r="CM37" i="2"/>
  <c r="CM32" i="2"/>
  <c r="E91" i="2"/>
  <c r="E25" i="2"/>
  <c r="DC91" i="2"/>
  <c r="DC25" i="2"/>
  <c r="CY91" i="2"/>
  <c r="CY25" i="2"/>
  <c r="CU91" i="2"/>
  <c r="CU25" i="2"/>
  <c r="CK91" i="2"/>
  <c r="CK25" i="2"/>
  <c r="CG91" i="2"/>
  <c r="CG25" i="2"/>
  <c r="CC91" i="2"/>
  <c r="CC25" i="2"/>
  <c r="BY91" i="2"/>
  <c r="BY25" i="2"/>
  <c r="CJ88" i="2"/>
  <c r="CJ89" i="2" s="1"/>
  <c r="CF88" i="2"/>
  <c r="CB88" i="2"/>
  <c r="CM68" i="2"/>
  <c r="DD65" i="2"/>
  <c r="BG65" i="2"/>
  <c r="BG71" i="2" s="1"/>
  <c r="BG74" i="2" s="1"/>
  <c r="CL61" i="2"/>
  <c r="CM62" i="2"/>
  <c r="BH91" i="2"/>
  <c r="BH25" i="2"/>
  <c r="BD91" i="2"/>
  <c r="BD25" i="2"/>
  <c r="AL91" i="2"/>
  <c r="AL25" i="2"/>
  <c r="AD91" i="2"/>
  <c r="AD25" i="2"/>
  <c r="Z91" i="2"/>
  <c r="Z25" i="2"/>
  <c r="V91" i="2"/>
  <c r="V25" i="2"/>
  <c r="R91" i="2"/>
  <c r="R25" i="2"/>
  <c r="N91" i="2"/>
  <c r="N25" i="2"/>
  <c r="J91" i="2"/>
  <c r="J25" i="2"/>
  <c r="F91" i="2"/>
  <c r="F25" i="2"/>
  <c r="DB91" i="2"/>
  <c r="DB25" i="2"/>
  <c r="CX91" i="2"/>
  <c r="CX25" i="2"/>
  <c r="CT91" i="2"/>
  <c r="CT25" i="2"/>
  <c r="CL135" i="2"/>
  <c r="CI88" i="2"/>
  <c r="CI89" i="2" s="1"/>
  <c r="CI140" i="2"/>
  <c r="CH135" i="2"/>
  <c r="CE88" i="2"/>
  <c r="CE140" i="2"/>
  <c r="CD135" i="2"/>
  <c r="CA88" i="2"/>
  <c r="CA140" i="2"/>
  <c r="CM29" i="2"/>
  <c r="CM23" i="2"/>
  <c r="CM19" i="2"/>
  <c r="CM14" i="2"/>
  <c r="CM31" i="2"/>
  <c r="BM31" i="2"/>
  <c r="CM21" i="2"/>
  <c r="AY90" i="3"/>
  <c r="AQ90" i="3"/>
  <c r="AI90" i="3"/>
  <c r="AA90" i="3"/>
  <c r="K90" i="3"/>
  <c r="D90" i="3"/>
  <c r="O126" i="2"/>
  <c r="O127" i="2" s="1"/>
  <c r="CA143" i="2"/>
  <c r="CA142" i="2" s="1"/>
  <c r="K126" i="2"/>
  <c r="AU126" i="2"/>
  <c r="AU127" i="2" s="1"/>
  <c r="AQ126" i="2"/>
  <c r="AQ127" i="2" s="1"/>
  <c r="AI126" i="2"/>
  <c r="AI127" i="2" s="1"/>
  <c r="AE126" i="2"/>
  <c r="AE127" i="2" s="1"/>
  <c r="AA126" i="2"/>
  <c r="AA127" i="2" s="1"/>
  <c r="S126" i="2"/>
  <c r="S127" i="2" s="1"/>
  <c r="G126" i="2"/>
  <c r="AM126" i="2"/>
  <c r="AM127" i="2" s="1"/>
  <c r="BF91" i="3"/>
  <c r="BE91" i="3"/>
  <c r="BD91" i="3"/>
  <c r="BB91" i="3"/>
  <c r="BA91" i="3"/>
  <c r="CL126" i="2"/>
  <c r="CK126" i="2"/>
  <c r="CD126" i="2"/>
  <c r="CD127" i="2" s="1"/>
  <c r="CC126" i="2"/>
  <c r="BY126" i="2"/>
  <c r="CO143" i="2"/>
  <c r="CN143" i="2"/>
  <c r="CN142" i="2" s="1"/>
  <c r="CM143" i="2"/>
  <c r="CJ143" i="2"/>
  <c r="CJ142" i="2" s="1"/>
  <c r="CC143" i="2"/>
  <c r="BZ143" i="2"/>
  <c r="BG88" i="53"/>
  <c r="BE88" i="53"/>
  <c r="BD88" i="53"/>
  <c r="BC88" i="53"/>
  <c r="BB152" i="53"/>
  <c r="AW152" i="53"/>
  <c r="AR152" i="53"/>
  <c r="AH88" i="53"/>
  <c r="AG88" i="53"/>
  <c r="AF88" i="53"/>
  <c r="AE88" i="53"/>
  <c r="AD88" i="53"/>
  <c r="AB88" i="53"/>
  <c r="AA88" i="53"/>
  <c r="Z88" i="53"/>
  <c r="X88" i="53"/>
  <c r="W88" i="53"/>
  <c r="V88" i="53"/>
  <c r="T88" i="53"/>
  <c r="S88" i="53"/>
  <c r="R88" i="53"/>
  <c r="P88" i="53"/>
  <c r="N88" i="53"/>
  <c r="M88" i="53"/>
  <c r="L88" i="53"/>
  <c r="L28" i="53" s="1"/>
  <c r="J88" i="53"/>
  <c r="I88" i="53"/>
  <c r="H88" i="53"/>
  <c r="F88" i="53"/>
  <c r="E88" i="53"/>
  <c r="D88" i="53"/>
  <c r="D39" i="53" s="1"/>
  <c r="D42" i="53" s="1"/>
  <c r="DD57" i="2"/>
  <c r="CL57" i="2"/>
  <c r="CK57" i="2"/>
  <c r="CE57" i="2"/>
  <c r="CD57" i="2"/>
  <c r="CC57" i="2"/>
  <c r="CB57" i="2"/>
  <c r="AY76" i="53"/>
  <c r="AQ76" i="53"/>
  <c r="AI76" i="53"/>
  <c r="K76" i="53"/>
  <c r="G76" i="53"/>
  <c r="DE172" i="83" l="1"/>
  <c r="DE174" i="83" s="1"/>
  <c r="BJ65" i="3"/>
  <c r="BK16" i="3"/>
  <c r="BU82" i="53"/>
  <c r="BK11" i="3"/>
  <c r="BK172" i="83" s="1"/>
  <c r="BK174" i="83" s="1"/>
  <c r="BW82" i="53"/>
  <c r="CP82" i="53" s="1"/>
  <c r="BK62" i="3"/>
  <c r="BK64" i="3" s="1"/>
  <c r="BK36" i="3"/>
  <c r="AY13" i="53"/>
  <c r="CE14" i="53"/>
  <c r="CB37" i="53"/>
  <c r="CF37" i="53"/>
  <c r="CJ37" i="53"/>
  <c r="W67" i="53"/>
  <c r="CH66" i="53"/>
  <c r="CB26" i="53"/>
  <c r="CF26" i="53"/>
  <c r="CJ26" i="53"/>
  <c r="CW26" i="53"/>
  <c r="CT37" i="53"/>
  <c r="DB37" i="53"/>
  <c r="CB15" i="53"/>
  <c r="CF15" i="53"/>
  <c r="CJ15" i="53"/>
  <c r="AM67" i="53"/>
  <c r="AQ69" i="53"/>
  <c r="CB59" i="53"/>
  <c r="CF48" i="53"/>
  <c r="AQ13" i="53"/>
  <c r="AU13" i="53"/>
  <c r="W26" i="53"/>
  <c r="AM59" i="53"/>
  <c r="AM167" i="53"/>
  <c r="AE59" i="53"/>
  <c r="CW46" i="2"/>
  <c r="BW53" i="2"/>
  <c r="DA47" i="53"/>
  <c r="CI59" i="53"/>
  <c r="AM79" i="53"/>
  <c r="AQ26" i="53"/>
  <c r="AQ15" i="53"/>
  <c r="BY66" i="53"/>
  <c r="CG66" i="53"/>
  <c r="CG15" i="53" s="1"/>
  <c r="AQ67" i="53"/>
  <c r="DB47" i="53"/>
  <c r="AE91" i="3"/>
  <c r="CE91" i="3" s="1"/>
  <c r="CB143" i="2"/>
  <c r="CB142" i="2" s="1"/>
  <c r="CE143" i="2"/>
  <c r="CE142" i="2" s="1"/>
  <c r="CF126" i="2"/>
  <c r="CF127" i="2" s="1"/>
  <c r="CA65" i="3"/>
  <c r="CE65" i="3"/>
  <c r="CI65" i="3"/>
  <c r="DE16" i="3"/>
  <c r="CI106" i="3"/>
  <c r="AX80" i="3"/>
  <c r="CI13" i="3"/>
  <c r="CM16" i="3"/>
  <c r="CM111" i="3" s="1"/>
  <c r="CE53" i="2"/>
  <c r="CE52" i="2"/>
  <c r="CE51" i="2" s="1"/>
  <c r="AN88" i="53"/>
  <c r="AN17" i="53" s="1"/>
  <c r="AN152" i="53"/>
  <c r="AX88" i="53"/>
  <c r="AX28" i="53" s="1"/>
  <c r="AX152" i="53"/>
  <c r="CA57" i="2"/>
  <c r="O76" i="53"/>
  <c r="AU76" i="53"/>
  <c r="CD52" i="2"/>
  <c r="CD51" i="2" s="1"/>
  <c r="CD53" i="2"/>
  <c r="AL88" i="53"/>
  <c r="AL97" i="53" s="1"/>
  <c r="AL152" i="53"/>
  <c r="CL91" i="3"/>
  <c r="DD91" i="3"/>
  <c r="CF76" i="53"/>
  <c r="AS88" i="53"/>
  <c r="AS61" i="53" s="1"/>
  <c r="AS152" i="53"/>
  <c r="BY76" i="53"/>
  <c r="AM76" i="53"/>
  <c r="CB52" i="2"/>
  <c r="CB51" i="2" s="1"/>
  <c r="CB53" i="2"/>
  <c r="AJ88" i="53"/>
  <c r="AJ98" i="53" s="1"/>
  <c r="AJ152" i="53"/>
  <c r="AO88" i="53"/>
  <c r="AO97" i="53" s="1"/>
  <c r="AO152" i="53"/>
  <c r="AT88" i="53"/>
  <c r="AT98" i="53" s="1"/>
  <c r="AT152" i="53"/>
  <c r="AZ88" i="53"/>
  <c r="AZ98" i="53" s="1"/>
  <c r="AZ152" i="53"/>
  <c r="CJ76" i="53"/>
  <c r="AZ91" i="3"/>
  <c r="CK91" i="3" s="1"/>
  <c r="BZ76" i="53"/>
  <c r="CH76" i="53"/>
  <c r="CC53" i="2"/>
  <c r="CC52" i="2"/>
  <c r="CC51" i="2" s="1"/>
  <c r="AK88" i="53"/>
  <c r="AK28" i="53" s="1"/>
  <c r="AK152" i="53"/>
  <c r="AP88" i="53"/>
  <c r="AP97" i="53" s="1"/>
  <c r="AP152" i="53"/>
  <c r="AV88" i="53"/>
  <c r="AV96" i="53" s="1"/>
  <c r="AV152" i="53"/>
  <c r="BA88" i="53"/>
  <c r="BA28" i="53" s="1"/>
  <c r="BA152" i="53"/>
  <c r="CK143" i="2"/>
  <c r="CK142" i="2" s="1"/>
  <c r="CH126" i="2"/>
  <c r="CH127" i="2" s="1"/>
  <c r="BH91" i="3"/>
  <c r="CA46" i="2"/>
  <c r="CI46" i="2"/>
  <c r="BH90" i="3"/>
  <c r="E90" i="3"/>
  <c r="U90" i="3"/>
  <c r="F90" i="3"/>
  <c r="M90" i="3"/>
  <c r="R90" i="3"/>
  <c r="V90" i="3"/>
  <c r="AB90" i="3"/>
  <c r="Q90" i="3"/>
  <c r="H90" i="3"/>
  <c r="N90" i="3"/>
  <c r="S90" i="3"/>
  <c r="W90" i="3"/>
  <c r="AC90" i="3"/>
  <c r="J90" i="3"/>
  <c r="Z90" i="3"/>
  <c r="I90" i="3"/>
  <c r="P90" i="3"/>
  <c r="T90" i="3"/>
  <c r="X90" i="3"/>
  <c r="AM143" i="2"/>
  <c r="AM142" i="2" s="1"/>
  <c r="AM91" i="3"/>
  <c r="G143" i="2"/>
  <c r="G142" i="2" s="1"/>
  <c r="G91" i="3"/>
  <c r="CF143" i="2"/>
  <c r="CF142" i="2" s="1"/>
  <c r="AI91" i="3"/>
  <c r="O143" i="2"/>
  <c r="O142" i="2" s="1"/>
  <c r="O91" i="3"/>
  <c r="CM142" i="2"/>
  <c r="AY126" i="2"/>
  <c r="AY127" i="2" s="1"/>
  <c r="AY91" i="3"/>
  <c r="CD143" i="2"/>
  <c r="CD142" i="2" s="1"/>
  <c r="AA91" i="3"/>
  <c r="CC142" i="2"/>
  <c r="S91" i="3"/>
  <c r="AQ143" i="2"/>
  <c r="AQ142" i="2" s="1"/>
  <c r="AQ91" i="3"/>
  <c r="AU143" i="2"/>
  <c r="AU142" i="2" s="1"/>
  <c r="AU91" i="3"/>
  <c r="K143" i="2"/>
  <c r="K142" i="2" s="1"/>
  <c r="K91" i="3"/>
  <c r="AV46" i="53"/>
  <c r="BD46" i="53"/>
  <c r="AQ59" i="53"/>
  <c r="AQ167" i="53"/>
  <c r="AZ46" i="53"/>
  <c r="BH46" i="53"/>
  <c r="W167" i="53"/>
  <c r="AP68" i="53"/>
  <c r="CV69" i="53"/>
  <c r="CZ69" i="53"/>
  <c r="DD69" i="53"/>
  <c r="BZ69" i="53"/>
  <c r="BY59" i="53"/>
  <c r="CC69" i="53"/>
  <c r="CE69" i="53"/>
  <c r="CG69" i="53"/>
  <c r="CK69" i="53"/>
  <c r="CT48" i="53"/>
  <c r="DB59" i="53"/>
  <c r="BQ46" i="53"/>
  <c r="BU46" i="53" s="1"/>
  <c r="CL48" i="53"/>
  <c r="BR46" i="53"/>
  <c r="BV46" i="53" s="1"/>
  <c r="CV15" i="53"/>
  <c r="CZ15" i="53"/>
  <c r="DD15" i="53"/>
  <c r="DC69" i="53"/>
  <c r="CY15" i="53"/>
  <c r="CV26" i="53"/>
  <c r="CZ26" i="53"/>
  <c r="DD26" i="53"/>
  <c r="DA37" i="53"/>
  <c r="CV48" i="53"/>
  <c r="CZ48" i="53"/>
  <c r="BZ48" i="53"/>
  <c r="CS59" i="53"/>
  <c r="DA48" i="53"/>
  <c r="CA59" i="53"/>
  <c r="CZ59" i="53"/>
  <c r="CU37" i="53"/>
  <c r="BY48" i="53"/>
  <c r="CA48" i="53"/>
  <c r="CC48" i="53"/>
  <c r="CE48" i="53"/>
  <c r="CG48" i="53"/>
  <c r="CI48" i="53"/>
  <c r="CA26" i="53"/>
  <c r="CE26" i="53"/>
  <c r="CI26" i="53"/>
  <c r="CD37" i="53"/>
  <c r="CX69" i="53"/>
  <c r="CD48" i="53"/>
  <c r="CW48" i="53"/>
  <c r="O125" i="53"/>
  <c r="O127" i="53" s="1"/>
  <c r="AE125" i="53"/>
  <c r="AE127" i="53" s="1"/>
  <c r="F61" i="53"/>
  <c r="F39" i="53"/>
  <c r="F50" i="53"/>
  <c r="I61" i="53"/>
  <c r="I50" i="53"/>
  <c r="N61" i="53"/>
  <c r="N39" i="53"/>
  <c r="N50" i="53"/>
  <c r="Q89" i="53"/>
  <c r="Q88" i="53"/>
  <c r="Q17" i="53" s="1"/>
  <c r="S61" i="53"/>
  <c r="S28" i="53"/>
  <c r="U89" i="53"/>
  <c r="U88" i="53"/>
  <c r="U17" i="53" s="1"/>
  <c r="U20" i="53" s="1"/>
  <c r="W28" i="53"/>
  <c r="W61" i="53"/>
  <c r="Y89" i="53"/>
  <c r="Y88" i="53"/>
  <c r="Y17" i="53" s="1"/>
  <c r="AA50" i="53"/>
  <c r="AA61" i="53"/>
  <c r="AC89" i="53"/>
  <c r="AC88" i="53"/>
  <c r="AC39" i="53" s="1"/>
  <c r="AE61" i="53"/>
  <c r="AE50" i="53"/>
  <c r="AG97" i="53"/>
  <c r="AG98" i="53"/>
  <c r="AG96" i="53"/>
  <c r="AG50" i="53"/>
  <c r="AG61" i="53"/>
  <c r="AJ50" i="53"/>
  <c r="AL98" i="53"/>
  <c r="AO61" i="53"/>
  <c r="AR88" i="53"/>
  <c r="AR17" i="53" s="1"/>
  <c r="AT97" i="53"/>
  <c r="AT50" i="53"/>
  <c r="AW89" i="53"/>
  <c r="AW88" i="53"/>
  <c r="AW17" i="53" s="1"/>
  <c r="AZ50" i="53"/>
  <c r="BB89" i="53"/>
  <c r="BB88" i="53"/>
  <c r="BB28" i="53" s="1"/>
  <c r="BD50" i="53"/>
  <c r="BD61" i="53"/>
  <c r="BF89" i="53"/>
  <c r="BF88" i="53"/>
  <c r="BF28" i="53" s="1"/>
  <c r="E28" i="53"/>
  <c r="M28" i="53"/>
  <c r="L39" i="53"/>
  <c r="T39" i="53"/>
  <c r="AB39" i="53"/>
  <c r="H17" i="53"/>
  <c r="P17" i="53"/>
  <c r="X17" i="53"/>
  <c r="AF17" i="53"/>
  <c r="BD17" i="53"/>
  <c r="I17" i="53"/>
  <c r="AG17" i="53"/>
  <c r="AO17" i="53"/>
  <c r="BE17" i="53"/>
  <c r="J28" i="53"/>
  <c r="R28" i="53"/>
  <c r="R31" i="53" s="1"/>
  <c r="Z28" i="53"/>
  <c r="AH28" i="53"/>
  <c r="AP28" i="53"/>
  <c r="E39" i="53"/>
  <c r="E40" i="53" s="1"/>
  <c r="M39" i="53"/>
  <c r="U39" i="53"/>
  <c r="BA39" i="53"/>
  <c r="D50" i="53"/>
  <c r="AB50" i="53"/>
  <c r="AA28" i="53"/>
  <c r="J17" i="53"/>
  <c r="R17" i="53"/>
  <c r="Z17" i="53"/>
  <c r="AH17" i="53"/>
  <c r="AP17" i="53"/>
  <c r="W17" i="53"/>
  <c r="AE17" i="53"/>
  <c r="BC17" i="53"/>
  <c r="D28" i="53"/>
  <c r="D31" i="53" s="1"/>
  <c r="P28" i="53"/>
  <c r="X28" i="53"/>
  <c r="BD28" i="53"/>
  <c r="W39" i="53"/>
  <c r="AE39" i="53"/>
  <c r="BC39" i="53"/>
  <c r="S50" i="53"/>
  <c r="BC50" i="53"/>
  <c r="L31" i="53"/>
  <c r="E61" i="53"/>
  <c r="E50" i="53"/>
  <c r="H50" i="53"/>
  <c r="H61" i="53"/>
  <c r="J50" i="53"/>
  <c r="J61" i="53"/>
  <c r="J39" i="53"/>
  <c r="M50" i="53"/>
  <c r="M61" i="53"/>
  <c r="P61" i="53"/>
  <c r="P50" i="53"/>
  <c r="R50" i="53"/>
  <c r="R61" i="53"/>
  <c r="R39" i="53"/>
  <c r="T98" i="53"/>
  <c r="T96" i="53"/>
  <c r="T97" i="53"/>
  <c r="V98" i="53"/>
  <c r="V97" i="53"/>
  <c r="V96" i="53"/>
  <c r="V50" i="53"/>
  <c r="V39" i="53"/>
  <c r="V61" i="53"/>
  <c r="X98" i="53"/>
  <c r="X96" i="53"/>
  <c r="X97" i="53"/>
  <c r="X61" i="53"/>
  <c r="X50" i="53"/>
  <c r="Z98" i="53"/>
  <c r="Z97" i="53"/>
  <c r="Z96" i="53"/>
  <c r="Z61" i="53"/>
  <c r="Z50" i="53"/>
  <c r="Z39" i="53"/>
  <c r="AB98" i="53"/>
  <c r="AB96" i="53"/>
  <c r="AB97" i="53"/>
  <c r="AB28" i="53"/>
  <c r="AD98" i="53"/>
  <c r="AD97" i="53"/>
  <c r="AD96" i="53"/>
  <c r="AD50" i="53"/>
  <c r="AD39" i="53"/>
  <c r="AD61" i="53"/>
  <c r="AF98" i="53"/>
  <c r="AF96" i="53"/>
  <c r="AF97" i="53"/>
  <c r="AF50" i="53"/>
  <c r="AF61" i="53"/>
  <c r="AH98" i="53"/>
  <c r="AH97" i="53"/>
  <c r="AH96" i="53"/>
  <c r="AH61" i="53"/>
  <c r="AH50" i="53"/>
  <c r="AH39" i="53"/>
  <c r="AN98" i="53"/>
  <c r="AN61" i="53"/>
  <c r="AP98" i="53"/>
  <c r="AP96" i="53"/>
  <c r="AP61" i="53"/>
  <c r="AS98" i="53"/>
  <c r="AX50" i="53"/>
  <c r="BA96" i="53"/>
  <c r="BA61" i="53"/>
  <c r="BC61" i="53"/>
  <c r="BC28" i="53"/>
  <c r="BD29" i="53" s="1"/>
  <c r="BE61" i="53"/>
  <c r="BE50" i="53"/>
  <c r="I28" i="53"/>
  <c r="Y28" i="53"/>
  <c r="AG28" i="53"/>
  <c r="BE28" i="53"/>
  <c r="H39" i="53"/>
  <c r="P39" i="53"/>
  <c r="X39" i="53"/>
  <c r="AF39" i="53"/>
  <c r="BD39" i="53"/>
  <c r="D17" i="53"/>
  <c r="L17" i="53"/>
  <c r="T17" i="53"/>
  <c r="AB17" i="53"/>
  <c r="E17" i="53"/>
  <c r="M17" i="53"/>
  <c r="F28" i="53"/>
  <c r="N28" i="53"/>
  <c r="V28" i="53"/>
  <c r="AD28" i="53"/>
  <c r="I39" i="53"/>
  <c r="AG39" i="53"/>
  <c r="BE39" i="53"/>
  <c r="BE42" i="53" s="1"/>
  <c r="L50" i="53"/>
  <c r="T50" i="53"/>
  <c r="AE28" i="53"/>
  <c r="F17" i="53"/>
  <c r="N17" i="53"/>
  <c r="V17" i="53"/>
  <c r="AD17" i="53"/>
  <c r="AL17" i="53"/>
  <c r="S17" i="53"/>
  <c r="AA17" i="53"/>
  <c r="H28" i="53"/>
  <c r="T28" i="53"/>
  <c r="AF28" i="53"/>
  <c r="S39" i="53"/>
  <c r="AA39" i="53"/>
  <c r="D61" i="53"/>
  <c r="L61" i="53"/>
  <c r="T61" i="53"/>
  <c r="AB61" i="53"/>
  <c r="AJ61" i="53"/>
  <c r="W50" i="53"/>
  <c r="CK108" i="3"/>
  <c r="CH108" i="3"/>
  <c r="BI53" i="3"/>
  <c r="W43" i="3"/>
  <c r="W110" i="83" s="1"/>
  <c r="CV110" i="83" s="1"/>
  <c r="BC43" i="3"/>
  <c r="BC110" i="83" s="1"/>
  <c r="DD110" i="83" s="1"/>
  <c r="BJ26" i="3"/>
  <c r="BJ95" i="3" s="1"/>
  <c r="BJ96" i="3" s="1"/>
  <c r="BJ82" i="3"/>
  <c r="BJ79" i="3"/>
  <c r="CD43" i="3"/>
  <c r="CD138" i="3" s="1"/>
  <c r="AA43" i="3"/>
  <c r="AA110" i="83" s="1"/>
  <c r="CW110" i="83" s="1"/>
  <c r="AE43" i="3"/>
  <c r="AE110" i="83" s="1"/>
  <c r="CX110" i="83" s="1"/>
  <c r="AI43" i="3"/>
  <c r="AI110" i="83" s="1"/>
  <c r="CY110" i="83" s="1"/>
  <c r="CJ82" i="53"/>
  <c r="G43" i="3"/>
  <c r="G110" i="83" s="1"/>
  <c r="CR110" i="83" s="1"/>
  <c r="AM43" i="3"/>
  <c r="AM110" i="83" s="1"/>
  <c r="CZ110" i="83" s="1"/>
  <c r="S43" i="3"/>
  <c r="S110" i="83" s="1"/>
  <c r="CU110" i="83" s="1"/>
  <c r="CG82" i="53"/>
  <c r="AT83" i="3"/>
  <c r="CJ108" i="3"/>
  <c r="BJ47" i="3"/>
  <c r="BJ89" i="3"/>
  <c r="BJ62" i="3"/>
  <c r="BJ64" i="3" s="1"/>
  <c r="BJ36" i="3"/>
  <c r="O43" i="3"/>
  <c r="O110" i="83" s="1"/>
  <c r="CT110" i="83" s="1"/>
  <c r="AU43" i="3"/>
  <c r="AU110" i="83" s="1"/>
  <c r="DB110" i="83" s="1"/>
  <c r="AY43" i="3"/>
  <c r="AY110" i="83" s="1"/>
  <c r="DC110" i="83" s="1"/>
  <c r="DA13" i="3"/>
  <c r="DA108" i="3" s="1"/>
  <c r="CG115" i="3"/>
  <c r="CG108" i="3"/>
  <c r="CI115" i="3"/>
  <c r="CL108" i="3"/>
  <c r="CF115" i="3"/>
  <c r="CK82" i="53"/>
  <c r="DC13" i="3"/>
  <c r="DC108" i="3" s="1"/>
  <c r="CI82" i="53"/>
  <c r="CH115" i="3"/>
  <c r="N83" i="3"/>
  <c r="CL115" i="3"/>
  <c r="G83" i="3"/>
  <c r="K83" i="3"/>
  <c r="O83" i="3"/>
  <c r="S83" i="3"/>
  <c r="W83" i="3"/>
  <c r="AA83" i="3"/>
  <c r="AE83" i="3"/>
  <c r="AI83" i="3"/>
  <c r="AM83" i="3"/>
  <c r="AQ83" i="3"/>
  <c r="AU83" i="3"/>
  <c r="AY83" i="3"/>
  <c r="CK115" i="3"/>
  <c r="CI108" i="3"/>
  <c r="CF108" i="3"/>
  <c r="CJ115" i="3"/>
  <c r="CM65" i="3"/>
  <c r="BI83" i="3"/>
  <c r="BI78" i="3"/>
  <c r="BI80" i="3"/>
  <c r="BO82" i="53"/>
  <c r="AU15" i="3"/>
  <c r="K43" i="3"/>
  <c r="K110" i="83" s="1"/>
  <c r="CS110" i="83" s="1"/>
  <c r="AQ43" i="3"/>
  <c r="AQ110" i="83" s="1"/>
  <c r="DA110" i="83" s="1"/>
  <c r="CL82" i="53"/>
  <c r="AD83" i="3"/>
  <c r="CI43" i="3"/>
  <c r="CI138" i="3" s="1"/>
  <c r="DE13" i="3"/>
  <c r="DE108" i="3" s="1"/>
  <c r="CE46" i="2"/>
  <c r="CS46" i="2"/>
  <c r="DA46" i="2"/>
  <c r="CE126" i="2"/>
  <c r="CE127" i="2" s="1"/>
  <c r="CG126" i="2"/>
  <c r="CG127" i="2" s="1"/>
  <c r="CI126" i="2"/>
  <c r="CI127" i="2" s="1"/>
  <c r="BF46" i="2"/>
  <c r="BF67" i="3"/>
  <c r="CT46" i="2"/>
  <c r="CT67" i="3"/>
  <c r="DB46" i="2"/>
  <c r="DB67" i="3"/>
  <c r="J46" i="2"/>
  <c r="J67" i="3"/>
  <c r="R46" i="2"/>
  <c r="R67" i="3"/>
  <c r="Z46" i="2"/>
  <c r="Z67" i="3"/>
  <c r="AL46" i="2"/>
  <c r="AL67" i="3"/>
  <c r="BH46" i="2"/>
  <c r="BH67" i="3"/>
  <c r="BY46" i="2"/>
  <c r="BY67" i="3"/>
  <c r="CG46" i="2"/>
  <c r="CG67" i="3"/>
  <c r="CU46" i="2"/>
  <c r="CU67" i="3"/>
  <c r="DC46" i="2"/>
  <c r="DC67" i="3"/>
  <c r="CR46" i="2"/>
  <c r="CR67" i="3"/>
  <c r="CZ46" i="2"/>
  <c r="CZ67" i="3"/>
  <c r="BC46" i="2"/>
  <c r="BC67" i="3"/>
  <c r="P46" i="2"/>
  <c r="P67" i="3"/>
  <c r="AJ46" i="2"/>
  <c r="AJ67" i="3"/>
  <c r="CX46" i="2"/>
  <c r="CX67" i="3"/>
  <c r="F46" i="2"/>
  <c r="F67" i="3"/>
  <c r="N46" i="2"/>
  <c r="N67" i="3"/>
  <c r="V46" i="2"/>
  <c r="V67" i="3"/>
  <c r="AD46" i="2"/>
  <c r="AD67" i="3"/>
  <c r="BD46" i="2"/>
  <c r="BD67" i="3"/>
  <c r="CC46" i="2"/>
  <c r="CC67" i="3"/>
  <c r="CK46" i="2"/>
  <c r="CK67" i="3"/>
  <c r="CY46" i="2"/>
  <c r="CY67" i="3"/>
  <c r="E46" i="2"/>
  <c r="E67" i="3"/>
  <c r="CV46" i="2"/>
  <c r="CV67" i="3"/>
  <c r="H46" i="2"/>
  <c r="H67" i="3"/>
  <c r="X46" i="2"/>
  <c r="X67" i="3"/>
  <c r="D46" i="2"/>
  <c r="D67" i="3"/>
  <c r="L46" i="2"/>
  <c r="L67" i="3"/>
  <c r="T46" i="2"/>
  <c r="T67" i="3"/>
  <c r="AB46" i="2"/>
  <c r="AB67" i="3"/>
  <c r="BB46" i="2"/>
  <c r="BB67" i="3"/>
  <c r="S89" i="53"/>
  <c r="CI57" i="2"/>
  <c r="BA143" i="2"/>
  <c r="BF143" i="2"/>
  <c r="BB143" i="2"/>
  <c r="BH143" i="2"/>
  <c r="BD143" i="2"/>
  <c r="AZ143" i="2"/>
  <c r="BE143" i="2"/>
  <c r="CM35" i="3"/>
  <c r="CM130" i="3" s="1"/>
  <c r="CM24" i="3"/>
  <c r="CM119" i="3" s="1"/>
  <c r="CH143" i="2"/>
  <c r="CH142" i="2" s="1"/>
  <c r="CA126" i="2"/>
  <c r="CA127" i="2" s="1"/>
  <c r="BZ57" i="2"/>
  <c r="K57" i="2"/>
  <c r="AI57" i="2"/>
  <c r="AQ57" i="2"/>
  <c r="AY57" i="2"/>
  <c r="CL53" i="2"/>
  <c r="CL52" i="2"/>
  <c r="CL51" i="2" s="1"/>
  <c r="CV57" i="2"/>
  <c r="CX57" i="2"/>
  <c r="BH89" i="53"/>
  <c r="BH88" i="53"/>
  <c r="AA143" i="2"/>
  <c r="AA142" i="2" s="1"/>
  <c r="AI143" i="2"/>
  <c r="AI142" i="2" s="1"/>
  <c r="CC127" i="2"/>
  <c r="CK127" i="2"/>
  <c r="CR57" i="2"/>
  <c r="G57" i="2"/>
  <c r="CT57" i="2"/>
  <c r="O57" i="2"/>
  <c r="AM57" i="2"/>
  <c r="AU57" i="2"/>
  <c r="BY57" i="2"/>
  <c r="CK53" i="2"/>
  <c r="CK52" i="2"/>
  <c r="CK51" i="2" s="1"/>
  <c r="CU57" i="2"/>
  <c r="CW57" i="2"/>
  <c r="DD53" i="2"/>
  <c r="DD52" i="2"/>
  <c r="DD51" i="2" s="1"/>
  <c r="BG89" i="53"/>
  <c r="CG143" i="2"/>
  <c r="CG142" i="2" s="1"/>
  <c r="CB126" i="2"/>
  <c r="CB127" i="2" s="1"/>
  <c r="CJ126" i="2"/>
  <c r="CJ127" i="2" s="1"/>
  <c r="S143" i="2"/>
  <c r="S142" i="2" s="1"/>
  <c r="AE143" i="2"/>
  <c r="AE142" i="2" s="1"/>
  <c r="BL78" i="2"/>
  <c r="CL127" i="2"/>
  <c r="CM13" i="3"/>
  <c r="BD131" i="2"/>
  <c r="BD94" i="2"/>
  <c r="BD123" i="2"/>
  <c r="BD77" i="2"/>
  <c r="DE43" i="3"/>
  <c r="DE138" i="3" s="1"/>
  <c r="DC6" i="3"/>
  <c r="BE31" i="53"/>
  <c r="BE20" i="53"/>
  <c r="CM33" i="53"/>
  <c r="AL68" i="53"/>
  <c r="DC15" i="53"/>
  <c r="CS37" i="53"/>
  <c r="DD48" i="53"/>
  <c r="CS48" i="53"/>
  <c r="DA69" i="53"/>
  <c r="CV59" i="53"/>
  <c r="AV68" i="53"/>
  <c r="AO80" i="53"/>
  <c r="AN79" i="53"/>
  <c r="S125" i="53"/>
  <c r="S127" i="53" s="1"/>
  <c r="AI125" i="53"/>
  <c r="AI127" i="53" s="1"/>
  <c r="BZ59" i="53"/>
  <c r="AY141" i="53"/>
  <c r="AY143" i="53" s="1"/>
  <c r="AE30" i="53"/>
  <c r="AE31" i="53"/>
  <c r="CY69" i="53"/>
  <c r="CY48" i="53"/>
  <c r="CY59" i="53"/>
  <c r="AD20" i="53"/>
  <c r="P30" i="53"/>
  <c r="AA42" i="53"/>
  <c r="CA69" i="53"/>
  <c r="AR68" i="53"/>
  <c r="CK48" i="53"/>
  <c r="CS15" i="53"/>
  <c r="DA15" i="53"/>
  <c r="CT26" i="53"/>
  <c r="CX26" i="53"/>
  <c r="DB26" i="53"/>
  <c r="CY37" i="53"/>
  <c r="DC37" i="53"/>
  <c r="CX48" i="53"/>
  <c r="DB48" i="53"/>
  <c r="CD69" i="53"/>
  <c r="DE47" i="53"/>
  <c r="CG59" i="53"/>
  <c r="CK59" i="53"/>
  <c r="CX59" i="53"/>
  <c r="DE55" i="53"/>
  <c r="G125" i="53"/>
  <c r="G127" i="53" s="1"/>
  <c r="W125" i="53"/>
  <c r="W127" i="53" s="1"/>
  <c r="AM125" i="53"/>
  <c r="AM127" i="53" s="1"/>
  <c r="CB69" i="53"/>
  <c r="CF69" i="53"/>
  <c r="CJ69" i="53"/>
  <c r="CM44" i="53"/>
  <c r="H41" i="53"/>
  <c r="L19" i="53"/>
  <c r="AB20" i="53"/>
  <c r="AR20" i="53"/>
  <c r="AP31" i="53"/>
  <c r="AT68" i="53"/>
  <c r="AK68" i="53"/>
  <c r="AM68" i="53"/>
  <c r="AO68" i="53"/>
  <c r="DD59" i="53"/>
  <c r="DC59" i="53"/>
  <c r="AQ125" i="53"/>
  <c r="AQ127" i="53" s="1"/>
  <c r="CU69" i="53"/>
  <c r="CU48" i="53"/>
  <c r="CU59" i="53"/>
  <c r="AH19" i="53"/>
  <c r="DE22" i="53"/>
  <c r="CS26" i="53"/>
  <c r="DA26" i="53"/>
  <c r="AF30" i="53"/>
  <c r="AZ68" i="53"/>
  <c r="BZ37" i="53"/>
  <c r="CT69" i="53"/>
  <c r="AS68" i="53"/>
  <c r="AW68" i="53"/>
  <c r="DB69" i="53"/>
  <c r="CL69" i="53"/>
  <c r="CW69" i="53"/>
  <c r="CW59" i="53"/>
  <c r="CC59" i="53"/>
  <c r="CT59" i="53"/>
  <c r="AN68" i="53"/>
  <c r="DA59" i="53"/>
  <c r="AY125" i="53"/>
  <c r="AY127" i="53" s="1"/>
  <c r="AB29" i="53"/>
  <c r="G80" i="3"/>
  <c r="G78" i="3"/>
  <c r="BY78" i="3" s="1"/>
  <c r="K80" i="3"/>
  <c r="K78" i="3"/>
  <c r="BZ78" i="3" s="1"/>
  <c r="O80" i="3"/>
  <c r="O78" i="3"/>
  <c r="CA78" i="3" s="1"/>
  <c r="S80" i="3"/>
  <c r="S78" i="3"/>
  <c r="CB78" i="3" s="1"/>
  <c r="W80" i="3"/>
  <c r="W78" i="3"/>
  <c r="CC78" i="3" s="1"/>
  <c r="AA80" i="3"/>
  <c r="AA78" i="3"/>
  <c r="CD78" i="3" s="1"/>
  <c r="AE80" i="3"/>
  <c r="AE78" i="3"/>
  <c r="CE78" i="3" s="1"/>
  <c r="AI80" i="3"/>
  <c r="AI78" i="3"/>
  <c r="CF78" i="3" s="1"/>
  <c r="AM80" i="3"/>
  <c r="AM78" i="3"/>
  <c r="CG78" i="3" s="1"/>
  <c r="AQ80" i="3"/>
  <c r="AQ78" i="3"/>
  <c r="CH78" i="3" s="1"/>
  <c r="AU80" i="3"/>
  <c r="AU78" i="3"/>
  <c r="CI78" i="3" s="1"/>
  <c r="AY80" i="3"/>
  <c r="AY78" i="3"/>
  <c r="CJ78" i="3" s="1"/>
  <c r="BC80" i="3"/>
  <c r="BC78" i="3"/>
  <c r="CK78" i="3" s="1"/>
  <c r="BG80" i="3"/>
  <c r="BG78" i="3"/>
  <c r="CS111" i="3"/>
  <c r="CS65" i="3"/>
  <c r="CU111" i="3"/>
  <c r="CU65" i="3"/>
  <c r="CW111" i="3"/>
  <c r="CW65" i="3"/>
  <c r="CY111" i="3"/>
  <c r="CY65" i="3"/>
  <c r="DA111" i="3"/>
  <c r="DA65" i="3"/>
  <c r="DC111" i="3"/>
  <c r="DC65" i="3"/>
  <c r="DE111" i="3"/>
  <c r="DE65" i="3"/>
  <c r="BZ79" i="3"/>
  <c r="BZ83" i="3" s="1"/>
  <c r="CB79" i="3"/>
  <c r="CB83" i="3" s="1"/>
  <c r="CD79" i="3"/>
  <c r="CD83" i="3" s="1"/>
  <c r="CF79" i="3"/>
  <c r="CF83" i="3" s="1"/>
  <c r="CH79" i="3"/>
  <c r="CH83" i="3" s="1"/>
  <c r="CJ79" i="3"/>
  <c r="CJ83" i="3" s="1"/>
  <c r="CL79" i="3"/>
  <c r="CL83" i="3" s="1"/>
  <c r="F47" i="3"/>
  <c r="G39" i="3"/>
  <c r="BY39" i="3" s="1"/>
  <c r="N47" i="3"/>
  <c r="O39" i="3"/>
  <c r="CA39" i="3" s="1"/>
  <c r="V47" i="3"/>
  <c r="W39" i="3"/>
  <c r="AD47" i="3"/>
  <c r="AE39" i="3"/>
  <c r="AL47" i="3"/>
  <c r="AM39" i="3"/>
  <c r="CG39" i="3" s="1"/>
  <c r="AT47" i="3"/>
  <c r="AU39" i="3"/>
  <c r="BB47" i="3"/>
  <c r="BC39" i="3"/>
  <c r="CR111" i="3"/>
  <c r="CR65" i="3"/>
  <c r="CV111" i="3"/>
  <c r="CV65" i="3"/>
  <c r="CZ111" i="3"/>
  <c r="CZ65" i="3"/>
  <c r="DD111" i="3"/>
  <c r="DD65" i="3"/>
  <c r="F89" i="3"/>
  <c r="F62" i="3"/>
  <c r="F64" i="3" s="1"/>
  <c r="F36" i="3"/>
  <c r="G29" i="3"/>
  <c r="N89" i="3"/>
  <c r="N62" i="3"/>
  <c r="N64" i="3" s="1"/>
  <c r="N36" i="3"/>
  <c r="O29" i="3"/>
  <c r="CA29" i="3" s="1"/>
  <c r="V89" i="3"/>
  <c r="V62" i="3"/>
  <c r="V64" i="3" s="1"/>
  <c r="V36" i="3"/>
  <c r="W29" i="3"/>
  <c r="AD89" i="3"/>
  <c r="AD62" i="3"/>
  <c r="AD64" i="3" s="1"/>
  <c r="AD36" i="3"/>
  <c r="AE29" i="3"/>
  <c r="CE29" i="3" s="1"/>
  <c r="AL89" i="3"/>
  <c r="AL62" i="3"/>
  <c r="AL64" i="3" s="1"/>
  <c r="AL36" i="3"/>
  <c r="AM29" i="3"/>
  <c r="AT89" i="3"/>
  <c r="AT62" i="3"/>
  <c r="AT64" i="3" s="1"/>
  <c r="AT36" i="3"/>
  <c r="AU29" i="3"/>
  <c r="BB89" i="3"/>
  <c r="BB62" i="3"/>
  <c r="BB64" i="3" s="1"/>
  <c r="BB36" i="3"/>
  <c r="BC29" i="3"/>
  <c r="CS46" i="3"/>
  <c r="CS141" i="3" s="1"/>
  <c r="BZ46" i="3"/>
  <c r="BZ141" i="3" s="1"/>
  <c r="CU46" i="3"/>
  <c r="CU141" i="3" s="1"/>
  <c r="CB46" i="3"/>
  <c r="CB141" i="3" s="1"/>
  <c r="CW46" i="3"/>
  <c r="CW141" i="3" s="1"/>
  <c r="CD46" i="3"/>
  <c r="CD141" i="3" s="1"/>
  <c r="CY46" i="3"/>
  <c r="CY141" i="3" s="1"/>
  <c r="CF46" i="3"/>
  <c r="CF141" i="3" s="1"/>
  <c r="DA46" i="3"/>
  <c r="DA141" i="3" s="1"/>
  <c r="CH46" i="3"/>
  <c r="CH141" i="3" s="1"/>
  <c r="DC46" i="3"/>
  <c r="DC141" i="3" s="1"/>
  <c r="CJ46" i="3"/>
  <c r="CJ141" i="3" s="1"/>
  <c r="DE46" i="3"/>
  <c r="DE141" i="3" s="1"/>
  <c r="CL46" i="3"/>
  <c r="CL141" i="3" s="1"/>
  <c r="BZ80" i="3"/>
  <c r="CD80" i="3"/>
  <c r="CH80" i="3"/>
  <c r="CL80" i="3"/>
  <c r="CI39" i="3"/>
  <c r="CR106" i="3"/>
  <c r="CR82" i="3"/>
  <c r="CS106" i="3"/>
  <c r="CS82" i="3"/>
  <c r="CT106" i="3"/>
  <c r="CT82" i="3"/>
  <c r="CU106" i="3"/>
  <c r="CU82" i="3"/>
  <c r="CV106" i="3"/>
  <c r="CV82" i="3"/>
  <c r="CW106" i="3"/>
  <c r="CW82" i="3"/>
  <c r="CX106" i="3"/>
  <c r="CX82" i="3"/>
  <c r="CY106" i="3"/>
  <c r="CY82" i="3"/>
  <c r="CZ106" i="3"/>
  <c r="CZ82" i="3"/>
  <c r="DA106" i="3"/>
  <c r="DA82" i="3"/>
  <c r="DB106" i="3"/>
  <c r="DB82" i="3"/>
  <c r="DC106" i="3"/>
  <c r="DC82" i="3"/>
  <c r="DD106" i="3"/>
  <c r="DD82" i="3"/>
  <c r="BC83" i="3"/>
  <c r="BG83" i="3"/>
  <c r="BY79" i="3"/>
  <c r="BY83" i="3" s="1"/>
  <c r="CA79" i="3"/>
  <c r="CA83" i="3" s="1"/>
  <c r="CC79" i="3"/>
  <c r="CC83" i="3" s="1"/>
  <c r="CE79" i="3"/>
  <c r="CE83" i="3" s="1"/>
  <c r="CG79" i="3"/>
  <c r="CG83" i="3" s="1"/>
  <c r="CI79" i="3"/>
  <c r="CI83" i="3" s="1"/>
  <c r="CK79" i="3"/>
  <c r="CK83" i="3" s="1"/>
  <c r="CL78" i="3"/>
  <c r="CA80" i="3"/>
  <c r="CE80" i="3"/>
  <c r="CI80" i="3"/>
  <c r="J89" i="3"/>
  <c r="J62" i="3"/>
  <c r="J64" i="3" s="1"/>
  <c r="J36" i="3"/>
  <c r="K29" i="3"/>
  <c r="R89" i="3"/>
  <c r="R62" i="3"/>
  <c r="R64" i="3" s="1"/>
  <c r="R36" i="3"/>
  <c r="S29" i="3"/>
  <c r="CB29" i="3" s="1"/>
  <c r="Z89" i="3"/>
  <c r="Z62" i="3"/>
  <c r="Z64" i="3" s="1"/>
  <c r="Z36" i="3"/>
  <c r="AA29" i="3"/>
  <c r="CD29" i="3" s="1"/>
  <c r="AH89" i="3"/>
  <c r="AH62" i="3"/>
  <c r="AH64" i="3" s="1"/>
  <c r="AH36" i="3"/>
  <c r="AI29" i="3"/>
  <c r="AP89" i="3"/>
  <c r="AP62" i="3"/>
  <c r="AP64" i="3" s="1"/>
  <c r="AP36" i="3"/>
  <c r="AQ29" i="3"/>
  <c r="AX89" i="3"/>
  <c r="AX62" i="3"/>
  <c r="AX64" i="3" s="1"/>
  <c r="AX36" i="3"/>
  <c r="AY29" i="3"/>
  <c r="BF89" i="3"/>
  <c r="BF62" i="3"/>
  <c r="BF64" i="3" s="1"/>
  <c r="BF36" i="3"/>
  <c r="BG29" i="3"/>
  <c r="CL29" i="3" s="1"/>
  <c r="CT111" i="3"/>
  <c r="CT65" i="3"/>
  <c r="CX111" i="3"/>
  <c r="CX65" i="3"/>
  <c r="DB111" i="3"/>
  <c r="DB65" i="3"/>
  <c r="BY80" i="3"/>
  <c r="CC80" i="3"/>
  <c r="CG80" i="3"/>
  <c r="CK80" i="3"/>
  <c r="J47" i="3"/>
  <c r="K39" i="3"/>
  <c r="R47" i="3"/>
  <c r="S39" i="3"/>
  <c r="CB39" i="3" s="1"/>
  <c r="Z47" i="3"/>
  <c r="AA39" i="3"/>
  <c r="AH47" i="3"/>
  <c r="AI39" i="3"/>
  <c r="CF39" i="3" s="1"/>
  <c r="AP47" i="3"/>
  <c r="AQ39" i="3"/>
  <c r="AX47" i="3"/>
  <c r="AY39" i="3"/>
  <c r="CJ39" i="3" s="1"/>
  <c r="BF47" i="3"/>
  <c r="BG39" i="3"/>
  <c r="CB80" i="3"/>
  <c r="CF80" i="3"/>
  <c r="CJ80" i="3"/>
  <c r="BZ65" i="3"/>
  <c r="CB65" i="3"/>
  <c r="CD65" i="3"/>
  <c r="CF65" i="3"/>
  <c r="CH65" i="3"/>
  <c r="CJ65" i="3"/>
  <c r="CL65" i="3"/>
  <c r="CE39" i="3"/>
  <c r="DD71" i="2"/>
  <c r="DD74" i="2" s="1"/>
  <c r="DF68" i="2"/>
  <c r="BO68" i="2"/>
  <c r="DF38" i="2"/>
  <c r="BO38" i="2"/>
  <c r="BC71" i="2"/>
  <c r="BC74" i="2" s="1"/>
  <c r="AS120" i="2"/>
  <c r="AS112" i="2"/>
  <c r="CI96" i="2"/>
  <c r="AU115" i="2"/>
  <c r="AU116" i="2" s="1"/>
  <c r="AU97" i="2"/>
  <c r="CI97" i="2" s="1"/>
  <c r="AV96" i="2"/>
  <c r="AT116" i="2"/>
  <c r="CI115" i="2"/>
  <c r="CI116" i="2" s="1"/>
  <c r="CM139" i="2"/>
  <c r="CN134" i="2"/>
  <c r="DF13" i="2"/>
  <c r="BO13" i="2"/>
  <c r="DF20" i="2"/>
  <c r="BO20" i="2"/>
  <c r="DF70" i="2"/>
  <c r="BO70" i="2"/>
  <c r="DF40" i="2"/>
  <c r="BO40" i="2"/>
  <c r="BM61" i="2"/>
  <c r="DF21" i="2"/>
  <c r="BO21" i="2"/>
  <c r="BO31" i="2"/>
  <c r="DF31" i="2"/>
  <c r="BM19" i="2"/>
  <c r="DF23" i="2"/>
  <c r="BO23" i="2"/>
  <c r="BO62" i="2"/>
  <c r="DF62" i="2"/>
  <c r="CL65" i="2"/>
  <c r="CL71" i="2" s="1"/>
  <c r="CL74" i="2" s="1"/>
  <c r="BM32" i="2"/>
  <c r="BM87" i="2" s="1"/>
  <c r="BM88" i="2" s="1"/>
  <c r="BM89" i="2" s="1"/>
  <c r="BO37" i="2"/>
  <c r="DF37" i="2"/>
  <c r="DF63" i="2"/>
  <c r="BO63" i="2"/>
  <c r="CK65" i="2"/>
  <c r="CK71" i="2" s="1"/>
  <c r="CK74" i="2" s="1"/>
  <c r="AT111" i="2"/>
  <c r="AU104" i="2"/>
  <c r="BM142" i="2"/>
  <c r="AY119" i="2"/>
  <c r="BL139" i="2"/>
  <c r="BM134" i="2"/>
  <c r="DG33" i="2"/>
  <c r="BS33" i="2"/>
  <c r="DD91" i="2"/>
  <c r="DD25" i="2"/>
  <c r="DF67" i="2"/>
  <c r="BO67" i="2"/>
  <c r="DA57" i="2"/>
  <c r="E89" i="53"/>
  <c r="M89" i="53"/>
  <c r="AE89" i="53"/>
  <c r="AG89" i="53"/>
  <c r="BA89" i="53"/>
  <c r="BC89" i="53"/>
  <c r="D89" i="53"/>
  <c r="F89" i="53"/>
  <c r="J89" i="53"/>
  <c r="L89" i="53"/>
  <c r="N89" i="53"/>
  <c r="P89" i="53"/>
  <c r="R89" i="53"/>
  <c r="T89" i="53"/>
  <c r="V89" i="53"/>
  <c r="X89" i="53"/>
  <c r="Z89" i="53"/>
  <c r="AB89" i="53"/>
  <c r="AD89" i="53"/>
  <c r="AF89" i="53"/>
  <c r="AH89" i="53"/>
  <c r="AX89" i="53"/>
  <c r="BD89" i="53"/>
  <c r="O90" i="3"/>
  <c r="Y90" i="3"/>
  <c r="AE90" i="3"/>
  <c r="AG90" i="3"/>
  <c r="AK90" i="3"/>
  <c r="AM90" i="3"/>
  <c r="AO90" i="3"/>
  <c r="AS90" i="3"/>
  <c r="AU90" i="3"/>
  <c r="AW90" i="3"/>
  <c r="BA90" i="3"/>
  <c r="BC90" i="3"/>
  <c r="BE90" i="3"/>
  <c r="BG90" i="3"/>
  <c r="L90" i="3"/>
  <c r="AD90" i="3"/>
  <c r="AF90" i="3"/>
  <c r="AH90" i="3"/>
  <c r="AJ90" i="3"/>
  <c r="AL90" i="3"/>
  <c r="AN90" i="3"/>
  <c r="AP90" i="3"/>
  <c r="AR90" i="3"/>
  <c r="AT90" i="3"/>
  <c r="AV90" i="3"/>
  <c r="AX90" i="3"/>
  <c r="AZ90" i="3"/>
  <c r="BB90" i="3"/>
  <c r="BD90" i="3"/>
  <c r="BF90" i="3"/>
  <c r="CA110" i="83" l="1"/>
  <c r="CE110" i="83"/>
  <c r="CC110" i="83"/>
  <c r="CI110" i="83"/>
  <c r="CG110" i="83"/>
  <c r="CF110" i="83"/>
  <c r="CM172" i="83"/>
  <c r="CM174" i="83" s="1"/>
  <c r="CJ110" i="83"/>
  <c r="CH110" i="83"/>
  <c r="CK110" i="83"/>
  <c r="CB110" i="83"/>
  <c r="BZ110" i="83"/>
  <c r="BY110" i="83"/>
  <c r="CD110" i="83"/>
  <c r="AE41" i="53"/>
  <c r="AH20" i="53"/>
  <c r="R20" i="53"/>
  <c r="AA31" i="53"/>
  <c r="E42" i="53"/>
  <c r="BD18" i="53"/>
  <c r="CH69" i="53"/>
  <c r="T18" i="53"/>
  <c r="AA40" i="53"/>
  <c r="CG79" i="53"/>
  <c r="AY68" i="53"/>
  <c r="AU68" i="53"/>
  <c r="AQ68" i="53"/>
  <c r="CH37" i="53"/>
  <c r="AE42" i="53"/>
  <c r="BC20" i="53"/>
  <c r="AH18" i="53"/>
  <c r="Z85" i="53"/>
  <c r="CH59" i="53"/>
  <c r="BD31" i="53"/>
  <c r="CH48" i="53"/>
  <c r="AG20" i="53"/>
  <c r="H20" i="53"/>
  <c r="BK79" i="3"/>
  <c r="BK82" i="3"/>
  <c r="BK65" i="3"/>
  <c r="DF16" i="3"/>
  <c r="F31" i="53"/>
  <c r="AD40" i="53"/>
  <c r="BA31" i="53"/>
  <c r="CH15" i="53"/>
  <c r="CH26" i="53"/>
  <c r="Z31" i="53"/>
  <c r="P41" i="53"/>
  <c r="H42" i="53"/>
  <c r="M29" i="53"/>
  <c r="CI69" i="53"/>
  <c r="I41" i="53"/>
  <c r="Q19" i="53"/>
  <c r="I30" i="53"/>
  <c r="BA17" i="53"/>
  <c r="BA20" i="53" s="1"/>
  <c r="BA50" i="53"/>
  <c r="BA98" i="53"/>
  <c r="BA97" i="53"/>
  <c r="AV97" i="53"/>
  <c r="AP39" i="53"/>
  <c r="AP50" i="53"/>
  <c r="AK50" i="53"/>
  <c r="AK53" i="53" s="1"/>
  <c r="AL61" i="53"/>
  <c r="V40" i="53"/>
  <c r="T30" i="53"/>
  <c r="R19" i="53"/>
  <c r="S18" i="53"/>
  <c r="N29" i="53"/>
  <c r="X18" i="53"/>
  <c r="AS17" i="53"/>
  <c r="AV61" i="53"/>
  <c r="AV98" i="53"/>
  <c r="AV99" i="53" s="1"/>
  <c r="AS96" i="53"/>
  <c r="AS99" i="53" s="1"/>
  <c r="AK98" i="53"/>
  <c r="AV17" i="53"/>
  <c r="X41" i="53"/>
  <c r="P20" i="53"/>
  <c r="AK17" i="53"/>
  <c r="AV39" i="53"/>
  <c r="AV50" i="53"/>
  <c r="AS50" i="53"/>
  <c r="AS97" i="53"/>
  <c r="AK96" i="53"/>
  <c r="AV28" i="53"/>
  <c r="AS39" i="53"/>
  <c r="AS28" i="53"/>
  <c r="W19" i="53"/>
  <c r="U42" i="53"/>
  <c r="AH31" i="53"/>
  <c r="X42" i="53"/>
  <c r="N20" i="53"/>
  <c r="BE18" i="53"/>
  <c r="BD20" i="53"/>
  <c r="AK61" i="53"/>
  <c r="AK97" i="53"/>
  <c r="AK39" i="53"/>
  <c r="CO33" i="2"/>
  <c r="BT33" i="2"/>
  <c r="BU33" i="2" s="1"/>
  <c r="BV33" i="2" s="1"/>
  <c r="BY37" i="53"/>
  <c r="BY26" i="53"/>
  <c r="CG37" i="53"/>
  <c r="CG26" i="53"/>
  <c r="BY15" i="53"/>
  <c r="AF29" i="53"/>
  <c r="AF31" i="53"/>
  <c r="H31" i="53"/>
  <c r="AE85" i="53"/>
  <c r="W20" i="53"/>
  <c r="M41" i="53"/>
  <c r="AB19" i="53"/>
  <c r="L20" i="53"/>
  <c r="BD42" i="53"/>
  <c r="AV31" i="53"/>
  <c r="P31" i="53"/>
  <c r="S20" i="53"/>
  <c r="AD19" i="53"/>
  <c r="I40" i="53"/>
  <c r="I42" i="53"/>
  <c r="Y18" i="53"/>
  <c r="X20" i="53"/>
  <c r="AB42" i="53"/>
  <c r="Y31" i="53"/>
  <c r="AN28" i="53"/>
  <c r="BB17" i="53"/>
  <c r="AJ17" i="53"/>
  <c r="AJ20" i="53" s="1"/>
  <c r="AX39" i="53"/>
  <c r="AX97" i="53"/>
  <c r="AN96" i="53"/>
  <c r="BF17" i="53"/>
  <c r="AZ39" i="53"/>
  <c r="AZ97" i="53"/>
  <c r="AT61" i="53"/>
  <c r="AO98" i="53"/>
  <c r="AJ97" i="53"/>
  <c r="CX91" i="3"/>
  <c r="V85" i="53"/>
  <c r="N85" i="53"/>
  <c r="N86" i="53" s="1"/>
  <c r="AN99" i="53"/>
  <c r="AA30" i="53"/>
  <c r="AN20" i="53"/>
  <c r="AO18" i="53"/>
  <c r="W29" i="53"/>
  <c r="W40" i="53"/>
  <c r="H30" i="53"/>
  <c r="W85" i="53"/>
  <c r="W86" i="53" s="1"/>
  <c r="AP20" i="53"/>
  <c r="Z20" i="53"/>
  <c r="BF31" i="53"/>
  <c r="J30" i="53"/>
  <c r="AB85" i="53"/>
  <c r="BD40" i="53"/>
  <c r="AV42" i="53"/>
  <c r="AF20" i="53"/>
  <c r="P85" i="53"/>
  <c r="AB41" i="53"/>
  <c r="L41" i="53"/>
  <c r="AG29" i="53"/>
  <c r="I31" i="53"/>
  <c r="AZ61" i="53"/>
  <c r="AZ28" i="53"/>
  <c r="CK28" i="53" s="1"/>
  <c r="AT17" i="53"/>
  <c r="AT19" i="53" s="1"/>
  <c r="AO39" i="53"/>
  <c r="AT28" i="53"/>
  <c r="AT29" i="53" s="1"/>
  <c r="AZ17" i="53"/>
  <c r="BA18" i="53" s="1"/>
  <c r="AN39" i="53"/>
  <c r="AO28" i="53"/>
  <c r="AX61" i="53"/>
  <c r="AX96" i="53"/>
  <c r="AX98" i="53"/>
  <c r="AN50" i="53"/>
  <c r="AN97" i="53"/>
  <c r="AJ28" i="53"/>
  <c r="AK29" i="53" s="1"/>
  <c r="AX17" i="53"/>
  <c r="AJ39" i="53"/>
  <c r="AJ41" i="53" s="1"/>
  <c r="AZ96" i="53"/>
  <c r="AZ99" i="53" s="1"/>
  <c r="AT39" i="53"/>
  <c r="AT96" i="53"/>
  <c r="AO50" i="53"/>
  <c r="AO96" i="53"/>
  <c r="AJ96" i="53"/>
  <c r="AJ99" i="53" s="1"/>
  <c r="CE43" i="3"/>
  <c r="CE138" i="3" s="1"/>
  <c r="CJ43" i="3"/>
  <c r="CJ138" i="3" s="1"/>
  <c r="CA43" i="3"/>
  <c r="CA138" i="3" s="1"/>
  <c r="CB43" i="3"/>
  <c r="CB138" i="3" s="1"/>
  <c r="BZ43" i="3"/>
  <c r="BZ138" i="3" s="1"/>
  <c r="BD63" i="53"/>
  <c r="BA62" i="53"/>
  <c r="AH85" i="53"/>
  <c r="J40" i="53"/>
  <c r="H85" i="53"/>
  <c r="N40" i="53"/>
  <c r="BH28" i="53"/>
  <c r="BH31" i="53" s="1"/>
  <c r="BH17" i="53"/>
  <c r="BH19" i="53" s="1"/>
  <c r="BE89" i="53"/>
  <c r="S40" i="53"/>
  <c r="T31" i="53"/>
  <c r="T29" i="53"/>
  <c r="AA20" i="53"/>
  <c r="BB18" i="53"/>
  <c r="BC18" i="53"/>
  <c r="V19" i="53"/>
  <c r="W18" i="53"/>
  <c r="BE40" i="53"/>
  <c r="BC29" i="53"/>
  <c r="AD31" i="53"/>
  <c r="AE29" i="53"/>
  <c r="AD85" i="53"/>
  <c r="N30" i="53"/>
  <c r="BE19" i="53"/>
  <c r="BA19" i="53"/>
  <c r="AK20" i="53"/>
  <c r="T19" i="53"/>
  <c r="T20" i="53"/>
  <c r="AH30" i="53"/>
  <c r="AK19" i="53"/>
  <c r="E20" i="53"/>
  <c r="S42" i="53"/>
  <c r="S85" i="53"/>
  <c r="BB20" i="53"/>
  <c r="V20" i="53"/>
  <c r="AD30" i="53"/>
  <c r="N31" i="53"/>
  <c r="X19" i="53"/>
  <c r="D85" i="53"/>
  <c r="D86" i="53" s="1"/>
  <c r="E88" i="3"/>
  <c r="BC42" i="53"/>
  <c r="BC85" i="53"/>
  <c r="Z19" i="53"/>
  <c r="J20" i="53"/>
  <c r="AA29" i="53"/>
  <c r="BA42" i="53"/>
  <c r="AK42" i="53"/>
  <c r="M40" i="53"/>
  <c r="M42" i="53"/>
  <c r="AH29" i="53"/>
  <c r="J29" i="53"/>
  <c r="J31" i="53"/>
  <c r="AS19" i="53"/>
  <c r="M85" i="53"/>
  <c r="AF41" i="53"/>
  <c r="P42" i="53"/>
  <c r="AS31" i="53"/>
  <c r="M31" i="53"/>
  <c r="M30" i="53"/>
  <c r="AA41" i="53"/>
  <c r="CD28" i="53"/>
  <c r="BE85" i="53"/>
  <c r="AG18" i="53"/>
  <c r="I20" i="53"/>
  <c r="CD17" i="53"/>
  <c r="X85" i="53"/>
  <c r="P19" i="53"/>
  <c r="AB40" i="53"/>
  <c r="CE39" i="53"/>
  <c r="CC39" i="53"/>
  <c r="L42" i="53"/>
  <c r="AG31" i="53"/>
  <c r="I29" i="53"/>
  <c r="BD85" i="53"/>
  <c r="F40" i="53"/>
  <c r="CW90" i="3"/>
  <c r="CI29" i="3"/>
  <c r="CV71" i="53"/>
  <c r="CV170" i="53"/>
  <c r="CV123" i="53"/>
  <c r="CV172" i="53"/>
  <c r="CV171" i="53"/>
  <c r="CV122" i="53"/>
  <c r="CV124" i="53"/>
  <c r="CV121" i="53"/>
  <c r="CV120" i="53"/>
  <c r="AW20" i="53"/>
  <c r="AW19" i="53"/>
  <c r="AX18" i="53"/>
  <c r="AR19" i="53"/>
  <c r="AC40" i="53"/>
  <c r="AC42" i="53"/>
  <c r="Y20" i="53"/>
  <c r="Y19" i="53"/>
  <c r="Z18" i="53"/>
  <c r="U19" i="53"/>
  <c r="V18" i="53"/>
  <c r="U18" i="53"/>
  <c r="CC17" i="53"/>
  <c r="Q18" i="53"/>
  <c r="CB17" i="53"/>
  <c r="Q20" i="53"/>
  <c r="R18" i="53"/>
  <c r="CL90" i="3"/>
  <c r="CJ90" i="3"/>
  <c r="CH90" i="3"/>
  <c r="CF90" i="3"/>
  <c r="DA90" i="3"/>
  <c r="AE40" i="53"/>
  <c r="W41" i="53"/>
  <c r="AE18" i="53"/>
  <c r="AP18" i="53"/>
  <c r="J18" i="53"/>
  <c r="AK41" i="53"/>
  <c r="AS20" i="53"/>
  <c r="M18" i="53"/>
  <c r="E18" i="53"/>
  <c r="L85" i="53"/>
  <c r="BD41" i="53"/>
  <c r="AF42" i="53"/>
  <c r="AK31" i="53"/>
  <c r="E31" i="53"/>
  <c r="X31" i="53"/>
  <c r="AA85" i="53"/>
  <c r="AL20" i="53"/>
  <c r="F20" i="53"/>
  <c r="BE41" i="53"/>
  <c r="AG40" i="53"/>
  <c r="BB29" i="53"/>
  <c r="AO19" i="53"/>
  <c r="I85" i="53"/>
  <c r="I86" i="53" s="1"/>
  <c r="AF18" i="53"/>
  <c r="AZ42" i="53"/>
  <c r="T42" i="53"/>
  <c r="BE29" i="53"/>
  <c r="Y29" i="53"/>
  <c r="CG57" i="2"/>
  <c r="BJ53" i="3"/>
  <c r="Y39" i="53"/>
  <c r="AW28" i="53"/>
  <c r="Q28" i="53"/>
  <c r="R29" i="53" s="1"/>
  <c r="AR39" i="53"/>
  <c r="AC28" i="53"/>
  <c r="AL50" i="53"/>
  <c r="CC90" i="3"/>
  <c r="CA76" i="53"/>
  <c r="CW56" i="2"/>
  <c r="CW54" i="2" s="1"/>
  <c r="CW71" i="53"/>
  <c r="CW172" i="53"/>
  <c r="CW123" i="53"/>
  <c r="CW122" i="53"/>
  <c r="CW121" i="53"/>
  <c r="CW171" i="53"/>
  <c r="CW170" i="53"/>
  <c r="CW124" i="53"/>
  <c r="CW120" i="53"/>
  <c r="CX56" i="2"/>
  <c r="CX50" i="2" s="1"/>
  <c r="CX71" i="53"/>
  <c r="CX122" i="53"/>
  <c r="CX170" i="53"/>
  <c r="CX123" i="53"/>
  <c r="CX121" i="53"/>
  <c r="CX124" i="53"/>
  <c r="CX120" i="53"/>
  <c r="CX172" i="53"/>
  <c r="CX171" i="53"/>
  <c r="W42" i="53"/>
  <c r="AE19" i="53"/>
  <c r="AP19" i="53"/>
  <c r="J19" i="53"/>
  <c r="BA40" i="53"/>
  <c r="U40" i="53"/>
  <c r="BF29" i="53"/>
  <c r="AX30" i="53"/>
  <c r="Z29" i="53"/>
  <c r="R30" i="53"/>
  <c r="M19" i="53"/>
  <c r="AB18" i="53"/>
  <c r="T85" i="53"/>
  <c r="D20" i="53"/>
  <c r="E29" i="53"/>
  <c r="AH40" i="53"/>
  <c r="X29" i="53"/>
  <c r="AA18" i="53"/>
  <c r="AT18" i="53"/>
  <c r="AL18" i="53"/>
  <c r="N18" i="53"/>
  <c r="F18" i="53"/>
  <c r="AG41" i="53"/>
  <c r="BB30" i="53"/>
  <c r="V30" i="53"/>
  <c r="AO20" i="53"/>
  <c r="I18" i="53"/>
  <c r="AF19" i="53"/>
  <c r="H19" i="53"/>
  <c r="T40" i="53"/>
  <c r="BE30" i="53"/>
  <c r="CH57" i="2"/>
  <c r="BZ52" i="2"/>
  <c r="BZ51" i="2" s="1"/>
  <c r="BZ53" i="2"/>
  <c r="BD51" i="53"/>
  <c r="S29" i="53"/>
  <c r="AR50" i="53"/>
  <c r="AS51" i="53" s="1"/>
  <c r="AW39" i="53"/>
  <c r="BA41" i="53" s="1"/>
  <c r="Q39" i="53"/>
  <c r="U41" i="53" s="1"/>
  <c r="AL28" i="53"/>
  <c r="AC17" i="53"/>
  <c r="U28" i="53"/>
  <c r="V29" i="53" s="1"/>
  <c r="AL96" i="53"/>
  <c r="AL99" i="53" s="1"/>
  <c r="CG76" i="53"/>
  <c r="CA52" i="2"/>
  <c r="CA51" i="2" s="1"/>
  <c r="CA53" i="2"/>
  <c r="BY52" i="2"/>
  <c r="BY51" i="2" s="1"/>
  <c r="BY53" i="2"/>
  <c r="CF57" i="2"/>
  <c r="CU56" i="2"/>
  <c r="CU50" i="2" s="1"/>
  <c r="CU71" i="53"/>
  <c r="CU170" i="53"/>
  <c r="CU124" i="53"/>
  <c r="CU121" i="53"/>
  <c r="CU171" i="53"/>
  <c r="CU123" i="53"/>
  <c r="CU122" i="53"/>
  <c r="CU172" i="53"/>
  <c r="CU120" i="53"/>
  <c r="DD56" i="2"/>
  <c r="DD50" i="2" s="1"/>
  <c r="DD71" i="53"/>
  <c r="CG90" i="3"/>
  <c r="AE20" i="53"/>
  <c r="AX85" i="53"/>
  <c r="AX86" i="53" s="1"/>
  <c r="R85" i="53"/>
  <c r="R86" i="53" s="1"/>
  <c r="J85" i="53"/>
  <c r="BF30" i="53"/>
  <c r="AX31" i="53"/>
  <c r="Z30" i="53"/>
  <c r="AS18" i="53"/>
  <c r="M20" i="53"/>
  <c r="E85" i="53"/>
  <c r="AF40" i="53"/>
  <c r="X40" i="53"/>
  <c r="AK30" i="53"/>
  <c r="AB30" i="53"/>
  <c r="BC53" i="53"/>
  <c r="X30" i="53"/>
  <c r="AA19" i="53"/>
  <c r="AL19" i="53"/>
  <c r="N19" i="53"/>
  <c r="F85" i="53"/>
  <c r="AG42" i="53"/>
  <c r="BB31" i="53"/>
  <c r="V31" i="53"/>
  <c r="F29" i="53"/>
  <c r="AG85" i="53"/>
  <c r="AG86" i="53" s="1"/>
  <c r="I19" i="53"/>
  <c r="AF85" i="53"/>
  <c r="T41" i="53"/>
  <c r="CI52" i="2"/>
  <c r="CI51" i="2" s="1"/>
  <c r="CI53" i="2"/>
  <c r="AR61" i="53"/>
  <c r="AS62" i="53" s="1"/>
  <c r="AL39" i="53"/>
  <c r="AL40" i="53" s="1"/>
  <c r="AG99" i="53"/>
  <c r="CI76" i="53"/>
  <c r="DD90" i="3"/>
  <c r="BZ90" i="3"/>
  <c r="CX90" i="3"/>
  <c r="CU90" i="3"/>
  <c r="CK90" i="3"/>
  <c r="CI90" i="3"/>
  <c r="CZ90" i="3"/>
  <c r="CB90" i="3"/>
  <c r="DC90" i="3"/>
  <c r="CE90" i="3"/>
  <c r="DB90" i="3"/>
  <c r="CT90" i="3"/>
  <c r="CY90" i="3"/>
  <c r="BZ91" i="3"/>
  <c r="CS91" i="3"/>
  <c r="DA91" i="3"/>
  <c r="CH91" i="3"/>
  <c r="CJ91" i="3"/>
  <c r="DC91" i="3"/>
  <c r="CA91" i="3"/>
  <c r="CT91" i="3"/>
  <c r="CR91" i="3"/>
  <c r="BY91" i="3"/>
  <c r="CL143" i="2"/>
  <c r="CL142" i="2" s="1"/>
  <c r="CI91" i="3"/>
  <c r="DB91" i="3"/>
  <c r="CU91" i="3"/>
  <c r="CB91" i="3"/>
  <c r="CW91" i="3"/>
  <c r="CD91" i="3"/>
  <c r="CY91" i="3"/>
  <c r="CF91" i="3"/>
  <c r="CZ91" i="3"/>
  <c r="CG91" i="3"/>
  <c r="CI143" i="2"/>
  <c r="CI142" i="2" s="1"/>
  <c r="CV90" i="3"/>
  <c r="CD90" i="3"/>
  <c r="AV81" i="53"/>
  <c r="AV89" i="53"/>
  <c r="AL81" i="53"/>
  <c r="AL89" i="53"/>
  <c r="AK81" i="53"/>
  <c r="AK89" i="53"/>
  <c r="AA89" i="53"/>
  <c r="CS90" i="3"/>
  <c r="CA90" i="3"/>
  <c r="AO89" i="53"/>
  <c r="AO81" i="53"/>
  <c r="H89" i="53"/>
  <c r="I89" i="53"/>
  <c r="AZ89" i="53"/>
  <c r="AZ81" i="53"/>
  <c r="AT81" i="53"/>
  <c r="AT89" i="53"/>
  <c r="AJ81" i="53"/>
  <c r="AJ89" i="53"/>
  <c r="W89" i="53"/>
  <c r="AR81" i="53"/>
  <c r="AR89" i="53"/>
  <c r="AN89" i="53"/>
  <c r="AN81" i="53"/>
  <c r="AN83" i="53" s="1"/>
  <c r="AP81" i="53"/>
  <c r="AP89" i="53"/>
  <c r="AS81" i="53"/>
  <c r="AS89" i="53"/>
  <c r="V88" i="3"/>
  <c r="BA88" i="3"/>
  <c r="BA92" i="3" s="1"/>
  <c r="I88" i="3"/>
  <c r="BP46" i="53"/>
  <c r="BT46" i="53" s="1"/>
  <c r="BA68" i="53"/>
  <c r="BC68" i="53"/>
  <c r="BD68" i="53"/>
  <c r="AX68" i="53"/>
  <c r="L30" i="53"/>
  <c r="BA99" i="53"/>
  <c r="X99" i="53"/>
  <c r="BO46" i="53"/>
  <c r="BS46" i="53" s="1"/>
  <c r="BW46" i="53" s="1"/>
  <c r="BE53" i="53"/>
  <c r="BE51" i="53"/>
  <c r="BC31" i="53"/>
  <c r="BA51" i="53"/>
  <c r="AX63" i="53"/>
  <c r="AV53" i="53"/>
  <c r="AP64" i="53"/>
  <c r="AP62" i="53"/>
  <c r="AP99" i="53"/>
  <c r="AH99" i="53"/>
  <c r="AF99" i="53"/>
  <c r="AB31" i="53"/>
  <c r="AB99" i="53"/>
  <c r="Z42" i="53"/>
  <c r="Z41" i="53"/>
  <c r="V42" i="53"/>
  <c r="V41" i="53"/>
  <c r="V99" i="53"/>
  <c r="T99" i="53"/>
  <c r="R42" i="53"/>
  <c r="R41" i="53"/>
  <c r="BF50" i="53"/>
  <c r="BF61" i="53"/>
  <c r="BF39" i="53"/>
  <c r="BD62" i="53"/>
  <c r="BD64" i="53"/>
  <c r="BB98" i="53"/>
  <c r="BB97" i="53"/>
  <c r="BB96" i="53"/>
  <c r="BB39" i="53"/>
  <c r="BB50" i="53"/>
  <c r="CK50" i="53" s="1"/>
  <c r="BB61" i="53"/>
  <c r="BC62" i="53" s="1"/>
  <c r="AZ52" i="53"/>
  <c r="AZ53" i="53"/>
  <c r="AW97" i="53"/>
  <c r="AW98" i="53"/>
  <c r="AW96" i="53"/>
  <c r="AW61" i="53"/>
  <c r="AX62" i="53" s="1"/>
  <c r="AW50" i="53"/>
  <c r="AX51" i="53" s="1"/>
  <c r="AT52" i="53"/>
  <c r="AT53" i="53"/>
  <c r="AT64" i="53"/>
  <c r="AT62" i="53"/>
  <c r="AT63" i="53"/>
  <c r="AR98" i="53"/>
  <c r="AR97" i="53"/>
  <c r="AR96" i="53"/>
  <c r="AR28" i="53"/>
  <c r="AC97" i="53"/>
  <c r="AC96" i="53"/>
  <c r="AC98" i="53"/>
  <c r="AC61" i="53"/>
  <c r="AC50" i="53"/>
  <c r="Y97" i="53"/>
  <c r="Y98" i="53"/>
  <c r="Y96" i="53"/>
  <c r="Y61" i="53"/>
  <c r="Y50" i="53"/>
  <c r="U97" i="53"/>
  <c r="CU97" i="53" s="1"/>
  <c r="U96" i="53"/>
  <c r="U98" i="53"/>
  <c r="CU98" i="53" s="1"/>
  <c r="U61" i="53"/>
  <c r="U50" i="53"/>
  <c r="S31" i="53"/>
  <c r="Q61" i="53"/>
  <c r="Q50" i="53"/>
  <c r="CB50" i="53" s="1"/>
  <c r="F42" i="53"/>
  <c r="BE64" i="53"/>
  <c r="BE62" i="53"/>
  <c r="BE63" i="53"/>
  <c r="BC64" i="53"/>
  <c r="BA64" i="53"/>
  <c r="AX42" i="53"/>
  <c r="AX41" i="53"/>
  <c r="AX52" i="53"/>
  <c r="AX53" i="53"/>
  <c r="AS64" i="53"/>
  <c r="AS63" i="53"/>
  <c r="AP41" i="53"/>
  <c r="AP52" i="53"/>
  <c r="AP53" i="53"/>
  <c r="AN64" i="53"/>
  <c r="AH42" i="53"/>
  <c r="AH41" i="53"/>
  <c r="AD42" i="53"/>
  <c r="AD41" i="53"/>
  <c r="AD99" i="53"/>
  <c r="Z99" i="53"/>
  <c r="J42" i="53"/>
  <c r="J41" i="53"/>
  <c r="BD53" i="53"/>
  <c r="BD52" i="53"/>
  <c r="AT99" i="53"/>
  <c r="AO64" i="53"/>
  <c r="AO62" i="53"/>
  <c r="AL53" i="53"/>
  <c r="AJ53" i="53"/>
  <c r="W31" i="53"/>
  <c r="W30" i="53"/>
  <c r="N42" i="53"/>
  <c r="N41" i="53"/>
  <c r="AD86" i="53"/>
  <c r="V86" i="53"/>
  <c r="AH86" i="53"/>
  <c r="Z86" i="53"/>
  <c r="S86" i="53"/>
  <c r="DA43" i="3"/>
  <c r="DA138" i="3" s="1"/>
  <c r="DB15" i="3"/>
  <c r="DB110" i="3" s="1"/>
  <c r="CI15" i="3"/>
  <c r="CI110" i="3" s="1"/>
  <c r="DB43" i="3"/>
  <c r="DB138" i="3" s="1"/>
  <c r="CX43" i="3"/>
  <c r="CX138" i="3" s="1"/>
  <c r="DD43" i="3"/>
  <c r="DD138" i="3" s="1"/>
  <c r="CK43" i="3"/>
  <c r="CK138" i="3" s="1"/>
  <c r="CZ43" i="3"/>
  <c r="CZ138" i="3" s="1"/>
  <c r="CG43" i="3"/>
  <c r="CG138" i="3" s="1"/>
  <c r="CY43" i="3"/>
  <c r="CY138" i="3" s="1"/>
  <c r="CF43" i="3"/>
  <c r="CF138" i="3" s="1"/>
  <c r="BJ83" i="3"/>
  <c r="BJ80" i="3"/>
  <c r="BJ78" i="3"/>
  <c r="CC43" i="3"/>
  <c r="CC138" i="3" s="1"/>
  <c r="CV43" i="3"/>
  <c r="CV138" i="3" s="1"/>
  <c r="DC43" i="3"/>
  <c r="DC138" i="3" s="1"/>
  <c r="CW43" i="3"/>
  <c r="CW138" i="3" s="1"/>
  <c r="CS43" i="3"/>
  <c r="CS138" i="3" s="1"/>
  <c r="CT43" i="3"/>
  <c r="CT138" i="3" s="1"/>
  <c r="CU43" i="3"/>
  <c r="CU138" i="3" s="1"/>
  <c r="BY43" i="3"/>
  <c r="BY138" i="3" s="1"/>
  <c r="CR43" i="3"/>
  <c r="CR138" i="3" s="1"/>
  <c r="CH43" i="3"/>
  <c r="CH138" i="3" s="1"/>
  <c r="AW88" i="3"/>
  <c r="AC88" i="3"/>
  <c r="AG88" i="3"/>
  <c r="DD46" i="2"/>
  <c r="DD67" i="3"/>
  <c r="M88" i="3"/>
  <c r="R88" i="3"/>
  <c r="BH39" i="53"/>
  <c r="CM78" i="2"/>
  <c r="BH61" i="53"/>
  <c r="BL63" i="53" s="1"/>
  <c r="K53" i="2"/>
  <c r="K52" i="2"/>
  <c r="K51" i="2" s="1"/>
  <c r="CV56" i="2"/>
  <c r="CY57" i="2"/>
  <c r="BG50" i="53"/>
  <c r="BG61" i="53"/>
  <c r="CW52" i="2"/>
  <c r="CW51" i="2" s="1"/>
  <c r="CW53" i="2"/>
  <c r="CU53" i="2"/>
  <c r="CU52" i="2"/>
  <c r="CU51" i="2" s="1"/>
  <c r="AU53" i="2"/>
  <c r="AU52" i="2"/>
  <c r="AU51" i="2" s="1"/>
  <c r="AM53" i="2"/>
  <c r="AM52" i="2"/>
  <c r="AM51" i="2" s="1"/>
  <c r="O53" i="2"/>
  <c r="O52" i="2"/>
  <c r="O51" i="2" s="1"/>
  <c r="G53" i="2"/>
  <c r="G52" i="2"/>
  <c r="G51" i="2" s="1"/>
  <c r="CM43" i="3"/>
  <c r="DE64" i="2"/>
  <c r="DE65" i="2" s="1"/>
  <c r="BG17" i="53"/>
  <c r="CX52" i="2"/>
  <c r="CX51" i="2" s="1"/>
  <c r="CX53" i="2"/>
  <c r="CV53" i="2"/>
  <c r="CV52" i="2"/>
  <c r="CV51" i="2" s="1"/>
  <c r="AY53" i="2"/>
  <c r="AY52" i="2"/>
  <c r="AY51" i="2" s="1"/>
  <c r="AQ53" i="2"/>
  <c r="AQ52" i="2"/>
  <c r="AQ51" i="2" s="1"/>
  <c r="AI53" i="2"/>
  <c r="AI52" i="2"/>
  <c r="AI51" i="2" s="1"/>
  <c r="CU54" i="2"/>
  <c r="CW50" i="2"/>
  <c r="DC57" i="2"/>
  <c r="CS57" i="2"/>
  <c r="DA52" i="2"/>
  <c r="DA51" i="2" s="1"/>
  <c r="DA53" i="2"/>
  <c r="AP88" i="3"/>
  <c r="BH20" i="53"/>
  <c r="CM108" i="3"/>
  <c r="BG28" i="53"/>
  <c r="BZ126" i="2"/>
  <c r="DB57" i="2"/>
  <c r="CZ57" i="2"/>
  <c r="CT52" i="2"/>
  <c r="CT51" i="2" s="1"/>
  <c r="CT53" i="2"/>
  <c r="CR53" i="2"/>
  <c r="CR52" i="2"/>
  <c r="CR51" i="2" s="1"/>
  <c r="BG39" i="53"/>
  <c r="BH50" i="53"/>
  <c r="BL52" i="53" s="1"/>
  <c r="CJ57" i="2"/>
  <c r="DD6" i="3"/>
  <c r="DE25" i="53"/>
  <c r="DE58" i="53"/>
  <c r="BD76" i="53"/>
  <c r="H86" i="53"/>
  <c r="CM47" i="53"/>
  <c r="CM55" i="53"/>
  <c r="AO79" i="53"/>
  <c r="AP80" i="53"/>
  <c r="CM36" i="53"/>
  <c r="P86" i="53"/>
  <c r="CM22" i="53"/>
  <c r="CB124" i="3"/>
  <c r="CB131" i="3" s="1"/>
  <c r="CB62" i="3"/>
  <c r="CB36" i="3"/>
  <c r="BG47" i="3"/>
  <c r="DE39" i="3"/>
  <c r="CJ134" i="3"/>
  <c r="CJ142" i="3" s="1"/>
  <c r="CJ47" i="3"/>
  <c r="AQ47" i="3"/>
  <c r="DA39" i="3"/>
  <c r="CF134" i="3"/>
  <c r="CF47" i="3"/>
  <c r="AA47" i="3"/>
  <c r="CW39" i="3"/>
  <c r="K47" i="3"/>
  <c r="CS39" i="3"/>
  <c r="CL124" i="3"/>
  <c r="CL131" i="3" s="1"/>
  <c r="CL62" i="3"/>
  <c r="CL36" i="3"/>
  <c r="AQ89" i="3"/>
  <c r="DA89" i="3" s="1"/>
  <c r="AQ62" i="3"/>
  <c r="AQ36" i="3"/>
  <c r="DA29" i="3"/>
  <c r="AI89" i="3"/>
  <c r="CY89" i="3" s="1"/>
  <c r="AI62" i="3"/>
  <c r="AI36" i="3"/>
  <c r="CY29" i="3"/>
  <c r="CD124" i="3"/>
  <c r="CD131" i="3" s="1"/>
  <c r="CD62" i="3"/>
  <c r="CD36" i="3"/>
  <c r="K89" i="3"/>
  <c r="CS89" i="3" s="1"/>
  <c r="K62" i="3"/>
  <c r="K36" i="3"/>
  <c r="CS29" i="3"/>
  <c r="DD80" i="3"/>
  <c r="DD79" i="3" s="1"/>
  <c r="DD83" i="3" s="1"/>
  <c r="DC80" i="3"/>
  <c r="DC79" i="3" s="1"/>
  <c r="DC83" i="3" s="1"/>
  <c r="DB80" i="3"/>
  <c r="DB79" i="3" s="1"/>
  <c r="DB83" i="3" s="1"/>
  <c r="DA80" i="3"/>
  <c r="DA79" i="3" s="1"/>
  <c r="DA83" i="3" s="1"/>
  <c r="CZ80" i="3"/>
  <c r="CZ79" i="3" s="1"/>
  <c r="CZ83" i="3" s="1"/>
  <c r="CY80" i="3"/>
  <c r="CY79" i="3" s="1"/>
  <c r="CY83" i="3" s="1"/>
  <c r="CX80" i="3"/>
  <c r="CX79" i="3" s="1"/>
  <c r="CX83" i="3" s="1"/>
  <c r="CW80" i="3"/>
  <c r="CW79" i="3" s="1"/>
  <c r="CW83" i="3" s="1"/>
  <c r="CV80" i="3"/>
  <c r="CV79" i="3" s="1"/>
  <c r="CV83" i="3" s="1"/>
  <c r="CU80" i="3"/>
  <c r="CU79" i="3" s="1"/>
  <c r="CU83" i="3" s="1"/>
  <c r="CT80" i="3"/>
  <c r="CT79" i="3" s="1"/>
  <c r="CT83" i="3" s="1"/>
  <c r="CS80" i="3"/>
  <c r="CS79" i="3" s="1"/>
  <c r="CS83" i="3" s="1"/>
  <c r="CR80" i="3"/>
  <c r="CR79" i="3" s="1"/>
  <c r="CR83" i="3" s="1"/>
  <c r="CI134" i="3"/>
  <c r="CI142" i="3" s="1"/>
  <c r="CI47" i="3"/>
  <c r="BC89" i="3"/>
  <c r="DD89" i="3" s="1"/>
  <c r="BC62" i="3"/>
  <c r="BC64" i="3" s="1"/>
  <c r="BC36" i="3"/>
  <c r="DD29" i="3"/>
  <c r="CI124" i="3"/>
  <c r="CI131" i="3" s="1"/>
  <c r="CI62" i="3"/>
  <c r="CI36" i="3"/>
  <c r="AM89" i="3"/>
  <c r="CZ89" i="3" s="1"/>
  <c r="AM62" i="3"/>
  <c r="AM36" i="3"/>
  <c r="CZ29" i="3"/>
  <c r="CE124" i="3"/>
  <c r="CE131" i="3" s="1"/>
  <c r="CE62" i="3"/>
  <c r="CE36" i="3"/>
  <c r="W89" i="3"/>
  <c r="CV89" i="3" s="1"/>
  <c r="W62" i="3"/>
  <c r="W64" i="3" s="1"/>
  <c r="W36" i="3"/>
  <c r="CV29" i="3"/>
  <c r="CA124" i="3"/>
  <c r="CA131" i="3" s="1"/>
  <c r="CA62" i="3"/>
  <c r="CA36" i="3"/>
  <c r="G89" i="3"/>
  <c r="CR89" i="3" s="1"/>
  <c r="G62" i="3"/>
  <c r="G36" i="3"/>
  <c r="CR29" i="3"/>
  <c r="BC47" i="3"/>
  <c r="DD39" i="3"/>
  <c r="AU47" i="3"/>
  <c r="DB39" i="3"/>
  <c r="CG134" i="3"/>
  <c r="CG142" i="3" s="1"/>
  <c r="CG47" i="3"/>
  <c r="W47" i="3"/>
  <c r="CV39" i="3"/>
  <c r="O47" i="3"/>
  <c r="CT39" i="3"/>
  <c r="BY134" i="3"/>
  <c r="BY47" i="3"/>
  <c r="CE134" i="3"/>
  <c r="CE142" i="3" s="1"/>
  <c r="CE47" i="3"/>
  <c r="CB134" i="3"/>
  <c r="CB142" i="3" s="1"/>
  <c r="CB47" i="3"/>
  <c r="CF29" i="3"/>
  <c r="CL39" i="3"/>
  <c r="AY47" i="3"/>
  <c r="DC39" i="3"/>
  <c r="CH39" i="3"/>
  <c r="AI47" i="3"/>
  <c r="CY39" i="3"/>
  <c r="CD39" i="3"/>
  <c r="S47" i="3"/>
  <c r="CU39" i="3"/>
  <c r="BZ39" i="3"/>
  <c r="BG89" i="3"/>
  <c r="BG62" i="3"/>
  <c r="BG64" i="3" s="1"/>
  <c r="BG36" i="3"/>
  <c r="AY89" i="3"/>
  <c r="DC89" i="3" s="1"/>
  <c r="AY62" i="3"/>
  <c r="AY36" i="3"/>
  <c r="DC29" i="3"/>
  <c r="CH29" i="3"/>
  <c r="AA89" i="3"/>
  <c r="CW89" i="3" s="1"/>
  <c r="AA62" i="3"/>
  <c r="AA64" i="3" s="1"/>
  <c r="AA36" i="3"/>
  <c r="CW29" i="3"/>
  <c r="S89" i="3"/>
  <c r="CU89" i="3" s="1"/>
  <c r="S62" i="3"/>
  <c r="S64" i="3" s="1"/>
  <c r="S36" i="3"/>
  <c r="CU29" i="3"/>
  <c r="BZ29" i="3"/>
  <c r="CA134" i="3"/>
  <c r="CA47" i="3"/>
  <c r="CK29" i="3"/>
  <c r="AU89" i="3"/>
  <c r="DB89" i="3" s="1"/>
  <c r="AU62" i="3"/>
  <c r="AU36" i="3"/>
  <c r="DB29" i="3"/>
  <c r="CG29" i="3"/>
  <c r="AE89" i="3"/>
  <c r="CX89" i="3" s="1"/>
  <c r="AE62" i="3"/>
  <c r="AE64" i="3" s="1"/>
  <c r="AE36" i="3"/>
  <c r="CX29" i="3"/>
  <c r="CC29" i="3"/>
  <c r="O89" i="3"/>
  <c r="CT89" i="3" s="1"/>
  <c r="O62" i="3"/>
  <c r="O36" i="3"/>
  <c r="CT29" i="3"/>
  <c r="BY29" i="3"/>
  <c r="CK39" i="3"/>
  <c r="AM47" i="3"/>
  <c r="CZ39" i="3"/>
  <c r="AE47" i="3"/>
  <c r="CX39" i="3"/>
  <c r="CC39" i="3"/>
  <c r="G47" i="3"/>
  <c r="CR39" i="3"/>
  <c r="CJ29" i="3"/>
  <c r="CN67" i="2"/>
  <c r="BP67" i="2"/>
  <c r="BQ67" i="2" s="1"/>
  <c r="BR67" i="2" s="1"/>
  <c r="BM139" i="2"/>
  <c r="BN134" i="2"/>
  <c r="AT120" i="2"/>
  <c r="AT121" i="2" s="1"/>
  <c r="AT112" i="2"/>
  <c r="CN37" i="2"/>
  <c r="BP37" i="2"/>
  <c r="BQ37" i="2" s="1"/>
  <c r="BR37" i="2" s="1"/>
  <c r="CN23" i="2"/>
  <c r="BP23" i="2"/>
  <c r="BQ23" i="2" s="1"/>
  <c r="BR23" i="2" s="1"/>
  <c r="CN21" i="2"/>
  <c r="BP21" i="2"/>
  <c r="BQ21" i="2" s="1"/>
  <c r="BR21" i="2" s="1"/>
  <c r="BP40" i="2"/>
  <c r="BQ40" i="2" s="1"/>
  <c r="BR40" i="2" s="1"/>
  <c r="CN40" i="2"/>
  <c r="CN70" i="2"/>
  <c r="BP70" i="2"/>
  <c r="BQ70" i="2" s="1"/>
  <c r="BR70" i="2" s="1"/>
  <c r="BP20" i="2"/>
  <c r="BQ20" i="2" s="1"/>
  <c r="BR20" i="2" s="1"/>
  <c r="CN20" i="2"/>
  <c r="CN13" i="2"/>
  <c r="BP13" i="2"/>
  <c r="BQ13" i="2" s="1"/>
  <c r="BR13" i="2" s="1"/>
  <c r="AV115" i="2"/>
  <c r="AV97" i="2"/>
  <c r="AW96" i="2"/>
  <c r="AS121" i="2"/>
  <c r="AZ119" i="2"/>
  <c r="CJ119" i="2"/>
  <c r="BN142" i="2"/>
  <c r="AU111" i="2"/>
  <c r="CI111" i="2" s="1"/>
  <c r="CI112" i="2" s="1"/>
  <c r="AV104" i="2"/>
  <c r="CI104" i="2"/>
  <c r="BP63" i="2"/>
  <c r="BQ63" i="2" s="1"/>
  <c r="BR63" i="2" s="1"/>
  <c r="CN63" i="2"/>
  <c r="CN62" i="2"/>
  <c r="BP62" i="2"/>
  <c r="BQ62" i="2" s="1"/>
  <c r="BR62" i="2" s="1"/>
  <c r="CN31" i="2"/>
  <c r="BP31" i="2"/>
  <c r="BQ31" i="2" s="1"/>
  <c r="BR31" i="2" s="1"/>
  <c r="BP38" i="2"/>
  <c r="BQ38" i="2" s="1"/>
  <c r="BR38" i="2" s="1"/>
  <c r="CN38" i="2"/>
  <c r="CN68" i="2"/>
  <c r="BP68" i="2"/>
  <c r="BQ68" i="2" s="1"/>
  <c r="BR68" i="2" s="1"/>
  <c r="CY88" i="53"/>
  <c r="DE88" i="53"/>
  <c r="BN78" i="2"/>
  <c r="AK88" i="3"/>
  <c r="J88" i="3"/>
  <c r="CX88" i="53"/>
  <c r="G90" i="3"/>
  <c r="CR90" i="3" s="1"/>
  <c r="BE88" i="3"/>
  <c r="BE92" i="3" s="1"/>
  <c r="Z88" i="3"/>
  <c r="BK83" i="3" l="1"/>
  <c r="CK17" i="53"/>
  <c r="BF19" i="53"/>
  <c r="AK99" i="53"/>
  <c r="AZ85" i="53"/>
  <c r="AT40" i="53"/>
  <c r="AP40" i="53"/>
  <c r="BK80" i="3"/>
  <c r="BK78" i="3"/>
  <c r="DF111" i="3"/>
  <c r="DF65" i="3"/>
  <c r="BW33" i="2"/>
  <c r="CP33" i="2" s="1"/>
  <c r="DH33" i="2"/>
  <c r="BE76" i="53"/>
  <c r="CE42" i="53"/>
  <c r="F86" i="53"/>
  <c r="E86" i="53"/>
  <c r="AV64" i="53"/>
  <c r="AX64" i="53"/>
  <c r="AS85" i="53"/>
  <c r="AW18" i="53"/>
  <c r="AV20" i="53"/>
  <c r="AZ41" i="53"/>
  <c r="AP85" i="53"/>
  <c r="AP86" i="53" s="1"/>
  <c r="BA85" i="53"/>
  <c r="AK85" i="53"/>
  <c r="AS52" i="53"/>
  <c r="X86" i="53"/>
  <c r="L86" i="53"/>
  <c r="AK51" i="53"/>
  <c r="AP42" i="53"/>
  <c r="BA53" i="53"/>
  <c r="BE52" i="53"/>
  <c r="AV19" i="53"/>
  <c r="AV85" i="53"/>
  <c r="AF86" i="53"/>
  <c r="M86" i="53"/>
  <c r="AS53" i="53"/>
  <c r="AS42" i="53"/>
  <c r="AT51" i="53"/>
  <c r="AA86" i="53"/>
  <c r="AE86" i="53"/>
  <c r="AP51" i="53"/>
  <c r="AO52" i="53"/>
  <c r="BB99" i="53"/>
  <c r="AV63" i="53"/>
  <c r="CA142" i="3"/>
  <c r="BA76" i="53"/>
  <c r="J86" i="53"/>
  <c r="CD61" i="53"/>
  <c r="BA63" i="53"/>
  <c r="AN31" i="53"/>
  <c r="AO99" i="53"/>
  <c r="BF18" i="53"/>
  <c r="CD20" i="53"/>
  <c r="BD86" i="53"/>
  <c r="AB86" i="53"/>
  <c r="BC76" i="53"/>
  <c r="CX54" i="2"/>
  <c r="AS86" i="53"/>
  <c r="AL51" i="53"/>
  <c r="AT42" i="53"/>
  <c r="AO53" i="53"/>
  <c r="AN52" i="53"/>
  <c r="AN85" i="53"/>
  <c r="AJ19" i="53"/>
  <c r="AK18" i="53"/>
  <c r="AN19" i="53"/>
  <c r="AN30" i="53"/>
  <c r="BF20" i="53"/>
  <c r="BL41" i="53"/>
  <c r="BL19" i="53"/>
  <c r="BH41" i="53"/>
  <c r="BH30" i="53"/>
  <c r="BL30" i="53"/>
  <c r="AX99" i="53"/>
  <c r="CX125" i="53"/>
  <c r="CX127" i="53" s="1"/>
  <c r="AJ42" i="53"/>
  <c r="AK40" i="53"/>
  <c r="AJ30" i="53"/>
  <c r="AJ31" i="53"/>
  <c r="AO31" i="53"/>
  <c r="AO30" i="53"/>
  <c r="AZ19" i="53"/>
  <c r="BD19" i="53"/>
  <c r="AZ20" i="53"/>
  <c r="AO42" i="53"/>
  <c r="AO40" i="53"/>
  <c r="AO41" i="53"/>
  <c r="AS41" i="53"/>
  <c r="BD30" i="53"/>
  <c r="BA29" i="53"/>
  <c r="AZ31" i="53"/>
  <c r="AS30" i="53"/>
  <c r="AO29" i="53"/>
  <c r="CB20" i="53"/>
  <c r="T86" i="53"/>
  <c r="CC19" i="53"/>
  <c r="BA86" i="53"/>
  <c r="BC86" i="53"/>
  <c r="CK31" i="53"/>
  <c r="AL41" i="53"/>
  <c r="AT41" i="53"/>
  <c r="AO51" i="53"/>
  <c r="AN53" i="53"/>
  <c r="AO85" i="53"/>
  <c r="AP29" i="53"/>
  <c r="AZ30" i="53"/>
  <c r="AJ85" i="53"/>
  <c r="AX20" i="53"/>
  <c r="BB19" i="53"/>
  <c r="AX19" i="53"/>
  <c r="AN42" i="53"/>
  <c r="AN41" i="53"/>
  <c r="AT31" i="53"/>
  <c r="AT30" i="53"/>
  <c r="AT20" i="53"/>
  <c r="AT85" i="53"/>
  <c r="AZ63" i="53"/>
  <c r="AZ64" i="53"/>
  <c r="DF68" i="3"/>
  <c r="Y30" i="53"/>
  <c r="AR99" i="53"/>
  <c r="CU173" i="53"/>
  <c r="CU175" i="53" s="1"/>
  <c r="CX173" i="53"/>
  <c r="CX175" i="53" s="1"/>
  <c r="BE86" i="53"/>
  <c r="CD31" i="53"/>
  <c r="CC42" i="53"/>
  <c r="CD19" i="53"/>
  <c r="CC20" i="53"/>
  <c r="BH29" i="53"/>
  <c r="AL42" i="53"/>
  <c r="CC89" i="3"/>
  <c r="BY142" i="3"/>
  <c r="CF142" i="3"/>
  <c r="AZ86" i="53"/>
  <c r="CU125" i="53"/>
  <c r="CU127" i="53" s="1"/>
  <c r="CF53" i="2"/>
  <c r="CF52" i="2"/>
  <c r="CF51" i="2" s="1"/>
  <c r="AL29" i="53"/>
  <c r="AL31" i="53"/>
  <c r="AP30" i="53"/>
  <c r="AL30" i="53"/>
  <c r="AL85" i="53"/>
  <c r="CW125" i="53"/>
  <c r="CW127" i="53" s="1"/>
  <c r="CW167" i="53"/>
  <c r="CW117" i="53"/>
  <c r="AR42" i="53"/>
  <c r="AV41" i="53"/>
  <c r="AR41" i="53"/>
  <c r="AS40" i="53"/>
  <c r="Z40" i="53"/>
  <c r="Y42" i="53"/>
  <c r="CD39" i="53"/>
  <c r="Y41" i="53"/>
  <c r="AC41" i="53"/>
  <c r="Y40" i="53"/>
  <c r="CG52" i="2"/>
  <c r="CG51" i="2" s="1"/>
  <c r="CG53" i="2"/>
  <c r="CV173" i="53"/>
  <c r="CV175" i="53" s="1"/>
  <c r="CD71" i="53"/>
  <c r="CD64" i="3"/>
  <c r="CD56" i="2"/>
  <c r="CD122" i="53"/>
  <c r="CD123" i="53"/>
  <c r="CD120" i="53"/>
  <c r="CD172" i="53"/>
  <c r="CD121" i="53"/>
  <c r="CD171" i="53"/>
  <c r="CD170" i="53"/>
  <c r="CD124" i="53"/>
  <c r="CW88" i="53"/>
  <c r="CV88" i="53"/>
  <c r="AV52" i="53"/>
  <c r="AR52" i="53"/>
  <c r="AR53" i="53"/>
  <c r="AG30" i="53"/>
  <c r="AD29" i="53"/>
  <c r="AC30" i="53"/>
  <c r="CE28" i="53"/>
  <c r="AC29" i="53"/>
  <c r="AC31" i="53"/>
  <c r="CB64" i="3"/>
  <c r="CB56" i="2"/>
  <c r="CB71" i="53"/>
  <c r="CB172" i="53"/>
  <c r="CB170" i="53"/>
  <c r="CB122" i="53"/>
  <c r="CB124" i="53"/>
  <c r="CB123" i="53"/>
  <c r="CB121" i="53"/>
  <c r="CB171" i="53"/>
  <c r="CB120" i="53"/>
  <c r="CK71" i="53"/>
  <c r="U88" i="3"/>
  <c r="DD54" i="2"/>
  <c r="AR64" i="53"/>
  <c r="AR63" i="53"/>
  <c r="CU117" i="53"/>
  <c r="CU167" i="53"/>
  <c r="Q40" i="53"/>
  <c r="CB39" i="53"/>
  <c r="Q42" i="53"/>
  <c r="Q41" i="53"/>
  <c r="R40" i="53"/>
  <c r="CH52" i="2"/>
  <c r="CH51" i="2" s="1"/>
  <c r="CH53" i="2"/>
  <c r="CX167" i="53"/>
  <c r="CX117" i="53"/>
  <c r="CV125" i="53"/>
  <c r="CV127" i="53" s="1"/>
  <c r="CV167" i="53"/>
  <c r="CV117" i="53"/>
  <c r="AC18" i="53"/>
  <c r="AD18" i="53"/>
  <c r="AG19" i="53"/>
  <c r="AC20" i="53"/>
  <c r="AC19" i="53"/>
  <c r="CE17" i="53"/>
  <c r="AW31" i="53"/>
  <c r="BA30" i="53"/>
  <c r="AW30" i="53"/>
  <c r="AW29" i="53"/>
  <c r="CE71" i="53"/>
  <c r="CE64" i="3"/>
  <c r="CE56" i="2"/>
  <c r="CE123" i="53"/>
  <c r="CE170" i="53"/>
  <c r="CE172" i="53"/>
  <c r="CE121" i="53"/>
  <c r="CE171" i="53"/>
  <c r="CE124" i="53"/>
  <c r="CE120" i="53"/>
  <c r="CE122" i="53"/>
  <c r="CC56" i="2"/>
  <c r="CC71" i="53"/>
  <c r="CC170" i="53"/>
  <c r="CC172" i="53"/>
  <c r="CC120" i="53"/>
  <c r="CC122" i="53"/>
  <c r="CC124" i="53"/>
  <c r="CC123" i="53"/>
  <c r="CC121" i="53"/>
  <c r="CC171" i="53"/>
  <c r="CL56" i="2"/>
  <c r="CL54" i="2" s="1"/>
  <c r="CL71" i="53"/>
  <c r="CL64" i="3"/>
  <c r="U31" i="53"/>
  <c r="U30" i="53"/>
  <c r="CC28" i="53"/>
  <c r="U29" i="53"/>
  <c r="AW40" i="53"/>
  <c r="AW42" i="53"/>
  <c r="AX40" i="53"/>
  <c r="AW41" i="53"/>
  <c r="CW173" i="53"/>
  <c r="CW175" i="53" s="1"/>
  <c r="Q31" i="53"/>
  <c r="CB28" i="53"/>
  <c r="Q29" i="53"/>
  <c r="Q30" i="53"/>
  <c r="AX29" i="53"/>
  <c r="BY90" i="3"/>
  <c r="AJ83" i="53"/>
  <c r="I9" i="3"/>
  <c r="I26" i="3" s="1"/>
  <c r="I95" i="3" s="1"/>
  <c r="I96" i="3" s="1"/>
  <c r="I150" i="2"/>
  <c r="AR9" i="3"/>
  <c r="AR150" i="2"/>
  <c r="U9" i="3"/>
  <c r="U26" i="3" s="1"/>
  <c r="U95" i="3" s="1"/>
  <c r="U96" i="3" s="1"/>
  <c r="U150" i="2"/>
  <c r="BG9" i="3"/>
  <c r="BG26" i="3" s="1"/>
  <c r="BG95" i="3" s="1"/>
  <c r="BG96" i="3" s="1"/>
  <c r="BG150" i="2"/>
  <c r="AS9" i="3"/>
  <c r="AS26" i="3" s="1"/>
  <c r="AS150" i="2"/>
  <c r="AK83" i="53"/>
  <c r="W9" i="3"/>
  <c r="W26" i="3" s="1"/>
  <c r="W95" i="3" s="1"/>
  <c r="W96" i="3" s="1"/>
  <c r="W150" i="2"/>
  <c r="BH9" i="3"/>
  <c r="BH26" i="3" s="1"/>
  <c r="BH150" i="2"/>
  <c r="S9" i="3"/>
  <c r="S26" i="3" s="1"/>
  <c r="S95" i="3" s="1"/>
  <c r="S96" i="3" s="1"/>
  <c r="S150" i="2"/>
  <c r="AW9" i="3"/>
  <c r="AW150" i="2"/>
  <c r="BF9" i="3"/>
  <c r="BF26" i="3" s="1"/>
  <c r="BF95" i="3" s="1"/>
  <c r="BF96" i="3" s="1"/>
  <c r="BF150" i="2"/>
  <c r="AC9" i="3"/>
  <c r="AC26" i="3" s="1"/>
  <c r="AC53" i="3" s="1"/>
  <c r="AC150" i="2"/>
  <c r="AZ9" i="3"/>
  <c r="AZ104" i="3" s="1"/>
  <c r="AZ150" i="2"/>
  <c r="Q9" i="3"/>
  <c r="Q26" i="3" s="1"/>
  <c r="Q53" i="3" s="1"/>
  <c r="Q150" i="2"/>
  <c r="Y9" i="3"/>
  <c r="Y26" i="3" s="1"/>
  <c r="Y53" i="3" s="1"/>
  <c r="Y150" i="2"/>
  <c r="BE9" i="3"/>
  <c r="BE26" i="3" s="1"/>
  <c r="BE95" i="3" s="1"/>
  <c r="BE96" i="3" s="1"/>
  <c r="BE150" i="2"/>
  <c r="AL83" i="53"/>
  <c r="BD88" i="3"/>
  <c r="AS88" i="3"/>
  <c r="AL88" i="3"/>
  <c r="AA88" i="3"/>
  <c r="U99" i="53"/>
  <c r="Y99" i="53"/>
  <c r="AC99" i="53"/>
  <c r="AO83" i="53"/>
  <c r="BB68" i="53"/>
  <c r="BH68" i="53"/>
  <c r="BL68" i="53" s="1"/>
  <c r="BG68" i="53"/>
  <c r="BK68" i="53" s="1"/>
  <c r="BE68" i="53"/>
  <c r="CK53" i="53"/>
  <c r="Q85" i="53"/>
  <c r="CC50" i="53"/>
  <c r="U85" i="53"/>
  <c r="CE50" i="53"/>
  <c r="AC85" i="53"/>
  <c r="AW52" i="53"/>
  <c r="AW53" i="53"/>
  <c r="AW51" i="53"/>
  <c r="AW85" i="53"/>
  <c r="AW99" i="53"/>
  <c r="BB64" i="53"/>
  <c r="BB62" i="53"/>
  <c r="BB63" i="53"/>
  <c r="CK61" i="53"/>
  <c r="BB42" i="53"/>
  <c r="BB41" i="53"/>
  <c r="BB85" i="53"/>
  <c r="BC40" i="53"/>
  <c r="BB40" i="53"/>
  <c r="CK39" i="53"/>
  <c r="BF62" i="53"/>
  <c r="BF63" i="53"/>
  <c r="BF64" i="53"/>
  <c r="CB61" i="53"/>
  <c r="CU96" i="53"/>
  <c r="BA52" i="53"/>
  <c r="CC61" i="53"/>
  <c r="Y85" i="53"/>
  <c r="CE61" i="53"/>
  <c r="AR31" i="53"/>
  <c r="AR30" i="53"/>
  <c r="AS29" i="53"/>
  <c r="AR85" i="53"/>
  <c r="AV30" i="53"/>
  <c r="AW63" i="53"/>
  <c r="AW64" i="53"/>
  <c r="AW62" i="53"/>
  <c r="BB51" i="53"/>
  <c r="BB52" i="53"/>
  <c r="BB53" i="53"/>
  <c r="BC51" i="53"/>
  <c r="BF42" i="53"/>
  <c r="BF41" i="53"/>
  <c r="BF40" i="53"/>
  <c r="BF85" i="53"/>
  <c r="BF52" i="53"/>
  <c r="BF53" i="53"/>
  <c r="BF51" i="53"/>
  <c r="CD50" i="53"/>
  <c r="CA89" i="3"/>
  <c r="CK89" i="3"/>
  <c r="CF89" i="3"/>
  <c r="CI89" i="3"/>
  <c r="CB89" i="3"/>
  <c r="AO88" i="3"/>
  <c r="N88" i="3"/>
  <c r="Q88" i="3"/>
  <c r="BH42" i="53"/>
  <c r="BH85" i="53"/>
  <c r="BH86" i="53" s="1"/>
  <c r="Y88" i="3"/>
  <c r="F88" i="3"/>
  <c r="AF88" i="3"/>
  <c r="DF14" i="2"/>
  <c r="BO14" i="2"/>
  <c r="DF22" i="3"/>
  <c r="DF117" i="3" s="1"/>
  <c r="DF30" i="2"/>
  <c r="BO30" i="2"/>
  <c r="BO39" i="2"/>
  <c r="DF39" i="2"/>
  <c r="BH64" i="53"/>
  <c r="BH63" i="53"/>
  <c r="DF78" i="2"/>
  <c r="BG41" i="53"/>
  <c r="CL39" i="53"/>
  <c r="BG42" i="53"/>
  <c r="BG40" i="53"/>
  <c r="CS52" i="2"/>
  <c r="CS51" i="2" s="1"/>
  <c r="CS53" i="2"/>
  <c r="DC53" i="2"/>
  <c r="DC52" i="2"/>
  <c r="DC51" i="2" s="1"/>
  <c r="BK65" i="2"/>
  <c r="CM64" i="2"/>
  <c r="CM65" i="2" s="1"/>
  <c r="CL61" i="53"/>
  <c r="BG64" i="53"/>
  <c r="BG62" i="53"/>
  <c r="BG63" i="53"/>
  <c r="CY53" i="2"/>
  <c r="CY52" i="2"/>
  <c r="CY51" i="2" s="1"/>
  <c r="CV50" i="2"/>
  <c r="CV54" i="2"/>
  <c r="CK56" i="2"/>
  <c r="CJ52" i="2"/>
  <c r="CJ51" i="2" s="1"/>
  <c r="CJ53" i="2"/>
  <c r="BH52" i="53"/>
  <c r="BH53" i="53"/>
  <c r="BH51" i="53"/>
  <c r="CZ53" i="2"/>
  <c r="CZ52" i="2"/>
  <c r="CZ51" i="2" s="1"/>
  <c r="DB52" i="2"/>
  <c r="DB51" i="2" s="1"/>
  <c r="DB53" i="2"/>
  <c r="BG30" i="53"/>
  <c r="BG31" i="53"/>
  <c r="CL28" i="53"/>
  <c r="BG29" i="53"/>
  <c r="BH40" i="53"/>
  <c r="BH62" i="53"/>
  <c r="CL17" i="53"/>
  <c r="BG85" i="53"/>
  <c r="BG19" i="53"/>
  <c r="BG20" i="53"/>
  <c r="BG18" i="53"/>
  <c r="BH18" i="53"/>
  <c r="CM138" i="3"/>
  <c r="BG53" i="53"/>
  <c r="BG51" i="53"/>
  <c r="CL50" i="53"/>
  <c r="BG52" i="53"/>
  <c r="DE6" i="3"/>
  <c r="CM25" i="53"/>
  <c r="DF44" i="53"/>
  <c r="AQ80" i="53"/>
  <c r="AP79" i="53"/>
  <c r="CM58" i="53"/>
  <c r="CJ124" i="3"/>
  <c r="CJ131" i="3" s="1"/>
  <c r="CJ62" i="3"/>
  <c r="CJ36" i="3"/>
  <c r="DE22" i="2"/>
  <c r="CR134" i="3"/>
  <c r="CR142" i="3" s="1"/>
  <c r="CR47" i="3"/>
  <c r="CC134" i="3"/>
  <c r="CC142" i="3" s="1"/>
  <c r="CC47" i="3"/>
  <c r="BY124" i="3"/>
  <c r="BY131" i="3" s="1"/>
  <c r="BY62" i="3"/>
  <c r="BY36" i="3"/>
  <c r="CT124" i="3"/>
  <c r="CT131" i="3" s="1"/>
  <c r="CT62" i="3"/>
  <c r="CT36" i="3"/>
  <c r="CC124" i="3"/>
  <c r="CC131" i="3" s="1"/>
  <c r="CC62" i="3"/>
  <c r="CC64" i="3" s="1"/>
  <c r="CC36" i="3"/>
  <c r="CX124" i="3"/>
  <c r="CX131" i="3" s="1"/>
  <c r="CX62" i="3"/>
  <c r="CX64" i="3" s="1"/>
  <c r="CX36" i="3"/>
  <c r="CG124" i="3"/>
  <c r="CG131" i="3" s="1"/>
  <c r="CG62" i="3"/>
  <c r="CG36" i="3"/>
  <c r="DB124" i="3"/>
  <c r="DB131" i="3" s="1"/>
  <c r="DB62" i="3"/>
  <c r="DB36" i="3"/>
  <c r="CK124" i="3"/>
  <c r="CK131" i="3" s="1"/>
  <c r="CK62" i="3"/>
  <c r="CK64" i="3" s="1"/>
  <c r="CK36" i="3"/>
  <c r="BZ124" i="3"/>
  <c r="BZ131" i="3" s="1"/>
  <c r="BZ62" i="3"/>
  <c r="BZ36" i="3"/>
  <c r="CU124" i="3"/>
  <c r="CU131" i="3" s="1"/>
  <c r="CU62" i="3"/>
  <c r="CU64" i="3" s="1"/>
  <c r="CU36" i="3"/>
  <c r="CU134" i="3"/>
  <c r="CU142" i="3" s="1"/>
  <c r="CU47" i="3"/>
  <c r="CY134" i="3"/>
  <c r="CY142" i="3" s="1"/>
  <c r="CY47" i="3"/>
  <c r="DC134" i="3"/>
  <c r="DC142" i="3" s="1"/>
  <c r="DC47" i="3"/>
  <c r="CT134" i="3"/>
  <c r="CT142" i="3" s="1"/>
  <c r="CT47" i="3"/>
  <c r="CV134" i="3"/>
  <c r="CV142" i="3" s="1"/>
  <c r="CV47" i="3"/>
  <c r="DB134" i="3"/>
  <c r="DB142" i="3" s="1"/>
  <c r="DB47" i="3"/>
  <c r="DD134" i="3"/>
  <c r="DD142" i="3" s="1"/>
  <c r="DD47" i="3"/>
  <c r="CR124" i="3"/>
  <c r="CR131" i="3" s="1"/>
  <c r="CR62" i="3"/>
  <c r="CR36" i="3"/>
  <c r="CV124" i="3"/>
  <c r="CV131" i="3" s="1"/>
  <c r="CV62" i="3"/>
  <c r="CV64" i="3" s="1"/>
  <c r="CV36" i="3"/>
  <c r="CZ124" i="3"/>
  <c r="CZ131" i="3" s="1"/>
  <c r="CZ62" i="3"/>
  <c r="CZ36" i="3"/>
  <c r="DD124" i="3"/>
  <c r="DD131" i="3" s="1"/>
  <c r="DD62" i="3"/>
  <c r="DD64" i="3" s="1"/>
  <c r="DD36" i="3"/>
  <c r="CS124" i="3"/>
  <c r="CS131" i="3" s="1"/>
  <c r="CS62" i="3"/>
  <c r="CS36" i="3"/>
  <c r="CY124" i="3"/>
  <c r="CY131" i="3" s="1"/>
  <c r="CY62" i="3"/>
  <c r="CY36" i="3"/>
  <c r="CS134" i="3"/>
  <c r="CS142" i="3" s="1"/>
  <c r="CS47" i="3"/>
  <c r="CJ89" i="3"/>
  <c r="CX134" i="3"/>
  <c r="CX142" i="3" s="1"/>
  <c r="CX47" i="3"/>
  <c r="CZ134" i="3"/>
  <c r="CZ142" i="3" s="1"/>
  <c r="CZ47" i="3"/>
  <c r="CK134" i="3"/>
  <c r="CK142" i="3" s="1"/>
  <c r="CK47" i="3"/>
  <c r="CW124" i="3"/>
  <c r="CW131" i="3" s="1"/>
  <c r="CW62" i="3"/>
  <c r="CW64" i="3" s="1"/>
  <c r="CW36" i="3"/>
  <c r="CH124" i="3"/>
  <c r="CH131" i="3" s="1"/>
  <c r="CH62" i="3"/>
  <c r="CH36" i="3"/>
  <c r="DC124" i="3"/>
  <c r="DC131" i="3" s="1"/>
  <c r="DC62" i="3"/>
  <c r="DC36" i="3"/>
  <c r="BO77" i="3"/>
  <c r="CN77" i="3" s="1"/>
  <c r="BZ134" i="3"/>
  <c r="BZ142" i="3" s="1"/>
  <c r="BZ47" i="3"/>
  <c r="CD134" i="3"/>
  <c r="CD142" i="3" s="1"/>
  <c r="CD47" i="3"/>
  <c r="CH134" i="3"/>
  <c r="CH142" i="3" s="1"/>
  <c r="CH47" i="3"/>
  <c r="CL134" i="3"/>
  <c r="CL142" i="3" s="1"/>
  <c r="CL47" i="3"/>
  <c r="CF124" i="3"/>
  <c r="CF131" i="3" s="1"/>
  <c r="CF62" i="3"/>
  <c r="CF36" i="3"/>
  <c r="DA124" i="3"/>
  <c r="DA131" i="3" s="1"/>
  <c r="DA62" i="3"/>
  <c r="DA36" i="3"/>
  <c r="CW134" i="3"/>
  <c r="CW142" i="3" s="1"/>
  <c r="CW47" i="3"/>
  <c r="DA134" i="3"/>
  <c r="DA142" i="3" s="1"/>
  <c r="DA47" i="3"/>
  <c r="DE134" i="3"/>
  <c r="DE142" i="3" s="1"/>
  <c r="DE47" i="3"/>
  <c r="BY89" i="3"/>
  <c r="CG89" i="3"/>
  <c r="BZ89" i="3"/>
  <c r="CD89" i="3"/>
  <c r="CE89" i="3"/>
  <c r="CH89" i="3"/>
  <c r="CL89" i="3"/>
  <c r="DG38" i="2"/>
  <c r="BS38" i="2"/>
  <c r="DF61" i="2"/>
  <c r="BO61" i="2"/>
  <c r="DF19" i="2"/>
  <c r="BO19" i="2"/>
  <c r="BO29" i="2"/>
  <c r="DF29" i="2"/>
  <c r="BO32" i="2"/>
  <c r="DF32" i="2"/>
  <c r="DG63" i="2"/>
  <c r="BS63" i="2"/>
  <c r="BT63" i="2" s="1"/>
  <c r="AW104" i="2"/>
  <c r="DG13" i="2"/>
  <c r="BS13" i="2"/>
  <c r="BS70" i="2"/>
  <c r="BT70" i="2" s="1"/>
  <c r="DG70" i="2"/>
  <c r="DG67" i="2"/>
  <c r="BS67" i="2"/>
  <c r="BS68" i="2"/>
  <c r="BT68" i="2" s="1"/>
  <c r="DG68" i="2"/>
  <c r="DG31" i="2"/>
  <c r="BS31" i="2"/>
  <c r="DG62" i="2"/>
  <c r="BS62" i="2"/>
  <c r="BT62" i="2" s="1"/>
  <c r="AU120" i="2"/>
  <c r="AU112" i="2"/>
  <c r="BO142" i="2"/>
  <c r="BA119" i="2"/>
  <c r="AW115" i="2"/>
  <c r="AW116" i="2" s="1"/>
  <c r="AW97" i="2"/>
  <c r="AX96" i="2"/>
  <c r="AV116" i="2"/>
  <c r="DG20" i="2"/>
  <c r="BS20" i="2"/>
  <c r="DG40" i="2"/>
  <c r="BS40" i="2"/>
  <c r="BT40" i="2" s="1"/>
  <c r="BS21" i="2"/>
  <c r="DG21" i="2"/>
  <c r="BS23" i="2"/>
  <c r="DG23" i="2"/>
  <c r="DG37" i="2"/>
  <c r="BS37" i="2"/>
  <c r="BT37" i="2" s="1"/>
  <c r="BN139" i="2"/>
  <c r="BO134" i="2"/>
  <c r="BO10" i="2"/>
  <c r="DF10" i="2"/>
  <c r="CL88" i="53"/>
  <c r="W88" i="3"/>
  <c r="AE88" i="3"/>
  <c r="AT88" i="3"/>
  <c r="AD88" i="3"/>
  <c r="BB88" i="3"/>
  <c r="BB92" i="3" s="1"/>
  <c r="CX89" i="53"/>
  <c r="BO78" i="2"/>
  <c r="CY89" i="53"/>
  <c r="CB88" i="53"/>
  <c r="CD88" i="53"/>
  <c r="S88" i="3"/>
  <c r="AX88" i="3"/>
  <c r="D88" i="3"/>
  <c r="AH88" i="3"/>
  <c r="CC88" i="53"/>
  <c r="CE88" i="53"/>
  <c r="CK88" i="53"/>
  <c r="AV88" i="3"/>
  <c r="L88" i="3"/>
  <c r="P88" i="3"/>
  <c r="T88" i="3"/>
  <c r="X88" i="3"/>
  <c r="AB88" i="3"/>
  <c r="DE89" i="53"/>
  <c r="CK20" i="53" l="1"/>
  <c r="AK86" i="53"/>
  <c r="AV86" i="53"/>
  <c r="BU68" i="2"/>
  <c r="BV68" i="2" s="1"/>
  <c r="BU63" i="2"/>
  <c r="BV63" i="2" s="1"/>
  <c r="BU70" i="2"/>
  <c r="BV70" i="2" s="1"/>
  <c r="BU37" i="2"/>
  <c r="BV37" i="2" s="1"/>
  <c r="BU40" i="2"/>
  <c r="BV40" i="2" s="1"/>
  <c r="AW26" i="3"/>
  <c r="AW95" i="3" s="1"/>
  <c r="AW96" i="3" s="1"/>
  <c r="CO20" i="2"/>
  <c r="BT20" i="2"/>
  <c r="BU20" i="2" s="1"/>
  <c r="BV20" i="2" s="1"/>
  <c r="CO31" i="2"/>
  <c r="BT31" i="2"/>
  <c r="BU31" i="2" s="1"/>
  <c r="BV31" i="2" s="1"/>
  <c r="CO67" i="2"/>
  <c r="BT67" i="2"/>
  <c r="BU67" i="2" s="1"/>
  <c r="BV67" i="2" s="1"/>
  <c r="CO13" i="2"/>
  <c r="BT13" i="2"/>
  <c r="BU13" i="2" s="1"/>
  <c r="BV13" i="2" s="1"/>
  <c r="DH13" i="2" s="1"/>
  <c r="CO23" i="2"/>
  <c r="BT23" i="2"/>
  <c r="BU23" i="2" s="1"/>
  <c r="BV23" i="2" s="1"/>
  <c r="CO21" i="2"/>
  <c r="BT21" i="2"/>
  <c r="BU21" i="2" s="1"/>
  <c r="BV21" i="2" s="1"/>
  <c r="CO38" i="2"/>
  <c r="BT38" i="2"/>
  <c r="BU38" i="2" s="1"/>
  <c r="BV38" i="2" s="1"/>
  <c r="BU62" i="2"/>
  <c r="AN86" i="53"/>
  <c r="AR26" i="3"/>
  <c r="AR95" i="3" s="1"/>
  <c r="AR96" i="3" s="1"/>
  <c r="CO37" i="2"/>
  <c r="CO40" i="2"/>
  <c r="CO62" i="2"/>
  <c r="CO68" i="2"/>
  <c r="CO70" i="2"/>
  <c r="CO63" i="2"/>
  <c r="CL50" i="2"/>
  <c r="AJ86" i="53"/>
  <c r="AT86" i="53"/>
  <c r="AO86" i="53"/>
  <c r="BH76" i="53"/>
  <c r="AR104" i="3"/>
  <c r="AS104" i="3" s="1"/>
  <c r="BF53" i="3"/>
  <c r="Q95" i="3"/>
  <c r="Q96" i="3" s="1"/>
  <c r="AC95" i="3"/>
  <c r="AC96" i="3" s="1"/>
  <c r="U53" i="3"/>
  <c r="AZ26" i="3"/>
  <c r="AZ53" i="3" s="1"/>
  <c r="Y95" i="3"/>
  <c r="Y96" i="3" s="1"/>
  <c r="CE125" i="53"/>
  <c r="CE127" i="53" s="1"/>
  <c r="O56" i="2"/>
  <c r="O50" i="2" s="1"/>
  <c r="O71" i="53"/>
  <c r="O172" i="53"/>
  <c r="O171" i="53"/>
  <c r="O170" i="53"/>
  <c r="AU56" i="2"/>
  <c r="AU54" i="2" s="1"/>
  <c r="AU171" i="53"/>
  <c r="AU170" i="53"/>
  <c r="AU172" i="53"/>
  <c r="AU71" i="53"/>
  <c r="CE54" i="2"/>
  <c r="CE50" i="2"/>
  <c r="CB125" i="53"/>
  <c r="CB127" i="53" s="1"/>
  <c r="CB117" i="53"/>
  <c r="CB167" i="53"/>
  <c r="AL86" i="53"/>
  <c r="AI56" i="2"/>
  <c r="AI54" i="2" s="1"/>
  <c r="AI71" i="53"/>
  <c r="AI172" i="53"/>
  <c r="AI171" i="53"/>
  <c r="AI170" i="53"/>
  <c r="AY56" i="2"/>
  <c r="AY50" i="2" s="1"/>
  <c r="AY71" i="53"/>
  <c r="AY172" i="53"/>
  <c r="AY171" i="53"/>
  <c r="AY170" i="53"/>
  <c r="CC98" i="53"/>
  <c r="W98" i="53" s="1"/>
  <c r="CV98" i="53" s="1"/>
  <c r="CC97" i="53"/>
  <c r="W97" i="53" s="1"/>
  <c r="CV97" i="53" s="1"/>
  <c r="CC96" i="53"/>
  <c r="CD30" i="53"/>
  <c r="CC31" i="53"/>
  <c r="CC30" i="53"/>
  <c r="CC125" i="53"/>
  <c r="CC127" i="53" s="1"/>
  <c r="CC117" i="53"/>
  <c r="CC167" i="53"/>
  <c r="CE20" i="53"/>
  <c r="CE19" i="53"/>
  <c r="CB42" i="53"/>
  <c r="CC41" i="53"/>
  <c r="CB54" i="2"/>
  <c r="CB50" i="2"/>
  <c r="CE31" i="53"/>
  <c r="CE30" i="53"/>
  <c r="CD54" i="2"/>
  <c r="CD50" i="2"/>
  <c r="G56" i="2"/>
  <c r="G50" i="2" s="1"/>
  <c r="G71" i="53"/>
  <c r="G170" i="53"/>
  <c r="G171" i="53"/>
  <c r="G172" i="53"/>
  <c r="AM56" i="2"/>
  <c r="AM54" i="2" s="1"/>
  <c r="AM71" i="53"/>
  <c r="AM171" i="53"/>
  <c r="AM172" i="53"/>
  <c r="AM170" i="53"/>
  <c r="CE98" i="53"/>
  <c r="AE98" i="53" s="1"/>
  <c r="CX98" i="53" s="1"/>
  <c r="CE97" i="53"/>
  <c r="AE97" i="53" s="1"/>
  <c r="CX97" i="53" s="1"/>
  <c r="CE96" i="53"/>
  <c r="CB98" i="53"/>
  <c r="CB96" i="53"/>
  <c r="CB97" i="53"/>
  <c r="CC50" i="2"/>
  <c r="CC54" i="2"/>
  <c r="CE173" i="53"/>
  <c r="CE175" i="53" s="1"/>
  <c r="CE167" i="53"/>
  <c r="CE117" i="53"/>
  <c r="CB173" i="53"/>
  <c r="CB175" i="53" s="1"/>
  <c r="CD173" i="53"/>
  <c r="CD175" i="53" s="1"/>
  <c r="CD125" i="53"/>
  <c r="CD127" i="53" s="1"/>
  <c r="K56" i="2"/>
  <c r="K54" i="2" s="1"/>
  <c r="K71" i="53"/>
  <c r="K171" i="53"/>
  <c r="K170" i="53"/>
  <c r="K172" i="53"/>
  <c r="AQ56" i="2"/>
  <c r="AQ54" i="2" s="1"/>
  <c r="AQ71" i="53"/>
  <c r="AQ171" i="53"/>
  <c r="AQ170" i="53"/>
  <c r="AQ172" i="53"/>
  <c r="CD98" i="53"/>
  <c r="AA98" i="53" s="1"/>
  <c r="CW98" i="53" s="1"/>
  <c r="CD97" i="53"/>
  <c r="AA97" i="53" s="1"/>
  <c r="CW97" i="53" s="1"/>
  <c r="CD96" i="53"/>
  <c r="CB31" i="53"/>
  <c r="CC173" i="53"/>
  <c r="CC175" i="53" s="1"/>
  <c r="CD117" i="53"/>
  <c r="CD167" i="53"/>
  <c r="CE41" i="53"/>
  <c r="CD41" i="53"/>
  <c r="CD42" i="53"/>
  <c r="BH104" i="3"/>
  <c r="BH121" i="3" s="1"/>
  <c r="BH148" i="3" s="1"/>
  <c r="BE53" i="3"/>
  <c r="AL9" i="3"/>
  <c r="AL26" i="3" s="1"/>
  <c r="AL53" i="3" s="1"/>
  <c r="AL150" i="2"/>
  <c r="J9" i="3"/>
  <c r="J26" i="3" s="1"/>
  <c r="J95" i="3" s="1"/>
  <c r="J96" i="3" s="1"/>
  <c r="J150" i="2"/>
  <c r="M9" i="3"/>
  <c r="M26" i="3" s="1"/>
  <c r="M95" i="3" s="1"/>
  <c r="M96" i="3" s="1"/>
  <c r="M150" i="2"/>
  <c r="Z9" i="3"/>
  <c r="Z26" i="3" s="1"/>
  <c r="Z95" i="3" s="1"/>
  <c r="Z96" i="3" s="1"/>
  <c r="Z150" i="2"/>
  <c r="AT9" i="3"/>
  <c r="AT150" i="2"/>
  <c r="AB9" i="3"/>
  <c r="AB150" i="2"/>
  <c r="L9" i="3"/>
  <c r="L104" i="3" s="1"/>
  <c r="L150" i="2"/>
  <c r="E9" i="3"/>
  <c r="E26" i="3" s="1"/>
  <c r="E95" i="3" s="1"/>
  <c r="E96" i="3" s="1"/>
  <c r="E150" i="2"/>
  <c r="BA9" i="3"/>
  <c r="BA26" i="3" s="1"/>
  <c r="BA53" i="3" s="1"/>
  <c r="BA150" i="2"/>
  <c r="BG53" i="3"/>
  <c r="AV9" i="3"/>
  <c r="AV150" i="2"/>
  <c r="N9" i="3"/>
  <c r="N26" i="3" s="1"/>
  <c r="N53" i="3" s="1"/>
  <c r="N150" i="2"/>
  <c r="AG9" i="3"/>
  <c r="AG26" i="3" s="1"/>
  <c r="AG53" i="3" s="1"/>
  <c r="AG150" i="2"/>
  <c r="AH9" i="3"/>
  <c r="AH26" i="3" s="1"/>
  <c r="AH95" i="3" s="1"/>
  <c r="AH96" i="3" s="1"/>
  <c r="AH150" i="2"/>
  <c r="AX9" i="3"/>
  <c r="AX150" i="2"/>
  <c r="AF9" i="3"/>
  <c r="AF104" i="3" s="1"/>
  <c r="AF150" i="2"/>
  <c r="P9" i="3"/>
  <c r="P104" i="3" s="1"/>
  <c r="P150" i="2"/>
  <c r="AE9" i="3"/>
  <c r="AE26" i="3" s="1"/>
  <c r="AE150" i="2"/>
  <c r="I53" i="3"/>
  <c r="H9" i="3"/>
  <c r="H150" i="2"/>
  <c r="AD9" i="3"/>
  <c r="AD26" i="3" s="1"/>
  <c r="AD53" i="3" s="1"/>
  <c r="AD150" i="2"/>
  <c r="BC9" i="3"/>
  <c r="BC26" i="3" s="1"/>
  <c r="BC150" i="2"/>
  <c r="BD9" i="3"/>
  <c r="CL9" i="3" s="1"/>
  <c r="BD150" i="2"/>
  <c r="R9" i="3"/>
  <c r="R26" i="3" s="1"/>
  <c r="R95" i="3" s="1"/>
  <c r="R96" i="3" s="1"/>
  <c r="R150" i="2"/>
  <c r="AN9" i="3"/>
  <c r="AN150" i="2"/>
  <c r="X9" i="3"/>
  <c r="X26" i="3" s="1"/>
  <c r="X150" i="2"/>
  <c r="F9" i="3"/>
  <c r="F26" i="3" s="1"/>
  <c r="F53" i="3" s="1"/>
  <c r="F150" i="2"/>
  <c r="AA9" i="3"/>
  <c r="AA26" i="3" s="1"/>
  <c r="AA95" i="3" s="1"/>
  <c r="AA96" i="3" s="1"/>
  <c r="AA150" i="2"/>
  <c r="V9" i="3"/>
  <c r="V26" i="3" s="1"/>
  <c r="V53" i="3" s="1"/>
  <c r="V150" i="2"/>
  <c r="AO9" i="3"/>
  <c r="AO150" i="2"/>
  <c r="AP9" i="3"/>
  <c r="AP26" i="3" s="1"/>
  <c r="AP150" i="2"/>
  <c r="D9" i="3"/>
  <c r="D104" i="3" s="1"/>
  <c r="D150" i="2"/>
  <c r="AJ9" i="3"/>
  <c r="AJ104" i="3" s="1"/>
  <c r="AJ150" i="2"/>
  <c r="T9" i="3"/>
  <c r="T150" i="2"/>
  <c r="AK9" i="3"/>
  <c r="AK26" i="3" s="1"/>
  <c r="AK53" i="3" s="1"/>
  <c r="AK150" i="2"/>
  <c r="CW89" i="53"/>
  <c r="CV89" i="53"/>
  <c r="BB9" i="3"/>
  <c r="BB26" i="3" s="1"/>
  <c r="BB150" i="2"/>
  <c r="AP83" i="53"/>
  <c r="BI68" i="53"/>
  <c r="BM68" i="53" s="1"/>
  <c r="BP68" i="53"/>
  <c r="BT68" i="53" s="1"/>
  <c r="BF68" i="53"/>
  <c r="AR86" i="53"/>
  <c r="CU99" i="53"/>
  <c r="CU102" i="53" s="1"/>
  <c r="CK42" i="53"/>
  <c r="AC86" i="53"/>
  <c r="CE85" i="53"/>
  <c r="Q86" i="53"/>
  <c r="CB85" i="53"/>
  <c r="BF76" i="53"/>
  <c r="BF86" i="53"/>
  <c r="Y86" i="53"/>
  <c r="CD85" i="53"/>
  <c r="BB76" i="53"/>
  <c r="CK85" i="53"/>
  <c r="BB86" i="53"/>
  <c r="CK64" i="53"/>
  <c r="AW86" i="53"/>
  <c r="U86" i="53"/>
  <c r="CC85" i="53"/>
  <c r="S53" i="3"/>
  <c r="CN14" i="2"/>
  <c r="BP14" i="2"/>
  <c r="BO24" i="3"/>
  <c r="CN24" i="3" s="1"/>
  <c r="CN119" i="3" s="1"/>
  <c r="DF46" i="3"/>
  <c r="DF141" i="3" s="1"/>
  <c r="BO46" i="3"/>
  <c r="CN46" i="3" s="1"/>
  <c r="CN141" i="3" s="1"/>
  <c r="BP39" i="2"/>
  <c r="CN39" i="2"/>
  <c r="BO22" i="3"/>
  <c r="CN22" i="3" s="1"/>
  <c r="CN117" i="3" s="1"/>
  <c r="CN30" i="2"/>
  <c r="BP30" i="2"/>
  <c r="DF24" i="3"/>
  <c r="DF119" i="3" s="1"/>
  <c r="AM64" i="3"/>
  <c r="W53" i="3"/>
  <c r="O64" i="3"/>
  <c r="K50" i="2"/>
  <c r="AV104" i="3"/>
  <c r="R53" i="3"/>
  <c r="P26" i="3"/>
  <c r="CL52" i="53"/>
  <c r="CL53" i="53"/>
  <c r="BG86" i="53"/>
  <c r="CL85" i="53"/>
  <c r="BG76" i="53"/>
  <c r="CL31" i="53"/>
  <c r="CL30" i="53"/>
  <c r="AZ121" i="3"/>
  <c r="AZ148" i="3" s="1"/>
  <c r="BH95" i="3"/>
  <c r="BH96" i="3" s="1"/>
  <c r="BH53" i="3"/>
  <c r="BL65" i="2"/>
  <c r="CL41" i="53"/>
  <c r="CL42" i="53"/>
  <c r="K64" i="3"/>
  <c r="AY64" i="3"/>
  <c r="G54" i="2"/>
  <c r="AM50" i="2"/>
  <c r="CL20" i="53"/>
  <c r="CL19" i="53"/>
  <c r="AQ64" i="3"/>
  <c r="G64" i="3"/>
  <c r="AS95" i="3"/>
  <c r="AS96" i="3" s="1"/>
  <c r="AS53" i="3"/>
  <c r="CK50" i="2"/>
  <c r="CK54" i="2"/>
  <c r="CL63" i="53"/>
  <c r="CL64" i="53"/>
  <c r="DF13" i="3"/>
  <c r="DF108" i="3" s="1"/>
  <c r="AI64" i="3"/>
  <c r="AU64" i="3"/>
  <c r="DF6" i="3"/>
  <c r="DF55" i="53"/>
  <c r="AR80" i="53"/>
  <c r="AQ79" i="53"/>
  <c r="CH79" i="53" s="1"/>
  <c r="BO33" i="53"/>
  <c r="CN33" i="53" s="1"/>
  <c r="DF47" i="53"/>
  <c r="BO44" i="53"/>
  <c r="DF33" i="53"/>
  <c r="BD92" i="3"/>
  <c r="BP77" i="3"/>
  <c r="BO68" i="3"/>
  <c r="BO139" i="2"/>
  <c r="BP134" i="2"/>
  <c r="CN10" i="2"/>
  <c r="BP10" i="2"/>
  <c r="AU121" i="2"/>
  <c r="AU100" i="2" s="1"/>
  <c r="CI120" i="2"/>
  <c r="CI121" i="2" s="1"/>
  <c r="CN32" i="2"/>
  <c r="BP32" i="2"/>
  <c r="BP61" i="2"/>
  <c r="CN61" i="2"/>
  <c r="AX115" i="2"/>
  <c r="AX97" i="2"/>
  <c r="AY96" i="2"/>
  <c r="BB119" i="2"/>
  <c r="BP142" i="2"/>
  <c r="AX104" i="2"/>
  <c r="CN29" i="2"/>
  <c r="BP29" i="2"/>
  <c r="CN19" i="2"/>
  <c r="BP19" i="2"/>
  <c r="K88" i="53"/>
  <c r="AI88" i="53"/>
  <c r="AZ88" i="3"/>
  <c r="BH88" i="3"/>
  <c r="AR88" i="3"/>
  <c r="CE89" i="53"/>
  <c r="CB89" i="53"/>
  <c r="BP78" i="2"/>
  <c r="AN88" i="3"/>
  <c r="G88" i="53"/>
  <c r="O88" i="53"/>
  <c r="BG88" i="3"/>
  <c r="H88" i="3"/>
  <c r="CK89" i="53"/>
  <c r="CC89" i="53"/>
  <c r="BC88" i="3"/>
  <c r="CD89" i="53"/>
  <c r="BO13" i="3"/>
  <c r="AJ88" i="3"/>
  <c r="CL89" i="53"/>
  <c r="AR53" i="3" l="1"/>
  <c r="AN26" i="3"/>
  <c r="AN95" i="3" s="1"/>
  <c r="AN96" i="3" s="1"/>
  <c r="AN104" i="3"/>
  <c r="AJ26" i="3"/>
  <c r="AJ95" i="3" s="1"/>
  <c r="AJ96" i="3" s="1"/>
  <c r="AK95" i="3"/>
  <c r="AK96" i="3" s="1"/>
  <c r="BW67" i="2"/>
  <c r="CP67" i="2" s="1"/>
  <c r="DH67" i="2"/>
  <c r="BW63" i="2"/>
  <c r="CP63" i="2" s="1"/>
  <c r="DH63" i="2"/>
  <c r="BW38" i="2"/>
  <c r="CP38" i="2" s="1"/>
  <c r="DH38" i="2"/>
  <c r="BW21" i="2"/>
  <c r="CP21" i="2" s="1"/>
  <c r="DH21" i="2"/>
  <c r="BW23" i="2"/>
  <c r="CP23" i="2" s="1"/>
  <c r="DH23" i="2"/>
  <c r="BW31" i="2"/>
  <c r="CP31" i="2" s="1"/>
  <c r="DH31" i="2"/>
  <c r="BW20" i="2"/>
  <c r="CP20" i="2" s="1"/>
  <c r="DH20" i="2"/>
  <c r="BW37" i="2"/>
  <c r="CP37" i="2" s="1"/>
  <c r="DH37" i="2"/>
  <c r="BW40" i="2"/>
  <c r="CP40" i="2" s="1"/>
  <c r="DH40" i="2"/>
  <c r="BW70" i="2"/>
  <c r="CP70" i="2" s="1"/>
  <c r="DH70" i="2"/>
  <c r="BW68" i="2"/>
  <c r="CP68" i="2" s="1"/>
  <c r="DH68" i="2"/>
  <c r="BA95" i="3"/>
  <c r="BA96" i="3" s="1"/>
  <c r="CU9" i="3"/>
  <c r="CU26" i="3" s="1"/>
  <c r="CU95" i="3" s="1"/>
  <c r="CU96" i="3" s="1"/>
  <c r="AT26" i="3"/>
  <c r="AT53" i="3" s="1"/>
  <c r="AR121" i="3"/>
  <c r="AR148" i="3" s="1"/>
  <c r="AW53" i="3"/>
  <c r="BW13" i="2"/>
  <c r="CP13" i="2" s="1"/>
  <c r="BV62" i="2"/>
  <c r="DH62" i="2" s="1"/>
  <c r="AX26" i="3"/>
  <c r="AX95" i="3" s="1"/>
  <c r="AX96" i="3" s="1"/>
  <c r="AV26" i="3"/>
  <c r="AV53" i="3" s="1"/>
  <c r="AU50" i="2"/>
  <c r="AY54" i="2"/>
  <c r="CC9" i="3"/>
  <c r="CC26" i="3" s="1"/>
  <c r="CC95" i="3" s="1"/>
  <c r="CC96" i="3" s="1"/>
  <c r="V95" i="3"/>
  <c r="V96" i="3" s="1"/>
  <c r="F95" i="3"/>
  <c r="F96" i="3" s="1"/>
  <c r="X104" i="3"/>
  <c r="Y104" i="3" s="1"/>
  <c r="CB99" i="53"/>
  <c r="M53" i="3"/>
  <c r="O54" i="2"/>
  <c r="CB9" i="3"/>
  <c r="CB104" i="3" s="1"/>
  <c r="CB121" i="3" s="1"/>
  <c r="CB148" i="3" s="1"/>
  <c r="AG95" i="3"/>
  <c r="AG96" i="3" s="1"/>
  <c r="AQ50" i="2"/>
  <c r="AZ95" i="3"/>
  <c r="AZ96" i="3" s="1"/>
  <c r="CX9" i="3"/>
  <c r="CX104" i="3" s="1"/>
  <c r="CX121" i="3" s="1"/>
  <c r="CX148" i="3" s="1"/>
  <c r="N95" i="3"/>
  <c r="N96" i="3" s="1"/>
  <c r="T104" i="3"/>
  <c r="U104" i="3" s="1"/>
  <c r="D26" i="3"/>
  <c r="D53" i="3" s="1"/>
  <c r="AF26" i="3"/>
  <c r="AF53" i="3" s="1"/>
  <c r="AH53" i="3"/>
  <c r="AO26" i="3"/>
  <c r="AO53" i="3" s="1"/>
  <c r="T26" i="3"/>
  <c r="T53" i="3" s="1"/>
  <c r="DD9" i="3"/>
  <c r="DD104" i="3" s="1"/>
  <c r="DD121" i="3" s="1"/>
  <c r="DD148" i="3" s="1"/>
  <c r="AI173" i="53"/>
  <c r="AI175" i="53" s="1"/>
  <c r="CW9" i="3"/>
  <c r="CW104" i="3" s="1"/>
  <c r="CW121" i="3" s="1"/>
  <c r="CW148" i="3" s="1"/>
  <c r="BD104" i="3"/>
  <c r="BE104" i="3" s="1"/>
  <c r="L26" i="3"/>
  <c r="L95" i="3" s="1"/>
  <c r="L96" i="3" s="1"/>
  <c r="CE9" i="3"/>
  <c r="CE26" i="3" s="1"/>
  <c r="CE95" i="3" s="1"/>
  <c r="CE96" i="3" s="1"/>
  <c r="Z53" i="3"/>
  <c r="J53" i="3"/>
  <c r="AL95" i="3"/>
  <c r="AL96" i="3" s="1"/>
  <c r="AI50" i="2"/>
  <c r="BI104" i="3"/>
  <c r="BI121" i="3" s="1"/>
  <c r="BI148" i="3" s="1"/>
  <c r="G173" i="53"/>
  <c r="G175" i="53" s="1"/>
  <c r="AB26" i="3"/>
  <c r="AB95" i="3" s="1"/>
  <c r="AB96" i="3" s="1"/>
  <c r="AB104" i="3"/>
  <c r="AB121" i="3" s="1"/>
  <c r="AB148" i="3" s="1"/>
  <c r="CV9" i="3"/>
  <c r="CV26" i="3" s="1"/>
  <c r="CV95" i="3" s="1"/>
  <c r="CV96" i="3" s="1"/>
  <c r="CD9" i="3"/>
  <c r="CD104" i="3" s="1"/>
  <c r="CD121" i="3" s="1"/>
  <c r="CD148" i="3" s="1"/>
  <c r="AM173" i="53"/>
  <c r="AM175" i="53" s="1"/>
  <c r="AD95" i="3"/>
  <c r="AD96" i="3" s="1"/>
  <c r="DE71" i="53"/>
  <c r="DB56" i="2"/>
  <c r="DB50" i="2" s="1"/>
  <c r="DB64" i="3"/>
  <c r="DB71" i="53"/>
  <c r="CZ56" i="2"/>
  <c r="CZ54" i="2" s="1"/>
  <c r="CZ64" i="3"/>
  <c r="CZ71" i="53"/>
  <c r="CZ120" i="53"/>
  <c r="CZ170" i="53"/>
  <c r="CZ123" i="53"/>
  <c r="CZ124" i="53"/>
  <c r="CZ172" i="53"/>
  <c r="CZ140" i="53"/>
  <c r="CZ171" i="53"/>
  <c r="CZ139" i="53"/>
  <c r="CZ122" i="53"/>
  <c r="CZ121" i="53"/>
  <c r="CZ156" i="53"/>
  <c r="CZ155" i="53"/>
  <c r="AM88" i="53"/>
  <c r="AM61" i="53" s="1"/>
  <c r="AM152" i="53"/>
  <c r="CT56" i="2"/>
  <c r="CT50" i="2" s="1"/>
  <c r="CT64" i="3"/>
  <c r="CT71" i="53"/>
  <c r="CT123" i="53"/>
  <c r="CT121" i="53"/>
  <c r="CT120" i="53"/>
  <c r="CT124" i="53"/>
  <c r="CT171" i="53"/>
  <c r="CT122" i="53"/>
  <c r="CT170" i="53"/>
  <c r="CT172" i="53"/>
  <c r="DC56" i="2"/>
  <c r="DC50" i="2" s="1"/>
  <c r="DC71" i="53"/>
  <c r="DC64" i="3"/>
  <c r="CH71" i="53"/>
  <c r="CH64" i="3"/>
  <c r="CH56" i="2"/>
  <c r="CH121" i="53"/>
  <c r="CH171" i="53"/>
  <c r="CH170" i="53"/>
  <c r="CH139" i="53"/>
  <c r="CH156" i="53"/>
  <c r="CH123" i="53"/>
  <c r="CH122" i="53"/>
  <c r="CH120" i="53"/>
  <c r="CH124" i="53"/>
  <c r="CH140" i="53"/>
  <c r="CH172" i="53"/>
  <c r="CH155" i="53"/>
  <c r="DA56" i="2"/>
  <c r="DA50" i="2" s="1"/>
  <c r="DA64" i="3"/>
  <c r="DA71" i="53"/>
  <c r="DA170" i="53"/>
  <c r="DA172" i="53"/>
  <c r="DA122" i="53"/>
  <c r="DA120" i="53"/>
  <c r="DA155" i="53"/>
  <c r="DA123" i="53"/>
  <c r="DA124" i="53"/>
  <c r="DA139" i="53"/>
  <c r="DA121" i="53"/>
  <c r="DA156" i="53"/>
  <c r="DA140" i="53"/>
  <c r="DA171" i="53"/>
  <c r="CF64" i="3"/>
  <c r="CF56" i="2"/>
  <c r="CF71" i="53"/>
  <c r="CF172" i="53"/>
  <c r="CF122" i="53"/>
  <c r="CF170" i="53"/>
  <c r="CF120" i="53"/>
  <c r="CF124" i="53"/>
  <c r="CF123" i="53"/>
  <c r="CF121" i="53"/>
  <c r="CF171" i="53"/>
  <c r="BZ71" i="53"/>
  <c r="BZ64" i="3"/>
  <c r="BZ56" i="2"/>
  <c r="BZ122" i="53"/>
  <c r="BZ172" i="53"/>
  <c r="BZ121" i="53"/>
  <c r="BZ171" i="53"/>
  <c r="BZ170" i="53"/>
  <c r="BZ124" i="53"/>
  <c r="BZ120" i="53"/>
  <c r="BZ123" i="53"/>
  <c r="CS56" i="2"/>
  <c r="CS54" i="2" s="1"/>
  <c r="CS64" i="3"/>
  <c r="CS71" i="53"/>
  <c r="CS123" i="53"/>
  <c r="CS122" i="53"/>
  <c r="CS121" i="53"/>
  <c r="CS171" i="53"/>
  <c r="CS170" i="53"/>
  <c r="CS124" i="53"/>
  <c r="CS172" i="53"/>
  <c r="CS120" i="53"/>
  <c r="AQ136" i="53"/>
  <c r="AQ117" i="53"/>
  <c r="AY173" i="53"/>
  <c r="AY175" i="53" s="1"/>
  <c r="AI117" i="53"/>
  <c r="AU173" i="53"/>
  <c r="AU175" i="53" s="1"/>
  <c r="CG56" i="2"/>
  <c r="CG64" i="3"/>
  <c r="CG71" i="53"/>
  <c r="CG122" i="53"/>
  <c r="CG123" i="53"/>
  <c r="CG121" i="53"/>
  <c r="CG171" i="53"/>
  <c r="CG139" i="53"/>
  <c r="CG170" i="53"/>
  <c r="CG156" i="53"/>
  <c r="CG140" i="53"/>
  <c r="CG172" i="53"/>
  <c r="CG120" i="53"/>
  <c r="CG124" i="53"/>
  <c r="CG155" i="53"/>
  <c r="BY56" i="2"/>
  <c r="BY71" i="53"/>
  <c r="BY64" i="3"/>
  <c r="BY122" i="53"/>
  <c r="BY172" i="53"/>
  <c r="BY124" i="53"/>
  <c r="BY123" i="53"/>
  <c r="BY121" i="53"/>
  <c r="BY171" i="53"/>
  <c r="BY170" i="53"/>
  <c r="BY120" i="53"/>
  <c r="AY88" i="53"/>
  <c r="AY61" i="53" s="1"/>
  <c r="AY152" i="53"/>
  <c r="CY56" i="2"/>
  <c r="CY50" i="2" s="1"/>
  <c r="CY71" i="53"/>
  <c r="CY64" i="3"/>
  <c r="CY123" i="53"/>
  <c r="CY122" i="53"/>
  <c r="CY172" i="53"/>
  <c r="CY170" i="53"/>
  <c r="CY124" i="53"/>
  <c r="CY121" i="53"/>
  <c r="CY171" i="53"/>
  <c r="CY120" i="53"/>
  <c r="K117" i="53"/>
  <c r="AM136" i="53"/>
  <c r="AM117" i="53"/>
  <c r="CC99" i="53"/>
  <c r="W96" i="53"/>
  <c r="CI71" i="53"/>
  <c r="CI64" i="3"/>
  <c r="CI56" i="2"/>
  <c r="CI124" i="53"/>
  <c r="CI123" i="53"/>
  <c r="CI170" i="53"/>
  <c r="CI139" i="53"/>
  <c r="CI122" i="53"/>
  <c r="CI156" i="53"/>
  <c r="CI172" i="53"/>
  <c r="CI121" i="53"/>
  <c r="CI171" i="53"/>
  <c r="CI140" i="53"/>
  <c r="CI120" i="53"/>
  <c r="CI155" i="53"/>
  <c r="CA71" i="53"/>
  <c r="CA64" i="3"/>
  <c r="CA56" i="2"/>
  <c r="CA120" i="53"/>
  <c r="CA172" i="53"/>
  <c r="CA121" i="53"/>
  <c r="CA171" i="53"/>
  <c r="CA124" i="53"/>
  <c r="CA123" i="53"/>
  <c r="CA170" i="53"/>
  <c r="CA122" i="53"/>
  <c r="CD99" i="53"/>
  <c r="AA96" i="53"/>
  <c r="AQ173" i="53"/>
  <c r="AQ175" i="53" s="1"/>
  <c r="G117" i="53"/>
  <c r="AU117" i="53"/>
  <c r="AU136" i="53"/>
  <c r="O117" i="53"/>
  <c r="AU88" i="53"/>
  <c r="AU61" i="53" s="1"/>
  <c r="AU152" i="53"/>
  <c r="CR56" i="2"/>
  <c r="CR50" i="2" s="1"/>
  <c r="CR64" i="3"/>
  <c r="CJ56" i="2"/>
  <c r="CJ54" i="2" s="1"/>
  <c r="CJ64" i="3"/>
  <c r="CJ71" i="53"/>
  <c r="CJ124" i="53"/>
  <c r="CJ123" i="53"/>
  <c r="CJ140" i="53"/>
  <c r="CJ121" i="53"/>
  <c r="CJ156" i="53"/>
  <c r="CJ139" i="53"/>
  <c r="CJ122" i="53"/>
  <c r="CJ155" i="53"/>
  <c r="CJ120" i="53"/>
  <c r="AQ88" i="53"/>
  <c r="AQ61" i="53" s="1"/>
  <c r="AQ152" i="53"/>
  <c r="K173" i="53"/>
  <c r="K175" i="53" s="1"/>
  <c r="CE99" i="53"/>
  <c r="AE96" i="53"/>
  <c r="AY117" i="53"/>
  <c r="AY136" i="53"/>
  <c r="O173" i="53"/>
  <c r="O175" i="53" s="1"/>
  <c r="CK9" i="3"/>
  <c r="CK104" i="3" s="1"/>
  <c r="CK121" i="3" s="1"/>
  <c r="CK148" i="3" s="1"/>
  <c r="BA104" i="3"/>
  <c r="BB104" i="3" s="1"/>
  <c r="BD26" i="3"/>
  <c r="BD53" i="3" s="1"/>
  <c r="CL53" i="3" s="1"/>
  <c r="AA53" i="3"/>
  <c r="BB95" i="3"/>
  <c r="BB96" i="3" s="1"/>
  <c r="BB53" i="3"/>
  <c r="E53" i="3"/>
  <c r="H26" i="3"/>
  <c r="H104" i="3"/>
  <c r="BJ68" i="53"/>
  <c r="BO68" i="53"/>
  <c r="BS68" i="53" s="1"/>
  <c r="BW68" i="53" s="1"/>
  <c r="BQ68" i="53"/>
  <c r="BU68" i="53" s="1"/>
  <c r="O50" i="53"/>
  <c r="O61" i="53"/>
  <c r="O17" i="53"/>
  <c r="O28" i="53"/>
  <c r="O39" i="53"/>
  <c r="AI61" i="53"/>
  <c r="AI28" i="53"/>
  <c r="AI39" i="53"/>
  <c r="AI17" i="53"/>
  <c r="AI50" i="53"/>
  <c r="K50" i="53"/>
  <c r="K61" i="53"/>
  <c r="K28" i="53"/>
  <c r="K17" i="53"/>
  <c r="K39" i="53"/>
  <c r="CC86" i="53"/>
  <c r="CK86" i="53"/>
  <c r="CD86" i="53"/>
  <c r="CU104" i="53"/>
  <c r="CU105" i="53" s="1"/>
  <c r="CU103" i="53"/>
  <c r="AQ39" i="53"/>
  <c r="AM39" i="53"/>
  <c r="G50" i="53"/>
  <c r="G61" i="53"/>
  <c r="G39" i="53"/>
  <c r="G17" i="53"/>
  <c r="G28" i="53"/>
  <c r="CK76" i="53"/>
  <c r="CB86" i="53"/>
  <c r="CE86" i="53"/>
  <c r="CU104" i="3"/>
  <c r="CU121" i="3" s="1"/>
  <c r="CU148" i="3" s="1"/>
  <c r="BO117" i="3"/>
  <c r="BJ82" i="53"/>
  <c r="DF22" i="53"/>
  <c r="BQ30" i="2"/>
  <c r="BP22" i="3"/>
  <c r="BQ39" i="2"/>
  <c r="BP46" i="3"/>
  <c r="BO119" i="3"/>
  <c r="BQ14" i="2"/>
  <c r="BP24" i="3"/>
  <c r="BO141" i="3"/>
  <c r="DF43" i="3"/>
  <c r="BO108" i="3"/>
  <c r="BI71" i="53"/>
  <c r="CZ50" i="2"/>
  <c r="CN78" i="2"/>
  <c r="CY54" i="2"/>
  <c r="AE95" i="3"/>
  <c r="AE96" i="3" s="1"/>
  <c r="AE53" i="3"/>
  <c r="T121" i="3"/>
  <c r="T148" i="3" s="1"/>
  <c r="AJ121" i="3"/>
  <c r="AJ148" i="3" s="1"/>
  <c r="AK104" i="3"/>
  <c r="AP95" i="3"/>
  <c r="AP96" i="3" s="1"/>
  <c r="AP53" i="3"/>
  <c r="AT104" i="3"/>
  <c r="AS121" i="3"/>
  <c r="AS148" i="3" s="1"/>
  <c r="CL76" i="53"/>
  <c r="P121" i="3"/>
  <c r="P148" i="3" s="1"/>
  <c r="Q104" i="3"/>
  <c r="AF121" i="3"/>
  <c r="AF148" i="3" s="1"/>
  <c r="AG104" i="3"/>
  <c r="AN121" i="3"/>
  <c r="AN148" i="3" s="1"/>
  <c r="AO104" i="3"/>
  <c r="CL104" i="3"/>
  <c r="CL121" i="3" s="1"/>
  <c r="CL148" i="3" s="1"/>
  <c r="CL26" i="3"/>
  <c r="CL95" i="3" s="1"/>
  <c r="CL96" i="3" s="1"/>
  <c r="BC95" i="3"/>
  <c r="BC96" i="3" s="1"/>
  <c r="BC53" i="3"/>
  <c r="DE56" i="2"/>
  <c r="CS50" i="2"/>
  <c r="L121" i="3"/>
  <c r="L148" i="3" s="1"/>
  <c r="M104" i="3"/>
  <c r="D121" i="3"/>
  <c r="D148" i="3" s="1"/>
  <c r="D149" i="3" s="1"/>
  <c r="D152" i="3" s="1"/>
  <c r="E104" i="3"/>
  <c r="BM65" i="2"/>
  <c r="BO43" i="3"/>
  <c r="CL86" i="53"/>
  <c r="P95" i="3"/>
  <c r="P96" i="3" s="1"/>
  <c r="P53" i="3"/>
  <c r="CB53" i="3" s="1"/>
  <c r="X95" i="3"/>
  <c r="X96" i="3" s="1"/>
  <c r="X53" i="3"/>
  <c r="AN53" i="3"/>
  <c r="AV121" i="3"/>
  <c r="AV148" i="3" s="1"/>
  <c r="AW104" i="3"/>
  <c r="CN13" i="3"/>
  <c r="CN108" i="3" s="1"/>
  <c r="DG6" i="3"/>
  <c r="DF36" i="53"/>
  <c r="BO47" i="53"/>
  <c r="BP44" i="53"/>
  <c r="BO50" i="53"/>
  <c r="CN44" i="53"/>
  <c r="CN36" i="53"/>
  <c r="BO36" i="53"/>
  <c r="BP33" i="53"/>
  <c r="AS80" i="53"/>
  <c r="AR79" i="53"/>
  <c r="DF58" i="53"/>
  <c r="BO55" i="53"/>
  <c r="DF25" i="53"/>
  <c r="BO22" i="53"/>
  <c r="CK88" i="3"/>
  <c r="CK92" i="3" s="1"/>
  <c r="AZ92" i="3"/>
  <c r="BC92" i="3"/>
  <c r="BG92" i="3"/>
  <c r="CM22" i="2"/>
  <c r="BP68" i="3"/>
  <c r="CN68" i="3"/>
  <c r="DE11" i="3"/>
  <c r="BQ77" i="3"/>
  <c r="BQ19" i="2"/>
  <c r="AY104" i="2"/>
  <c r="BC119" i="2"/>
  <c r="CK119" i="2" s="1"/>
  <c r="BQ61" i="2"/>
  <c r="CI100" i="2"/>
  <c r="AU101" i="2"/>
  <c r="CI101" i="2" s="1"/>
  <c r="AV111" i="2"/>
  <c r="CN139" i="2"/>
  <c r="CO134" i="2"/>
  <c r="BQ29" i="2"/>
  <c r="BQ142" i="2"/>
  <c r="AY115" i="2"/>
  <c r="AY116" i="2" s="1"/>
  <c r="AY97" i="2"/>
  <c r="CJ97" i="2" s="1"/>
  <c r="CJ96" i="2"/>
  <c r="AZ96" i="2"/>
  <c r="AX116" i="2"/>
  <c r="BQ32" i="2"/>
  <c r="BP139" i="2"/>
  <c r="BQ134" i="2"/>
  <c r="BQ10" i="2"/>
  <c r="BP13" i="3"/>
  <c r="DC88" i="53"/>
  <c r="CA88" i="53"/>
  <c r="CU88" i="53"/>
  <c r="G89" i="53"/>
  <c r="DD88" i="53"/>
  <c r="CF88" i="53"/>
  <c r="BZ88" i="53"/>
  <c r="CT88" i="53"/>
  <c r="BF88" i="3"/>
  <c r="O89" i="53"/>
  <c r="BY88" i="53"/>
  <c r="CS88" i="53"/>
  <c r="BQ78" i="2"/>
  <c r="CZ88" i="53"/>
  <c r="AI89" i="53"/>
  <c r="K89" i="53"/>
  <c r="X121" i="3" l="1"/>
  <c r="X148" i="3" s="1"/>
  <c r="AT95" i="3"/>
  <c r="AT96" i="3" s="1"/>
  <c r="AJ53" i="3"/>
  <c r="AV95" i="3"/>
  <c r="AV96" i="3" s="1"/>
  <c r="DA54" i="2"/>
  <c r="AO95" i="3"/>
  <c r="AO96" i="3" s="1"/>
  <c r="BN68" i="53"/>
  <c r="AM50" i="53"/>
  <c r="AY28" i="53"/>
  <c r="AU28" i="53"/>
  <c r="D95" i="3"/>
  <c r="D96" i="3" s="1"/>
  <c r="CD26" i="3"/>
  <c r="CD95" i="3" s="1"/>
  <c r="CD96" i="3" s="1"/>
  <c r="CX26" i="3"/>
  <c r="CX95" i="3" s="1"/>
  <c r="CX96" i="3" s="1"/>
  <c r="CV104" i="3"/>
  <c r="CV121" i="3" s="1"/>
  <c r="CV148" i="3" s="1"/>
  <c r="CC104" i="3"/>
  <c r="CC121" i="3" s="1"/>
  <c r="CC148" i="3" s="1"/>
  <c r="T95" i="3"/>
  <c r="T96" i="3" s="1"/>
  <c r="AX53" i="3"/>
  <c r="AY50" i="53"/>
  <c r="BC52" i="53" s="1"/>
  <c r="AQ28" i="53"/>
  <c r="AU50" i="53"/>
  <c r="AU53" i="53" s="1"/>
  <c r="AQ50" i="53"/>
  <c r="AQ53" i="53" s="1"/>
  <c r="AB53" i="3"/>
  <c r="CW53" i="3" s="1"/>
  <c r="CK26" i="3"/>
  <c r="CK95" i="3" s="1"/>
  <c r="CK96" i="3" s="1"/>
  <c r="BW62" i="2"/>
  <c r="CP62" i="2" s="1"/>
  <c r="CB26" i="3"/>
  <c r="CB95" i="3" s="1"/>
  <c r="CB96" i="3" s="1"/>
  <c r="CE104" i="3"/>
  <c r="CE121" i="3" s="1"/>
  <c r="CE148" i="3" s="1"/>
  <c r="DC54" i="2"/>
  <c r="CR54" i="2"/>
  <c r="CJ50" i="2"/>
  <c r="CT54" i="2"/>
  <c r="DB54" i="2"/>
  <c r="CW26" i="3"/>
  <c r="CW95" i="3" s="1"/>
  <c r="CW96" i="3" s="1"/>
  <c r="AC104" i="3"/>
  <c r="AD104" i="3" s="1"/>
  <c r="CS125" i="53"/>
  <c r="CS127" i="53" s="1"/>
  <c r="BJ104" i="3"/>
  <c r="BJ121" i="3" s="1"/>
  <c r="BJ148" i="3" s="1"/>
  <c r="AM17" i="53"/>
  <c r="AM28" i="53"/>
  <c r="CG28" i="53" s="1"/>
  <c r="AQ17" i="53"/>
  <c r="CH17" i="53" s="1"/>
  <c r="AY17" i="53"/>
  <c r="AY20" i="53" s="1"/>
  <c r="AY39" i="53"/>
  <c r="AY42" i="53" s="1"/>
  <c r="AU39" i="53"/>
  <c r="AU17" i="53"/>
  <c r="BD95" i="3"/>
  <c r="BD96" i="3" s="1"/>
  <c r="AF95" i="3"/>
  <c r="AF96" i="3" s="1"/>
  <c r="DD26" i="3"/>
  <c r="DD95" i="3" s="1"/>
  <c r="DD96" i="3" s="1"/>
  <c r="BD121" i="3"/>
  <c r="BD148" i="3" s="1"/>
  <c r="L53" i="3"/>
  <c r="BA121" i="3"/>
  <c r="BA148" i="3" s="1"/>
  <c r="CI157" i="53"/>
  <c r="BZ173" i="53"/>
  <c r="BZ175" i="53" s="1"/>
  <c r="CT173" i="53"/>
  <c r="CT175" i="53" s="1"/>
  <c r="BZ125" i="53"/>
  <c r="BZ127" i="53" s="1"/>
  <c r="DA157" i="53"/>
  <c r="DA173" i="53"/>
  <c r="DA175" i="53" s="1"/>
  <c r="CH157" i="53"/>
  <c r="CI141" i="53"/>
  <c r="CI143" i="53" s="1"/>
  <c r="CJ125" i="53"/>
  <c r="CJ127" i="53" s="1"/>
  <c r="BY125" i="53"/>
  <c r="BY127" i="53" s="1"/>
  <c r="CG141" i="53"/>
  <c r="CG143" i="53" s="1"/>
  <c r="CG88" i="53"/>
  <c r="CG152" i="53"/>
  <c r="CF98" i="53"/>
  <c r="AI98" i="53" s="1"/>
  <c r="CY98" i="53" s="1"/>
  <c r="CF97" i="53"/>
  <c r="AI97" i="53" s="1"/>
  <c r="CF96" i="53"/>
  <c r="CX96" i="53"/>
  <c r="AE99" i="53"/>
  <c r="AE103" i="53" s="1"/>
  <c r="CJ141" i="53"/>
  <c r="CJ143" i="53" s="1"/>
  <c r="CA173" i="53"/>
  <c r="CA175" i="53" s="1"/>
  <c r="CI117" i="53"/>
  <c r="CI136" i="53"/>
  <c r="CY125" i="53"/>
  <c r="CY127" i="53" s="1"/>
  <c r="CY173" i="53"/>
  <c r="CY175" i="53" s="1"/>
  <c r="CG157" i="53"/>
  <c r="CG117" i="53"/>
  <c r="CG167" i="53"/>
  <c r="CG136" i="53"/>
  <c r="BZ50" i="2"/>
  <c r="BZ54" i="2"/>
  <c r="CF173" i="53"/>
  <c r="CF175" i="53" s="1"/>
  <c r="CF54" i="2"/>
  <c r="CF50" i="2"/>
  <c r="CT125" i="53"/>
  <c r="CT127" i="53" s="1"/>
  <c r="CZ157" i="53"/>
  <c r="CZ141" i="53"/>
  <c r="CZ143" i="53" s="1"/>
  <c r="CZ136" i="53"/>
  <c r="CZ117" i="53"/>
  <c r="CZ167" i="53"/>
  <c r="CJ88" i="53"/>
  <c r="CJ152" i="53"/>
  <c r="DB88" i="53"/>
  <c r="DA152" i="53"/>
  <c r="CI88" i="53"/>
  <c r="CI152" i="53"/>
  <c r="CA117" i="53"/>
  <c r="CA167" i="53"/>
  <c r="W99" i="53"/>
  <c r="W103" i="53" s="1"/>
  <c r="CV96" i="53"/>
  <c r="CY167" i="53"/>
  <c r="CY117" i="53"/>
  <c r="BY60" i="3"/>
  <c r="CS167" i="53"/>
  <c r="CS117" i="53"/>
  <c r="CH125" i="53"/>
  <c r="CH127" i="53" s="1"/>
  <c r="CH141" i="53"/>
  <c r="CH143" i="53" s="1"/>
  <c r="CH54" i="2"/>
  <c r="CH50" i="2"/>
  <c r="BZ98" i="53"/>
  <c r="BZ96" i="53"/>
  <c r="BZ97" i="53"/>
  <c r="CH88" i="53"/>
  <c r="CH152" i="53"/>
  <c r="CA98" i="53"/>
  <c r="CA96" i="53"/>
  <c r="CA97" i="53"/>
  <c r="DA88" i="53"/>
  <c r="CZ152" i="53"/>
  <c r="CJ157" i="53"/>
  <c r="CJ117" i="53"/>
  <c r="CJ136" i="53"/>
  <c r="CA125" i="53"/>
  <c r="CA127" i="53" s="1"/>
  <c r="CI54" i="2"/>
  <c r="CI50" i="2"/>
  <c r="BY173" i="53"/>
  <c r="BY175" i="53" s="1"/>
  <c r="BY167" i="53"/>
  <c r="BY117" i="53"/>
  <c r="CG125" i="53"/>
  <c r="CG127" i="53" s="1"/>
  <c r="CG173" i="53"/>
  <c r="CG175" i="53" s="1"/>
  <c r="CG54" i="2"/>
  <c r="CG50" i="2"/>
  <c r="CS173" i="53"/>
  <c r="CS175" i="53" s="1"/>
  <c r="BZ167" i="53"/>
  <c r="BZ117" i="53"/>
  <c r="DA141" i="53"/>
  <c r="DA143" i="53" s="1"/>
  <c r="DA125" i="53"/>
  <c r="DA127" i="53" s="1"/>
  <c r="DA136" i="53"/>
  <c r="DA117" i="53"/>
  <c r="DA167" i="53"/>
  <c r="CH173" i="53"/>
  <c r="CH175" i="53" s="1"/>
  <c r="CZ173" i="53"/>
  <c r="CZ175" i="53" s="1"/>
  <c r="BY98" i="53"/>
  <c r="BY96" i="53"/>
  <c r="BY97" i="53"/>
  <c r="CW96" i="53"/>
  <c r="CW99" i="53" s="1"/>
  <c r="AA99" i="53"/>
  <c r="AA103" i="53" s="1"/>
  <c r="CA50" i="2"/>
  <c r="CA54" i="2"/>
  <c r="CI125" i="53"/>
  <c r="CI127" i="53" s="1"/>
  <c r="CI173" i="53"/>
  <c r="BY54" i="2"/>
  <c r="BY50" i="2"/>
  <c r="CF125" i="53"/>
  <c r="CF127" i="53" s="1"/>
  <c r="CF117" i="53"/>
  <c r="CF167" i="53"/>
  <c r="CH136" i="53"/>
  <c r="CH167" i="53"/>
  <c r="CH117" i="53"/>
  <c r="CT117" i="53"/>
  <c r="CT167" i="53"/>
  <c r="CZ125" i="53"/>
  <c r="CZ127" i="53" s="1"/>
  <c r="CW150" i="2"/>
  <c r="AQ89" i="53"/>
  <c r="AQ81" i="53"/>
  <c r="CX150" i="2"/>
  <c r="CV150" i="2"/>
  <c r="I104" i="3"/>
  <c r="H121" i="3"/>
  <c r="H148" i="3" s="1"/>
  <c r="DD150" i="2"/>
  <c r="AY89" i="53"/>
  <c r="AY81" i="53"/>
  <c r="AU89" i="53"/>
  <c r="AU81" i="53"/>
  <c r="CU150" i="2"/>
  <c r="AM89" i="53"/>
  <c r="AM81" i="53"/>
  <c r="H95" i="3"/>
  <c r="H96" i="3" s="1"/>
  <c r="H53" i="3"/>
  <c r="BR68" i="53"/>
  <c r="BV68" i="53" s="1"/>
  <c r="H18" i="53"/>
  <c r="BY17" i="53"/>
  <c r="G20" i="53"/>
  <c r="G85" i="53"/>
  <c r="G18" i="53"/>
  <c r="BY61" i="53"/>
  <c r="AM29" i="53"/>
  <c r="AM30" i="53"/>
  <c r="AM64" i="53"/>
  <c r="CG61" i="53"/>
  <c r="AN62" i="53"/>
  <c r="AQ63" i="53"/>
  <c r="AQ64" i="53"/>
  <c r="AQ62" i="53"/>
  <c r="AR62" i="53"/>
  <c r="CH61" i="53"/>
  <c r="AY18" i="53"/>
  <c r="BC19" i="53"/>
  <c r="AY63" i="53"/>
  <c r="AY64" i="53"/>
  <c r="AY62" i="53"/>
  <c r="AZ62" i="53"/>
  <c r="BC63" i="53"/>
  <c r="CJ61" i="53"/>
  <c r="K42" i="53"/>
  <c r="K40" i="53"/>
  <c r="L40" i="53"/>
  <c r="K41" i="53"/>
  <c r="BZ39" i="53"/>
  <c r="K29" i="53"/>
  <c r="BZ28" i="53"/>
  <c r="K30" i="53"/>
  <c r="K31" i="53"/>
  <c r="L29" i="53"/>
  <c r="BZ50" i="53"/>
  <c r="AI20" i="53"/>
  <c r="AI18" i="53"/>
  <c r="AJ18" i="53"/>
  <c r="CF17" i="53"/>
  <c r="AI85" i="53"/>
  <c r="AI19" i="53"/>
  <c r="AI31" i="53"/>
  <c r="AI29" i="53"/>
  <c r="AJ29" i="53"/>
  <c r="CF28" i="53"/>
  <c r="AI30" i="53"/>
  <c r="S41" i="53"/>
  <c r="P40" i="53"/>
  <c r="O41" i="53"/>
  <c r="CA39" i="53"/>
  <c r="O42" i="53"/>
  <c r="O40" i="53"/>
  <c r="O85" i="53"/>
  <c r="O19" i="53"/>
  <c r="P18" i="53"/>
  <c r="S19" i="53"/>
  <c r="CA17" i="53"/>
  <c r="O20" i="53"/>
  <c r="O18" i="53"/>
  <c r="CA50" i="53"/>
  <c r="AV29" i="53"/>
  <c r="AU29" i="53"/>
  <c r="AU51" i="53"/>
  <c r="AV51" i="53"/>
  <c r="G31" i="53"/>
  <c r="BY28" i="53"/>
  <c r="H29" i="53"/>
  <c r="G29" i="53"/>
  <c r="H40" i="53"/>
  <c r="G40" i="53"/>
  <c r="BY39" i="53"/>
  <c r="G42" i="53"/>
  <c r="BY50" i="53"/>
  <c r="AN40" i="53"/>
  <c r="AM42" i="53"/>
  <c r="AM40" i="53"/>
  <c r="CG39" i="53"/>
  <c r="AM41" i="53"/>
  <c r="AM53" i="53"/>
  <c r="CG50" i="53"/>
  <c r="AQ42" i="53"/>
  <c r="AQ40" i="53"/>
  <c r="AR40" i="53"/>
  <c r="AQ41" i="53"/>
  <c r="CH39" i="53"/>
  <c r="AR51" i="53"/>
  <c r="AY53" i="53"/>
  <c r="AY52" i="53"/>
  <c r="CJ50" i="53"/>
  <c r="AY31" i="53"/>
  <c r="AY30" i="53"/>
  <c r="BZ17" i="53"/>
  <c r="K20" i="53"/>
  <c r="K18" i="53"/>
  <c r="K85" i="53"/>
  <c r="K19" i="53"/>
  <c r="L18" i="53"/>
  <c r="BZ61" i="53"/>
  <c r="CF50" i="53"/>
  <c r="AI41" i="53"/>
  <c r="AJ40" i="53"/>
  <c r="AI42" i="53"/>
  <c r="AI40" i="53"/>
  <c r="CF39" i="53"/>
  <c r="CF61" i="53"/>
  <c r="O29" i="53"/>
  <c r="P29" i="53"/>
  <c r="CA28" i="53"/>
  <c r="O30" i="53"/>
  <c r="O31" i="53"/>
  <c r="S30" i="53"/>
  <c r="CA61" i="53"/>
  <c r="AU41" i="53"/>
  <c r="AV40" i="53"/>
  <c r="AU40" i="53"/>
  <c r="AU64" i="53"/>
  <c r="AU62" i="53"/>
  <c r="AU63" i="53"/>
  <c r="CI61" i="53"/>
  <c r="AV62" i="53"/>
  <c r="DF138" i="3"/>
  <c r="BP119" i="3"/>
  <c r="BR14" i="2"/>
  <c r="BR39" i="2"/>
  <c r="BQ46" i="3"/>
  <c r="BP117" i="3"/>
  <c r="BQ24" i="3"/>
  <c r="BP141" i="3"/>
  <c r="BR30" i="2"/>
  <c r="BQ22" i="3"/>
  <c r="Z104" i="3"/>
  <c r="Y121" i="3"/>
  <c r="Y148" i="3" s="1"/>
  <c r="CD53" i="3"/>
  <c r="CV53" i="3"/>
  <c r="BP43" i="3"/>
  <c r="BO64" i="2"/>
  <c r="DF64" i="2"/>
  <c r="DF65" i="2" s="1"/>
  <c r="BO138" i="3"/>
  <c r="BO142" i="3" s="1"/>
  <c r="AL104" i="3"/>
  <c r="AK121" i="3"/>
  <c r="AK148" i="3" s="1"/>
  <c r="V104" i="3"/>
  <c r="U121" i="3"/>
  <c r="U148" i="3" s="1"/>
  <c r="CC53" i="3"/>
  <c r="CU53" i="3"/>
  <c r="BP108" i="3"/>
  <c r="AX104" i="3"/>
  <c r="AW121" i="3"/>
  <c r="AW148" i="3" s="1"/>
  <c r="BF104" i="3"/>
  <c r="BE121" i="3"/>
  <c r="BE148" i="3" s="1"/>
  <c r="BO47" i="3"/>
  <c r="CN43" i="3"/>
  <c r="F104" i="3"/>
  <c r="E121" i="3"/>
  <c r="E148" i="3" s="1"/>
  <c r="E149" i="3" s="1"/>
  <c r="E152" i="3" s="1"/>
  <c r="D54" i="3"/>
  <c r="N104" i="3"/>
  <c r="M121" i="3"/>
  <c r="M148" i="3" s="1"/>
  <c r="DD53" i="3"/>
  <c r="AP104" i="3"/>
  <c r="AO121" i="3"/>
  <c r="AO148" i="3" s="1"/>
  <c r="AH104" i="3"/>
  <c r="AG121" i="3"/>
  <c r="AG148" i="3" s="1"/>
  <c r="R104" i="3"/>
  <c r="Q121" i="3"/>
  <c r="Q148" i="3" s="1"/>
  <c r="CK53" i="3"/>
  <c r="BB121" i="3"/>
  <c r="BB148" i="3" s="1"/>
  <c r="BC104" i="3"/>
  <c r="BC121" i="3" s="1"/>
  <c r="BC148" i="3" s="1"/>
  <c r="AT121" i="3"/>
  <c r="AT148" i="3" s="1"/>
  <c r="CX53" i="3"/>
  <c r="BO58" i="53"/>
  <c r="BP55" i="53"/>
  <c r="CN55" i="53"/>
  <c r="AR83" i="53"/>
  <c r="BP36" i="53"/>
  <c r="BQ33" i="53"/>
  <c r="DE11" i="2"/>
  <c r="DE50" i="2" s="1"/>
  <c r="DE29" i="3"/>
  <c r="CN47" i="53"/>
  <c r="BO51" i="53"/>
  <c r="BO25" i="53"/>
  <c r="BP22" i="53"/>
  <c r="CN22" i="53"/>
  <c r="AS79" i="53"/>
  <c r="AT80" i="53"/>
  <c r="DE15" i="2"/>
  <c r="DE54" i="2" s="1"/>
  <c r="CN50" i="53"/>
  <c r="BP50" i="53"/>
  <c r="BP47" i="53"/>
  <c r="BQ44" i="53"/>
  <c r="BF92" i="3"/>
  <c r="CL88" i="3"/>
  <c r="CL92" i="3" s="1"/>
  <c r="BR77" i="3"/>
  <c r="DE106" i="3"/>
  <c r="DE82" i="3"/>
  <c r="BQ68" i="3"/>
  <c r="DD88" i="3"/>
  <c r="DD92" i="3" s="1"/>
  <c r="BR32" i="2"/>
  <c r="CJ115" i="2"/>
  <c r="CJ116" i="2" s="1"/>
  <c r="AZ115" i="2"/>
  <c r="AZ97" i="2"/>
  <c r="BA96" i="2"/>
  <c r="BR142" i="2"/>
  <c r="AV120" i="2"/>
  <c r="AV112" i="2"/>
  <c r="BR19" i="2"/>
  <c r="BQ139" i="2"/>
  <c r="BR134" i="2"/>
  <c r="BR10" i="2"/>
  <c r="BR29" i="2"/>
  <c r="BR61" i="2"/>
  <c r="BD119" i="2"/>
  <c r="CJ104" i="2"/>
  <c r="AZ104" i="2"/>
  <c r="CZ89" i="53"/>
  <c r="CJ89" i="53"/>
  <c r="BY89" i="53"/>
  <c r="CT89" i="53"/>
  <c r="BZ89" i="53"/>
  <c r="CF89" i="53"/>
  <c r="CH89" i="53"/>
  <c r="CA89" i="53"/>
  <c r="DA89" i="53"/>
  <c r="BQ13" i="3"/>
  <c r="BR78" i="2"/>
  <c r="CS89" i="53"/>
  <c r="CG89" i="53"/>
  <c r="DB89" i="53"/>
  <c r="DD89" i="53"/>
  <c r="CU89" i="53"/>
  <c r="DC89" i="53"/>
  <c r="CI89" i="53"/>
  <c r="AU42" i="53" l="1"/>
  <c r="CI39" i="53"/>
  <c r="AZ51" i="53"/>
  <c r="AY51" i="53"/>
  <c r="AN51" i="53"/>
  <c r="AM51" i="53"/>
  <c r="CI50" i="53"/>
  <c r="CI28" i="53"/>
  <c r="AU31" i="53"/>
  <c r="CJ17" i="53"/>
  <c r="AZ18" i="53"/>
  <c r="AM31" i="53"/>
  <c r="AN29" i="53"/>
  <c r="CJ28" i="53"/>
  <c r="AY19" i="53"/>
  <c r="AU52" i="53"/>
  <c r="BC30" i="53"/>
  <c r="AZ29" i="53"/>
  <c r="AY29" i="53"/>
  <c r="CH50" i="53"/>
  <c r="CH53" i="53" s="1"/>
  <c r="AQ51" i="53"/>
  <c r="AQ52" i="53"/>
  <c r="CH28" i="53"/>
  <c r="CH30" i="53" s="1"/>
  <c r="AM85" i="53"/>
  <c r="CE53" i="3"/>
  <c r="AC121" i="3"/>
  <c r="AC148" i="3" s="1"/>
  <c r="AQ30" i="53"/>
  <c r="CI17" i="53"/>
  <c r="CI19" i="53" s="1"/>
  <c r="AR29" i="53"/>
  <c r="AQ29" i="53"/>
  <c r="AU30" i="53"/>
  <c r="AQ85" i="53"/>
  <c r="AQ86" i="53" s="1"/>
  <c r="AQ31" i="53"/>
  <c r="AU85" i="53"/>
  <c r="AU86" i="53" s="1"/>
  <c r="AY85" i="53"/>
  <c r="AU18" i="53"/>
  <c r="AU19" i="53"/>
  <c r="CJ39" i="53"/>
  <c r="CJ41" i="53" s="1"/>
  <c r="AZ40" i="53"/>
  <c r="AR18" i="53"/>
  <c r="AQ20" i="53"/>
  <c r="AM20" i="53"/>
  <c r="AN18" i="53"/>
  <c r="AU20" i="53"/>
  <c r="AV18" i="53"/>
  <c r="BC41" i="53"/>
  <c r="AY40" i="53"/>
  <c r="AY41" i="53"/>
  <c r="AQ19" i="53"/>
  <c r="AQ18" i="53"/>
  <c r="AM18" i="53"/>
  <c r="AM19" i="53"/>
  <c r="CG17" i="53"/>
  <c r="CG19" i="53" s="1"/>
  <c r="AE102" i="53"/>
  <c r="AE104" i="53" s="1"/>
  <c r="AE105" i="53" s="1"/>
  <c r="BR68" i="3"/>
  <c r="DG68" i="3" s="1"/>
  <c r="AA102" i="53"/>
  <c r="AA104" i="53" s="1"/>
  <c r="AA105" i="53" s="1"/>
  <c r="BY99" i="53"/>
  <c r="CA99" i="53"/>
  <c r="CY97" i="53"/>
  <c r="CH98" i="53"/>
  <c r="AQ98" i="53" s="1"/>
  <c r="DA98" i="53" s="1"/>
  <c r="CH96" i="53"/>
  <c r="CH97" i="53"/>
  <c r="AQ97" i="53" s="1"/>
  <c r="W102" i="53"/>
  <c r="W104" i="53" s="1"/>
  <c r="W105" i="53" s="1"/>
  <c r="CX99" i="53"/>
  <c r="CX102" i="53" s="1"/>
  <c r="CW102" i="53"/>
  <c r="CW103" i="53"/>
  <c r="CW104" i="53"/>
  <c r="CW105" i="53" s="1"/>
  <c r="BZ99" i="53"/>
  <c r="CV99" i="53"/>
  <c r="CV102" i="53" s="1"/>
  <c r="CI98" i="53"/>
  <c r="AU98" i="53" s="1"/>
  <c r="CI96" i="53"/>
  <c r="CI97" i="53"/>
  <c r="AU97" i="53" s="1"/>
  <c r="CJ98" i="53"/>
  <c r="AY98" i="53" s="1"/>
  <c r="CJ96" i="53"/>
  <c r="CJ97" i="53"/>
  <c r="AY97" i="53" s="1"/>
  <c r="CF99" i="53"/>
  <c r="AI96" i="53"/>
  <c r="CG98" i="53"/>
  <c r="AM98" i="53" s="1"/>
  <c r="CZ98" i="53" s="1"/>
  <c r="CG96" i="53"/>
  <c r="CG97" i="53"/>
  <c r="AM97" i="53" s="1"/>
  <c r="CI81" i="53"/>
  <c r="CH81" i="53"/>
  <c r="AQ83" i="53"/>
  <c r="CL150" i="2"/>
  <c r="CC150" i="2"/>
  <c r="AM83" i="53"/>
  <c r="CG81" i="53"/>
  <c r="CE150" i="2"/>
  <c r="CD150" i="2"/>
  <c r="CB150" i="2"/>
  <c r="CK150" i="2"/>
  <c r="J104" i="3"/>
  <c r="J121" i="3" s="1"/>
  <c r="J148" i="3" s="1"/>
  <c r="I121" i="3"/>
  <c r="I148" i="3" s="1"/>
  <c r="AS83" i="53"/>
  <c r="CI20" i="53"/>
  <c r="CI41" i="53"/>
  <c r="CI42" i="53"/>
  <c r="CA31" i="53"/>
  <c r="CA30" i="53"/>
  <c r="CB30" i="53"/>
  <c r="CF41" i="53"/>
  <c r="CF42" i="53"/>
  <c r="K86" i="53"/>
  <c r="BZ85" i="53"/>
  <c r="CK30" i="53"/>
  <c r="CJ31" i="53"/>
  <c r="CJ30" i="53"/>
  <c r="CJ53" i="53"/>
  <c r="CJ52" i="53"/>
  <c r="CK52" i="53"/>
  <c r="CH31" i="53"/>
  <c r="CG53" i="53"/>
  <c r="CI31" i="53"/>
  <c r="CA19" i="53"/>
  <c r="CB19" i="53"/>
  <c r="CA20" i="53"/>
  <c r="O86" i="53"/>
  <c r="CA85" i="53"/>
  <c r="CB41" i="53"/>
  <c r="CA41" i="53"/>
  <c r="CA42" i="53"/>
  <c r="CF30" i="53"/>
  <c r="CF31" i="53"/>
  <c r="AI86" i="53"/>
  <c r="CF85" i="53"/>
  <c r="BZ41" i="53"/>
  <c r="BZ42" i="53"/>
  <c r="CJ64" i="53"/>
  <c r="CJ63" i="53"/>
  <c r="CK63" i="53"/>
  <c r="CJ42" i="53"/>
  <c r="CK19" i="53"/>
  <c r="CJ19" i="53"/>
  <c r="CJ20" i="53"/>
  <c r="CH63" i="53"/>
  <c r="CH64" i="53"/>
  <c r="CG64" i="53"/>
  <c r="AM86" i="53"/>
  <c r="CG85" i="53"/>
  <c r="CI63" i="53"/>
  <c r="CI64" i="53"/>
  <c r="BZ20" i="53"/>
  <c r="BZ19" i="53"/>
  <c r="CH52" i="53"/>
  <c r="CH41" i="53"/>
  <c r="CH42" i="53"/>
  <c r="CG42" i="53"/>
  <c r="CG41" i="53"/>
  <c r="BY42" i="53"/>
  <c r="BY31" i="53"/>
  <c r="CI52" i="53"/>
  <c r="CI53" i="53"/>
  <c r="CF19" i="53"/>
  <c r="CF20" i="53"/>
  <c r="BZ30" i="53"/>
  <c r="BZ31" i="53"/>
  <c r="AY86" i="53"/>
  <c r="CJ85" i="53"/>
  <c r="CH20" i="53"/>
  <c r="CH19" i="53"/>
  <c r="CG31" i="53"/>
  <c r="CG30" i="53"/>
  <c r="CG20" i="53"/>
  <c r="G86" i="53"/>
  <c r="BY85" i="53"/>
  <c r="BY20" i="53"/>
  <c r="BQ141" i="3"/>
  <c r="BQ117" i="3"/>
  <c r="BR46" i="3"/>
  <c r="DG46" i="3" s="1"/>
  <c r="DG141" i="3" s="1"/>
  <c r="BS39" i="2"/>
  <c r="BT39" i="2" s="1"/>
  <c r="DG39" i="2"/>
  <c r="BS14" i="2"/>
  <c r="DG14" i="2"/>
  <c r="BQ119" i="3"/>
  <c r="BR22" i="3"/>
  <c r="BS30" i="2"/>
  <c r="BT30" i="2" s="1"/>
  <c r="DG30" i="2"/>
  <c r="BR24" i="3"/>
  <c r="R121" i="3"/>
  <c r="R148" i="3" s="1"/>
  <c r="S104" i="3"/>
  <c r="S121" i="3" s="1"/>
  <c r="S148" i="3" s="1"/>
  <c r="AH121" i="3"/>
  <c r="AH148" i="3" s="1"/>
  <c r="AP121" i="3"/>
  <c r="AP148" i="3" s="1"/>
  <c r="BF121" i="3"/>
  <c r="BF148" i="3" s="1"/>
  <c r="BG104" i="3"/>
  <c r="BG121" i="3" s="1"/>
  <c r="BG148" i="3" s="1"/>
  <c r="AL121" i="3"/>
  <c r="AL148" i="3" s="1"/>
  <c r="CN64" i="2"/>
  <c r="CN65" i="2" s="1"/>
  <c r="BP64" i="2"/>
  <c r="BO65" i="2"/>
  <c r="BP138" i="3"/>
  <c r="BP47" i="3"/>
  <c r="N121" i="3"/>
  <c r="N148" i="3" s="1"/>
  <c r="AD121" i="3"/>
  <c r="AD148" i="3" s="1"/>
  <c r="AE104" i="3"/>
  <c r="AE121" i="3" s="1"/>
  <c r="AE148" i="3" s="1"/>
  <c r="E51" i="3"/>
  <c r="E54" i="3" s="1"/>
  <c r="D57" i="3"/>
  <c r="F121" i="3"/>
  <c r="F148" i="3" s="1"/>
  <c r="F149" i="3" s="1"/>
  <c r="F152" i="3" s="1"/>
  <c r="CN138" i="3"/>
  <c r="CN142" i="3" s="1"/>
  <c r="CN47" i="3"/>
  <c r="AX121" i="3"/>
  <c r="AX148" i="3" s="1"/>
  <c r="BQ108" i="3"/>
  <c r="V121" i="3"/>
  <c r="V148" i="3" s="1"/>
  <c r="W104" i="3"/>
  <c r="W121" i="3" s="1"/>
  <c r="W148" i="3" s="1"/>
  <c r="BQ43" i="3"/>
  <c r="Z121" i="3"/>
  <c r="Z148" i="3" s="1"/>
  <c r="AA104" i="3"/>
  <c r="AA121" i="3" s="1"/>
  <c r="AA148" i="3" s="1"/>
  <c r="BP52" i="53"/>
  <c r="BP51" i="53"/>
  <c r="BP25" i="53"/>
  <c r="BQ22" i="53"/>
  <c r="DE62" i="3"/>
  <c r="DE64" i="3" s="1"/>
  <c r="DE124" i="3"/>
  <c r="DE131" i="3" s="1"/>
  <c r="DE36" i="3"/>
  <c r="DE89" i="3"/>
  <c r="BQ36" i="53"/>
  <c r="BR33" i="53"/>
  <c r="DE25" i="3"/>
  <c r="DE120" i="3" s="1"/>
  <c r="BQ47" i="53"/>
  <c r="BR44" i="53"/>
  <c r="DG44" i="53" s="1"/>
  <c r="BQ50" i="53"/>
  <c r="CN53" i="53"/>
  <c r="DE66" i="3"/>
  <c r="DE69" i="3" s="1"/>
  <c r="AU80" i="53"/>
  <c r="AT79" i="53"/>
  <c r="CN25" i="53"/>
  <c r="DE20" i="3"/>
  <c r="DE115" i="3" s="1"/>
  <c r="CN58" i="53"/>
  <c r="BQ55" i="53"/>
  <c r="BP58" i="53"/>
  <c r="BR79" i="3"/>
  <c r="BS77" i="3"/>
  <c r="BT77" i="3" s="1"/>
  <c r="BA104" i="2"/>
  <c r="BR139" i="2"/>
  <c r="BS134" i="2"/>
  <c r="DG10" i="2"/>
  <c r="BS10" i="2"/>
  <c r="BS19" i="2"/>
  <c r="DG19" i="2"/>
  <c r="AV121" i="2"/>
  <c r="AV100" i="2" s="1"/>
  <c r="BS142" i="2"/>
  <c r="BT142" i="2" s="1"/>
  <c r="BU142" i="2" s="1"/>
  <c r="BV142" i="2" s="1"/>
  <c r="BW142" i="2" s="1"/>
  <c r="DG32" i="2"/>
  <c r="BS32" i="2"/>
  <c r="BT32" i="2" s="1"/>
  <c r="BE119" i="2"/>
  <c r="DG61" i="2"/>
  <c r="BS61" i="2"/>
  <c r="BT61" i="2" s="1"/>
  <c r="BU61" i="2" s="1"/>
  <c r="BV61" i="2" s="1"/>
  <c r="DG29" i="2"/>
  <c r="BS29" i="2"/>
  <c r="BT29" i="2" s="1"/>
  <c r="BU29" i="2" s="1"/>
  <c r="BV29" i="2" s="1"/>
  <c r="BA115" i="2"/>
  <c r="BA97" i="2"/>
  <c r="BB96" i="2"/>
  <c r="AZ116" i="2"/>
  <c r="O88" i="3"/>
  <c r="G88" i="3"/>
  <c r="AU88" i="3"/>
  <c r="AY88" i="3"/>
  <c r="K88" i="3"/>
  <c r="AM88" i="3"/>
  <c r="AQ88" i="3"/>
  <c r="BR13" i="3"/>
  <c r="AI88" i="3"/>
  <c r="BW61" i="2" l="1"/>
  <c r="CP61" i="2" s="1"/>
  <c r="DH61" i="2"/>
  <c r="BW29" i="2"/>
  <c r="CP29" i="2" s="1"/>
  <c r="DH29" i="2"/>
  <c r="CI85" i="53"/>
  <c r="CK41" i="53"/>
  <c r="CI30" i="53"/>
  <c r="CH85" i="53"/>
  <c r="CH86" i="53" s="1"/>
  <c r="BT79" i="3"/>
  <c r="BU77" i="3"/>
  <c r="BT19" i="2"/>
  <c r="CO14" i="2"/>
  <c r="BT14" i="2"/>
  <c r="BT24" i="3" s="1"/>
  <c r="BU39" i="2"/>
  <c r="BT46" i="3"/>
  <c r="BU30" i="2"/>
  <c r="BT22" i="3"/>
  <c r="BU32" i="2"/>
  <c r="BT134" i="2"/>
  <c r="BT10" i="2"/>
  <c r="CG99" i="53"/>
  <c r="AM96" i="53"/>
  <c r="CX104" i="53"/>
  <c r="CX105" i="53" s="1"/>
  <c r="CX103" i="53"/>
  <c r="DA97" i="53"/>
  <c r="CY96" i="53"/>
  <c r="AI99" i="53"/>
  <c r="AI103" i="53" s="1"/>
  <c r="CI99" i="53"/>
  <c r="AU96" i="53"/>
  <c r="CH99" i="53"/>
  <c r="AQ96" i="53"/>
  <c r="CZ97" i="53"/>
  <c r="CJ99" i="53"/>
  <c r="AY96" i="53"/>
  <c r="CV103" i="53"/>
  <c r="CV104" i="53"/>
  <c r="CV105" i="53" s="1"/>
  <c r="AY9" i="3"/>
  <c r="CJ9" i="3" s="1"/>
  <c r="AY150" i="2"/>
  <c r="K9" i="3"/>
  <c r="K104" i="3" s="1"/>
  <c r="K121" i="3" s="1"/>
  <c r="K148" i="3" s="1"/>
  <c r="K150" i="2"/>
  <c r="AQ9" i="3"/>
  <c r="AQ26" i="3" s="1"/>
  <c r="AQ150" i="2"/>
  <c r="AM9" i="3"/>
  <c r="AM104" i="3" s="1"/>
  <c r="AM121" i="3" s="1"/>
  <c r="AM148" i="3" s="1"/>
  <c r="AM150" i="2"/>
  <c r="CG83" i="53"/>
  <c r="AI9" i="3"/>
  <c r="CF9" i="3" s="1"/>
  <c r="AI150" i="2"/>
  <c r="G9" i="3"/>
  <c r="G104" i="3" s="1"/>
  <c r="G121" i="3" s="1"/>
  <c r="G148" i="3" s="1"/>
  <c r="G149" i="3" s="1"/>
  <c r="G152" i="3" s="1"/>
  <c r="G150" i="2"/>
  <c r="AU9" i="3"/>
  <c r="AU150" i="2"/>
  <c r="O9" i="3"/>
  <c r="O26" i="3" s="1"/>
  <c r="O150" i="2"/>
  <c r="CH83" i="53"/>
  <c r="AT83" i="53"/>
  <c r="CF86" i="53"/>
  <c r="BZ86" i="53"/>
  <c r="BY86" i="53"/>
  <c r="CJ86" i="53"/>
  <c r="CI86" i="53"/>
  <c r="CG86" i="53"/>
  <c r="CA86" i="53"/>
  <c r="BS24" i="3"/>
  <c r="DE80" i="3"/>
  <c r="DE79" i="3" s="1"/>
  <c r="DE83" i="3" s="1"/>
  <c r="CO39" i="2"/>
  <c r="BS46" i="3"/>
  <c r="BR117" i="3"/>
  <c r="DG22" i="3"/>
  <c r="DG117" i="3" s="1"/>
  <c r="DG24" i="3"/>
  <c r="DG119" i="3" s="1"/>
  <c r="CO30" i="2"/>
  <c r="BS22" i="3"/>
  <c r="BR119" i="3"/>
  <c r="BR141" i="3"/>
  <c r="BR108" i="3"/>
  <c r="CO78" i="2"/>
  <c r="BS78" i="2"/>
  <c r="BQ47" i="3"/>
  <c r="DG13" i="3"/>
  <c r="DG108" i="3" s="1"/>
  <c r="DG78" i="2"/>
  <c r="BS43" i="3"/>
  <c r="DH43" i="3" s="1"/>
  <c r="BR43" i="3"/>
  <c r="BR47" i="3" s="1"/>
  <c r="E57" i="3"/>
  <c r="F51" i="3"/>
  <c r="F54" i="3" s="1"/>
  <c r="BQ138" i="3"/>
  <c r="BP142" i="3"/>
  <c r="BQ64" i="2"/>
  <c r="BP65" i="2"/>
  <c r="DE18" i="2"/>
  <c r="DE71" i="3" s="1"/>
  <c r="DE72" i="3" s="1"/>
  <c r="BQ52" i="53"/>
  <c r="BQ51" i="53"/>
  <c r="BQ58" i="53"/>
  <c r="BR55" i="53"/>
  <c r="AV80" i="53"/>
  <c r="AU79" i="53"/>
  <c r="DG47" i="53"/>
  <c r="BR50" i="53"/>
  <c r="BR47" i="53"/>
  <c r="BS44" i="53"/>
  <c r="BR36" i="53"/>
  <c r="BS33" i="53"/>
  <c r="DG33" i="53"/>
  <c r="BQ25" i="53"/>
  <c r="BR22" i="53"/>
  <c r="BR11" i="3"/>
  <c r="BR172" i="83" s="1"/>
  <c r="BS79" i="3"/>
  <c r="CO77" i="3"/>
  <c r="BS68" i="3"/>
  <c r="BB115" i="2"/>
  <c r="BB97" i="2"/>
  <c r="BC96" i="2"/>
  <c r="BA116" i="2"/>
  <c r="CO29" i="2"/>
  <c r="BF119" i="2"/>
  <c r="CO32" i="2"/>
  <c r="AV101" i="2"/>
  <c r="AW111" i="2"/>
  <c r="CO19" i="2"/>
  <c r="CO61" i="2"/>
  <c r="BS139" i="2"/>
  <c r="CO10" i="2"/>
  <c r="BB104" i="2"/>
  <c r="BS13" i="3"/>
  <c r="DH13" i="3" s="1"/>
  <c r="DH108" i="3" s="1"/>
  <c r="AI104" i="3" l="1"/>
  <c r="AI121" i="3" s="1"/>
  <c r="AI148" i="3" s="1"/>
  <c r="CO22" i="3"/>
  <c r="CO117" i="3" s="1"/>
  <c r="CO46" i="3"/>
  <c r="CO141" i="3" s="1"/>
  <c r="CO24" i="3"/>
  <c r="CO119" i="3" s="1"/>
  <c r="DH138" i="3"/>
  <c r="BT33" i="53"/>
  <c r="BT36" i="53" s="1"/>
  <c r="BT44" i="53"/>
  <c r="BU44" i="53" s="1"/>
  <c r="BT117" i="3"/>
  <c r="CY9" i="3"/>
  <c r="CY26" i="3" s="1"/>
  <c r="CY95" i="3" s="1"/>
  <c r="CY96" i="3" s="1"/>
  <c r="CZ9" i="3"/>
  <c r="CZ104" i="3" s="1"/>
  <c r="CZ121" i="3" s="1"/>
  <c r="CZ148" i="3" s="1"/>
  <c r="BZ9" i="3"/>
  <c r="BZ104" i="3" s="1"/>
  <c r="BZ121" i="3" s="1"/>
  <c r="BZ148" i="3" s="1"/>
  <c r="CG9" i="3"/>
  <c r="K26" i="3"/>
  <c r="K53" i="3" s="1"/>
  <c r="AI26" i="3"/>
  <c r="AI95" i="3" s="1"/>
  <c r="AI96" i="3" s="1"/>
  <c r="AM26" i="3"/>
  <c r="AM95" i="3" s="1"/>
  <c r="AM96" i="3" s="1"/>
  <c r="CS9" i="3"/>
  <c r="CS26" i="3" s="1"/>
  <c r="CS95" i="3" s="1"/>
  <c r="CS96" i="3" s="1"/>
  <c r="BT11" i="3"/>
  <c r="BT119" i="3"/>
  <c r="CO139" i="2"/>
  <c r="CP134" i="2"/>
  <c r="CO68" i="3"/>
  <c r="BT68" i="3"/>
  <c r="BU68" i="3" s="1"/>
  <c r="CI9" i="3"/>
  <c r="CI26" i="3" s="1"/>
  <c r="CI95" i="3" s="1"/>
  <c r="CI96" i="3" s="1"/>
  <c r="BV77" i="3"/>
  <c r="BU79" i="3"/>
  <c r="BU11" i="3" s="1"/>
  <c r="BU172" i="83" s="1"/>
  <c r="BT141" i="3"/>
  <c r="BT142" i="3" s="1"/>
  <c r="BT47" i="3"/>
  <c r="BU14" i="2"/>
  <c r="BU24" i="3" s="1"/>
  <c r="BU19" i="2"/>
  <c r="BU22" i="3"/>
  <c r="BV30" i="2"/>
  <c r="DH30" i="2" s="1"/>
  <c r="BU46" i="3"/>
  <c r="BV39" i="2"/>
  <c r="DH39" i="2" s="1"/>
  <c r="BU10" i="2"/>
  <c r="BT139" i="2"/>
  <c r="BU134" i="2"/>
  <c r="BV32" i="2"/>
  <c r="DH32" i="2" s="1"/>
  <c r="AU26" i="3"/>
  <c r="AU53" i="3" s="1"/>
  <c r="BY9" i="3"/>
  <c r="BY26" i="3" s="1"/>
  <c r="BY95" i="3" s="1"/>
  <c r="BY96" i="3" s="1"/>
  <c r="DB9" i="3"/>
  <c r="DB104" i="3" s="1"/>
  <c r="DB121" i="3" s="1"/>
  <c r="DB148" i="3" s="1"/>
  <c r="DC9" i="3"/>
  <c r="DC26" i="3" s="1"/>
  <c r="DC95" i="3" s="1"/>
  <c r="DC96" i="3" s="1"/>
  <c r="AY104" i="3"/>
  <c r="AY121" i="3" s="1"/>
  <c r="AY148" i="3" s="1"/>
  <c r="AY26" i="3"/>
  <c r="AY53" i="3" s="1"/>
  <c r="G26" i="3"/>
  <c r="G95" i="3" s="1"/>
  <c r="G96" i="3" s="1"/>
  <c r="CH9" i="3"/>
  <c r="CH104" i="3" s="1"/>
  <c r="CH121" i="3" s="1"/>
  <c r="CH148" i="3" s="1"/>
  <c r="CR9" i="3"/>
  <c r="CR104" i="3" s="1"/>
  <c r="CR121" i="3" s="1"/>
  <c r="CR148" i="3" s="1"/>
  <c r="O104" i="3"/>
  <c r="O121" i="3" s="1"/>
  <c r="O148" i="3" s="1"/>
  <c r="DA9" i="3"/>
  <c r="DA104" i="3" s="1"/>
  <c r="DA121" i="3" s="1"/>
  <c r="DA148" i="3" s="1"/>
  <c r="BS119" i="3"/>
  <c r="AU99" i="53"/>
  <c r="AU103" i="53" s="1"/>
  <c r="CY99" i="53"/>
  <c r="AM99" i="53"/>
  <c r="AM103" i="53" s="1"/>
  <c r="CZ96" i="53"/>
  <c r="AY99" i="53"/>
  <c r="AY103" i="53" s="1"/>
  <c r="AQ99" i="53"/>
  <c r="AQ103" i="53" s="1"/>
  <c r="DA96" i="53"/>
  <c r="DA99" i="53" s="1"/>
  <c r="AI102" i="53"/>
  <c r="AI104" i="53" s="1"/>
  <c r="AI105" i="53" s="1"/>
  <c r="AQ104" i="3"/>
  <c r="AQ121" i="3" s="1"/>
  <c r="AQ148" i="3" s="1"/>
  <c r="H146" i="3"/>
  <c r="K146" i="3" s="1"/>
  <c r="K149" i="3" s="1"/>
  <c r="CT9" i="3"/>
  <c r="CT26" i="3" s="1"/>
  <c r="CT95" i="3" s="1"/>
  <c r="CT96" i="3" s="1"/>
  <c r="AU104" i="3"/>
  <c r="AU121" i="3" s="1"/>
  <c r="AU148" i="3" s="1"/>
  <c r="BZ150" i="2"/>
  <c r="DA150" i="2"/>
  <c r="DC150" i="2"/>
  <c r="CF150" i="2"/>
  <c r="CR150" i="2"/>
  <c r="CJ150" i="2"/>
  <c r="CA9" i="3"/>
  <c r="CA26" i="3" s="1"/>
  <c r="CA95" i="3" s="1"/>
  <c r="CA96" i="3" s="1"/>
  <c r="CH150" i="2"/>
  <c r="CA150" i="2"/>
  <c r="DB150" i="2"/>
  <c r="BY150" i="2"/>
  <c r="CZ150" i="2"/>
  <c r="CS150" i="2"/>
  <c r="CI150" i="2"/>
  <c r="CY150" i="2"/>
  <c r="CT150" i="2"/>
  <c r="CG150" i="2"/>
  <c r="AU83" i="53"/>
  <c r="BS141" i="3"/>
  <c r="BS108" i="3"/>
  <c r="BS47" i="3"/>
  <c r="BS117" i="3"/>
  <c r="BR64" i="2"/>
  <c r="BQ65" i="2"/>
  <c r="BR138" i="3"/>
  <c r="BQ142" i="3"/>
  <c r="CJ104" i="3"/>
  <c r="CJ121" i="3" s="1"/>
  <c r="CJ148" i="3" s="1"/>
  <c r="CJ26" i="3"/>
  <c r="CJ95" i="3" s="1"/>
  <c r="CJ96" i="3" s="1"/>
  <c r="CF104" i="3"/>
  <c r="CF121" i="3" s="1"/>
  <c r="CF148" i="3" s="1"/>
  <c r="CF26" i="3"/>
  <c r="CF95" i="3" s="1"/>
  <c r="CF96" i="3" s="1"/>
  <c r="CY104" i="3"/>
  <c r="CY121" i="3" s="1"/>
  <c r="CY148" i="3" s="1"/>
  <c r="CO13" i="3"/>
  <c r="CO108" i="3" s="1"/>
  <c r="CO43" i="3"/>
  <c r="DG43" i="3"/>
  <c r="AM53" i="3"/>
  <c r="AQ95" i="3"/>
  <c r="AQ96" i="3" s="1"/>
  <c r="AQ53" i="3"/>
  <c r="BZ26" i="3"/>
  <c r="BZ95" i="3" s="1"/>
  <c r="BZ96" i="3" s="1"/>
  <c r="CS104" i="3"/>
  <c r="CS121" i="3" s="1"/>
  <c r="CS148" i="3" s="1"/>
  <c r="DB26" i="3"/>
  <c r="DB95" i="3" s="1"/>
  <c r="DB96" i="3" s="1"/>
  <c r="F57" i="3"/>
  <c r="G51" i="3"/>
  <c r="CR51" i="3" s="1"/>
  <c r="CR146" i="3" s="1"/>
  <c r="CG104" i="3"/>
  <c r="CG121" i="3" s="1"/>
  <c r="CG148" i="3" s="1"/>
  <c r="CG26" i="3"/>
  <c r="CG95" i="3" s="1"/>
  <c r="CG96" i="3" s="1"/>
  <c r="O95" i="3"/>
  <c r="O96" i="3" s="1"/>
  <c r="O53" i="3"/>
  <c r="K95" i="3"/>
  <c r="K96" i="3" s="1"/>
  <c r="DG36" i="53"/>
  <c r="BS36" i="53"/>
  <c r="CO33" i="53"/>
  <c r="BS47" i="53"/>
  <c r="BS50" i="53"/>
  <c r="CO44" i="53"/>
  <c r="BR52" i="53"/>
  <c r="BR51" i="53"/>
  <c r="CI79" i="53"/>
  <c r="BR25" i="53"/>
  <c r="BS22" i="53"/>
  <c r="DG22" i="53"/>
  <c r="AW80" i="53"/>
  <c r="AV79" i="53"/>
  <c r="BS55" i="53"/>
  <c r="BR58" i="53"/>
  <c r="DG55" i="53"/>
  <c r="BR82" i="3"/>
  <c r="BR83" i="3" s="1"/>
  <c r="BS11" i="3"/>
  <c r="BS172" i="83" s="1"/>
  <c r="CK96" i="2"/>
  <c r="BC115" i="2"/>
  <c r="BC97" i="2"/>
  <c r="CK97" i="2" s="1"/>
  <c r="BD96" i="2"/>
  <c r="BB116" i="2"/>
  <c r="CK115" i="2"/>
  <c r="CK116" i="2" s="1"/>
  <c r="BC104" i="2"/>
  <c r="AW120" i="2"/>
  <c r="AW112" i="2"/>
  <c r="BG119" i="2"/>
  <c r="CL119" i="2" s="1"/>
  <c r="BT106" i="3" l="1"/>
  <c r="BT172" i="83"/>
  <c r="BT82" i="3"/>
  <c r="BT83" i="3" s="1"/>
  <c r="BU33" i="53"/>
  <c r="BV33" i="53" s="1"/>
  <c r="DH33" i="53" s="1"/>
  <c r="BT50" i="53"/>
  <c r="BT52" i="53" s="1"/>
  <c r="BT47" i="53"/>
  <c r="BU117" i="3"/>
  <c r="CO55" i="53"/>
  <c r="BT55" i="53"/>
  <c r="CO22" i="53"/>
  <c r="BT22" i="53"/>
  <c r="BU47" i="53"/>
  <c r="BV44" i="53"/>
  <c r="DH44" i="53" s="1"/>
  <c r="BU50" i="53"/>
  <c r="CZ26" i="3"/>
  <c r="CZ95" i="3" s="1"/>
  <c r="CZ96" i="3" s="1"/>
  <c r="AI53" i="3"/>
  <c r="CF53" i="3" s="1"/>
  <c r="BU119" i="3"/>
  <c r="CI104" i="3"/>
  <c r="CI121" i="3" s="1"/>
  <c r="CI148" i="3" s="1"/>
  <c r="BY104" i="3"/>
  <c r="BY121" i="3" s="1"/>
  <c r="BY148" i="3" s="1"/>
  <c r="BY149" i="3" s="1"/>
  <c r="BY152" i="3" s="1"/>
  <c r="BU82" i="3"/>
  <c r="BU83" i="3" s="1"/>
  <c r="BV68" i="3"/>
  <c r="DH68" i="3" s="1"/>
  <c r="BW77" i="3"/>
  <c r="BW79" i="3" s="1"/>
  <c r="BW11" i="3" s="1"/>
  <c r="BW172" i="83" s="1"/>
  <c r="BV79" i="3"/>
  <c r="BV11" i="3" s="1"/>
  <c r="BU106" i="3"/>
  <c r="BU141" i="3"/>
  <c r="BU47" i="3"/>
  <c r="BV19" i="2"/>
  <c r="BV14" i="2"/>
  <c r="BV46" i="3"/>
  <c r="BV47" i="3" s="1"/>
  <c r="BW39" i="2"/>
  <c r="BW30" i="2"/>
  <c r="BV22" i="3"/>
  <c r="DH22" i="3" s="1"/>
  <c r="DH117" i="3" s="1"/>
  <c r="BW32" i="2"/>
  <c r="CP32" i="2" s="1"/>
  <c r="BV10" i="2"/>
  <c r="DH10" i="2" s="1"/>
  <c r="BV134" i="2"/>
  <c r="BU139" i="2"/>
  <c r="AU95" i="3"/>
  <c r="AU96" i="3" s="1"/>
  <c r="G53" i="3"/>
  <c r="BY53" i="3" s="1"/>
  <c r="BY54" i="3" s="1"/>
  <c r="CT104" i="3"/>
  <c r="CT121" i="3" s="1"/>
  <c r="CT148" i="3" s="1"/>
  <c r="DC104" i="3"/>
  <c r="DC121" i="3" s="1"/>
  <c r="DC148" i="3" s="1"/>
  <c r="DA26" i="3"/>
  <c r="DA95" i="3" s="1"/>
  <c r="DA96" i="3" s="1"/>
  <c r="J146" i="3"/>
  <c r="J149" i="3" s="1"/>
  <c r="J152" i="3" s="1"/>
  <c r="CH26" i="3"/>
  <c r="CH95" i="3" s="1"/>
  <c r="CH96" i="3" s="1"/>
  <c r="AY95" i="3"/>
  <c r="AY96" i="3" s="1"/>
  <c r="CR26" i="3"/>
  <c r="CR95" i="3" s="1"/>
  <c r="CR96" i="3" s="1"/>
  <c r="CA104" i="3"/>
  <c r="CA121" i="3" s="1"/>
  <c r="CA148" i="3" s="1"/>
  <c r="I146" i="3"/>
  <c r="I149" i="3" s="1"/>
  <c r="I152" i="3" s="1"/>
  <c r="CI83" i="53"/>
  <c r="AQ102" i="53"/>
  <c r="AQ104" i="53" s="1"/>
  <c r="AQ105" i="53" s="1"/>
  <c r="AU102" i="53"/>
  <c r="AU104" i="53" s="1"/>
  <c r="AU105" i="53" s="1"/>
  <c r="AY102" i="53"/>
  <c r="AY104" i="53" s="1"/>
  <c r="AY105" i="53" s="1"/>
  <c r="H149" i="3"/>
  <c r="H152" i="3" s="1"/>
  <c r="AM102" i="53"/>
  <c r="AM104" i="53" s="1"/>
  <c r="AM105" i="53" s="1"/>
  <c r="CY104" i="53"/>
  <c r="CY103" i="53"/>
  <c r="CZ99" i="53"/>
  <c r="DA102" i="53"/>
  <c r="DA104" i="53"/>
  <c r="CY102" i="53"/>
  <c r="DA103" i="53"/>
  <c r="DA53" i="3"/>
  <c r="CH53" i="3"/>
  <c r="CZ53" i="3"/>
  <c r="CG53" i="3"/>
  <c r="K152" i="3"/>
  <c r="L146" i="3"/>
  <c r="CO138" i="3"/>
  <c r="CO142" i="3" s="1"/>
  <c r="CO47" i="3"/>
  <c r="DB53" i="3"/>
  <c r="CI53" i="3"/>
  <c r="CS53" i="3"/>
  <c r="BZ53" i="3"/>
  <c r="CT53" i="3"/>
  <c r="CA53" i="3"/>
  <c r="DC53" i="3"/>
  <c r="CJ53" i="3"/>
  <c r="CR149" i="3"/>
  <c r="CR152" i="3" s="1"/>
  <c r="DG138" i="3"/>
  <c r="DG142" i="3" s="1"/>
  <c r="DG47" i="3"/>
  <c r="BS138" i="3"/>
  <c r="BS142" i="3" s="1"/>
  <c r="BR142" i="3"/>
  <c r="BS64" i="2"/>
  <c r="BT64" i="2" s="1"/>
  <c r="DG64" i="2"/>
  <c r="DG65" i="2" s="1"/>
  <c r="BR65" i="2"/>
  <c r="CO58" i="53"/>
  <c r="AV83" i="53"/>
  <c r="CO25" i="53"/>
  <c r="BS52" i="53"/>
  <c r="BS51" i="53"/>
  <c r="CO50" i="53"/>
  <c r="CO36" i="53"/>
  <c r="DG58" i="53"/>
  <c r="BS58" i="53"/>
  <c r="AW79" i="53"/>
  <c r="AX80" i="53"/>
  <c r="DG25" i="53"/>
  <c r="BS25" i="53"/>
  <c r="CO47" i="53"/>
  <c r="BS82" i="3"/>
  <c r="BS83" i="3" s="1"/>
  <c r="BH119" i="2"/>
  <c r="AW121" i="2"/>
  <c r="AW100" i="2" s="1"/>
  <c r="BD115" i="2"/>
  <c r="BD97" i="2"/>
  <c r="BE96" i="2"/>
  <c r="BC116" i="2"/>
  <c r="BD104" i="2"/>
  <c r="CK104" i="2"/>
  <c r="G54" i="3" l="1"/>
  <c r="G57" i="3" s="1"/>
  <c r="DH11" i="3"/>
  <c r="DH106" i="3" s="1"/>
  <c r="BV172" i="83"/>
  <c r="CP172" i="83" s="1"/>
  <c r="BT51" i="53"/>
  <c r="DH82" i="3"/>
  <c r="BU36" i="53"/>
  <c r="BI119" i="2"/>
  <c r="BJ119" i="2" s="1"/>
  <c r="BW46" i="3"/>
  <c r="BW47" i="3" s="1"/>
  <c r="CP39" i="2"/>
  <c r="DH19" i="2"/>
  <c r="BW22" i="3"/>
  <c r="CP30" i="2"/>
  <c r="BW14" i="2"/>
  <c r="DH14" i="2"/>
  <c r="DH46" i="3"/>
  <c r="DH47" i="53"/>
  <c r="DH36" i="53"/>
  <c r="BV117" i="3"/>
  <c r="CP22" i="3"/>
  <c r="CP117" i="3" s="1"/>
  <c r="BV50" i="53"/>
  <c r="BW44" i="53"/>
  <c r="CP44" i="53" s="1"/>
  <c r="BV47" i="53"/>
  <c r="BU22" i="53"/>
  <c r="BT25" i="53"/>
  <c r="BU55" i="53"/>
  <c r="BT58" i="53"/>
  <c r="BU52" i="53"/>
  <c r="BU51" i="53"/>
  <c r="CY53" i="3"/>
  <c r="CP11" i="3"/>
  <c r="CP82" i="3" s="1"/>
  <c r="BW68" i="3"/>
  <c r="CP68" i="3" s="1"/>
  <c r="CP79" i="3"/>
  <c r="CP77" i="3"/>
  <c r="BV36" i="53"/>
  <c r="BW33" i="53"/>
  <c r="CR53" i="3"/>
  <c r="CR54" i="3" s="1"/>
  <c r="CS51" i="3" s="1"/>
  <c r="CS146" i="3" s="1"/>
  <c r="CS149" i="3" s="1"/>
  <c r="CS152" i="3" s="1"/>
  <c r="BV82" i="3"/>
  <c r="BV83" i="3" s="1"/>
  <c r="BV106" i="3"/>
  <c r="BW106" i="3" s="1"/>
  <c r="BW82" i="3"/>
  <c r="BW83" i="3" s="1"/>
  <c r="BV24" i="3"/>
  <c r="DH24" i="3" s="1"/>
  <c r="DH119" i="3" s="1"/>
  <c r="BW19" i="2"/>
  <c r="BV141" i="3"/>
  <c r="BU142" i="3"/>
  <c r="BU64" i="2"/>
  <c r="BT65" i="2"/>
  <c r="BW10" i="2"/>
  <c r="BV139" i="2"/>
  <c r="BW134" i="2"/>
  <c r="CY105" i="53"/>
  <c r="DA105" i="53"/>
  <c r="CZ104" i="53"/>
  <c r="CZ103" i="53"/>
  <c r="CZ102" i="53"/>
  <c r="BY57" i="3"/>
  <c r="BZ51" i="3"/>
  <c r="BZ146" i="3" s="1"/>
  <c r="BZ149" i="3" s="1"/>
  <c r="BZ152" i="3" s="1"/>
  <c r="CO64" i="2"/>
  <c r="CO65" i="2" s="1"/>
  <c r="BS65" i="2"/>
  <c r="O146" i="3"/>
  <c r="O149" i="3" s="1"/>
  <c r="N146" i="3"/>
  <c r="N149" i="3" s="1"/>
  <c r="N152" i="3" s="1"/>
  <c r="M146" i="3"/>
  <c r="M149" i="3" s="1"/>
  <c r="M152" i="3" s="1"/>
  <c r="L149" i="3"/>
  <c r="L152" i="3" s="1"/>
  <c r="AY80" i="53"/>
  <c r="AX79" i="53"/>
  <c r="CO53" i="53"/>
  <c r="CO52" i="53"/>
  <c r="AW83" i="53"/>
  <c r="AW81" i="53" s="1"/>
  <c r="BE115" i="2"/>
  <c r="BE97" i="2"/>
  <c r="BF96" i="2"/>
  <c r="BD116" i="2"/>
  <c r="BE104" i="2"/>
  <c r="AW101" i="2"/>
  <c r="AX111" i="2"/>
  <c r="H51" i="3" l="1"/>
  <c r="H54" i="3" s="1"/>
  <c r="DH172" i="83"/>
  <c r="CP46" i="3"/>
  <c r="CP141" i="3" s="1"/>
  <c r="CP142" i="3" s="1"/>
  <c r="CP106" i="3"/>
  <c r="BW117" i="3"/>
  <c r="DH141" i="3"/>
  <c r="DH142" i="3" s="1"/>
  <c r="DH47" i="3"/>
  <c r="BW24" i="3"/>
  <c r="CP24" i="3" s="1"/>
  <c r="CP119" i="3" s="1"/>
  <c r="CP14" i="2"/>
  <c r="CP47" i="53"/>
  <c r="BW36" i="53"/>
  <c r="CP33" i="53"/>
  <c r="BV55" i="53"/>
  <c r="BU58" i="53"/>
  <c r="BV22" i="53"/>
  <c r="DH22" i="53" s="1"/>
  <c r="BU25" i="53"/>
  <c r="BW50" i="53"/>
  <c r="CP50" i="53" s="1"/>
  <c r="BW47" i="53"/>
  <c r="BV52" i="53"/>
  <c r="BV51" i="53"/>
  <c r="CP83" i="3"/>
  <c r="BW139" i="2"/>
  <c r="CP10" i="2"/>
  <c r="CP139" i="2" s="1"/>
  <c r="BV119" i="3"/>
  <c r="CP19" i="2"/>
  <c r="CR57" i="3"/>
  <c r="BW141" i="3"/>
  <c r="BW142" i="3" s="1"/>
  <c r="BV142" i="3"/>
  <c r="BV64" i="2"/>
  <c r="DH64" i="2" s="1"/>
  <c r="DH65" i="2" s="1"/>
  <c r="BU65" i="2"/>
  <c r="CZ105" i="53"/>
  <c r="AX83" i="53"/>
  <c r="CS54" i="3"/>
  <c r="CS57" i="3" s="1"/>
  <c r="BZ54" i="3"/>
  <c r="CA51" i="3" s="1"/>
  <c r="O152" i="3"/>
  <c r="P146" i="3"/>
  <c r="H57" i="3"/>
  <c r="I51" i="3"/>
  <c r="I54" i="3" s="1"/>
  <c r="AZ80" i="53"/>
  <c r="AY79" i="53"/>
  <c r="BF104" i="2"/>
  <c r="AX120" i="2"/>
  <c r="AX112" i="2"/>
  <c r="BF115" i="2"/>
  <c r="BF116" i="2" s="1"/>
  <c r="BF97" i="2"/>
  <c r="BG96" i="2"/>
  <c r="BE116" i="2"/>
  <c r="CP47" i="3" l="1"/>
  <c r="BW119" i="3"/>
  <c r="CP52" i="53"/>
  <c r="CP53" i="53"/>
  <c r="DH25" i="53"/>
  <c r="CP36" i="53"/>
  <c r="DH55" i="53"/>
  <c r="BW51" i="53"/>
  <c r="BW52" i="53"/>
  <c r="BV25" i="53"/>
  <c r="BW22" i="53"/>
  <c r="BW25" i="53" s="1"/>
  <c r="BV58" i="53"/>
  <c r="BW55" i="53"/>
  <c r="BW58" i="53" s="1"/>
  <c r="BW64" i="2"/>
  <c r="BV65" i="2"/>
  <c r="CJ79" i="53"/>
  <c r="BZ57" i="3"/>
  <c r="AX81" i="53"/>
  <c r="CT51" i="3"/>
  <c r="CT146" i="3" s="1"/>
  <c r="CT149" i="3" s="1"/>
  <c r="CT152" i="3" s="1"/>
  <c r="CA146" i="3"/>
  <c r="CA149" i="3" s="1"/>
  <c r="CA152" i="3" s="1"/>
  <c r="CA54" i="3"/>
  <c r="Q146" i="3"/>
  <c r="Q149" i="3" s="1"/>
  <c r="Q152" i="3" s="1"/>
  <c r="P51" i="3"/>
  <c r="P54" i="3" s="1"/>
  <c r="S146" i="3"/>
  <c r="S149" i="3" s="1"/>
  <c r="R146" i="3"/>
  <c r="R149" i="3" s="1"/>
  <c r="R152" i="3" s="1"/>
  <c r="P149" i="3"/>
  <c r="P152" i="3" s="1"/>
  <c r="J51" i="3"/>
  <c r="J54" i="3" s="1"/>
  <c r="I57" i="3"/>
  <c r="AY83" i="53"/>
  <c r="BA80" i="53"/>
  <c r="AZ79" i="53"/>
  <c r="BG115" i="2"/>
  <c r="CL115" i="2" s="1"/>
  <c r="BG97" i="2"/>
  <c r="CL97" i="2" s="1"/>
  <c r="CL96" i="2"/>
  <c r="BH96" i="2"/>
  <c r="BI96" i="2" s="1"/>
  <c r="BJ96" i="2" s="1"/>
  <c r="AX121" i="2"/>
  <c r="AX100" i="2" s="1"/>
  <c r="BK119" i="2"/>
  <c r="CM119" i="2" s="1"/>
  <c r="BG104" i="2"/>
  <c r="CP55" i="53" l="1"/>
  <c r="CP58" i="53" s="1"/>
  <c r="CP22" i="53"/>
  <c r="DH58" i="53"/>
  <c r="BW65" i="2"/>
  <c r="CP64" i="2"/>
  <c r="CP65" i="2" s="1"/>
  <c r="BJ115" i="2"/>
  <c r="BJ116" i="2" s="1"/>
  <c r="BJ97" i="2"/>
  <c r="CJ81" i="53"/>
  <c r="CT54" i="3"/>
  <c r="CT57" i="3" s="1"/>
  <c r="CJ83" i="53"/>
  <c r="BI115" i="2"/>
  <c r="BI116" i="2" s="1"/>
  <c r="BI97" i="2"/>
  <c r="J57" i="3"/>
  <c r="K51" i="3"/>
  <c r="K54" i="3" s="1"/>
  <c r="T146" i="3"/>
  <c r="S152" i="3"/>
  <c r="CA57" i="3"/>
  <c r="CB51" i="3"/>
  <c r="P57" i="3"/>
  <c r="Q51" i="3"/>
  <c r="Q54" i="3" s="1"/>
  <c r="BA79" i="53"/>
  <c r="BB80" i="53"/>
  <c r="AZ83" i="53"/>
  <c r="CL104" i="2"/>
  <c r="BH104" i="2"/>
  <c r="BI104" i="2" s="1"/>
  <c r="BJ104" i="2" s="1"/>
  <c r="AX101" i="2"/>
  <c r="AY111" i="2"/>
  <c r="BH115" i="2"/>
  <c r="BH97" i="2"/>
  <c r="BL119" i="2"/>
  <c r="BG116" i="2"/>
  <c r="CL116" i="2"/>
  <c r="CP25" i="53" l="1"/>
  <c r="CU51" i="3"/>
  <c r="CU54" i="3" s="1"/>
  <c r="CB146" i="3"/>
  <c r="CB149" i="3" s="1"/>
  <c r="CB54" i="3"/>
  <c r="Q57" i="3"/>
  <c r="R51" i="3"/>
  <c r="R54" i="3" s="1"/>
  <c r="U146" i="3"/>
  <c r="U149" i="3" s="1"/>
  <c r="U152" i="3" s="1"/>
  <c r="T149" i="3"/>
  <c r="T152" i="3" s="1"/>
  <c r="W146" i="3"/>
  <c r="W149" i="3" s="1"/>
  <c r="V146" i="3"/>
  <c r="V149" i="3" s="1"/>
  <c r="V152" i="3" s="1"/>
  <c r="K57" i="3"/>
  <c r="L51" i="3"/>
  <c r="L54" i="3" s="1"/>
  <c r="BA83" i="53"/>
  <c r="BA81" i="53" s="1"/>
  <c r="BC80" i="53"/>
  <c r="BB79" i="53"/>
  <c r="BM119" i="2"/>
  <c r="BH116" i="2"/>
  <c r="AY120" i="2"/>
  <c r="AY112" i="2"/>
  <c r="CJ111" i="2"/>
  <c r="CJ112" i="2" s="1"/>
  <c r="CU146" i="3" l="1"/>
  <c r="CU149" i="3" s="1"/>
  <c r="CU152" i="3" s="1"/>
  <c r="BB83" i="53"/>
  <c r="L57" i="3"/>
  <c r="M51" i="3"/>
  <c r="M54" i="3" s="1"/>
  <c r="W152" i="3"/>
  <c r="X146" i="3"/>
  <c r="CB57" i="3"/>
  <c r="CC51" i="3"/>
  <c r="CC54" i="3" s="1"/>
  <c r="R57" i="3"/>
  <c r="S51" i="3"/>
  <c r="S54" i="3" s="1"/>
  <c r="CB152" i="3"/>
  <c r="CC146" i="3"/>
  <c r="CC149" i="3" s="1"/>
  <c r="CU57" i="3"/>
  <c r="CV51" i="3"/>
  <c r="CV54" i="3" s="1"/>
  <c r="BD80" i="53"/>
  <c r="BC79" i="53"/>
  <c r="R92" i="3"/>
  <c r="N92" i="3"/>
  <c r="J92" i="3"/>
  <c r="AO92" i="3"/>
  <c r="F92" i="3"/>
  <c r="AK92" i="3"/>
  <c r="AP92" i="3"/>
  <c r="AX92" i="3"/>
  <c r="E92" i="3"/>
  <c r="Q92" i="3"/>
  <c r="U92" i="3"/>
  <c r="Y92" i="3"/>
  <c r="AC92" i="3"/>
  <c r="AG92" i="3"/>
  <c r="AL92" i="3"/>
  <c r="AT92" i="3"/>
  <c r="M92" i="3"/>
  <c r="V92" i="3"/>
  <c r="Z92" i="3"/>
  <c r="AD92" i="3"/>
  <c r="AH92" i="3"/>
  <c r="I92" i="3"/>
  <c r="AW92" i="3"/>
  <c r="AY121" i="2"/>
  <c r="AY100" i="2" s="1"/>
  <c r="CJ120" i="2"/>
  <c r="CJ121" i="2" s="1"/>
  <c r="BN119" i="2"/>
  <c r="BK96" i="2"/>
  <c r="CK79" i="53" l="1"/>
  <c r="CV146" i="3"/>
  <c r="CV149" i="3" s="1"/>
  <c r="CV152" i="3" s="1"/>
  <c r="BB81" i="53"/>
  <c r="BC83" i="53"/>
  <c r="BC81" i="53" s="1"/>
  <c r="CW51" i="3"/>
  <c r="CW54" i="3" s="1"/>
  <c r="CV57" i="3"/>
  <c r="CC152" i="3"/>
  <c r="CD146" i="3"/>
  <c r="CD149" i="3" s="1"/>
  <c r="CW146" i="3"/>
  <c r="CW149" i="3" s="1"/>
  <c r="CD51" i="3"/>
  <c r="CD54" i="3" s="1"/>
  <c r="CC57" i="3"/>
  <c r="Y146" i="3"/>
  <c r="Y149" i="3" s="1"/>
  <c r="Y152" i="3" s="1"/>
  <c r="X149" i="3"/>
  <c r="X152" i="3" s="1"/>
  <c r="AA146" i="3"/>
  <c r="AA149" i="3" s="1"/>
  <c r="Z146" i="3"/>
  <c r="Z149" i="3" s="1"/>
  <c r="Z152" i="3" s="1"/>
  <c r="M57" i="3"/>
  <c r="N51" i="3"/>
  <c r="N54" i="3" s="1"/>
  <c r="S57" i="3"/>
  <c r="T51" i="3"/>
  <c r="T54" i="3" s="1"/>
  <c r="BE80" i="53"/>
  <c r="BD79" i="53"/>
  <c r="AS92" i="3"/>
  <c r="BO119" i="2"/>
  <c r="CN119" i="2" s="1"/>
  <c r="BK104" i="2"/>
  <c r="CM96" i="2"/>
  <c r="BK115" i="2"/>
  <c r="CM115" i="2" s="1"/>
  <c r="BK97" i="2"/>
  <c r="CM97" i="2" s="1"/>
  <c r="BL96" i="2"/>
  <c r="AY101" i="2"/>
  <c r="CJ101" i="2" s="1"/>
  <c r="CJ100" i="2"/>
  <c r="AZ111" i="2"/>
  <c r="CK81" i="53" l="1"/>
  <c r="BD83" i="53"/>
  <c r="CK83" i="53"/>
  <c r="T57" i="3"/>
  <c r="U51" i="3"/>
  <c r="U54" i="3" s="1"/>
  <c r="N57" i="3"/>
  <c r="O51" i="3"/>
  <c r="O54" i="3" s="1"/>
  <c r="O57" i="3" s="1"/>
  <c r="CD57" i="3"/>
  <c r="CE51" i="3"/>
  <c r="CE54" i="3" s="1"/>
  <c r="CD152" i="3"/>
  <c r="CE146" i="3"/>
  <c r="CE149" i="3" s="1"/>
  <c r="AA152" i="3"/>
  <c r="AB146" i="3"/>
  <c r="CX146" i="3"/>
  <c r="CX149" i="3" s="1"/>
  <c r="CW152" i="3"/>
  <c r="CX51" i="3"/>
  <c r="CX54" i="3" s="1"/>
  <c r="CW57" i="3"/>
  <c r="BE79" i="53"/>
  <c r="BF80" i="53"/>
  <c r="D92" i="3"/>
  <c r="CC88" i="3"/>
  <c r="CC92" i="3" s="1"/>
  <c r="T92" i="3"/>
  <c r="CE88" i="3"/>
  <c r="CE92" i="3" s="1"/>
  <c r="AB92" i="3"/>
  <c r="CB88" i="3"/>
  <c r="CB92" i="3" s="1"/>
  <c r="P92" i="3"/>
  <c r="AN92" i="3"/>
  <c r="L92" i="3"/>
  <c r="S92" i="3"/>
  <c r="CU88" i="3"/>
  <c r="CU92" i="3" s="1"/>
  <c r="CV88" i="3"/>
  <c r="CV92" i="3" s="1"/>
  <c r="W92" i="3"/>
  <c r="AA92" i="3"/>
  <c r="CW88" i="3"/>
  <c r="CW92" i="3" s="1"/>
  <c r="CX88" i="3"/>
  <c r="CX92" i="3" s="1"/>
  <c r="AE92" i="3"/>
  <c r="CD88" i="3"/>
  <c r="CD92" i="3" s="1"/>
  <c r="X92" i="3"/>
  <c r="AF92" i="3"/>
  <c r="AV92" i="3"/>
  <c r="AJ92" i="3"/>
  <c r="AZ120" i="2"/>
  <c r="AZ112" i="2"/>
  <c r="BL115" i="2"/>
  <c r="BL97" i="2"/>
  <c r="BM96" i="2"/>
  <c r="BK116" i="2"/>
  <c r="CM116" i="2"/>
  <c r="BL104" i="2"/>
  <c r="CM104" i="2"/>
  <c r="BP119" i="2"/>
  <c r="BL116" i="2" l="1"/>
  <c r="BD81" i="53"/>
  <c r="BE83" i="53"/>
  <c r="CX57" i="3"/>
  <c r="CY51" i="3"/>
  <c r="CY54" i="3" s="1"/>
  <c r="AC146" i="3"/>
  <c r="AC149" i="3" s="1"/>
  <c r="AC152" i="3" s="1"/>
  <c r="AB149" i="3"/>
  <c r="AB152" i="3" s="1"/>
  <c r="AE146" i="3"/>
  <c r="AE149" i="3" s="1"/>
  <c r="AD146" i="3"/>
  <c r="AD149" i="3" s="1"/>
  <c r="AD152" i="3" s="1"/>
  <c r="CE152" i="3"/>
  <c r="CF146" i="3"/>
  <c r="CF149" i="3" s="1"/>
  <c r="CE57" i="3"/>
  <c r="CF51" i="3"/>
  <c r="CF54" i="3" s="1"/>
  <c r="U57" i="3"/>
  <c r="V51" i="3"/>
  <c r="V54" i="3" s="1"/>
  <c r="CX152" i="3"/>
  <c r="CY146" i="3"/>
  <c r="CY149" i="3" s="1"/>
  <c r="BG80" i="53"/>
  <c r="BF79" i="53"/>
  <c r="H92" i="3"/>
  <c r="AR92" i="3"/>
  <c r="BQ119" i="2"/>
  <c r="BM115" i="2"/>
  <c r="BM116" i="2" s="1"/>
  <c r="BM97" i="2"/>
  <c r="BN96" i="2"/>
  <c r="BM104" i="2"/>
  <c r="AZ121" i="2"/>
  <c r="AZ100" i="2" s="1"/>
  <c r="BE81" i="53" l="1"/>
  <c r="BF83" i="53"/>
  <c r="BF81" i="53" s="1"/>
  <c r="CZ146" i="3"/>
  <c r="CZ149" i="3" s="1"/>
  <c r="CY152" i="3"/>
  <c r="W51" i="3"/>
  <c r="W54" i="3" s="1"/>
  <c r="V57" i="3"/>
  <c r="CF57" i="3"/>
  <c r="CG51" i="3"/>
  <c r="CG54" i="3" s="1"/>
  <c r="CF152" i="3"/>
  <c r="CG146" i="3"/>
  <c r="CG149" i="3" s="1"/>
  <c r="CZ51" i="3"/>
  <c r="CZ54" i="3" s="1"/>
  <c r="CY57" i="3"/>
  <c r="AF146" i="3"/>
  <c r="AE152" i="3"/>
  <c r="BH80" i="53"/>
  <c r="BG79" i="53"/>
  <c r="AZ101" i="2"/>
  <c r="BA111" i="2"/>
  <c r="BN104" i="2"/>
  <c r="BR119" i="2"/>
  <c r="BN115" i="2"/>
  <c r="BN116" i="2" s="1"/>
  <c r="BN97" i="2"/>
  <c r="BO96" i="2"/>
  <c r="CL79" i="53" l="1"/>
  <c r="BG83" i="53"/>
  <c r="CH146" i="3"/>
  <c r="CH149" i="3" s="1"/>
  <c r="CG152" i="3"/>
  <c r="CH51" i="3"/>
  <c r="CH54" i="3" s="1"/>
  <c r="CG57" i="3"/>
  <c r="AI146" i="3"/>
  <c r="AI149" i="3" s="1"/>
  <c r="AH146" i="3"/>
  <c r="AH149" i="3" s="1"/>
  <c r="AH152" i="3" s="1"/>
  <c r="AG146" i="3"/>
  <c r="AG149" i="3" s="1"/>
  <c r="AG152" i="3" s="1"/>
  <c r="AF149" i="3"/>
  <c r="AF152" i="3" s="1"/>
  <c r="CZ57" i="3"/>
  <c r="DA51" i="3"/>
  <c r="DA54" i="3" s="1"/>
  <c r="X51" i="3"/>
  <c r="X54" i="3" s="1"/>
  <c r="W57" i="3"/>
  <c r="CZ152" i="3"/>
  <c r="DA146" i="3"/>
  <c r="DA149" i="3" s="1"/>
  <c r="BI80" i="53"/>
  <c r="BH79" i="53"/>
  <c r="BO115" i="2"/>
  <c r="CN115" i="2" s="1"/>
  <c r="BO97" i="2"/>
  <c r="CN97" i="2" s="1"/>
  <c r="CN96" i="2"/>
  <c r="BP96" i="2"/>
  <c r="BS119" i="2"/>
  <c r="BT119" i="2" s="1"/>
  <c r="BO104" i="2"/>
  <c r="BA120" i="2"/>
  <c r="BA112" i="2"/>
  <c r="BU119" i="2" l="1"/>
  <c r="BV119" i="2" s="1"/>
  <c r="BW119" i="2" s="1"/>
  <c r="CO119" i="2"/>
  <c r="CL83" i="53"/>
  <c r="BG81" i="53"/>
  <c r="BH83" i="53"/>
  <c r="BH81" i="53" s="1"/>
  <c r="DA152" i="3"/>
  <c r="DB146" i="3"/>
  <c r="DB149" i="3" s="1"/>
  <c r="DA57" i="3"/>
  <c r="DB51" i="3"/>
  <c r="DB54" i="3" s="1"/>
  <c r="X57" i="3"/>
  <c r="Y51" i="3"/>
  <c r="Y54" i="3" s="1"/>
  <c r="AI152" i="3"/>
  <c r="AJ146" i="3"/>
  <c r="CI51" i="3"/>
  <c r="CI54" i="3" s="1"/>
  <c r="CH57" i="3"/>
  <c r="CI146" i="3"/>
  <c r="CI149" i="3" s="1"/>
  <c r="CH152" i="3"/>
  <c r="BJ80" i="53"/>
  <c r="CR88" i="3"/>
  <c r="CR92" i="3" s="1"/>
  <c r="G92" i="3"/>
  <c r="BY88" i="3"/>
  <c r="BY92" i="3" s="1"/>
  <c r="K92" i="3"/>
  <c r="CS88" i="3"/>
  <c r="CS92" i="3" s="1"/>
  <c r="BZ88" i="3"/>
  <c r="BZ92" i="3" s="1"/>
  <c r="CT88" i="3"/>
  <c r="CT92" i="3" s="1"/>
  <c r="O92" i="3"/>
  <c r="CA88" i="3"/>
  <c r="CA92" i="3" s="1"/>
  <c r="CZ88" i="3"/>
  <c r="CZ92" i="3" s="1"/>
  <c r="AM92" i="3"/>
  <c r="CG88" i="3"/>
  <c r="CG92" i="3" s="1"/>
  <c r="AI92" i="3"/>
  <c r="CY88" i="3"/>
  <c r="CY92" i="3" s="1"/>
  <c r="CF88" i="3"/>
  <c r="CF92" i="3" s="1"/>
  <c r="AY92" i="3"/>
  <c r="DC88" i="3"/>
  <c r="DC92" i="3" s="1"/>
  <c r="CJ88" i="3"/>
  <c r="CJ92" i="3" s="1"/>
  <c r="DB88" i="3"/>
  <c r="DB92" i="3" s="1"/>
  <c r="AU92" i="3"/>
  <c r="CI88" i="3"/>
  <c r="CI92" i="3" s="1"/>
  <c r="AQ92" i="3"/>
  <c r="DA88" i="3"/>
  <c r="DA92" i="3" s="1"/>
  <c r="CH88" i="3"/>
  <c r="CH92" i="3" s="1"/>
  <c r="CN104" i="2"/>
  <c r="BP104" i="2"/>
  <c r="BP115" i="2"/>
  <c r="BP97" i="2"/>
  <c r="BQ96" i="2"/>
  <c r="BA121" i="2"/>
  <c r="BA100" i="2" s="1"/>
  <c r="BO116" i="2"/>
  <c r="CN116" i="2"/>
  <c r="BP116" i="2" l="1"/>
  <c r="CP119" i="2"/>
  <c r="BI83" i="53"/>
  <c r="CL81" i="53"/>
  <c r="AM146" i="3"/>
  <c r="AM149" i="3" s="1"/>
  <c r="AL146" i="3"/>
  <c r="AL149" i="3" s="1"/>
  <c r="AL152" i="3" s="1"/>
  <c r="AK146" i="3"/>
  <c r="AK149" i="3" s="1"/>
  <c r="AK152" i="3" s="1"/>
  <c r="AJ149" i="3"/>
  <c r="AJ152" i="3" s="1"/>
  <c r="Z51" i="3"/>
  <c r="Z54" i="3" s="1"/>
  <c r="Y57" i="3"/>
  <c r="DC51" i="3"/>
  <c r="DC54" i="3" s="1"/>
  <c r="DB57" i="3"/>
  <c r="DC146" i="3"/>
  <c r="DC149" i="3" s="1"/>
  <c r="DB152" i="3"/>
  <c r="CI152" i="3"/>
  <c r="CJ146" i="3"/>
  <c r="CJ149" i="3" s="1"/>
  <c r="CI57" i="3"/>
  <c r="CJ51" i="3"/>
  <c r="CJ54" i="3" s="1"/>
  <c r="BK80" i="53"/>
  <c r="BA101" i="2"/>
  <c r="BB111" i="2"/>
  <c r="BQ115" i="2"/>
  <c r="BQ116" i="2" s="1"/>
  <c r="BQ97" i="2"/>
  <c r="BR96" i="2"/>
  <c r="BQ104" i="2"/>
  <c r="BL80" i="53" l="1"/>
  <c r="BJ83" i="53"/>
  <c r="CK51" i="3"/>
  <c r="CK54" i="3" s="1"/>
  <c r="CJ57" i="3"/>
  <c r="CK146" i="3"/>
  <c r="CK149" i="3" s="1"/>
  <c r="CJ152" i="3"/>
  <c r="DC152" i="3"/>
  <c r="DD146" i="3"/>
  <c r="DD149" i="3" s="1"/>
  <c r="DC57" i="3"/>
  <c r="DD51" i="3"/>
  <c r="DD54" i="3" s="1"/>
  <c r="Z57" i="3"/>
  <c r="AA51" i="3"/>
  <c r="AA54" i="3" s="1"/>
  <c r="AM152" i="3"/>
  <c r="AN146" i="3"/>
  <c r="BR115" i="2"/>
  <c r="BR116" i="2" s="1"/>
  <c r="BR97" i="2"/>
  <c r="BS96" i="2"/>
  <c r="BT96" i="2" s="1"/>
  <c r="BR104" i="2"/>
  <c r="BB120" i="2"/>
  <c r="BB112" i="2"/>
  <c r="BL79" i="53" l="1"/>
  <c r="BM80" i="53"/>
  <c r="BU96" i="2"/>
  <c r="BT97" i="2"/>
  <c r="BT115" i="2"/>
  <c r="BK83" i="53"/>
  <c r="BL83" i="53" s="1"/>
  <c r="BM83" i="53" s="1"/>
  <c r="BN83" i="53" s="1"/>
  <c r="AO146" i="3"/>
  <c r="AO149" i="3" s="1"/>
  <c r="AO152" i="3" s="1"/>
  <c r="AN149" i="3"/>
  <c r="AN152" i="3" s="1"/>
  <c r="AQ146" i="3"/>
  <c r="AQ149" i="3" s="1"/>
  <c r="AP146" i="3"/>
  <c r="AP149" i="3" s="1"/>
  <c r="AP152" i="3" s="1"/>
  <c r="AA57" i="3"/>
  <c r="AB51" i="3"/>
  <c r="AB54" i="3" s="1"/>
  <c r="DD57" i="3"/>
  <c r="DE51" i="3"/>
  <c r="DD152" i="3"/>
  <c r="DE146" i="3"/>
  <c r="CK152" i="3"/>
  <c r="CL146" i="3"/>
  <c r="CL149" i="3" s="1"/>
  <c r="CK57" i="3"/>
  <c r="CL51" i="3"/>
  <c r="CL54" i="3" s="1"/>
  <c r="BS104" i="2"/>
  <c r="BT104" i="2" s="1"/>
  <c r="CO96" i="2"/>
  <c r="BS115" i="2"/>
  <c r="CO115" i="2" s="1"/>
  <c r="BS97" i="2"/>
  <c r="CO97" i="2" s="1"/>
  <c r="BB121" i="2"/>
  <c r="BB100" i="2" s="1"/>
  <c r="BM79" i="53" l="1"/>
  <c r="BN80" i="53"/>
  <c r="BN79" i="53" s="1"/>
  <c r="BT116" i="2"/>
  <c r="BU104" i="2"/>
  <c r="BU115" i="2"/>
  <c r="BU116" i="2" s="1"/>
  <c r="BV96" i="2"/>
  <c r="BU97" i="2"/>
  <c r="CM83" i="53"/>
  <c r="CL57" i="3"/>
  <c r="CM51" i="3"/>
  <c r="CL152" i="3"/>
  <c r="CM146" i="3"/>
  <c r="AC51" i="3"/>
  <c r="AC54" i="3" s="1"/>
  <c r="AB57" i="3"/>
  <c r="AR146" i="3"/>
  <c r="AQ152" i="3"/>
  <c r="BB101" i="2"/>
  <c r="BC111" i="2"/>
  <c r="BS116" i="2"/>
  <c r="CO116" i="2"/>
  <c r="CO104" i="2"/>
  <c r="BV115" i="2" l="1"/>
  <c r="BV116" i="2" s="1"/>
  <c r="BW96" i="2"/>
  <c r="CP96" i="2" s="1"/>
  <c r="BV97" i="2"/>
  <c r="BV104" i="2"/>
  <c r="BO83" i="53"/>
  <c r="BP83" i="53" s="1"/>
  <c r="AS146" i="3"/>
  <c r="AS149" i="3" s="1"/>
  <c r="AS152" i="3" s="1"/>
  <c r="AR149" i="3"/>
  <c r="AR152" i="3" s="1"/>
  <c r="AU146" i="3"/>
  <c r="AU149" i="3" s="1"/>
  <c r="AT146" i="3"/>
  <c r="AT149" i="3" s="1"/>
  <c r="AT152" i="3" s="1"/>
  <c r="AC57" i="3"/>
  <c r="AD51" i="3"/>
  <c r="AD54" i="3" s="1"/>
  <c r="BO80" i="53"/>
  <c r="BC120" i="2"/>
  <c r="CK120" i="2" s="1"/>
  <c r="BC112" i="2"/>
  <c r="CK111" i="2"/>
  <c r="CK112" i="2" s="1"/>
  <c r="BW104" i="2" l="1"/>
  <c r="CP104" i="2" s="1"/>
  <c r="BW97" i="2"/>
  <c r="CP97" i="2" s="1"/>
  <c r="BW115" i="2"/>
  <c r="BW116" i="2" s="1"/>
  <c r="BQ83" i="53"/>
  <c r="BR83" i="53" s="1"/>
  <c r="BS83" i="53" s="1"/>
  <c r="BT83" i="53" s="1"/>
  <c r="CN83" i="53"/>
  <c r="AD57" i="3"/>
  <c r="AE51" i="3"/>
  <c r="AE54" i="3" s="1"/>
  <c r="AU152" i="3"/>
  <c r="AV146" i="3"/>
  <c r="BP80" i="53"/>
  <c r="BC121" i="2"/>
  <c r="BC100" i="2" s="1"/>
  <c r="CK121" i="2"/>
  <c r="CP115" i="2" l="1"/>
  <c r="CP116" i="2" s="1"/>
  <c r="BU83" i="53"/>
  <c r="CO83" i="53"/>
  <c r="AW146" i="3"/>
  <c r="AW149" i="3" s="1"/>
  <c r="AW152" i="3" s="1"/>
  <c r="AV149" i="3"/>
  <c r="AV152" i="3" s="1"/>
  <c r="AY146" i="3"/>
  <c r="AY149" i="3" s="1"/>
  <c r="AX146" i="3"/>
  <c r="AX149" i="3" s="1"/>
  <c r="AX152" i="3" s="1"/>
  <c r="AE57" i="3"/>
  <c r="AF51" i="3"/>
  <c r="AF54" i="3" s="1"/>
  <c r="BQ80" i="53"/>
  <c r="CK100" i="2"/>
  <c r="BC101" i="2"/>
  <c r="CK101" i="2" s="1"/>
  <c r="BD111" i="2"/>
  <c r="BV83" i="53" l="1"/>
  <c r="AF57" i="3"/>
  <c r="AG51" i="3"/>
  <c r="AG54" i="3" s="1"/>
  <c r="AY152" i="3"/>
  <c r="AZ146" i="3"/>
  <c r="BR80" i="53"/>
  <c r="BD120" i="2"/>
  <c r="BD112" i="2"/>
  <c r="BW83" i="53" l="1"/>
  <c r="CP83" i="53" s="1"/>
  <c r="BC146" i="3"/>
  <c r="BC149" i="3" s="1"/>
  <c r="BB146" i="3"/>
  <c r="BB149" i="3" s="1"/>
  <c r="BB152" i="3" s="1"/>
  <c r="BA146" i="3"/>
  <c r="BA149" i="3" s="1"/>
  <c r="BA152" i="3" s="1"/>
  <c r="AZ149" i="3"/>
  <c r="AZ152" i="3" s="1"/>
  <c r="AH51" i="3"/>
  <c r="AH54" i="3" s="1"/>
  <c r="AG57" i="3"/>
  <c r="BS80" i="53"/>
  <c r="BT80" i="53" s="1"/>
  <c r="BU80" i="53" s="1"/>
  <c r="BV80" i="53" s="1"/>
  <c r="BW80" i="53" s="1"/>
  <c r="BD121" i="2"/>
  <c r="BD100" i="2" s="1"/>
  <c r="BJ88" i="53"/>
  <c r="DE57" i="2"/>
  <c r="BI88" i="53"/>
  <c r="BJ28" i="53" l="1"/>
  <c r="BN30" i="53" s="1"/>
  <c r="BJ39" i="53"/>
  <c r="BN41" i="53" s="1"/>
  <c r="BJ17" i="53"/>
  <c r="BN19" i="53" s="1"/>
  <c r="BJ50" i="53"/>
  <c r="BN52" i="53" s="1"/>
  <c r="BJ61" i="53"/>
  <c r="BN63" i="53" s="1"/>
  <c r="AH57" i="3"/>
  <c r="AI51" i="3"/>
  <c r="AI54" i="3" s="1"/>
  <c r="BC152" i="3"/>
  <c r="BD146" i="3"/>
  <c r="DE28" i="2"/>
  <c r="DE12" i="2"/>
  <c r="DE52" i="2" s="1"/>
  <c r="DE51" i="2" s="1"/>
  <c r="BD101" i="2"/>
  <c r="BE111" i="2"/>
  <c r="BI89" i="53"/>
  <c r="BJ89" i="53"/>
  <c r="DF88" i="53"/>
  <c r="BJ53" i="53" l="1"/>
  <c r="BJ52" i="53"/>
  <c r="BJ20" i="53"/>
  <c r="BJ19" i="53"/>
  <c r="BJ42" i="53"/>
  <c r="BJ41" i="53"/>
  <c r="BJ64" i="53"/>
  <c r="BJ63" i="53"/>
  <c r="BJ31" i="53"/>
  <c r="BJ30" i="53"/>
  <c r="BE146" i="3"/>
  <c r="BE149" i="3" s="1"/>
  <c r="BE152" i="3" s="1"/>
  <c r="BF146" i="3"/>
  <c r="BF149" i="3" s="1"/>
  <c r="BF152" i="3" s="1"/>
  <c r="BG146" i="3"/>
  <c r="BG149" i="3" s="1"/>
  <c r="BD149" i="3"/>
  <c r="BD152" i="3" s="1"/>
  <c r="AJ51" i="3"/>
  <c r="AJ54" i="3" s="1"/>
  <c r="AI57" i="3"/>
  <c r="DE21" i="3"/>
  <c r="DE116" i="3" s="1"/>
  <c r="DE23" i="3"/>
  <c r="DE118" i="3" s="1"/>
  <c r="DE34" i="2"/>
  <c r="DE53" i="2"/>
  <c r="BE120" i="2"/>
  <c r="BE112" i="2"/>
  <c r="BJ88" i="3"/>
  <c r="DF89" i="53"/>
  <c r="AK51" i="3" l="1"/>
  <c r="AK54" i="3" s="1"/>
  <c r="AJ57" i="3"/>
  <c r="BH146" i="3"/>
  <c r="BG152" i="3"/>
  <c r="BH92" i="3"/>
  <c r="BE121" i="2"/>
  <c r="BE100" i="2" s="1"/>
  <c r="BI146" i="3" l="1"/>
  <c r="BI149" i="3" s="1"/>
  <c r="BI152" i="3" s="1"/>
  <c r="BJ146" i="3"/>
  <c r="BJ149" i="3" s="1"/>
  <c r="BJ152" i="3" s="1"/>
  <c r="BK146" i="3"/>
  <c r="BH149" i="3"/>
  <c r="BH152" i="3" s="1"/>
  <c r="AK57" i="3"/>
  <c r="AL51" i="3"/>
  <c r="AL54" i="3" s="1"/>
  <c r="DE88" i="3"/>
  <c r="BE101" i="2"/>
  <c r="BF111" i="2"/>
  <c r="AL57" i="3" l="1"/>
  <c r="AM51" i="3"/>
  <c r="AM54" i="3" s="1"/>
  <c r="BF120" i="2"/>
  <c r="BF112" i="2"/>
  <c r="AN51" i="3" l="1"/>
  <c r="AN54" i="3" s="1"/>
  <c r="AM57" i="3"/>
  <c r="BF121" i="2"/>
  <c r="BF100" i="2" s="1"/>
  <c r="AN57" i="3" l="1"/>
  <c r="AO51" i="3"/>
  <c r="AO54" i="3" s="1"/>
  <c r="DE91" i="3"/>
  <c r="BF101" i="2"/>
  <c r="BG111" i="2"/>
  <c r="CL111" i="2" s="1"/>
  <c r="AO57" i="3" l="1"/>
  <c r="AP51" i="3"/>
  <c r="AP54" i="3" s="1"/>
  <c r="BK126" i="2"/>
  <c r="BK91" i="3"/>
  <c r="BG120" i="2"/>
  <c r="CL120" i="2" s="1"/>
  <c r="BG112" i="2"/>
  <c r="CL112" i="2"/>
  <c r="CM126" i="2"/>
  <c r="AQ51" i="3" l="1"/>
  <c r="AQ54" i="3" s="1"/>
  <c r="AP57" i="3"/>
  <c r="BL126" i="2"/>
  <c r="BL91" i="3"/>
  <c r="CM91" i="3"/>
  <c r="BG121" i="2"/>
  <c r="BG100" i="2" s="1"/>
  <c r="CL121" i="2"/>
  <c r="AQ57" i="3" l="1"/>
  <c r="AR51" i="3"/>
  <c r="AR54" i="3" s="1"/>
  <c r="BM126" i="2"/>
  <c r="BM91" i="3"/>
  <c r="BN126" i="2"/>
  <c r="BN91" i="3"/>
  <c r="DE9" i="3"/>
  <c r="BG101" i="2"/>
  <c r="CL101" i="2" s="1"/>
  <c r="CL100" i="2"/>
  <c r="BH111" i="2"/>
  <c r="DE69" i="2"/>
  <c r="DE150" i="2" s="1"/>
  <c r="AR57" i="3" l="1"/>
  <c r="AS51" i="3"/>
  <c r="AS54" i="3" s="1"/>
  <c r="DF91" i="3"/>
  <c r="DE104" i="3"/>
  <c r="BH120" i="2"/>
  <c r="BH112" i="2"/>
  <c r="DE42" i="2"/>
  <c r="DE71" i="2"/>
  <c r="AS57" i="3" l="1"/>
  <c r="AT51" i="3"/>
  <c r="AT54" i="3" s="1"/>
  <c r="BO126" i="2"/>
  <c r="BO91" i="3"/>
  <c r="DE82" i="2"/>
  <c r="DE83" i="2" s="1"/>
  <c r="DE81" i="2"/>
  <c r="DE73" i="2"/>
  <c r="DE74" i="2" s="1"/>
  <c r="BH121" i="2"/>
  <c r="BH100" i="2" s="1"/>
  <c r="BI111" i="2" s="1"/>
  <c r="CN126" i="2"/>
  <c r="BI120" i="2" l="1"/>
  <c r="BI112" i="2"/>
  <c r="AT57" i="3"/>
  <c r="AU51" i="3"/>
  <c r="AU54" i="3" s="1"/>
  <c r="BP126" i="2"/>
  <c r="BP91" i="3"/>
  <c r="BQ126" i="2"/>
  <c r="BQ91" i="3"/>
  <c r="CN91" i="3"/>
  <c r="BH101" i="2"/>
  <c r="BI121" i="2" l="1"/>
  <c r="BI100" i="2" s="1"/>
  <c r="BJ111" i="2" s="1"/>
  <c r="BJ112" i="2" s="1"/>
  <c r="BJ120" i="2"/>
  <c r="BJ121" i="2" s="1"/>
  <c r="BJ100" i="2" s="1"/>
  <c r="BJ101" i="2" s="1"/>
  <c r="AV51" i="3"/>
  <c r="AV54" i="3" s="1"/>
  <c r="AU57" i="3"/>
  <c r="BI101" i="2" l="1"/>
  <c r="AV57" i="3"/>
  <c r="AW51" i="3"/>
  <c r="AW54" i="3" s="1"/>
  <c r="BS126" i="2"/>
  <c r="BS91" i="3"/>
  <c r="DH91" i="3" s="1"/>
  <c r="BR126" i="2"/>
  <c r="BR91" i="3"/>
  <c r="CO126" i="2"/>
  <c r="AW57" i="3" l="1"/>
  <c r="AX51" i="3"/>
  <c r="AX54" i="3" s="1"/>
  <c r="DG91" i="3"/>
  <c r="CO91" i="3"/>
  <c r="AY51" i="3" l="1"/>
  <c r="AY54" i="3" s="1"/>
  <c r="AX57" i="3"/>
  <c r="DE15" i="3" l="1"/>
  <c r="AY57" i="3"/>
  <c r="AZ51" i="3"/>
  <c r="AZ54" i="3" s="1"/>
  <c r="DE110" i="3" l="1"/>
  <c r="DE121" i="3" s="1"/>
  <c r="DE148" i="3" s="1"/>
  <c r="DE149" i="3" s="1"/>
  <c r="DF146" i="3" s="1"/>
  <c r="DE26" i="3"/>
  <c r="DE95" i="3" s="1"/>
  <c r="DE96" i="3" s="1"/>
  <c r="BA51" i="3"/>
  <c r="BA54" i="3" s="1"/>
  <c r="AZ57" i="3"/>
  <c r="BK111" i="2"/>
  <c r="CM111" i="2" s="1"/>
  <c r="DE53" i="3" l="1"/>
  <c r="DE54" i="3" s="1"/>
  <c r="DF51" i="3" s="1"/>
  <c r="BB51" i="3"/>
  <c r="BB54" i="3" s="1"/>
  <c r="BA57" i="3"/>
  <c r="DE36" i="2"/>
  <c r="BK120" i="2"/>
  <c r="CM120" i="2" s="1"/>
  <c r="BK112" i="2"/>
  <c r="CM112" i="2"/>
  <c r="BB57" i="3" l="1"/>
  <c r="BC51" i="3"/>
  <c r="BC54" i="3" s="1"/>
  <c r="BK121" i="2"/>
  <c r="CM121" i="2"/>
  <c r="DE87" i="2"/>
  <c r="DE44" i="2"/>
  <c r="CM15" i="3" l="1"/>
  <c r="BD51" i="3"/>
  <c r="BD54" i="3" s="1"/>
  <c r="BC57" i="3"/>
  <c r="BK100" i="2"/>
  <c r="CM110" i="3" l="1"/>
  <c r="BE51" i="3"/>
  <c r="BE54" i="3" s="1"/>
  <c r="BD57" i="3"/>
  <c r="CM100" i="2"/>
  <c r="BK101" i="2"/>
  <c r="CM101" i="2" s="1"/>
  <c r="BL111" i="2"/>
  <c r="BE57" i="3" l="1"/>
  <c r="BF51" i="3"/>
  <c r="BF54" i="3" s="1"/>
  <c r="CM36" i="2"/>
  <c r="BK124" i="2"/>
  <c r="BL120" i="2"/>
  <c r="BL112" i="2"/>
  <c r="BL121" i="2" l="1"/>
  <c r="BL100" i="2" s="1"/>
  <c r="BG51" i="3"/>
  <c r="BG54" i="3" s="1"/>
  <c r="BF57" i="3"/>
  <c r="BK125" i="2"/>
  <c r="CM87" i="2"/>
  <c r="CM124" i="2"/>
  <c r="BH51" i="3" l="1"/>
  <c r="BH54" i="3" s="1"/>
  <c r="BI51" i="3" s="1"/>
  <c r="BI54" i="3" s="1"/>
  <c r="BJ51" i="3" s="1"/>
  <c r="BJ54" i="3" s="1"/>
  <c r="BG57" i="3"/>
  <c r="CM125" i="2"/>
  <c r="CM127" i="2" s="1"/>
  <c r="BL101" i="2"/>
  <c r="BM111" i="2"/>
  <c r="BJ57" i="3" l="1"/>
  <c r="BK51" i="3"/>
  <c r="BI57" i="3"/>
  <c r="BH57" i="3"/>
  <c r="BL124" i="2"/>
  <c r="BL87" i="2"/>
  <c r="BM120" i="2"/>
  <c r="BM112" i="2"/>
  <c r="BM121" i="2" l="1"/>
  <c r="BL125" i="2"/>
  <c r="BM100" i="2"/>
  <c r="BM101" i="2" l="1"/>
  <c r="BN111" i="2"/>
  <c r="BN120" i="2" l="1"/>
  <c r="BN112" i="2"/>
  <c r="BM124" i="2"/>
  <c r="BN121" i="2" l="1"/>
  <c r="BN100" i="2" s="1"/>
  <c r="DF15" i="3"/>
  <c r="BM125" i="2"/>
  <c r="DF110" i="3" l="1"/>
  <c r="BN101" i="2"/>
  <c r="BO111" i="2"/>
  <c r="CN111" i="2" s="1"/>
  <c r="DF36" i="2" l="1"/>
  <c r="BN87" i="2"/>
  <c r="BN124" i="2"/>
  <c r="BO120" i="2"/>
  <c r="CN120" i="2" s="1"/>
  <c r="BO112" i="2"/>
  <c r="CN112" i="2"/>
  <c r="DF87" i="2" l="1"/>
  <c r="BO121" i="2"/>
  <c r="CN121" i="2"/>
  <c r="BN125" i="2"/>
  <c r="CN15" i="3" l="1"/>
  <c r="BO110" i="3"/>
  <c r="BO100" i="2"/>
  <c r="CN110" i="3" l="1"/>
  <c r="BO101" i="2"/>
  <c r="CN101" i="2" s="1"/>
  <c r="CN100" i="2"/>
  <c r="BP111" i="2"/>
  <c r="BO36" i="2"/>
  <c r="CN36" i="2" l="1"/>
  <c r="BO87" i="2"/>
  <c r="BO124" i="2"/>
  <c r="BP120" i="2"/>
  <c r="BP112" i="2"/>
  <c r="BP121" i="2" l="1"/>
  <c r="BP110" i="3" s="1"/>
  <c r="BO125" i="2"/>
  <c r="CN124" i="2"/>
  <c r="CN87" i="2"/>
  <c r="BK133" i="2"/>
  <c r="BK135" i="2" s="1"/>
  <c r="BK143" i="2" s="1"/>
  <c r="DE9" i="2"/>
  <c r="BP100" i="2" l="1"/>
  <c r="BP101" i="2" s="1"/>
  <c r="DE151" i="3"/>
  <c r="DE152" i="3" s="1"/>
  <c r="DE56" i="3"/>
  <c r="DE57" i="3" s="1"/>
  <c r="DE86" i="2"/>
  <c r="DE88" i="2" s="1"/>
  <c r="DE89" i="2" s="1"/>
  <c r="DE16" i="2"/>
  <c r="CN125" i="2"/>
  <c r="CN127" i="2" s="1"/>
  <c r="BP36" i="2"/>
  <c r="BQ111" i="2"/>
  <c r="BP87" i="2" l="1"/>
  <c r="BP124" i="2"/>
  <c r="DE91" i="2"/>
  <c r="DE25" i="2"/>
  <c r="BQ120" i="2"/>
  <c r="BQ112" i="2"/>
  <c r="BQ121" i="2" l="1"/>
  <c r="BQ110" i="3" s="1"/>
  <c r="DE46" i="2"/>
  <c r="DE67" i="3"/>
  <c r="BP125" i="2"/>
  <c r="BQ100" i="2"/>
  <c r="BQ101" i="2" l="1"/>
  <c r="BR111" i="2"/>
  <c r="BQ36" i="2"/>
  <c r="BQ87" i="2" l="1"/>
  <c r="BQ124" i="2"/>
  <c r="BR120" i="2"/>
  <c r="BR112" i="2"/>
  <c r="BR121" i="2" l="1"/>
  <c r="DG15" i="3" s="1"/>
  <c r="BR110" i="3"/>
  <c r="BQ125" i="2"/>
  <c r="BR100" i="2" l="1"/>
  <c r="BS111" i="2" s="1"/>
  <c r="CO111" i="2" s="1"/>
  <c r="DG110" i="3"/>
  <c r="BR101" i="2"/>
  <c r="BR36" i="2"/>
  <c r="DG36" i="2" l="1"/>
  <c r="BR124" i="2"/>
  <c r="BR87" i="2"/>
  <c r="BS120" i="2"/>
  <c r="CO120" i="2" s="1"/>
  <c r="BS112" i="2"/>
  <c r="CO112" i="2"/>
  <c r="BS121" i="2" l="1"/>
  <c r="CO121" i="2"/>
  <c r="BR125" i="2"/>
  <c r="DG87" i="2"/>
  <c r="CO15" i="3" l="1"/>
  <c r="BS110" i="3"/>
  <c r="BS100" i="2"/>
  <c r="BT111" i="2" l="1"/>
  <c r="CO110" i="3"/>
  <c r="CO100" i="2"/>
  <c r="BS101" i="2"/>
  <c r="CO101" i="2" s="1"/>
  <c r="BS36" i="2"/>
  <c r="BT112" i="2" l="1"/>
  <c r="BT120" i="2"/>
  <c r="CO36" i="2"/>
  <c r="BS124" i="2"/>
  <c r="BS87" i="2"/>
  <c r="BT121" i="2" l="1"/>
  <c r="BT100" i="2" s="1"/>
  <c r="BS125" i="2"/>
  <c r="CO124" i="2"/>
  <c r="CO87" i="2"/>
  <c r="CO125" i="2" l="1"/>
  <c r="CO127" i="2" s="1"/>
  <c r="BT101" i="2"/>
  <c r="BU111" i="2"/>
  <c r="BT110" i="3"/>
  <c r="BT36" i="2"/>
  <c r="BI122" i="53"/>
  <c r="BI121" i="53"/>
  <c r="BI117" i="53"/>
  <c r="BI124" i="53"/>
  <c r="BI123" i="53"/>
  <c r="BI120" i="53"/>
  <c r="BI11" i="53"/>
  <c r="BM14" i="53" s="1"/>
  <c r="BT124" i="2" l="1"/>
  <c r="BT87" i="2"/>
  <c r="BU120" i="2"/>
  <c r="BU112" i="2"/>
  <c r="BJ12" i="53"/>
  <c r="CM11" i="53"/>
  <c r="BI125" i="53"/>
  <c r="BI127" i="53" s="1"/>
  <c r="BI12" i="53"/>
  <c r="BI14" i="53"/>
  <c r="DE11" i="53"/>
  <c r="BI66" i="53"/>
  <c r="BM69" i="53" s="1"/>
  <c r="BV13" i="53" l="1"/>
  <c r="BN13" i="53"/>
  <c r="BU13" i="53"/>
  <c r="BM13" i="53"/>
  <c r="BU121" i="2"/>
  <c r="BR13" i="53"/>
  <c r="BT125" i="2"/>
  <c r="BU100" i="2"/>
  <c r="BI15" i="53"/>
  <c r="BJ67" i="53"/>
  <c r="CM14" i="53"/>
  <c r="CM66" i="53"/>
  <c r="BQ13" i="53"/>
  <c r="BJ85" i="53"/>
  <c r="BI79" i="53"/>
  <c r="BI67" i="53"/>
  <c r="BI37" i="53"/>
  <c r="BI26" i="53"/>
  <c r="BI69" i="53"/>
  <c r="BI48" i="53"/>
  <c r="BI59" i="53"/>
  <c r="DE14" i="53"/>
  <c r="DE66" i="53"/>
  <c r="DE15" i="53" s="1"/>
  <c r="BJ79" i="53"/>
  <c r="BU101" i="2" l="1"/>
  <c r="BV111" i="2"/>
  <c r="BU110" i="3"/>
  <c r="BU36" i="2"/>
  <c r="BI17" i="53"/>
  <c r="BI20" i="53" s="1"/>
  <c r="BK79" i="53"/>
  <c r="BI50" i="53"/>
  <c r="CM37" i="53"/>
  <c r="CM48" i="53"/>
  <c r="CM59" i="53"/>
  <c r="CM26" i="53"/>
  <c r="CM69" i="53"/>
  <c r="BJ76" i="53"/>
  <c r="BJ86" i="53"/>
  <c r="BJ81" i="53"/>
  <c r="BI81" i="53"/>
  <c r="CM15" i="53"/>
  <c r="BI61" i="53"/>
  <c r="BI39" i="53"/>
  <c r="DE48" i="53"/>
  <c r="DE26" i="53"/>
  <c r="DE69" i="53"/>
  <c r="DE59" i="53"/>
  <c r="DE37" i="53"/>
  <c r="BI28" i="53"/>
  <c r="BI18" i="53"/>
  <c r="BJ29" i="53" l="1"/>
  <c r="BM30" i="53"/>
  <c r="BJ40" i="53"/>
  <c r="BM41" i="53"/>
  <c r="BJ62" i="53"/>
  <c r="BM63" i="53"/>
  <c r="BJ51" i="53"/>
  <c r="BM52" i="53"/>
  <c r="BJ18" i="53"/>
  <c r="BM19" i="53"/>
  <c r="BI19" i="53"/>
  <c r="BU87" i="2"/>
  <c r="BU124" i="2"/>
  <c r="BU125" i="2" s="1"/>
  <c r="BV120" i="2"/>
  <c r="BV112" i="2"/>
  <c r="CM79" i="53"/>
  <c r="BI85" i="53"/>
  <c r="BI30" i="53"/>
  <c r="BI29" i="53"/>
  <c r="BI31" i="53"/>
  <c r="BI42" i="53"/>
  <c r="BI41" i="53"/>
  <c r="BI40" i="53"/>
  <c r="BI53" i="53"/>
  <c r="BI52" i="53"/>
  <c r="BI51" i="53"/>
  <c r="BI64" i="53"/>
  <c r="BI63" i="53"/>
  <c r="BI62" i="53"/>
  <c r="BV121" i="2" l="1"/>
  <c r="DH15" i="3"/>
  <c r="DH110" i="3" s="1"/>
  <c r="BV100" i="2"/>
  <c r="CM71" i="53"/>
  <c r="BI76" i="53"/>
  <c r="BI86" i="53"/>
  <c r="CM56" i="2"/>
  <c r="BO11" i="53"/>
  <c r="CN11" i="53" s="1"/>
  <c r="DF11" i="53"/>
  <c r="BV101" i="2" l="1"/>
  <c r="BW111" i="2"/>
  <c r="CP111" i="2" s="1"/>
  <c r="CP112" i="2" s="1"/>
  <c r="BV110" i="3"/>
  <c r="BV36" i="2"/>
  <c r="DH36" i="2" s="1"/>
  <c r="DH87" i="2" s="1"/>
  <c r="CN66" i="53"/>
  <c r="CN14" i="53"/>
  <c r="BL89" i="3"/>
  <c r="DF14" i="53"/>
  <c r="DF66" i="53"/>
  <c r="DF15" i="53" s="1"/>
  <c r="BO14" i="53"/>
  <c r="BP11" i="53"/>
  <c r="BO66" i="53"/>
  <c r="BO8" i="83" s="1"/>
  <c r="CM66" i="3"/>
  <c r="BK69" i="3"/>
  <c r="BL80" i="3"/>
  <c r="CM11" i="2"/>
  <c r="CM50" i="2" s="1"/>
  <c r="BK89" i="3"/>
  <c r="CM29" i="3"/>
  <c r="BK131" i="3"/>
  <c r="CM15" i="2"/>
  <c r="CM54" i="2" s="1"/>
  <c r="BO125" i="83" l="1"/>
  <c r="BO126" i="83" s="1"/>
  <c r="CN8" i="83"/>
  <c r="BO11" i="83"/>
  <c r="BO10" i="83"/>
  <c r="DF71" i="53"/>
  <c r="BV124" i="2"/>
  <c r="BV125" i="2" s="1"/>
  <c r="BV87" i="2"/>
  <c r="BW120" i="2"/>
  <c r="BW112" i="2"/>
  <c r="BL69" i="3"/>
  <c r="DF69" i="53"/>
  <c r="DF59" i="53"/>
  <c r="DF48" i="53"/>
  <c r="DF37" i="53"/>
  <c r="DF26" i="53"/>
  <c r="CM89" i="3"/>
  <c r="CM18" i="2"/>
  <c r="BK71" i="3"/>
  <c r="BK72" i="3" s="1"/>
  <c r="BO69" i="53"/>
  <c r="BO48" i="53"/>
  <c r="BO26" i="53"/>
  <c r="BO79" i="53"/>
  <c r="CN79" i="53" s="1"/>
  <c r="BO59" i="53"/>
  <c r="BO67" i="53"/>
  <c r="BO37" i="53"/>
  <c r="BO15" i="53"/>
  <c r="CN69" i="53"/>
  <c r="CN48" i="53"/>
  <c r="CN37" i="53"/>
  <c r="CN59" i="53"/>
  <c r="CN26" i="53"/>
  <c r="CM25" i="3"/>
  <c r="CM120" i="3" s="1"/>
  <c r="CM36" i="3"/>
  <c r="CM62" i="3"/>
  <c r="CM64" i="3" s="1"/>
  <c r="CM124" i="3"/>
  <c r="CM131" i="3" s="1"/>
  <c r="CM20" i="3"/>
  <c r="CM69" i="3"/>
  <c r="BP14" i="53"/>
  <c r="BP66" i="53"/>
  <c r="BQ11" i="53"/>
  <c r="DF56" i="2"/>
  <c r="CN15" i="53"/>
  <c r="CN125" i="83" l="1"/>
  <c r="CN11" i="83"/>
  <c r="BP8" i="83"/>
  <c r="BO42" i="83"/>
  <c r="BO30" i="83"/>
  <c r="BW121" i="2"/>
  <c r="CP120" i="2"/>
  <c r="CP121" i="2" s="1"/>
  <c r="CP15" i="3"/>
  <c r="CP110" i="3" s="1"/>
  <c r="BW100" i="2"/>
  <c r="CN71" i="53"/>
  <c r="BN89" i="3"/>
  <c r="BQ14" i="53"/>
  <c r="BQ66" i="53"/>
  <c r="BQ8" i="83" s="1"/>
  <c r="BR11" i="53"/>
  <c r="CM115" i="3"/>
  <c r="BO62" i="3"/>
  <c r="BO56" i="2"/>
  <c r="BM69" i="3"/>
  <c r="BP48" i="53"/>
  <c r="BP69" i="53"/>
  <c r="BP26" i="53"/>
  <c r="BP67" i="53"/>
  <c r="BP37" i="53"/>
  <c r="BP59" i="53"/>
  <c r="BP79" i="53"/>
  <c r="BP15" i="53"/>
  <c r="CN56" i="2"/>
  <c r="CM71" i="3"/>
  <c r="CM72" i="3" s="1"/>
  <c r="BL71" i="3"/>
  <c r="BL72" i="3" s="1"/>
  <c r="BO29" i="3" l="1"/>
  <c r="BO89" i="3" s="1"/>
  <c r="BQ10" i="83"/>
  <c r="BQ125" i="83"/>
  <c r="BQ11" i="83"/>
  <c r="BP125" i="83"/>
  <c r="BP126" i="83" s="1"/>
  <c r="BP11" i="83"/>
  <c r="BP10" i="83"/>
  <c r="CN30" i="83"/>
  <c r="BO26" i="83"/>
  <c r="BO38" i="83"/>
  <c r="CN42" i="83"/>
  <c r="CN126" i="83"/>
  <c r="DF20" i="3"/>
  <c r="DF115" i="3" s="1"/>
  <c r="BW101" i="2"/>
  <c r="CP101" i="2" s="1"/>
  <c r="CP100" i="2"/>
  <c r="BW36" i="2"/>
  <c r="CP36" i="2" s="1"/>
  <c r="BW110" i="3"/>
  <c r="DF66" i="3"/>
  <c r="BO66" i="3"/>
  <c r="BO15" i="2"/>
  <c r="BO25" i="3" s="1"/>
  <c r="CN25" i="3" s="1"/>
  <c r="CN120" i="3" s="1"/>
  <c r="BO11" i="2"/>
  <c r="BO20" i="3" s="1"/>
  <c r="BR14" i="53"/>
  <c r="BS11" i="53"/>
  <c r="BR66" i="53"/>
  <c r="BR8" i="83" s="1"/>
  <c r="BP56" i="2"/>
  <c r="BP62" i="3"/>
  <c r="BP29" i="3" s="1"/>
  <c r="BM71" i="3"/>
  <c r="BM72" i="3" s="1"/>
  <c r="BQ59" i="53"/>
  <c r="BQ48" i="53"/>
  <c r="BQ79" i="53"/>
  <c r="BQ69" i="53"/>
  <c r="BQ26" i="53"/>
  <c r="BQ67" i="53"/>
  <c r="BQ37" i="53"/>
  <c r="DF11" i="2"/>
  <c r="DF50" i="2" s="1"/>
  <c r="BO71" i="53"/>
  <c r="CM57" i="2"/>
  <c r="CM88" i="53"/>
  <c r="DF15" i="2"/>
  <c r="DF54" i="2" s="1"/>
  <c r="DG11" i="53"/>
  <c r="BQ15" i="53"/>
  <c r="BK88" i="53"/>
  <c r="DF25" i="3"/>
  <c r="DF120" i="3" s="1"/>
  <c r="BP42" i="83" l="1"/>
  <c r="BP38" i="83" s="1"/>
  <c r="BR125" i="83"/>
  <c r="BR126" i="83" s="1"/>
  <c r="BR11" i="83"/>
  <c r="BR10" i="83"/>
  <c r="DG8" i="83"/>
  <c r="BO27" i="83"/>
  <c r="CN26" i="83"/>
  <c r="BO35" i="83"/>
  <c r="BO28" i="83"/>
  <c r="BO57" i="83"/>
  <c r="BO48" i="83"/>
  <c r="BO49" i="83" s="1"/>
  <c r="BO40" i="83"/>
  <c r="BO39" i="83"/>
  <c r="CN38" i="83"/>
  <c r="BP30" i="83"/>
  <c r="BQ126" i="83"/>
  <c r="BT11" i="53"/>
  <c r="BT14" i="53" s="1"/>
  <c r="CP87" i="2"/>
  <c r="CP124" i="2"/>
  <c r="CP125" i="2" s="1"/>
  <c r="CP127" i="2" s="1"/>
  <c r="CO11" i="53"/>
  <c r="CO14" i="53" s="1"/>
  <c r="BW124" i="2"/>
  <c r="BW125" i="2" s="1"/>
  <c r="BW87" i="2"/>
  <c r="BR15" i="53"/>
  <c r="BK39" i="53"/>
  <c r="BL40" i="53" s="1"/>
  <c r="BK50" i="53"/>
  <c r="BL51" i="53" s="1"/>
  <c r="BK17" i="53"/>
  <c r="BL18" i="53" s="1"/>
  <c r="BK28" i="53"/>
  <c r="BL29" i="53" s="1"/>
  <c r="BK61" i="53"/>
  <c r="BL62" i="53" s="1"/>
  <c r="BK89" i="53"/>
  <c r="CM12" i="2"/>
  <c r="CM52" i="2" s="1"/>
  <c r="CM51" i="2" s="1"/>
  <c r="BS14" i="53"/>
  <c r="BS66" i="53"/>
  <c r="BS8" i="83" s="1"/>
  <c r="CN15" i="2"/>
  <c r="CN54" i="2" s="1"/>
  <c r="BP71" i="53"/>
  <c r="CM28" i="2"/>
  <c r="CN20" i="3"/>
  <c r="CN115" i="3" s="1"/>
  <c r="CN66" i="3"/>
  <c r="BO69" i="3"/>
  <c r="BO18" i="2" s="1"/>
  <c r="BP66" i="3"/>
  <c r="DG14" i="53"/>
  <c r="DG66" i="53"/>
  <c r="DG15" i="53" s="1"/>
  <c r="CM89" i="53"/>
  <c r="BO115" i="3"/>
  <c r="BP89" i="3"/>
  <c r="BP124" i="3"/>
  <c r="BP11" i="2"/>
  <c r="BP20" i="3" s="1"/>
  <c r="BP15" i="2"/>
  <c r="BP25" i="3" s="1"/>
  <c r="DF18" i="2"/>
  <c r="BQ56" i="2"/>
  <c r="BQ62" i="3"/>
  <c r="BQ29" i="3" s="1"/>
  <c r="BO120" i="3"/>
  <c r="BR69" i="53"/>
  <c r="BR26" i="53"/>
  <c r="BR37" i="53"/>
  <c r="BR48" i="53"/>
  <c r="BR79" i="53"/>
  <c r="BR59" i="53"/>
  <c r="BR67" i="53"/>
  <c r="CN11" i="2"/>
  <c r="CN50" i="2" s="1"/>
  <c r="DF69" i="3"/>
  <c r="BQ42" i="83" l="1"/>
  <c r="BQ38" i="83" s="1"/>
  <c r="CO66" i="53"/>
  <c r="CO15" i="53" s="1"/>
  <c r="BU11" i="53"/>
  <c r="BU66" i="53" s="1"/>
  <c r="CN28" i="83"/>
  <c r="CN27" i="83"/>
  <c r="CN57" i="83"/>
  <c r="CN35" i="83"/>
  <c r="BS125" i="83"/>
  <c r="BS126" i="83" s="1"/>
  <c r="BS11" i="83"/>
  <c r="BS10" i="83"/>
  <c r="BO36" i="83"/>
  <c r="BO58" i="83"/>
  <c r="BO130" i="83" s="1"/>
  <c r="BO131" i="83" s="1"/>
  <c r="DG125" i="83"/>
  <c r="DG11" i="83"/>
  <c r="CN40" i="83"/>
  <c r="CN39" i="83"/>
  <c r="CN48" i="83"/>
  <c r="CN49" i="83" s="1"/>
  <c r="BQ30" i="83"/>
  <c r="BP26" i="83"/>
  <c r="CO8" i="83"/>
  <c r="BP48" i="83"/>
  <c r="BP49" i="83" s="1"/>
  <c r="BP40" i="83"/>
  <c r="BP39" i="83"/>
  <c r="BT66" i="53"/>
  <c r="BS15" i="53"/>
  <c r="BK31" i="53"/>
  <c r="BK29" i="53"/>
  <c r="BK30" i="53"/>
  <c r="CM28" i="53"/>
  <c r="BK19" i="53"/>
  <c r="BK18" i="53"/>
  <c r="BK20" i="53"/>
  <c r="BK85" i="53"/>
  <c r="CM17" i="53"/>
  <c r="BK53" i="53"/>
  <c r="BK51" i="53"/>
  <c r="BK52" i="53"/>
  <c r="BO52" i="53"/>
  <c r="CM50" i="53"/>
  <c r="BK64" i="53"/>
  <c r="BK63" i="53"/>
  <c r="BK62" i="53"/>
  <c r="CM61" i="53"/>
  <c r="BK42" i="53"/>
  <c r="BK41" i="53"/>
  <c r="BK40" i="53"/>
  <c r="CM39" i="53"/>
  <c r="BP120" i="3"/>
  <c r="CM53" i="2"/>
  <c r="CM34" i="2"/>
  <c r="BQ89" i="3"/>
  <c r="DF71" i="3"/>
  <c r="DF72" i="3" s="1"/>
  <c r="BQ124" i="3"/>
  <c r="BP69" i="3"/>
  <c r="BP18" i="2" s="1"/>
  <c r="BQ66" i="3"/>
  <c r="BJ92" i="3"/>
  <c r="CM21" i="3"/>
  <c r="BP115" i="3"/>
  <c r="BR56" i="2"/>
  <c r="BR62" i="3"/>
  <c r="BR29" i="3" s="1"/>
  <c r="DG29" i="3" s="1"/>
  <c r="BQ71" i="53"/>
  <c r="BQ11" i="2"/>
  <c r="BQ20" i="3" s="1"/>
  <c r="BQ15" i="2"/>
  <c r="BQ25" i="3" s="1"/>
  <c r="DG69" i="53"/>
  <c r="DG26" i="53"/>
  <c r="DG59" i="53"/>
  <c r="DG37" i="53"/>
  <c r="DG48" i="53"/>
  <c r="CN18" i="2"/>
  <c r="BO71" i="3"/>
  <c r="BO72" i="3" s="1"/>
  <c r="CO37" i="53"/>
  <c r="CO59" i="53"/>
  <c r="CN69" i="3"/>
  <c r="CM23" i="3"/>
  <c r="CM118" i="3" s="1"/>
  <c r="BS67" i="53"/>
  <c r="BS48" i="53"/>
  <c r="BS69" i="53"/>
  <c r="BS79" i="53"/>
  <c r="CO79" i="53" s="1"/>
  <c r="BS26" i="53"/>
  <c r="BS59" i="53"/>
  <c r="BS37" i="53"/>
  <c r="CO48" i="53" l="1"/>
  <c r="CO69" i="53"/>
  <c r="CO26" i="53"/>
  <c r="BR42" i="83"/>
  <c r="BR38" i="83" s="1"/>
  <c r="DG38" i="83" s="1"/>
  <c r="BV11" i="53"/>
  <c r="DH11" i="53" s="1"/>
  <c r="DH66" i="53" s="1"/>
  <c r="DH15" i="53" s="1"/>
  <c r="BU14" i="53"/>
  <c r="BU15" i="53"/>
  <c r="BU8" i="83"/>
  <c r="CO125" i="83"/>
  <c r="CO126" i="83" s="1"/>
  <c r="CO11" i="83"/>
  <c r="BQ26" i="83"/>
  <c r="BR30" i="83"/>
  <c r="DG30" i="83" s="1"/>
  <c r="BQ40" i="83"/>
  <c r="BQ39" i="83"/>
  <c r="BQ48" i="83"/>
  <c r="BQ49" i="83" s="1"/>
  <c r="BP57" i="83"/>
  <c r="BP35" i="83"/>
  <c r="BP28" i="83"/>
  <c r="BP27" i="83"/>
  <c r="BT15" i="53"/>
  <c r="BT8" i="83"/>
  <c r="BT56" i="2" s="1"/>
  <c r="CN58" i="83"/>
  <c r="CN130" i="83" s="1"/>
  <c r="CN131" i="83" s="1"/>
  <c r="CN36" i="83"/>
  <c r="BT69" i="53"/>
  <c r="BT48" i="53"/>
  <c r="DG71" i="53"/>
  <c r="BT79" i="53"/>
  <c r="BT37" i="53"/>
  <c r="BT26" i="53"/>
  <c r="BT67" i="53"/>
  <c r="BT59" i="53"/>
  <c r="BU26" i="53"/>
  <c r="BU69" i="53"/>
  <c r="BU48" i="53"/>
  <c r="BU67" i="53"/>
  <c r="BU37" i="53"/>
  <c r="BU79" i="53"/>
  <c r="BU59" i="53"/>
  <c r="CO71" i="53"/>
  <c r="CM53" i="53"/>
  <c r="CM52" i="53"/>
  <c r="CN52" i="53"/>
  <c r="CM41" i="53"/>
  <c r="CM42" i="53"/>
  <c r="CM63" i="53"/>
  <c r="CM64" i="53"/>
  <c r="CM20" i="53"/>
  <c r="CM19" i="53"/>
  <c r="CM85" i="53"/>
  <c r="BK76" i="53"/>
  <c r="BK86" i="53"/>
  <c r="CM30" i="53"/>
  <c r="CM31" i="53"/>
  <c r="BK150" i="2"/>
  <c r="BK9" i="3"/>
  <c r="BR71" i="53"/>
  <c r="BQ115" i="3"/>
  <c r="CM116" i="3"/>
  <c r="BI92" i="3"/>
  <c r="DE90" i="3"/>
  <c r="DE92" i="3" s="1"/>
  <c r="BS56" i="2"/>
  <c r="BS62" i="3"/>
  <c r="BS29" i="3" s="1"/>
  <c r="DG62" i="3"/>
  <c r="DG64" i="3" s="1"/>
  <c r="DG124" i="3"/>
  <c r="BR89" i="3"/>
  <c r="DG89" i="3" s="1"/>
  <c r="BQ69" i="3"/>
  <c r="BQ18" i="2" s="1"/>
  <c r="BR66" i="3"/>
  <c r="BQ120" i="3"/>
  <c r="CN71" i="3"/>
  <c r="CN72" i="3" s="1"/>
  <c r="DG56" i="2"/>
  <c r="BR15" i="2"/>
  <c r="BR25" i="3" s="1"/>
  <c r="BR11" i="2"/>
  <c r="BP71" i="3"/>
  <c r="BP72" i="3" s="1"/>
  <c r="BR124" i="3"/>
  <c r="BW11" i="53" l="1"/>
  <c r="CP11" i="53" s="1"/>
  <c r="CP66" i="53" s="1"/>
  <c r="CP15" i="53" s="1"/>
  <c r="DH14" i="53"/>
  <c r="BS42" i="83"/>
  <c r="CO42" i="83" s="1"/>
  <c r="DG42" i="83"/>
  <c r="BV14" i="53"/>
  <c r="BV66" i="53"/>
  <c r="BV8" i="83" s="1"/>
  <c r="BV11" i="83" s="1"/>
  <c r="BT125" i="83"/>
  <c r="BT11" i="83"/>
  <c r="BT10" i="83"/>
  <c r="BS30" i="83"/>
  <c r="CO30" i="83" s="1"/>
  <c r="BR26" i="83"/>
  <c r="BT62" i="3"/>
  <c r="BT29" i="3" s="1"/>
  <c r="BT89" i="3" s="1"/>
  <c r="BR40" i="83"/>
  <c r="BR39" i="83"/>
  <c r="BR48" i="83"/>
  <c r="BR49" i="83" s="1"/>
  <c r="DG48" i="83"/>
  <c r="DG49" i="83" s="1"/>
  <c r="DG39" i="83"/>
  <c r="BU125" i="83"/>
  <c r="BU11" i="83"/>
  <c r="BU10" i="83"/>
  <c r="BP58" i="83"/>
  <c r="BP130" i="83" s="1"/>
  <c r="BP131" i="83" s="1"/>
  <c r="BP36" i="83"/>
  <c r="BQ35" i="83"/>
  <c r="BQ57" i="83"/>
  <c r="BQ27" i="83"/>
  <c r="BQ28" i="83"/>
  <c r="CP14" i="53"/>
  <c r="DH69" i="53"/>
  <c r="DH48" i="53"/>
  <c r="DH37" i="53"/>
  <c r="DH26" i="53"/>
  <c r="DH59" i="53"/>
  <c r="BT15" i="2"/>
  <c r="BT11" i="2"/>
  <c r="BW66" i="53"/>
  <c r="BW8" i="83" s="1"/>
  <c r="BU56" i="2"/>
  <c r="BU62" i="3"/>
  <c r="BU29" i="3" s="1"/>
  <c r="CM76" i="53"/>
  <c r="CM86" i="53"/>
  <c r="DG25" i="3"/>
  <c r="DG120" i="3" s="1"/>
  <c r="CM69" i="2"/>
  <c r="CM150" i="2" s="1"/>
  <c r="BK71" i="2"/>
  <c r="BS71" i="53"/>
  <c r="BR80" i="3"/>
  <c r="DG66" i="3"/>
  <c r="BS66" i="3"/>
  <c r="BR69" i="3"/>
  <c r="BR18" i="2" s="1"/>
  <c r="BS124" i="3"/>
  <c r="DG11" i="2"/>
  <c r="DG50" i="2" s="1"/>
  <c r="BR20" i="3"/>
  <c r="BR115" i="3" s="1"/>
  <c r="BQ71" i="3"/>
  <c r="BQ72" i="3" s="1"/>
  <c r="BS89" i="3"/>
  <c r="CO29" i="3"/>
  <c r="BK90" i="3"/>
  <c r="DG15" i="2"/>
  <c r="DG54" i="2" s="1"/>
  <c r="BR120" i="3"/>
  <c r="CO56" i="2"/>
  <c r="BS15" i="2"/>
  <c r="BS11" i="2"/>
  <c r="BK104" i="3"/>
  <c r="CM9" i="3"/>
  <c r="BS38" i="83" l="1"/>
  <c r="CO38" i="83" s="1"/>
  <c r="CO39" i="83" s="1"/>
  <c r="BV48" i="53"/>
  <c r="DH8" i="83"/>
  <c r="BW14" i="53"/>
  <c r="BT42" i="83"/>
  <c r="BT38" i="83" s="1"/>
  <c r="BV37" i="53"/>
  <c r="BT124" i="3"/>
  <c r="BU124" i="3" s="1"/>
  <c r="CP8" i="83"/>
  <c r="CP11" i="83" s="1"/>
  <c r="BV67" i="53"/>
  <c r="BV10" i="83"/>
  <c r="BV69" i="53"/>
  <c r="BV59" i="53"/>
  <c r="BV15" i="53"/>
  <c r="BV125" i="83"/>
  <c r="BV126" i="83" s="1"/>
  <c r="BV26" i="53"/>
  <c r="BV79" i="53"/>
  <c r="BT66" i="3"/>
  <c r="BT69" i="3" s="1"/>
  <c r="BQ58" i="83"/>
  <c r="BQ130" i="83" s="1"/>
  <c r="BQ131" i="83" s="1"/>
  <c r="BQ36" i="83"/>
  <c r="BU126" i="83"/>
  <c r="BR35" i="83"/>
  <c r="BR28" i="83"/>
  <c r="BR27" i="83"/>
  <c r="BR57" i="83"/>
  <c r="DG26" i="83"/>
  <c r="BW125" i="83"/>
  <c r="BW126" i="83" s="1"/>
  <c r="BW11" i="83"/>
  <c r="BW10" i="83"/>
  <c r="BS26" i="83"/>
  <c r="CO26" i="83" s="1"/>
  <c r="BT30" i="83"/>
  <c r="DH125" i="83"/>
  <c r="BT126" i="83"/>
  <c r="BT71" i="53"/>
  <c r="DH56" i="2"/>
  <c r="CO89" i="3"/>
  <c r="CP69" i="53"/>
  <c r="CP48" i="53"/>
  <c r="CP37" i="53"/>
  <c r="CP59" i="53"/>
  <c r="CP26" i="53"/>
  <c r="BW59" i="53"/>
  <c r="BW69" i="53"/>
  <c r="BW26" i="53"/>
  <c r="BW67" i="53"/>
  <c r="BW48" i="53"/>
  <c r="BW79" i="53"/>
  <c r="BW37" i="53"/>
  <c r="BU71" i="53"/>
  <c r="BU89" i="3"/>
  <c r="BV56" i="2"/>
  <c r="BV62" i="3"/>
  <c r="BV29" i="3" s="1"/>
  <c r="DH29" i="3" s="1"/>
  <c r="BU11" i="2"/>
  <c r="BU15" i="2"/>
  <c r="BW15" i="53"/>
  <c r="CO15" i="2"/>
  <c r="CO54" i="2" s="1"/>
  <c r="BT25" i="3"/>
  <c r="CO11" i="2"/>
  <c r="CO50" i="2" s="1"/>
  <c r="BT20" i="3"/>
  <c r="CO124" i="3"/>
  <c r="CO62" i="3"/>
  <c r="CO64" i="3" s="1"/>
  <c r="CO66" i="3"/>
  <c r="BS80" i="3"/>
  <c r="BS69" i="3"/>
  <c r="BS18" i="2" s="1"/>
  <c r="BS25" i="3"/>
  <c r="BS20" i="3"/>
  <c r="DG69" i="3"/>
  <c r="BK73" i="2"/>
  <c r="CM42" i="2"/>
  <c r="CM104" i="3"/>
  <c r="CM71" i="2"/>
  <c r="CM90" i="3"/>
  <c r="DG20" i="3"/>
  <c r="DG115" i="3" s="1"/>
  <c r="DG18" i="2"/>
  <c r="BR71" i="3"/>
  <c r="BR72" i="3" s="1"/>
  <c r="DH11" i="83" l="1"/>
  <c r="BU42" i="83"/>
  <c r="BV42" i="83" s="1"/>
  <c r="DH71" i="53"/>
  <c r="CO40" i="83"/>
  <c r="BS40" i="83"/>
  <c r="CO48" i="83"/>
  <c r="CO49" i="83" s="1"/>
  <c r="BS48" i="83"/>
  <c r="BS49" i="83" s="1"/>
  <c r="BS39" i="83"/>
  <c r="CP125" i="83"/>
  <c r="CP126" i="83" s="1"/>
  <c r="CP79" i="53"/>
  <c r="BT80" i="3"/>
  <c r="BU66" i="3"/>
  <c r="BV66" i="3" s="1"/>
  <c r="DH66" i="3" s="1"/>
  <c r="CO27" i="83"/>
  <c r="CO57" i="83"/>
  <c r="CO35" i="83"/>
  <c r="CO28" i="83"/>
  <c r="BU30" i="83"/>
  <c r="BT26" i="83"/>
  <c r="BS57" i="83"/>
  <c r="BS27" i="83"/>
  <c r="BS28" i="83"/>
  <c r="BS35" i="83"/>
  <c r="DG27" i="83"/>
  <c r="DG35" i="83"/>
  <c r="DG57" i="83"/>
  <c r="BR58" i="83"/>
  <c r="BR130" i="83" s="1"/>
  <c r="BR131" i="83" s="1"/>
  <c r="BR36" i="83"/>
  <c r="BT40" i="83"/>
  <c r="BT39" i="83"/>
  <c r="BT48" i="83"/>
  <c r="BT49" i="83" s="1"/>
  <c r="BS115" i="3"/>
  <c r="CO25" i="3"/>
  <c r="CO120" i="3" s="1"/>
  <c r="DH124" i="3"/>
  <c r="DH62" i="3"/>
  <c r="DH64" i="3" s="1"/>
  <c r="BW56" i="2"/>
  <c r="BW62" i="3"/>
  <c r="BW29" i="3" s="1"/>
  <c r="BV124" i="3"/>
  <c r="BV71" i="53"/>
  <c r="BV15" i="2"/>
  <c r="DH15" i="2" s="1"/>
  <c r="DH54" i="2" s="1"/>
  <c r="BV11" i="2"/>
  <c r="DH11" i="2" s="1"/>
  <c r="DH50" i="2" s="1"/>
  <c r="BV89" i="3"/>
  <c r="DH89" i="3" s="1"/>
  <c r="BU25" i="3"/>
  <c r="BU20" i="3"/>
  <c r="CP71" i="53"/>
  <c r="BT120" i="3"/>
  <c r="BT115" i="3"/>
  <c r="BT18" i="2"/>
  <c r="CO20" i="3"/>
  <c r="CO115" i="3" s="1"/>
  <c r="BS120" i="3"/>
  <c r="CM81" i="2"/>
  <c r="CM44" i="2"/>
  <c r="CM82" i="2"/>
  <c r="CM83" i="2" s="1"/>
  <c r="BK74" i="2"/>
  <c r="CM73" i="2"/>
  <c r="CM74" i="2" s="1"/>
  <c r="CO18" i="2"/>
  <c r="BS71" i="3"/>
  <c r="BS72" i="3" s="1"/>
  <c r="DG71" i="3"/>
  <c r="DG72" i="3" s="1"/>
  <c r="CO69" i="3"/>
  <c r="BU38" i="83" l="1"/>
  <c r="BU80" i="3"/>
  <c r="BU69" i="3"/>
  <c r="BU18" i="2" s="1"/>
  <c r="BU71" i="3" s="1"/>
  <c r="BU72" i="3" s="1"/>
  <c r="BV30" i="83"/>
  <c r="DH30" i="83" s="1"/>
  <c r="BU26" i="83"/>
  <c r="BU40" i="83"/>
  <c r="BU39" i="83"/>
  <c r="BU48" i="83"/>
  <c r="BU49" i="83" s="1"/>
  <c r="DG58" i="83"/>
  <c r="DG130" i="83" s="1"/>
  <c r="DG131" i="83" s="1"/>
  <c r="DG36" i="83"/>
  <c r="BS58" i="83"/>
  <c r="BS130" i="83" s="1"/>
  <c r="BS131" i="83" s="1"/>
  <c r="BS36" i="83"/>
  <c r="BW42" i="83"/>
  <c r="BV38" i="83"/>
  <c r="DH42" i="83"/>
  <c r="CO36" i="83"/>
  <c r="CO58" i="83"/>
  <c r="CO130" i="83" s="1"/>
  <c r="CO131" i="83" s="1"/>
  <c r="DH38" i="83"/>
  <c r="BT28" i="83"/>
  <c r="BT27" i="83"/>
  <c r="BT57" i="83"/>
  <c r="BT35" i="83"/>
  <c r="BU120" i="3"/>
  <c r="DH69" i="3"/>
  <c r="DH80" i="3"/>
  <c r="DH79" i="3" s="1"/>
  <c r="DH83" i="3" s="1"/>
  <c r="BU115" i="3"/>
  <c r="CP56" i="2"/>
  <c r="BW15" i="2"/>
  <c r="CP15" i="2" s="1"/>
  <c r="BW11" i="2"/>
  <c r="CP11" i="2" s="1"/>
  <c r="BW89" i="3"/>
  <c r="CP89" i="3" s="1"/>
  <c r="BV25" i="3"/>
  <c r="DH25" i="3" s="1"/>
  <c r="DH120" i="3" s="1"/>
  <c r="BW71" i="53"/>
  <c r="BV20" i="3"/>
  <c r="DH20" i="3" s="1"/>
  <c r="DH115" i="3" s="1"/>
  <c r="BW124" i="3"/>
  <c r="CP29" i="3"/>
  <c r="BT71" i="3"/>
  <c r="BT72" i="3" s="1"/>
  <c r="BV80" i="3"/>
  <c r="BV69" i="3"/>
  <c r="BW66" i="3"/>
  <c r="CP66" i="3" s="1"/>
  <c r="BP31" i="53"/>
  <c r="BO28" i="53"/>
  <c r="BO39" i="53"/>
  <c r="BO41" i="53" s="1"/>
  <c r="BP64" i="53"/>
  <c r="BO61" i="53"/>
  <c r="BO17" i="53"/>
  <c r="BK151" i="3"/>
  <c r="BK138" i="2"/>
  <c r="BK140" i="2" s="1"/>
  <c r="BL133" i="2"/>
  <c r="BL135" i="2" s="1"/>
  <c r="BL143" i="2" s="1"/>
  <c r="CM9" i="2"/>
  <c r="CO71" i="3"/>
  <c r="CO72" i="3" s="1"/>
  <c r="BT58" i="83" l="1"/>
  <c r="BT130" i="83" s="1"/>
  <c r="BT131" i="83" s="1"/>
  <c r="BT36" i="83"/>
  <c r="BV40" i="83"/>
  <c r="BV39" i="83"/>
  <c r="BV48" i="83"/>
  <c r="BV49" i="83" s="1"/>
  <c r="BW38" i="83"/>
  <c r="CP42" i="83"/>
  <c r="DH48" i="83"/>
  <c r="DH49" i="83" s="1"/>
  <c r="DH39" i="83"/>
  <c r="BU57" i="83"/>
  <c r="BU27" i="83"/>
  <c r="BU28" i="83"/>
  <c r="BU35" i="83"/>
  <c r="BW30" i="83"/>
  <c r="BV26" i="83"/>
  <c r="BW20" i="3"/>
  <c r="CP20" i="3" s="1"/>
  <c r="CP115" i="3" s="1"/>
  <c r="BW25" i="3"/>
  <c r="CP25" i="3" s="1"/>
  <c r="CP120" i="3" s="1"/>
  <c r="CP54" i="2"/>
  <c r="BV115" i="3"/>
  <c r="CP124" i="3"/>
  <c r="CP62" i="3"/>
  <c r="CP64" i="3" s="1"/>
  <c r="CP50" i="2"/>
  <c r="BV120" i="3"/>
  <c r="CP80" i="3"/>
  <c r="CP69" i="3"/>
  <c r="BV18" i="2"/>
  <c r="BW69" i="3"/>
  <c r="BW80" i="3"/>
  <c r="BQ64" i="53"/>
  <c r="BP61" i="53"/>
  <c r="BP17" i="53"/>
  <c r="BP39" i="53"/>
  <c r="BO30" i="53"/>
  <c r="BO29" i="53"/>
  <c r="CN28" i="53"/>
  <c r="CN61" i="53"/>
  <c r="BO62" i="53"/>
  <c r="BO63" i="53"/>
  <c r="BQ31" i="53"/>
  <c r="BP28" i="53"/>
  <c r="BO19" i="53"/>
  <c r="BO18" i="53"/>
  <c r="BO85" i="53"/>
  <c r="CN17" i="53"/>
  <c r="BO40" i="53"/>
  <c r="CN39" i="53"/>
  <c r="CM151" i="3"/>
  <c r="CM138" i="2"/>
  <c r="CM140" i="2" s="1"/>
  <c r="CM16" i="2"/>
  <c r="CN133" i="2"/>
  <c r="CN135" i="2" s="1"/>
  <c r="CO142" i="2" s="1"/>
  <c r="CM56" i="3"/>
  <c r="CM86" i="2"/>
  <c r="CM88" i="2" s="1"/>
  <c r="CM89" i="2" s="1"/>
  <c r="BV57" i="83" l="1"/>
  <c r="BV35" i="83"/>
  <c r="BV28" i="83"/>
  <c r="BV27" i="83"/>
  <c r="BW26" i="83"/>
  <c r="CP30" i="83"/>
  <c r="DH26" i="83"/>
  <c r="CP38" i="83"/>
  <c r="BW48" i="83"/>
  <c r="BW49" i="83" s="1"/>
  <c r="BW40" i="83"/>
  <c r="BW39" i="83"/>
  <c r="BU36" i="83"/>
  <c r="BU58" i="83"/>
  <c r="BU130" i="83" s="1"/>
  <c r="BU131" i="83" s="1"/>
  <c r="BT81" i="53"/>
  <c r="BV71" i="3"/>
  <c r="BV72" i="3" s="1"/>
  <c r="DH18" i="2"/>
  <c r="DH71" i="3" s="1"/>
  <c r="DH72" i="3" s="1"/>
  <c r="BW115" i="3"/>
  <c r="BW120" i="3"/>
  <c r="BW18" i="2"/>
  <c r="CN19" i="53"/>
  <c r="CN20" i="53"/>
  <c r="CN85" i="53"/>
  <c r="CN86" i="53" s="1"/>
  <c r="BO86" i="53"/>
  <c r="BO76" i="53"/>
  <c r="BO13" i="83" s="1"/>
  <c r="CN64" i="53"/>
  <c r="CN63" i="53"/>
  <c r="BP41" i="53"/>
  <c r="BP40" i="53"/>
  <c r="CN31" i="53"/>
  <c r="CN30" i="53"/>
  <c r="BR42" i="53"/>
  <c r="BS42" i="53" s="1"/>
  <c r="BT42" i="53" s="1"/>
  <c r="BU42" i="53" s="1"/>
  <c r="BQ39" i="53"/>
  <c r="CN42" i="53"/>
  <c r="CN41" i="53"/>
  <c r="BP30" i="53"/>
  <c r="BP29" i="53"/>
  <c r="BP18" i="53"/>
  <c r="BP85" i="53"/>
  <c r="BP19" i="53"/>
  <c r="BP63" i="53"/>
  <c r="BP62" i="53"/>
  <c r="BR31" i="53"/>
  <c r="BQ28" i="53"/>
  <c r="BR20" i="53"/>
  <c r="BS20" i="53" s="1"/>
  <c r="BT20" i="53" s="1"/>
  <c r="BU20" i="53" s="1"/>
  <c r="BQ17" i="53"/>
  <c r="BR64" i="53"/>
  <c r="BQ61" i="53"/>
  <c r="BK67" i="3"/>
  <c r="CM91" i="2"/>
  <c r="CM25" i="2"/>
  <c r="BV58" i="83" l="1"/>
  <c r="BV130" i="83" s="1"/>
  <c r="BV131" i="83" s="1"/>
  <c r="BV36" i="83"/>
  <c r="DH57" i="83"/>
  <c r="DH35" i="83"/>
  <c r="DH27" i="83"/>
  <c r="BW28" i="83"/>
  <c r="BW35" i="83"/>
  <c r="BW57" i="83"/>
  <c r="BW27" i="83"/>
  <c r="CP48" i="83"/>
  <c r="CP49" i="83" s="1"/>
  <c r="CP40" i="83"/>
  <c r="CP39" i="83"/>
  <c r="CP26" i="83"/>
  <c r="BO18" i="83"/>
  <c r="BO23" i="83" s="1"/>
  <c r="CN13" i="83"/>
  <c r="BO20" i="83"/>
  <c r="BU81" i="53"/>
  <c r="BW71" i="3"/>
  <c r="BW72" i="3" s="1"/>
  <c r="CP18" i="2"/>
  <c r="CP71" i="3" s="1"/>
  <c r="CP72" i="3" s="1"/>
  <c r="BR17" i="53"/>
  <c r="BQ40" i="53"/>
  <c r="BQ41" i="53"/>
  <c r="DF57" i="2"/>
  <c r="CN76" i="53"/>
  <c r="BS64" i="53"/>
  <c r="BR61" i="53"/>
  <c r="BQ62" i="53"/>
  <c r="BQ63" i="53"/>
  <c r="BQ29" i="53"/>
  <c r="BQ30" i="53"/>
  <c r="BR39" i="53"/>
  <c r="BS31" i="53"/>
  <c r="BR28" i="53"/>
  <c r="BQ85" i="53"/>
  <c r="BQ19" i="53"/>
  <c r="BQ18" i="53"/>
  <c r="BP76" i="53"/>
  <c r="BP13" i="83" s="1"/>
  <c r="BP86" i="53"/>
  <c r="BM34" i="2"/>
  <c r="CM67" i="3"/>
  <c r="CM46" i="2"/>
  <c r="BW36" i="83" l="1"/>
  <c r="BW58" i="83"/>
  <c r="BW130" i="83" s="1"/>
  <c r="BW131" i="83" s="1"/>
  <c r="DH36" i="83"/>
  <c r="DH58" i="83"/>
  <c r="DH130" i="83" s="1"/>
  <c r="DH131" i="83" s="1"/>
  <c r="CP27" i="83"/>
  <c r="CP35" i="83"/>
  <c r="CP28" i="83"/>
  <c r="CP57" i="83"/>
  <c r="BP18" i="83"/>
  <c r="BP23" i="83" s="1"/>
  <c r="BP20" i="83"/>
  <c r="BO60" i="83"/>
  <c r="BO21" i="83"/>
  <c r="CN18" i="83"/>
  <c r="CN23" i="83" s="1"/>
  <c r="CN20" i="83"/>
  <c r="BO127" i="83"/>
  <c r="BO63" i="83"/>
  <c r="BO24" i="83"/>
  <c r="BV81" i="53"/>
  <c r="BW81" i="53"/>
  <c r="BS39" i="53"/>
  <c r="CO39" i="53" s="1"/>
  <c r="BS61" i="53"/>
  <c r="BS62" i="53" s="1"/>
  <c r="BT64" i="53"/>
  <c r="BS28" i="53"/>
  <c r="CO28" i="53" s="1"/>
  <c r="BT31" i="53"/>
  <c r="BS17" i="53"/>
  <c r="CO17" i="53" s="1"/>
  <c r="DF28" i="2"/>
  <c r="DF23" i="3"/>
  <c r="DF118" i="3" s="1"/>
  <c r="BO57" i="2"/>
  <c r="BQ76" i="53"/>
  <c r="BQ13" i="83" s="1"/>
  <c r="BQ86" i="53"/>
  <c r="BR40" i="53"/>
  <c r="BR41" i="53"/>
  <c r="DF12" i="2"/>
  <c r="DF52" i="2" s="1"/>
  <c r="DF51" i="2" s="1"/>
  <c r="DG88" i="53"/>
  <c r="BR19" i="53"/>
  <c r="BR85" i="53"/>
  <c r="BR18" i="53"/>
  <c r="BR30" i="53"/>
  <c r="BR29" i="53"/>
  <c r="BR62" i="53"/>
  <c r="BR63" i="53"/>
  <c r="CP36" i="83" l="1"/>
  <c r="CP58" i="83"/>
  <c r="CP130" i="83" s="1"/>
  <c r="CP131" i="83" s="1"/>
  <c r="BO171" i="83"/>
  <c r="BO75" i="83"/>
  <c r="BO64" i="83"/>
  <c r="CN60" i="83"/>
  <c r="CN21" i="83"/>
  <c r="BO74" i="83"/>
  <c r="BO61" i="83"/>
  <c r="BQ18" i="83"/>
  <c r="BQ23" i="83" s="1"/>
  <c r="BQ20" i="83"/>
  <c r="CP81" i="53"/>
  <c r="BO133" i="83"/>
  <c r="BO134" i="83" s="1"/>
  <c r="BO128" i="83"/>
  <c r="CN127" i="83"/>
  <c r="CN63" i="83"/>
  <c r="CN24" i="83"/>
  <c r="BP60" i="83"/>
  <c r="BP21" i="83"/>
  <c r="BP127" i="83"/>
  <c r="BP63" i="83"/>
  <c r="BP24" i="83"/>
  <c r="BS30" i="53"/>
  <c r="CO61" i="53"/>
  <c r="CO63" i="53" s="1"/>
  <c r="BS29" i="53"/>
  <c r="BS63" i="53"/>
  <c r="BS85" i="53"/>
  <c r="BS76" i="53" s="1"/>
  <c r="BS13" i="83" s="1"/>
  <c r="BS41" i="53"/>
  <c r="BS19" i="53"/>
  <c r="BS40" i="53"/>
  <c r="BS18" i="53"/>
  <c r="BT17" i="53"/>
  <c r="BU31" i="53"/>
  <c r="BT28" i="53"/>
  <c r="BU64" i="53"/>
  <c r="BT61" i="53"/>
  <c r="BT39" i="53"/>
  <c r="CO19" i="53"/>
  <c r="CO20" i="53"/>
  <c r="BP57" i="2"/>
  <c r="CO31" i="53"/>
  <c r="CO30" i="53"/>
  <c r="DF34" i="2"/>
  <c r="DF53" i="2"/>
  <c r="DF21" i="3"/>
  <c r="DF116" i="3" s="1"/>
  <c r="BQ57" i="2"/>
  <c r="BO28" i="2"/>
  <c r="BO12" i="2"/>
  <c r="BR76" i="53"/>
  <c r="BR13" i="83" s="1"/>
  <c r="BR86" i="53"/>
  <c r="CN57" i="2"/>
  <c r="CO42" i="53"/>
  <c r="CO41" i="53"/>
  <c r="BO88" i="53"/>
  <c r="CO64" i="53" l="1"/>
  <c r="BP171" i="83"/>
  <c r="BP75" i="83"/>
  <c r="BP64" i="83"/>
  <c r="CN133" i="83"/>
  <c r="CN134" i="83" s="1"/>
  <c r="CN128" i="83"/>
  <c r="BQ127" i="83"/>
  <c r="BQ63" i="83"/>
  <c r="BQ24" i="83"/>
  <c r="BO77" i="83"/>
  <c r="CN171" i="83"/>
  <c r="BR18" i="83"/>
  <c r="BR23" i="83" s="1"/>
  <c r="BR20" i="83"/>
  <c r="BS18" i="83"/>
  <c r="BS23" i="83" s="1"/>
  <c r="BS20" i="83"/>
  <c r="BP133" i="83"/>
  <c r="BP134" i="83" s="1"/>
  <c r="BP128" i="83"/>
  <c r="BP74" i="83"/>
  <c r="BP61" i="83"/>
  <c r="CN75" i="83"/>
  <c r="CN64" i="83"/>
  <c r="BQ60" i="83"/>
  <c r="BQ21" i="83"/>
  <c r="DG13" i="83"/>
  <c r="CN74" i="83"/>
  <c r="CN61" i="83"/>
  <c r="CO13" i="83"/>
  <c r="CO85" i="53"/>
  <c r="CO86" i="53" s="1"/>
  <c r="BS86" i="53"/>
  <c r="BT41" i="53"/>
  <c r="BT40" i="53"/>
  <c r="BT63" i="53"/>
  <c r="BT62" i="53"/>
  <c r="BT30" i="53"/>
  <c r="BT29" i="53"/>
  <c r="BT19" i="53"/>
  <c r="BT18" i="53"/>
  <c r="BT85" i="53"/>
  <c r="BV42" i="53"/>
  <c r="BU39" i="53"/>
  <c r="BV64" i="53"/>
  <c r="BU61" i="53"/>
  <c r="BV31" i="53"/>
  <c r="BU28" i="53"/>
  <c r="BV20" i="53"/>
  <c r="BU17" i="53"/>
  <c r="CO76" i="53"/>
  <c r="CN28" i="2"/>
  <c r="BO34" i="2"/>
  <c r="BO23" i="3"/>
  <c r="BS57" i="2"/>
  <c r="BQ28" i="2"/>
  <c r="BQ12" i="2"/>
  <c r="BR57" i="2"/>
  <c r="BQ88" i="53"/>
  <c r="BP12" i="2"/>
  <c r="BP28" i="2"/>
  <c r="CN88" i="53"/>
  <c r="BO21" i="3"/>
  <c r="CN12" i="2"/>
  <c r="CN52" i="2" s="1"/>
  <c r="CN51" i="2" s="1"/>
  <c r="BP88" i="53"/>
  <c r="DG18" i="83" l="1"/>
  <c r="DG23" i="83" s="1"/>
  <c r="DG20" i="83"/>
  <c r="BQ74" i="83"/>
  <c r="BQ61" i="83"/>
  <c r="BP77" i="83"/>
  <c r="BS60" i="83"/>
  <c r="BS21" i="83"/>
  <c r="BR127" i="83"/>
  <c r="BR63" i="83"/>
  <c r="BR24" i="83"/>
  <c r="BO81" i="83"/>
  <c r="CN77" i="83"/>
  <c r="CN188" i="83" s="1"/>
  <c r="BO188" i="83"/>
  <c r="BQ171" i="83"/>
  <c r="BQ75" i="83"/>
  <c r="BQ64" i="83"/>
  <c r="CO18" i="83"/>
  <c r="CO23" i="83" s="1"/>
  <c r="CO20" i="83"/>
  <c r="BS127" i="83"/>
  <c r="BS63" i="83"/>
  <c r="BS24" i="83"/>
  <c r="BR60" i="83"/>
  <c r="BR21" i="83"/>
  <c r="BO86" i="83"/>
  <c r="BQ133" i="83"/>
  <c r="BQ134" i="83" s="1"/>
  <c r="BQ128" i="83"/>
  <c r="BV17" i="53"/>
  <c r="BW20" i="53"/>
  <c r="BW17" i="53" s="1"/>
  <c r="BW31" i="53"/>
  <c r="BW28" i="53" s="1"/>
  <c r="BV28" i="53"/>
  <c r="BW64" i="53"/>
  <c r="BW61" i="53" s="1"/>
  <c r="BV61" i="53"/>
  <c r="BW42" i="53"/>
  <c r="BW39" i="53" s="1"/>
  <c r="BV39" i="53"/>
  <c r="BU19" i="53"/>
  <c r="BU18" i="53"/>
  <c r="BU85" i="53"/>
  <c r="BU29" i="53"/>
  <c r="BU30" i="53"/>
  <c r="BU63" i="53"/>
  <c r="BU62" i="53"/>
  <c r="BU41" i="53"/>
  <c r="BU40" i="53"/>
  <c r="BT86" i="53"/>
  <c r="BT76" i="53"/>
  <c r="BT13" i="83" s="1"/>
  <c r="CO57" i="2"/>
  <c r="BQ21" i="3"/>
  <c r="BS12" i="2"/>
  <c r="BS28" i="2"/>
  <c r="BP23" i="3"/>
  <c r="BP118" i="3" s="1"/>
  <c r="BP34" i="2"/>
  <c r="DH88" i="53"/>
  <c r="DG57" i="2"/>
  <c r="BS88" i="53"/>
  <c r="CN53" i="2"/>
  <c r="CN34" i="2"/>
  <c r="BO118" i="3"/>
  <c r="CN23" i="3"/>
  <c r="CN118" i="3" s="1"/>
  <c r="CN21" i="3"/>
  <c r="CN116" i="3" s="1"/>
  <c r="BO116" i="3"/>
  <c r="BP21" i="3"/>
  <c r="BP116" i="3" s="1"/>
  <c r="BR28" i="2"/>
  <c r="BR12" i="2"/>
  <c r="BQ34" i="2"/>
  <c r="BQ23" i="3"/>
  <c r="BR88" i="53"/>
  <c r="CN86" i="83" l="1"/>
  <c r="CN94" i="83" s="1"/>
  <c r="BT18" i="83"/>
  <c r="BT23" i="83" s="1"/>
  <c r="BT20" i="83"/>
  <c r="BS133" i="83"/>
  <c r="BS134" i="83" s="1"/>
  <c r="BS128" i="83"/>
  <c r="CO60" i="83"/>
  <c r="CO21" i="83"/>
  <c r="BR133" i="83"/>
  <c r="BR134" i="83" s="1"/>
  <c r="BR128" i="83"/>
  <c r="BS74" i="83"/>
  <c r="BS61" i="83"/>
  <c r="BP81" i="83"/>
  <c r="DG60" i="83"/>
  <c r="DH89" i="53" s="1"/>
  <c r="DG21" i="83"/>
  <c r="BO155" i="83"/>
  <c r="BO147" i="83"/>
  <c r="BO94" i="83"/>
  <c r="BR74" i="83"/>
  <c r="BR61" i="83"/>
  <c r="BS171" i="83"/>
  <c r="BS75" i="83"/>
  <c r="BS64" i="83"/>
  <c r="CO127" i="83"/>
  <c r="CO63" i="83"/>
  <c r="CO24" i="83"/>
  <c r="CN81" i="83"/>
  <c r="CN78" i="83"/>
  <c r="BO137" i="83"/>
  <c r="BO89" i="83"/>
  <c r="BR171" i="83"/>
  <c r="DG171" i="83" s="1"/>
  <c r="BR75" i="83"/>
  <c r="BR64" i="83"/>
  <c r="BP86" i="83"/>
  <c r="BP188" i="83"/>
  <c r="BQ77" i="83"/>
  <c r="DG127" i="83"/>
  <c r="DG63" i="83"/>
  <c r="DG24" i="83"/>
  <c r="CP17" i="53"/>
  <c r="CP19" i="53" s="1"/>
  <c r="CP28" i="53"/>
  <c r="CP31" i="53" s="1"/>
  <c r="CP39" i="53"/>
  <c r="CP61" i="53"/>
  <c r="CP63" i="53" s="1"/>
  <c r="BV40" i="53"/>
  <c r="BV41" i="53"/>
  <c r="BV62" i="53"/>
  <c r="BV63" i="53"/>
  <c r="BV29" i="53"/>
  <c r="BV30" i="53"/>
  <c r="BW19" i="53"/>
  <c r="BW18" i="53"/>
  <c r="BW85" i="53"/>
  <c r="BU76" i="53"/>
  <c r="BU13" i="83" s="1"/>
  <c r="BU86" i="53"/>
  <c r="BW40" i="53"/>
  <c r="BW41" i="53"/>
  <c r="BW63" i="53"/>
  <c r="BW62" i="53"/>
  <c r="BW29" i="53"/>
  <c r="BW30" i="53"/>
  <c r="BV19" i="53"/>
  <c r="BV18" i="53"/>
  <c r="BV85" i="53"/>
  <c r="CO12" i="2"/>
  <c r="CO52" i="2" s="1"/>
  <c r="CO51" i="2" s="1"/>
  <c r="BQ116" i="3"/>
  <c r="CO88" i="53"/>
  <c r="BS34" i="2"/>
  <c r="BS23" i="3"/>
  <c r="CO28" i="2"/>
  <c r="BQ118" i="3"/>
  <c r="BR21" i="3"/>
  <c r="DG21" i="3" s="1"/>
  <c r="DG116" i="3" s="1"/>
  <c r="DG12" i="2"/>
  <c r="DG52" i="2" s="1"/>
  <c r="DG51" i="2" s="1"/>
  <c r="BS21" i="3"/>
  <c r="DG28" i="2"/>
  <c r="BR34" i="2"/>
  <c r="BR23" i="3"/>
  <c r="DG23" i="3" s="1"/>
  <c r="DG118" i="3" s="1"/>
  <c r="BJ117" i="53"/>
  <c r="BJ127" i="53"/>
  <c r="BO139" i="83" l="1"/>
  <c r="BU18" i="83"/>
  <c r="BU23" i="83" s="1"/>
  <c r="BU20" i="83"/>
  <c r="DG75" i="83"/>
  <c r="DG64" i="83"/>
  <c r="BQ81" i="83"/>
  <c r="BQ188" i="83"/>
  <c r="BP155" i="83"/>
  <c r="BP147" i="83"/>
  <c r="BP94" i="83"/>
  <c r="BO97" i="83"/>
  <c r="BO92" i="83"/>
  <c r="CO133" i="83"/>
  <c r="CO134" i="83" s="1"/>
  <c r="CO128" i="83"/>
  <c r="BO160" i="83"/>
  <c r="CN155" i="83"/>
  <c r="CN160" i="83" s="1"/>
  <c r="DG74" i="83"/>
  <c r="DG61" i="83"/>
  <c r="BP137" i="83"/>
  <c r="BP139" i="83" s="1"/>
  <c r="BP140" i="83" s="1"/>
  <c r="BP96" i="83" s="1"/>
  <c r="BP89" i="83"/>
  <c r="BS77" i="83"/>
  <c r="BS86" i="83" s="1"/>
  <c r="CO74" i="83"/>
  <c r="CO61" i="83"/>
  <c r="DG133" i="83"/>
  <c r="DG134" i="83" s="1"/>
  <c r="DG128" i="83"/>
  <c r="BQ86" i="83"/>
  <c r="BR174" i="83"/>
  <c r="CO171" i="83"/>
  <c r="CN137" i="83"/>
  <c r="CN139" i="83" s="1"/>
  <c r="CN140" i="83" s="1"/>
  <c r="CN96" i="83" s="1"/>
  <c r="CN82" i="83"/>
  <c r="CN89" i="83"/>
  <c r="CO75" i="83"/>
  <c r="CO64" i="83"/>
  <c r="BS174" i="83"/>
  <c r="BR77" i="83"/>
  <c r="BR81" i="83" s="1"/>
  <c r="BR137" i="83" s="1"/>
  <c r="BR139" i="83" s="1"/>
  <c r="BR140" i="83" s="1"/>
  <c r="BR96" i="83" s="1"/>
  <c r="BO151" i="83"/>
  <c r="BO152" i="83" s="1"/>
  <c r="CN147" i="83"/>
  <c r="CN151" i="83" s="1"/>
  <c r="BT60" i="83"/>
  <c r="BT21" i="83"/>
  <c r="BT127" i="83"/>
  <c r="BT63" i="83"/>
  <c r="BT24" i="83"/>
  <c r="CP30" i="53"/>
  <c r="CP64" i="53"/>
  <c r="CP20" i="53"/>
  <c r="CP85" i="53"/>
  <c r="CP86" i="53" s="1"/>
  <c r="BT57" i="2"/>
  <c r="BT12" i="2" s="1"/>
  <c r="CP41" i="53"/>
  <c r="CP42" i="53"/>
  <c r="BV76" i="53"/>
  <c r="BV13" i="83" s="1"/>
  <c r="DH13" i="83" s="1"/>
  <c r="BV86" i="53"/>
  <c r="BU57" i="2"/>
  <c r="BT88" i="53"/>
  <c r="BW86" i="53"/>
  <c r="BW76" i="53"/>
  <c r="BW13" i="83" s="1"/>
  <c r="BR116" i="3"/>
  <c r="BS116" i="3" s="1"/>
  <c r="CO21" i="3"/>
  <c r="CO116" i="3" s="1"/>
  <c r="BR118" i="3"/>
  <c r="BS118" i="3" s="1"/>
  <c r="CO23" i="3"/>
  <c r="CO118" i="3" s="1"/>
  <c r="DG53" i="2"/>
  <c r="DG34" i="2"/>
  <c r="CO53" i="2"/>
  <c r="CO34" i="2"/>
  <c r="BR89" i="53"/>
  <c r="BP81" i="53"/>
  <c r="BS81" i="53"/>
  <c r="BO81" i="53"/>
  <c r="BR81" i="53"/>
  <c r="BQ89" i="53"/>
  <c r="BQ81" i="53"/>
  <c r="BO140" i="83" l="1"/>
  <c r="BO96" i="83" s="1"/>
  <c r="DH18" i="83"/>
  <c r="DH23" i="83" s="1"/>
  <c r="DH20" i="83"/>
  <c r="BW18" i="83"/>
  <c r="BW23" i="83" s="1"/>
  <c r="BW20" i="83"/>
  <c r="BT133" i="83"/>
  <c r="BT134" i="83" s="1"/>
  <c r="BT128" i="83"/>
  <c r="BT74" i="83"/>
  <c r="BT61" i="83"/>
  <c r="CN97" i="83"/>
  <c r="CN92" i="83"/>
  <c r="BS155" i="83"/>
  <c r="BS147" i="83"/>
  <c r="BS94" i="83"/>
  <c r="BP97" i="83"/>
  <c r="BP92" i="83"/>
  <c r="BP160" i="83"/>
  <c r="DG77" i="83"/>
  <c r="BU60" i="83"/>
  <c r="BU21" i="83"/>
  <c r="BV18" i="83"/>
  <c r="BV23" i="83" s="1"/>
  <c r="BV20" i="83"/>
  <c r="BT171" i="83"/>
  <c r="BT75" i="83"/>
  <c r="BT64" i="83"/>
  <c r="CO77" i="83"/>
  <c r="CN152" i="83"/>
  <c r="BR86" i="83"/>
  <c r="BR188" i="83"/>
  <c r="BQ155" i="83"/>
  <c r="BQ147" i="83"/>
  <c r="BQ94" i="83"/>
  <c r="CP13" i="83"/>
  <c r="CP57" i="2" s="1"/>
  <c r="BS81" i="83"/>
  <c r="BS188" i="83"/>
  <c r="BR89" i="83"/>
  <c r="BP151" i="83"/>
  <c r="BP152" i="83" s="1"/>
  <c r="BQ137" i="83"/>
  <c r="BQ139" i="83" s="1"/>
  <c r="BQ140" i="83" s="1"/>
  <c r="BQ96" i="83" s="1"/>
  <c r="BQ89" i="83"/>
  <c r="BU127" i="83"/>
  <c r="BU63" i="83"/>
  <c r="BU24" i="83"/>
  <c r="BT28" i="2"/>
  <c r="BT34" i="2" s="1"/>
  <c r="DH57" i="2"/>
  <c r="CP76" i="53"/>
  <c r="BT21" i="3"/>
  <c r="BW57" i="2"/>
  <c r="BT89" i="53"/>
  <c r="BU88" i="53"/>
  <c r="BU12" i="2"/>
  <c r="BU28" i="2"/>
  <c r="BV57" i="2"/>
  <c r="BP89" i="53"/>
  <c r="DG89" i="53"/>
  <c r="BM90" i="3"/>
  <c r="CN89" i="53"/>
  <c r="BS89" i="53"/>
  <c r="BO89" i="53"/>
  <c r="CO89" i="53"/>
  <c r="CO81" i="53"/>
  <c r="BU133" i="83" l="1"/>
  <c r="BU134" i="83" s="1"/>
  <c r="BU128" i="83"/>
  <c r="BQ97" i="83"/>
  <c r="BQ92" i="83"/>
  <c r="BR97" i="83"/>
  <c r="BR92" i="83"/>
  <c r="BQ160" i="83"/>
  <c r="CO78" i="83"/>
  <c r="CO81" i="83"/>
  <c r="BV60" i="83"/>
  <c r="BV21" i="83"/>
  <c r="DG78" i="83"/>
  <c r="DG81" i="83"/>
  <c r="BS151" i="83"/>
  <c r="BS152" i="83" s="1"/>
  <c r="CO86" i="83"/>
  <c r="CO94" i="83" s="1"/>
  <c r="BW127" i="83"/>
  <c r="BW63" i="83"/>
  <c r="BW24" i="83"/>
  <c r="DH127" i="83"/>
  <c r="DH63" i="83"/>
  <c r="DH24" i="83"/>
  <c r="BU171" i="83"/>
  <c r="BU174" i="83" s="1"/>
  <c r="BU88" i="3" s="1"/>
  <c r="BU75" i="83"/>
  <c r="BU64" i="83"/>
  <c r="DG86" i="83"/>
  <c r="DG94" i="83" s="1"/>
  <c r="BS137" i="83"/>
  <c r="BS139" i="83" s="1"/>
  <c r="BS140" i="83" s="1"/>
  <c r="BS96" i="83" s="1"/>
  <c r="BS89" i="83"/>
  <c r="CP18" i="83"/>
  <c r="CP23" i="83" s="1"/>
  <c r="CP20" i="83"/>
  <c r="BQ151" i="83"/>
  <c r="BQ152" i="83" s="1"/>
  <c r="BR155" i="83"/>
  <c r="BR160" i="83" s="1"/>
  <c r="BR147" i="83"/>
  <c r="BR94" i="83"/>
  <c r="BT174" i="83"/>
  <c r="BT88" i="3" s="1"/>
  <c r="BV127" i="83"/>
  <c r="BV63" i="83"/>
  <c r="BV24" i="83"/>
  <c r="BU74" i="83"/>
  <c r="BU61" i="83"/>
  <c r="BS160" i="83"/>
  <c r="CO188" i="83"/>
  <c r="BT77" i="83"/>
  <c r="BW60" i="83"/>
  <c r="BW21" i="83"/>
  <c r="DH60" i="83"/>
  <c r="DH21" i="83"/>
  <c r="BT23" i="3"/>
  <c r="BT118" i="3" s="1"/>
  <c r="BT116" i="3"/>
  <c r="BV12" i="2"/>
  <c r="BV28" i="2"/>
  <c r="DH28" i="2" s="1"/>
  <c r="BW88" i="53"/>
  <c r="BV88" i="53"/>
  <c r="BU23" i="3"/>
  <c r="BU34" i="2"/>
  <c r="BU89" i="53"/>
  <c r="BW12" i="2"/>
  <c r="CP12" i="2" s="1"/>
  <c r="CP52" i="2" s="1"/>
  <c r="CP51" i="2" s="1"/>
  <c r="BW28" i="2"/>
  <c r="CP28" i="2" s="1"/>
  <c r="BU21" i="3"/>
  <c r="BR90" i="3"/>
  <c r="BQ90" i="3"/>
  <c r="DH74" i="83" l="1"/>
  <c r="DH61" i="83"/>
  <c r="BW74" i="83"/>
  <c r="BW61" i="83"/>
  <c r="BT81" i="83"/>
  <c r="BT90" i="3" s="1"/>
  <c r="BU77" i="83"/>
  <c r="BU81" i="83" s="1"/>
  <c r="BU137" i="83" s="1"/>
  <c r="BU139" i="83" s="1"/>
  <c r="BU140" i="83" s="1"/>
  <c r="BU96" i="83" s="1"/>
  <c r="BV171" i="83"/>
  <c r="BV75" i="83"/>
  <c r="BV64" i="83"/>
  <c r="CP127" i="83"/>
  <c r="CP63" i="83"/>
  <c r="CP24" i="83"/>
  <c r="DH75" i="83"/>
  <c r="DH64" i="83"/>
  <c r="BW133" i="83"/>
  <c r="BW134" i="83" s="1"/>
  <c r="BW128" i="83"/>
  <c r="CO155" i="83"/>
  <c r="CO160" i="83" s="1"/>
  <c r="BV74" i="83"/>
  <c r="BV61" i="83"/>
  <c r="CO137" i="83"/>
  <c r="CO139" i="83" s="1"/>
  <c r="CO140" i="83" s="1"/>
  <c r="CO96" i="83" s="1"/>
  <c r="CO82" i="83"/>
  <c r="CO89" i="83"/>
  <c r="DG155" i="83"/>
  <c r="DG160" i="83" s="1"/>
  <c r="BT86" i="83"/>
  <c r="BT188" i="83"/>
  <c r="BV133" i="83"/>
  <c r="BV134" i="83" s="1"/>
  <c r="BV128" i="83"/>
  <c r="BR151" i="83"/>
  <c r="BR152" i="83" s="1"/>
  <c r="DG152" i="83" s="1"/>
  <c r="CO147" i="83"/>
  <c r="CO151" i="83" s="1"/>
  <c r="DG147" i="83"/>
  <c r="DG151" i="83" s="1"/>
  <c r="CP60" i="83"/>
  <c r="CP89" i="53" s="1"/>
  <c r="CP21" i="83"/>
  <c r="BS97" i="83"/>
  <c r="BS92" i="83"/>
  <c r="DH133" i="83"/>
  <c r="DH134" i="83" s="1"/>
  <c r="DH128" i="83"/>
  <c r="BW171" i="83"/>
  <c r="BW174" i="83" s="1"/>
  <c r="BW88" i="3" s="1"/>
  <c r="BW75" i="83"/>
  <c r="BW64" i="83"/>
  <c r="DG137" i="83"/>
  <c r="DG139" i="83" s="1"/>
  <c r="DG140" i="83" s="1"/>
  <c r="DG96" i="83" s="1"/>
  <c r="DG82" i="83"/>
  <c r="DG89" i="83"/>
  <c r="BV21" i="3"/>
  <c r="DH21" i="3" s="1"/>
  <c r="DH116" i="3" s="1"/>
  <c r="DH12" i="2"/>
  <c r="DH52" i="2" s="1"/>
  <c r="DH51" i="2" s="1"/>
  <c r="DH53" i="2"/>
  <c r="DH34" i="2"/>
  <c r="CP88" i="53"/>
  <c r="BU118" i="3"/>
  <c r="BU116" i="3"/>
  <c r="CP53" i="2"/>
  <c r="CP34" i="2"/>
  <c r="BV89" i="53"/>
  <c r="BW89" i="53"/>
  <c r="BW21" i="3"/>
  <c r="BW23" i="3"/>
  <c r="BW34" i="2"/>
  <c r="BV23" i="3"/>
  <c r="DH23" i="3" s="1"/>
  <c r="DH118" i="3" s="1"/>
  <c r="BV34" i="2"/>
  <c r="BO9" i="3"/>
  <c r="BP9" i="3"/>
  <c r="BS90" i="3"/>
  <c r="BR88" i="3"/>
  <c r="BR92" i="3" s="1"/>
  <c r="BN90" i="3"/>
  <c r="BL150" i="2"/>
  <c r="BS88" i="3"/>
  <c r="BQ9" i="3"/>
  <c r="BR9" i="3"/>
  <c r="BR26" i="3" s="1"/>
  <c r="BU89" i="83" l="1"/>
  <c r="BU97" i="83" s="1"/>
  <c r="CP74" i="83"/>
  <c r="CP61" i="83"/>
  <c r="BT155" i="83"/>
  <c r="BT147" i="83"/>
  <c r="BT94" i="83"/>
  <c r="CP75" i="83"/>
  <c r="CP64" i="83"/>
  <c r="BV174" i="83"/>
  <c r="BV88" i="3" s="1"/>
  <c r="DH88" i="3" s="1"/>
  <c r="CP171" i="83"/>
  <c r="CP174" i="83" s="1"/>
  <c r="DH171" i="83"/>
  <c r="DH174" i="83" s="1"/>
  <c r="BU86" i="83"/>
  <c r="BU9" i="3" s="1"/>
  <c r="BU26" i="3" s="1"/>
  <c r="BT137" i="83"/>
  <c r="BT139" i="83" s="1"/>
  <c r="BT140" i="83" s="1"/>
  <c r="BT96" i="83" s="1"/>
  <c r="BT89" i="83"/>
  <c r="BW77" i="83"/>
  <c r="BW81" i="83" s="1"/>
  <c r="BW137" i="83" s="1"/>
  <c r="BW139" i="83" s="1"/>
  <c r="BW140" i="83" s="1"/>
  <c r="BW96" i="83" s="1"/>
  <c r="DG97" i="83"/>
  <c r="DG92" i="83"/>
  <c r="CO152" i="83"/>
  <c r="CO97" i="83"/>
  <c r="CO92" i="83"/>
  <c r="BV77" i="83"/>
  <c r="BV81" i="83" s="1"/>
  <c r="BV137" i="83" s="1"/>
  <c r="BV139" i="83" s="1"/>
  <c r="BV140" i="83" s="1"/>
  <c r="BV96" i="83" s="1"/>
  <c r="CP133" i="83"/>
  <c r="CP134" i="83" s="1"/>
  <c r="CP128" i="83"/>
  <c r="BU188" i="83"/>
  <c r="CP21" i="3"/>
  <c r="CP116" i="3" s="1"/>
  <c r="BV116" i="3"/>
  <c r="BW116" i="3" s="1"/>
  <c r="BV118" i="3"/>
  <c r="BW118" i="3" s="1"/>
  <c r="CP23" i="3"/>
  <c r="CP118" i="3" s="1"/>
  <c r="BT92" i="3"/>
  <c r="BT9" i="3"/>
  <c r="BU90" i="3"/>
  <c r="BU92" i="3" s="1"/>
  <c r="BS9" i="3"/>
  <c r="BS92" i="3"/>
  <c r="BO90" i="3"/>
  <c r="BN9" i="3"/>
  <c r="BN26" i="3" s="1"/>
  <c r="BN53" i="3" s="1"/>
  <c r="DG9" i="3"/>
  <c r="BP104" i="3"/>
  <c r="BL90" i="3"/>
  <c r="BP90" i="3"/>
  <c r="CO90" i="3" s="1"/>
  <c r="BM150" i="2"/>
  <c r="BL71" i="2"/>
  <c r="BR95" i="3"/>
  <c r="BR96" i="3" s="1"/>
  <c r="BL104" i="3"/>
  <c r="BL121" i="3" s="1"/>
  <c r="BL148" i="3" s="1"/>
  <c r="BU92" i="83" l="1"/>
  <c r="BW89" i="83"/>
  <c r="BW92" i="83" s="1"/>
  <c r="BW86" i="83"/>
  <c r="BW94" i="83" s="1"/>
  <c r="CP88" i="3"/>
  <c r="CP77" i="83"/>
  <c r="CP86" i="83" s="1"/>
  <c r="CP94" i="83" s="1"/>
  <c r="BV89" i="83"/>
  <c r="BV86" i="83"/>
  <c r="BV188" i="83"/>
  <c r="BW188" i="83"/>
  <c r="BU155" i="83"/>
  <c r="BU160" i="83" s="1"/>
  <c r="BU147" i="83"/>
  <c r="BU151" i="83" s="1"/>
  <c r="BU152" i="83" s="1"/>
  <c r="BU94" i="83"/>
  <c r="BT151" i="83"/>
  <c r="BT152" i="83" s="1"/>
  <c r="BT97" i="83"/>
  <c r="BT92" i="83"/>
  <c r="DH77" i="83"/>
  <c r="BT160" i="83"/>
  <c r="BS26" i="3"/>
  <c r="BS95" i="3" s="1"/>
  <c r="BS96" i="3" s="1"/>
  <c r="BW90" i="3"/>
  <c r="BW92" i="3" s="1"/>
  <c r="BU95" i="3"/>
  <c r="BU96" i="3" s="1"/>
  <c r="BT104" i="3"/>
  <c r="BT26" i="3"/>
  <c r="CO9" i="3"/>
  <c r="CO104" i="3" s="1"/>
  <c r="CN9" i="3"/>
  <c r="DF9" i="3"/>
  <c r="BM104" i="3"/>
  <c r="BM121" i="3" s="1"/>
  <c r="BM148" i="3" s="1"/>
  <c r="BL81" i="2"/>
  <c r="BL73" i="2"/>
  <c r="BL74" i="2" s="1"/>
  <c r="BM71" i="2"/>
  <c r="BN150" i="2"/>
  <c r="DG104" i="3"/>
  <c r="DG90" i="3"/>
  <c r="DF90" i="3"/>
  <c r="CN90" i="3"/>
  <c r="BQ104" i="3"/>
  <c r="BW147" i="83" l="1"/>
  <c r="BW151" i="83" s="1"/>
  <c r="BW152" i="83" s="1"/>
  <c r="CP188" i="83"/>
  <c r="BW155" i="83"/>
  <c r="BW160" i="83" s="1"/>
  <c r="BW97" i="83"/>
  <c r="BV97" i="83"/>
  <c r="BV92" i="83"/>
  <c r="DH81" i="83"/>
  <c r="DH78" i="83"/>
  <c r="DH86" i="83"/>
  <c r="DH94" i="83" s="1"/>
  <c r="BV155" i="83"/>
  <c r="BV147" i="83"/>
  <c r="BV94" i="83"/>
  <c r="CP81" i="83"/>
  <c r="CP78" i="83"/>
  <c r="BV90" i="3"/>
  <c r="BV92" i="3" s="1"/>
  <c r="BW9" i="3"/>
  <c r="BW26" i="3" s="1"/>
  <c r="BW95" i="3" s="1"/>
  <c r="BW96" i="3" s="1"/>
  <c r="BU104" i="3"/>
  <c r="BT121" i="3"/>
  <c r="BV9" i="3"/>
  <c r="DH9" i="3" s="1"/>
  <c r="BT95" i="3"/>
  <c r="BT96" i="3" s="1"/>
  <c r="CN104" i="3"/>
  <c r="DF104" i="3"/>
  <c r="BN104" i="3"/>
  <c r="BN121" i="3" s="1"/>
  <c r="BN148" i="3" s="1"/>
  <c r="BR104" i="3"/>
  <c r="DF69" i="2"/>
  <c r="DF150" i="2" s="1"/>
  <c r="BN71" i="2"/>
  <c r="BO69" i="2"/>
  <c r="BO150" i="2" s="1"/>
  <c r="BM73" i="2"/>
  <c r="BM74" i="2" s="1"/>
  <c r="BM44" i="2"/>
  <c r="CP147" i="83" l="1"/>
  <c r="CP151" i="83" s="1"/>
  <c r="CP137" i="83"/>
  <c r="CP139" i="83" s="1"/>
  <c r="CP140" i="83" s="1"/>
  <c r="CP96" i="83" s="1"/>
  <c r="CP82" i="83"/>
  <c r="CP89" i="83"/>
  <c r="BV151" i="83"/>
  <c r="BV152" i="83" s="1"/>
  <c r="DH147" i="83"/>
  <c r="DH151" i="83" s="1"/>
  <c r="DH137" i="83"/>
  <c r="DH82" i="83"/>
  <c r="DH89" i="83"/>
  <c r="BV160" i="83"/>
  <c r="DH155" i="83"/>
  <c r="DH160" i="83" s="1"/>
  <c r="CP155" i="83"/>
  <c r="CP160" i="83" s="1"/>
  <c r="CP90" i="3"/>
  <c r="CP92" i="3" s="1"/>
  <c r="DH90" i="3"/>
  <c r="DH92" i="3" s="1"/>
  <c r="DH104" i="3"/>
  <c r="DH121" i="3" s="1"/>
  <c r="DH26" i="3"/>
  <c r="DH95" i="3" s="1"/>
  <c r="DH96" i="3" s="1"/>
  <c r="BV26" i="3"/>
  <c r="BV95" i="3" s="1"/>
  <c r="BV96" i="3" s="1"/>
  <c r="CP9" i="3"/>
  <c r="BV104" i="3"/>
  <c r="BU121" i="3"/>
  <c r="BN81" i="2"/>
  <c r="BN73" i="2"/>
  <c r="DF42" i="2"/>
  <c r="BS104" i="3"/>
  <c r="DF71" i="2"/>
  <c r="CN69" i="2"/>
  <c r="CN150" i="2" s="1"/>
  <c r="BP69" i="2"/>
  <c r="BP150" i="2" s="1"/>
  <c r="BO71" i="2"/>
  <c r="BO42" i="2" s="1"/>
  <c r="BO104" i="3"/>
  <c r="DH139" i="83" l="1"/>
  <c r="DH140" i="83" s="1"/>
  <c r="DH96" i="83" s="1"/>
  <c r="C21" i="90"/>
  <c r="DH97" i="83"/>
  <c r="DH92" i="83"/>
  <c r="CP152" i="83"/>
  <c r="DH152" i="83"/>
  <c r="CP97" i="83"/>
  <c r="CP92" i="83"/>
  <c r="CP104" i="3"/>
  <c r="CP121" i="3" s="1"/>
  <c r="CP26" i="3"/>
  <c r="CP95" i="3" s="1"/>
  <c r="CP96" i="3" s="1"/>
  <c r="BW104" i="3"/>
  <c r="BW121" i="3" s="1"/>
  <c r="BV121" i="3"/>
  <c r="BP71" i="2"/>
  <c r="BP42" i="2" s="1"/>
  <c r="BQ69" i="2"/>
  <c r="BQ150" i="2" s="1"/>
  <c r="BN74" i="2"/>
  <c r="DF73" i="2"/>
  <c r="DF74" i="2" s="1"/>
  <c r="CN71" i="2"/>
  <c r="DF81" i="2"/>
  <c r="DF44" i="2"/>
  <c r="BO81" i="2"/>
  <c r="BO44" i="2"/>
  <c r="CN42" i="2"/>
  <c r="BO73" i="2"/>
  <c r="C22" i="90" l="1"/>
  <c r="E22" i="90" s="1"/>
  <c r="C24" i="90"/>
  <c r="C26" i="90" s="1"/>
  <c r="BR69" i="2"/>
  <c r="BR150" i="2" s="1"/>
  <c r="BQ71" i="2"/>
  <c r="BQ42" i="2" s="1"/>
  <c r="BO74" i="2"/>
  <c r="CN73" i="2"/>
  <c r="CN74" i="2" s="1"/>
  <c r="BP81" i="2"/>
  <c r="BP73" i="2"/>
  <c r="BP74" i="2" s="1"/>
  <c r="BP44" i="2"/>
  <c r="CN81" i="2"/>
  <c r="CN44" i="2"/>
  <c r="E21" i="90" l="1"/>
  <c r="E24" i="90" s="1"/>
  <c r="E26" i="90" s="1"/>
  <c r="E28" i="90" s="1"/>
  <c r="E29" i="90" s="1"/>
  <c r="DG69" i="2"/>
  <c r="DG150" i="2" s="1"/>
  <c r="BR71" i="2"/>
  <c r="BR42" i="2" s="1"/>
  <c r="BS69" i="2"/>
  <c r="BT69" i="2" s="1"/>
  <c r="BQ81" i="2"/>
  <c r="BQ73" i="2"/>
  <c r="BQ74" i="2" s="1"/>
  <c r="BQ44" i="2"/>
  <c r="BU69" i="2" l="1"/>
  <c r="BT71" i="2"/>
  <c r="BT42" i="2" s="1"/>
  <c r="BS150" i="2"/>
  <c r="DG71" i="2"/>
  <c r="BR81" i="2"/>
  <c r="BR73" i="2"/>
  <c r="DG42" i="2"/>
  <c r="BR44" i="2"/>
  <c r="CO69" i="2"/>
  <c r="CO150" i="2" s="1"/>
  <c r="BS71" i="2"/>
  <c r="BS42" i="2" s="1"/>
  <c r="BT81" i="2" l="1"/>
  <c r="BT73" i="2"/>
  <c r="BT44" i="2"/>
  <c r="BV69" i="2"/>
  <c r="DH69" i="2" s="1"/>
  <c r="BU71" i="2"/>
  <c r="BU42" i="2" s="1"/>
  <c r="BT150" i="2"/>
  <c r="CO71" i="2"/>
  <c r="DG81" i="2"/>
  <c r="DG44" i="2"/>
  <c r="BS81" i="2"/>
  <c r="BS44" i="2"/>
  <c r="CO42" i="2"/>
  <c r="BS73" i="2"/>
  <c r="DG73" i="2"/>
  <c r="DG74" i="2" s="1"/>
  <c r="BR74" i="2"/>
  <c r="DH150" i="2" l="1"/>
  <c r="DH71" i="2"/>
  <c r="BT74" i="2"/>
  <c r="BU81" i="2"/>
  <c r="BU73" i="2"/>
  <c r="BU74" i="2" s="1"/>
  <c r="BU44" i="2"/>
  <c r="BW69" i="2"/>
  <c r="BV71" i="2"/>
  <c r="BV42" i="2" s="1"/>
  <c r="DH42" i="2" s="1"/>
  <c r="BU150" i="2"/>
  <c r="BS74" i="2"/>
  <c r="CO73" i="2"/>
  <c r="CO74" i="2" s="1"/>
  <c r="CO81" i="2"/>
  <c r="CO44" i="2"/>
  <c r="DH81" i="2" l="1"/>
  <c r="DH44" i="2"/>
  <c r="CP69" i="2"/>
  <c r="BW71" i="2"/>
  <c r="BW42" i="2" s="1"/>
  <c r="BW73" i="2" s="1"/>
  <c r="BV73" i="2"/>
  <c r="BV81" i="2"/>
  <c r="BV44" i="2"/>
  <c r="BV150" i="2"/>
  <c r="CM78" i="3"/>
  <c r="BV74" i="2" l="1"/>
  <c r="DH73" i="2"/>
  <c r="DH74" i="2" s="1"/>
  <c r="BW81" i="2"/>
  <c r="BW74" i="2"/>
  <c r="CP73" i="2"/>
  <c r="CP42" i="2"/>
  <c r="BW44" i="2"/>
  <c r="CP71" i="2"/>
  <c r="CP150" i="2"/>
  <c r="BW150" i="2"/>
  <c r="BL82" i="2"/>
  <c r="BL83" i="2" s="1"/>
  <c r="BK82" i="53"/>
  <c r="CM11" i="3"/>
  <c r="CM79" i="3"/>
  <c r="CP74" i="2" l="1"/>
  <c r="CP44" i="2"/>
  <c r="CP81" i="2"/>
  <c r="BL82" i="53"/>
  <c r="BK88" i="3"/>
  <c r="CM82" i="3"/>
  <c r="CM106" i="3"/>
  <c r="BK81" i="53"/>
  <c r="CM82" i="53"/>
  <c r="BL81" i="53" l="1"/>
  <c r="CM83" i="3"/>
  <c r="CM80" i="3"/>
  <c r="CM81" i="53"/>
  <c r="BK92" i="3"/>
  <c r="CM88" i="3"/>
  <c r="CM92" i="3" s="1"/>
  <c r="BL83" i="3"/>
  <c r="BL88" i="3" l="1"/>
  <c r="BO79" i="3"/>
  <c r="BP78" i="3"/>
  <c r="BL95" i="3"/>
  <c r="BL96" i="3" s="1"/>
  <c r="BP79" i="3" l="1"/>
  <c r="BQ78" i="3"/>
  <c r="BQ79" i="3" s="1"/>
  <c r="BO80" i="3"/>
  <c r="BO11" i="3"/>
  <c r="BO172" i="83" s="1"/>
  <c r="BL92" i="3"/>
  <c r="BO174" i="83" l="1"/>
  <c r="CO78" i="3"/>
  <c r="BP80" i="3"/>
  <c r="CO79" i="3"/>
  <c r="BP11" i="3"/>
  <c r="BP172" i="83" s="1"/>
  <c r="BQ11" i="3"/>
  <c r="BQ172" i="83" s="1"/>
  <c r="BQ174" i="83" s="1"/>
  <c r="BQ80" i="3"/>
  <c r="BL86" i="2"/>
  <c r="BL88" i="2" s="1"/>
  <c r="BL89" i="2" s="1"/>
  <c r="BM133" i="2"/>
  <c r="BM135" i="2" s="1"/>
  <c r="BM143" i="2" s="1"/>
  <c r="BL138" i="2"/>
  <c r="BL140" i="2" s="1"/>
  <c r="BO82" i="3"/>
  <c r="BO83" i="3" s="1"/>
  <c r="BO26" i="3"/>
  <c r="CO172" i="83" l="1"/>
  <c r="CO174" i="83" s="1"/>
  <c r="BP174" i="83"/>
  <c r="DG172" i="83"/>
  <c r="DG174" i="83" s="1"/>
  <c r="BP82" i="3"/>
  <c r="BP83" i="3" s="1"/>
  <c r="BP26" i="3"/>
  <c r="BP106" i="3"/>
  <c r="CO11" i="3"/>
  <c r="BM16" i="2"/>
  <c r="BM91" i="2" s="1"/>
  <c r="BM138" i="2"/>
  <c r="BM140" i="2" s="1"/>
  <c r="BN133" i="2"/>
  <c r="BN135" i="2" s="1"/>
  <c r="BN143" i="2" s="1"/>
  <c r="DG11" i="3"/>
  <c r="BL91" i="2"/>
  <c r="BQ82" i="3"/>
  <c r="BQ83" i="3" s="1"/>
  <c r="BQ88" i="3"/>
  <c r="BQ92" i="3" s="1"/>
  <c r="BQ26" i="3"/>
  <c r="BO95" i="3"/>
  <c r="BO96" i="3" s="1"/>
  <c r="BO88" i="3"/>
  <c r="BO92" i="3" l="1"/>
  <c r="DF9" i="2"/>
  <c r="BN138" i="2"/>
  <c r="BN140" i="2" s="1"/>
  <c r="BN86" i="2"/>
  <c r="BN88" i="2" s="1"/>
  <c r="BN89" i="2" s="1"/>
  <c r="BO133" i="2"/>
  <c r="BO135" i="2" s="1"/>
  <c r="BO143" i="2" s="1"/>
  <c r="BL67" i="3"/>
  <c r="BL46" i="2"/>
  <c r="BQ95" i="3"/>
  <c r="BQ96" i="3" s="1"/>
  <c r="BP88" i="3"/>
  <c r="BM25" i="2"/>
  <c r="BM67" i="3" s="1"/>
  <c r="BP95" i="3"/>
  <c r="BP96" i="3" s="1"/>
  <c r="DG82" i="3"/>
  <c r="DG106" i="3"/>
  <c r="DG121" i="3" s="1"/>
  <c r="DG26" i="3"/>
  <c r="DG95" i="3" s="1"/>
  <c r="DG96" i="3" s="1"/>
  <c r="BP121" i="3"/>
  <c r="BQ106" i="3"/>
  <c r="CO82" i="3"/>
  <c r="CO106" i="3"/>
  <c r="CO121" i="3" s="1"/>
  <c r="CO26" i="3"/>
  <c r="CO95" i="3" s="1"/>
  <c r="CO96" i="3" s="1"/>
  <c r="BM46" i="2" l="1"/>
  <c r="BN91" i="2"/>
  <c r="BQ121" i="3"/>
  <c r="BR106" i="3"/>
  <c r="DG80" i="3"/>
  <c r="DG79" i="3" s="1"/>
  <c r="DG83" i="3" s="1"/>
  <c r="CO83" i="3"/>
  <c r="CO80" i="3"/>
  <c r="BP92" i="3"/>
  <c r="CO88" i="3"/>
  <c r="CO92" i="3" s="1"/>
  <c r="DG88" i="3"/>
  <c r="DG92" i="3" s="1"/>
  <c r="DF56" i="3"/>
  <c r="DF16" i="2"/>
  <c r="DF151" i="3"/>
  <c r="DF86" i="2"/>
  <c r="DF88" i="2" s="1"/>
  <c r="DF89" i="2" s="1"/>
  <c r="DF91" i="2" l="1"/>
  <c r="BR121" i="3"/>
  <c r="BS106" i="3"/>
  <c r="BS121" i="3" s="1"/>
  <c r="BK39" i="3" l="1"/>
  <c r="DF39" i="3" s="1"/>
  <c r="DF134" i="3" l="1"/>
  <c r="CM39" i="3"/>
  <c r="CM134" i="3" l="1"/>
  <c r="BK142" i="3"/>
  <c r="BK42" i="3"/>
  <c r="CM42" i="3" l="1"/>
  <c r="BK47" i="3"/>
  <c r="DF42" i="3"/>
  <c r="DF47" i="3" l="1"/>
  <c r="DF137" i="3"/>
  <c r="DF142" i="3" s="1"/>
  <c r="CM47" i="3"/>
  <c r="CM137" i="3"/>
  <c r="CM142" i="3" s="1"/>
  <c r="BK121" i="3"/>
  <c r="BK14" i="3"/>
  <c r="CM14" i="3" s="1"/>
  <c r="DF14" i="3" l="1"/>
  <c r="DF109" i="3" s="1"/>
  <c r="CM26" i="3"/>
  <c r="CM95" i="3" s="1"/>
  <c r="CM96" i="3" s="1"/>
  <c r="CM109" i="3"/>
  <c r="CM121" i="3" s="1"/>
  <c r="CM148" i="3" s="1"/>
  <c r="CM149" i="3" s="1"/>
  <c r="BK26" i="3"/>
  <c r="BK148" i="3"/>
  <c r="BK149" i="3" s="1"/>
  <c r="BL146" i="3" s="1"/>
  <c r="BN146" i="3" s="1"/>
  <c r="BN149" i="3" s="1"/>
  <c r="BN152" i="3" s="1"/>
  <c r="BL149" i="3" l="1"/>
  <c r="BL152" i="3" s="1"/>
  <c r="BM146" i="3"/>
  <c r="BM149" i="3" s="1"/>
  <c r="BM152" i="3" s="1"/>
  <c r="CM152" i="3"/>
  <c r="CN146" i="3"/>
  <c r="BK152" i="3"/>
  <c r="BK95" i="3"/>
  <c r="BK96" i="3" s="1"/>
  <c r="BK53" i="3"/>
  <c r="CM53" i="3" l="1"/>
  <c r="CM54" i="3" s="1"/>
  <c r="BK54" i="3"/>
  <c r="BL51" i="3" s="1"/>
  <c r="BL54" i="3" s="1"/>
  <c r="BO146" i="3"/>
  <c r="BL57" i="3" l="1"/>
  <c r="BM51" i="3"/>
  <c r="BM54" i="3" s="1"/>
  <c r="CM57" i="3"/>
  <c r="CN51" i="3"/>
  <c r="BK57" i="3"/>
  <c r="BM57" i="3" l="1"/>
  <c r="BN51" i="3"/>
  <c r="BN54" i="3" s="1"/>
  <c r="BN57" i="3" s="1"/>
  <c r="BO124" i="3"/>
  <c r="BM82" i="53" l="1"/>
  <c r="BM81" i="53" s="1"/>
  <c r="CN29" i="3"/>
  <c r="CN62" i="3" s="1"/>
  <c r="CN64" i="3" s="1"/>
  <c r="DF29" i="3"/>
  <c r="DF62" i="3" s="1"/>
  <c r="DF64" i="3" s="1"/>
  <c r="BM79" i="3"/>
  <c r="BM78" i="3" s="1"/>
  <c r="BM80" i="3"/>
  <c r="BM82" i="3"/>
  <c r="BM89" i="3"/>
  <c r="CN89" i="3" s="1"/>
  <c r="BM95" i="3"/>
  <c r="BM96" i="3" s="1"/>
  <c r="CN124" i="3" l="1"/>
  <c r="DF89" i="3"/>
  <c r="BM83" i="3"/>
  <c r="BM88" i="3"/>
  <c r="DF124" i="3"/>
  <c r="BM92" i="3" l="1"/>
  <c r="CN52" i="3" l="1"/>
  <c r="DG52" i="3" l="1"/>
  <c r="CN147" i="3"/>
  <c r="DG147" i="3" l="1"/>
  <c r="BO22" i="2" l="1"/>
  <c r="DF22" i="2"/>
  <c r="BO24" i="2"/>
  <c r="BO35" i="3" s="1"/>
  <c r="BN82" i="2"/>
  <c r="BO82" i="2"/>
  <c r="BO83" i="2" s="1"/>
  <c r="DF82" i="2"/>
  <c r="BN83" i="2"/>
  <c r="DF83" i="2"/>
  <c r="BN82" i="53"/>
  <c r="BN81" i="53" s="1"/>
  <c r="CN81" i="53" s="1"/>
  <c r="CN11" i="3"/>
  <c r="CN26" i="3" s="1"/>
  <c r="CN95" i="3" s="1"/>
  <c r="CN96" i="3" s="1"/>
  <c r="DF11" i="3"/>
  <c r="DF82" i="3" s="1"/>
  <c r="DF80" i="3" s="1"/>
  <c r="DF79" i="3" s="1"/>
  <c r="DF83" i="3" s="1"/>
  <c r="BN95" i="3"/>
  <c r="BN96" i="3" s="1"/>
  <c r="DF26" i="3"/>
  <c r="DF95" i="3" s="1"/>
  <c r="DF96" i="3" s="1"/>
  <c r="DF35" i="3"/>
  <c r="BN82" i="3"/>
  <c r="BO106" i="3"/>
  <c r="BO121" i="3" s="1"/>
  <c r="CN106" i="3"/>
  <c r="CN121" i="3" s="1"/>
  <c r="BN172" i="83"/>
  <c r="CN172" i="83" s="1"/>
  <c r="CN174" i="83" s="1"/>
  <c r="DF106" i="3" l="1"/>
  <c r="DF121" i="3" s="1"/>
  <c r="DF172" i="83"/>
  <c r="DF174" i="83" s="1"/>
  <c r="BN174" i="83"/>
  <c r="BN88" i="3" s="1"/>
  <c r="DF53" i="3"/>
  <c r="DF54" i="3" s="1"/>
  <c r="DF57" i="3" s="1"/>
  <c r="DF36" i="3"/>
  <c r="DF130" i="3"/>
  <c r="DF131" i="3" s="1"/>
  <c r="DF24" i="2"/>
  <c r="DF25" i="2" s="1"/>
  <c r="BO130" i="3"/>
  <c r="BO131" i="3" s="1"/>
  <c r="BO148" i="3" s="1"/>
  <c r="BO149" i="3" s="1"/>
  <c r="BP146" i="3" s="1"/>
  <c r="BS146" i="3" s="1"/>
  <c r="BN25" i="2"/>
  <c r="BN67" i="3" s="1"/>
  <c r="CN82" i="3"/>
  <c r="CN88" i="3"/>
  <c r="CN92" i="3" s="1"/>
  <c r="BN92" i="3"/>
  <c r="DF88" i="3"/>
  <c r="DF92" i="3" s="1"/>
  <c r="CN35" i="3"/>
  <c r="BO36" i="3"/>
  <c r="BO53" i="3" s="1"/>
  <c r="CN82" i="53"/>
  <c r="BP24" i="2"/>
  <c r="CN24" i="2"/>
  <c r="BP35" i="3"/>
  <c r="BP22" i="2"/>
  <c r="CN22" i="2"/>
  <c r="DF148" i="3" l="1"/>
  <c r="DF149" i="3" s="1"/>
  <c r="DG146" i="3" s="1"/>
  <c r="BQ146" i="3"/>
  <c r="BR146" i="3"/>
  <c r="DF46" i="2"/>
  <c r="DF67" i="3"/>
  <c r="BN46" i="2"/>
  <c r="DG51" i="3"/>
  <c r="BO51" i="3"/>
  <c r="BO54" i="3" s="1"/>
  <c r="BP51" i="3" s="1"/>
  <c r="CN80" i="3"/>
  <c r="CN82" i="2"/>
  <c r="CN83" i="2" s="1"/>
  <c r="BP36" i="3"/>
  <c r="BP53" i="3" s="1"/>
  <c r="BP130" i="3"/>
  <c r="BQ22" i="2"/>
  <c r="BP82" i="2"/>
  <c r="BP83" i="2" s="1"/>
  <c r="BQ24" i="2"/>
  <c r="BO9" i="2"/>
  <c r="CN53" i="3"/>
  <c r="CN54" i="3" s="1"/>
  <c r="CO51" i="3" s="1"/>
  <c r="CN36" i="3"/>
  <c r="CN130" i="3"/>
  <c r="CN131" i="3" s="1"/>
  <c r="CN148" i="3" s="1"/>
  <c r="CN149" i="3" s="1"/>
  <c r="CO146" i="3" s="1"/>
  <c r="DF152" i="3" l="1"/>
  <c r="BO16" i="2"/>
  <c r="BP9" i="2"/>
  <c r="CN9" i="2"/>
  <c r="BO86" i="2"/>
  <c r="BO88" i="2" s="1"/>
  <c r="BO89" i="2" s="1"/>
  <c r="BP133" i="2"/>
  <c r="BP135" i="2" s="1"/>
  <c r="BP143" i="2" s="1"/>
  <c r="BO138" i="2"/>
  <c r="BO140" i="2" s="1"/>
  <c r="BO56" i="3"/>
  <c r="BO57" i="3" s="1"/>
  <c r="BO151" i="3"/>
  <c r="BO152" i="3" s="1"/>
  <c r="BR24" i="2"/>
  <c r="BR35" i="3" s="1"/>
  <c r="BR36" i="3" s="1"/>
  <c r="BR53" i="3" s="1"/>
  <c r="BR22" i="2"/>
  <c r="BQ82" i="2"/>
  <c r="BQ83" i="2" s="1"/>
  <c r="BQ35" i="3"/>
  <c r="BP131" i="3"/>
  <c r="BP148" i="3" s="1"/>
  <c r="BP149" i="3" s="1"/>
  <c r="BP54" i="3"/>
  <c r="BQ51" i="3" s="1"/>
  <c r="BQ36" i="3" l="1"/>
  <c r="BQ53" i="3" s="1"/>
  <c r="BQ9" i="2" s="1"/>
  <c r="DG35" i="3"/>
  <c r="BP16" i="2"/>
  <c r="BP86" i="2"/>
  <c r="BP88" i="2" s="1"/>
  <c r="BP89" i="2" s="1"/>
  <c r="BQ133" i="2"/>
  <c r="BQ135" i="2" s="1"/>
  <c r="BQ143" i="2" s="1"/>
  <c r="BP138" i="2"/>
  <c r="BP140" i="2" s="1"/>
  <c r="BP151" i="3"/>
  <c r="BP152" i="3" s="1"/>
  <c r="BP56" i="3"/>
  <c r="BP57" i="3" s="1"/>
  <c r="BQ130" i="3"/>
  <c r="DG22" i="2"/>
  <c r="BS22" i="2"/>
  <c r="BR82" i="2"/>
  <c r="BR83" i="2" s="1"/>
  <c r="DG24" i="2"/>
  <c r="BS24" i="2"/>
  <c r="CN16" i="2"/>
  <c r="CN86" i="2"/>
  <c r="CN88" i="2" s="1"/>
  <c r="CN89" i="2" s="1"/>
  <c r="CN138" i="2"/>
  <c r="CN140" i="2" s="1"/>
  <c r="CO133" i="2"/>
  <c r="CO135" i="2" s="1"/>
  <c r="CP142" i="2" s="1"/>
  <c r="CN151" i="3"/>
  <c r="CN152" i="3" s="1"/>
  <c r="CN56" i="3"/>
  <c r="CN57" i="3" s="1"/>
  <c r="BO91" i="2"/>
  <c r="BO25" i="2"/>
  <c r="CN91" i="2" l="1"/>
  <c r="CN25" i="2"/>
  <c r="BT24" i="2"/>
  <c r="CO24" i="2"/>
  <c r="BT35" i="3"/>
  <c r="BQ131" i="3"/>
  <c r="BQ148" i="3" s="1"/>
  <c r="BQ149" i="3" s="1"/>
  <c r="BR130" i="3"/>
  <c r="BP91" i="2"/>
  <c r="BP25" i="2"/>
  <c r="BO46" i="2"/>
  <c r="BO67" i="3"/>
  <c r="BS35" i="3"/>
  <c r="BT22" i="2"/>
  <c r="BS82" i="2"/>
  <c r="BS83" i="2" s="1"/>
  <c r="CO22" i="2"/>
  <c r="DG82" i="2"/>
  <c r="DG83" i="2" s="1"/>
  <c r="BQ16" i="2"/>
  <c r="BR9" i="2"/>
  <c r="BQ86" i="2"/>
  <c r="BQ88" i="2" s="1"/>
  <c r="BQ89" i="2" s="1"/>
  <c r="BR133" i="2"/>
  <c r="BR135" i="2" s="1"/>
  <c r="BR143" i="2" s="1"/>
  <c r="BQ138" i="2"/>
  <c r="BQ140" i="2" s="1"/>
  <c r="BQ56" i="3"/>
  <c r="BQ151" i="3"/>
  <c r="DG36" i="3"/>
  <c r="DG130" i="3"/>
  <c r="DG131" i="3" s="1"/>
  <c r="DG148" i="3" s="1"/>
  <c r="DG149" i="3" s="1"/>
  <c r="DH146" i="3" s="1"/>
  <c r="BQ54" i="3"/>
  <c r="BR51" i="3" s="1"/>
  <c r="BR54" i="3" s="1"/>
  <c r="BS51" i="3" s="1"/>
  <c r="DG53" i="3"/>
  <c r="DG54" i="3" s="1"/>
  <c r="DH51" i="3" s="1"/>
  <c r="BQ57" i="3" l="1"/>
  <c r="DG9" i="2"/>
  <c r="BR86" i="2"/>
  <c r="BR88" i="2" s="1"/>
  <c r="BR89" i="2" s="1"/>
  <c r="BS133" i="2"/>
  <c r="BS135" i="2" s="1"/>
  <c r="BS143" i="2" s="1"/>
  <c r="BR138" i="2"/>
  <c r="BR140" i="2" s="1"/>
  <c r="BR16" i="2"/>
  <c r="BR151" i="3"/>
  <c r="BR56" i="3"/>
  <c r="BR57" i="3" s="1"/>
  <c r="CO82" i="2"/>
  <c r="CO83" i="2" s="1"/>
  <c r="BS36" i="3"/>
  <c r="BS53" i="3" s="1"/>
  <c r="BS9" i="2" s="1"/>
  <c r="CO35" i="3"/>
  <c r="CN46" i="2"/>
  <c r="CN67" i="3"/>
  <c r="BQ152" i="3"/>
  <c r="BQ91" i="2"/>
  <c r="BQ25" i="2"/>
  <c r="BU22" i="2"/>
  <c r="BT82" i="2"/>
  <c r="BT83" i="2" s="1"/>
  <c r="BP46" i="2"/>
  <c r="BP67" i="3"/>
  <c r="BS130" i="3"/>
  <c r="BS131" i="3" s="1"/>
  <c r="BS148" i="3" s="1"/>
  <c r="BS149" i="3" s="1"/>
  <c r="BT146" i="3" s="1"/>
  <c r="BR131" i="3"/>
  <c r="BR148" i="3" s="1"/>
  <c r="BR149" i="3" s="1"/>
  <c r="BT36" i="3"/>
  <c r="BT53" i="3" s="1"/>
  <c r="BT130" i="3"/>
  <c r="BU24" i="2"/>
  <c r="BU35" i="3" s="1"/>
  <c r="BU36" i="3" s="1"/>
  <c r="BU53" i="3" s="1"/>
  <c r="BU130" i="3" l="1"/>
  <c r="BT131" i="3"/>
  <c r="BT148" i="3" s="1"/>
  <c r="BT149" i="3" s="1"/>
  <c r="CO130" i="3"/>
  <c r="CO131" i="3" s="1"/>
  <c r="CO148" i="3" s="1"/>
  <c r="CO149" i="3" s="1"/>
  <c r="CP146" i="3" s="1"/>
  <c r="CO36" i="3"/>
  <c r="BR152" i="3"/>
  <c r="CO9" i="2"/>
  <c r="BS16" i="2"/>
  <c r="BT9" i="2"/>
  <c r="BS86" i="2"/>
  <c r="BS88" i="2" s="1"/>
  <c r="BS89" i="2" s="1"/>
  <c r="BT133" i="2"/>
  <c r="BT135" i="2" s="1"/>
  <c r="BT143" i="2" s="1"/>
  <c r="BS138" i="2"/>
  <c r="BS140" i="2" s="1"/>
  <c r="BS56" i="3"/>
  <c r="BS151" i="3"/>
  <c r="BS152" i="3" s="1"/>
  <c r="BU146" i="3"/>
  <c r="BW146" i="3"/>
  <c r="BV146" i="3"/>
  <c r="BV22" i="2"/>
  <c r="BU82" i="2"/>
  <c r="BU83" i="2" s="1"/>
  <c r="BQ46" i="2"/>
  <c r="BQ67" i="3"/>
  <c r="BV24" i="2"/>
  <c r="BV35" i="3" s="1"/>
  <c r="BV36" i="3" s="1"/>
  <c r="BV53" i="3" s="1"/>
  <c r="DH53" i="3" s="1"/>
  <c r="DH54" i="3" s="1"/>
  <c r="BS54" i="3"/>
  <c r="BT51" i="3" s="1"/>
  <c r="BT54" i="3" s="1"/>
  <c r="BU51" i="3" s="1"/>
  <c r="BU54" i="3" s="1"/>
  <c r="BV51" i="3" s="1"/>
  <c r="CO53" i="3"/>
  <c r="CO54" i="3" s="1"/>
  <c r="CP51" i="3" s="1"/>
  <c r="BR91" i="2"/>
  <c r="BR25" i="2"/>
  <c r="DG16" i="2"/>
  <c r="DG86" i="2"/>
  <c r="DG88" i="2" s="1"/>
  <c r="DG89" i="2" s="1"/>
  <c r="DG56" i="3"/>
  <c r="DG57" i="3" s="1"/>
  <c r="DG151" i="3"/>
  <c r="DG152" i="3" s="1"/>
  <c r="BV54" i="3" l="1"/>
  <c r="BW51" i="3" s="1"/>
  <c r="BS91" i="2"/>
  <c r="BS25" i="2"/>
  <c r="BU131" i="3"/>
  <c r="BU148" i="3" s="1"/>
  <c r="BU149" i="3" s="1"/>
  <c r="BV130" i="3"/>
  <c r="BR46" i="2"/>
  <c r="BR67" i="3"/>
  <c r="DG91" i="2"/>
  <c r="DG25" i="2"/>
  <c r="DH24" i="2"/>
  <c r="BW24" i="2"/>
  <c r="CP24" i="2" s="1"/>
  <c r="BW22" i="2"/>
  <c r="DH22" i="2"/>
  <c r="BV82" i="2"/>
  <c r="BV83" i="2" s="1"/>
  <c r="BS57" i="3"/>
  <c r="BU9" i="2"/>
  <c r="BT16" i="2"/>
  <c r="BT86" i="2"/>
  <c r="BT88" i="2" s="1"/>
  <c r="BT89" i="2" s="1"/>
  <c r="BU133" i="2"/>
  <c r="BU135" i="2" s="1"/>
  <c r="BU143" i="2" s="1"/>
  <c r="BT138" i="2"/>
  <c r="BT140" i="2" s="1"/>
  <c r="BT151" i="3"/>
  <c r="BT152" i="3" s="1"/>
  <c r="BT56" i="3"/>
  <c r="BT57" i="3" s="1"/>
  <c r="CO16" i="2"/>
  <c r="CP133" i="2"/>
  <c r="CP135" i="2" s="1"/>
  <c r="CO86" i="2"/>
  <c r="CO88" i="2" s="1"/>
  <c r="CO89" i="2" s="1"/>
  <c r="CO138" i="2"/>
  <c r="CO140" i="2" s="1"/>
  <c r="CO56" i="3"/>
  <c r="CO57" i="3" s="1"/>
  <c r="CO151" i="3"/>
  <c r="CO152" i="3" s="1"/>
  <c r="DH35" i="3"/>
  <c r="BW35" i="3" l="1"/>
  <c r="BW36" i="3" s="1"/>
  <c r="BW53" i="3" s="1"/>
  <c r="BW54" i="3" s="1"/>
  <c r="BU16" i="2"/>
  <c r="BV9" i="2"/>
  <c r="BU86" i="2"/>
  <c r="BU88" i="2" s="1"/>
  <c r="BU89" i="2" s="1"/>
  <c r="BV133" i="2"/>
  <c r="BV135" i="2" s="1"/>
  <c r="BV143" i="2" s="1"/>
  <c r="BU138" i="2"/>
  <c r="BU140" i="2" s="1"/>
  <c r="BU56" i="3"/>
  <c r="BU57" i="3" s="1"/>
  <c r="BU151" i="3"/>
  <c r="BU152" i="3" s="1"/>
  <c r="DH82" i="2"/>
  <c r="DH83" i="2" s="1"/>
  <c r="BS46" i="2"/>
  <c r="BS67" i="3"/>
  <c r="DH36" i="3"/>
  <c r="DH130" i="3"/>
  <c r="DH131" i="3" s="1"/>
  <c r="DH148" i="3" s="1"/>
  <c r="DH149" i="3" s="1"/>
  <c r="CO91" i="2"/>
  <c r="CO25" i="2"/>
  <c r="BT91" i="2"/>
  <c r="BT25" i="2"/>
  <c r="CP22" i="2"/>
  <c r="BW82" i="2"/>
  <c r="BW83" i="2" s="1"/>
  <c r="DG46" i="2"/>
  <c r="DG67" i="3"/>
  <c r="BV131" i="3"/>
  <c r="BV148" i="3" s="1"/>
  <c r="BV149" i="3" s="1"/>
  <c r="BW130" i="3" l="1"/>
  <c r="BW131" i="3" s="1"/>
  <c r="BW148" i="3" s="1"/>
  <c r="BW149" i="3" s="1"/>
  <c r="CP35" i="3"/>
  <c r="CP53" i="3"/>
  <c r="CP54" i="3" s="1"/>
  <c r="CP36" i="3"/>
  <c r="CP130" i="3"/>
  <c r="CP131" i="3" s="1"/>
  <c r="CP148" i="3" s="1"/>
  <c r="CP149" i="3" s="1"/>
  <c r="CP82" i="2"/>
  <c r="CP83" i="2" s="1"/>
  <c r="BW9" i="2"/>
  <c r="BV86" i="2"/>
  <c r="BV88" i="2" s="1"/>
  <c r="BV89" i="2" s="1"/>
  <c r="BW133" i="2"/>
  <c r="BW135" i="2" s="1"/>
  <c r="BW143" i="2" s="1"/>
  <c r="BV138" i="2"/>
  <c r="BV140" i="2" s="1"/>
  <c r="DH9" i="2"/>
  <c r="BV16" i="2"/>
  <c r="BV151" i="3"/>
  <c r="BV152" i="3" s="1"/>
  <c r="BV56" i="3"/>
  <c r="BV57" i="3" s="1"/>
  <c r="BT46" i="2"/>
  <c r="BT67" i="3"/>
  <c r="CO46" i="2"/>
  <c r="CO67" i="3"/>
  <c r="BU91" i="2"/>
  <c r="BU25" i="2"/>
  <c r="DH16" i="2" l="1"/>
  <c r="DH86" i="2"/>
  <c r="DH88" i="2" s="1"/>
  <c r="DH89" i="2" s="1"/>
  <c r="DH151" i="3"/>
  <c r="DH152" i="3" s="1"/>
  <c r="DH56" i="3"/>
  <c r="DH57" i="3" s="1"/>
  <c r="BW16" i="2"/>
  <c r="CP9" i="2"/>
  <c r="BW86" i="2"/>
  <c r="BW88" i="2" s="1"/>
  <c r="BW89" i="2" s="1"/>
  <c r="BW138" i="2"/>
  <c r="BW140" i="2" s="1"/>
  <c r="BW56" i="3"/>
  <c r="BW57" i="3" s="1"/>
  <c r="BW151" i="3"/>
  <c r="BW152" i="3" s="1"/>
  <c r="BU46" i="2"/>
  <c r="BU67" i="3"/>
  <c r="BV91" i="2"/>
  <c r="BV25" i="2"/>
  <c r="BV46" i="2" l="1"/>
  <c r="BV67" i="3"/>
  <c r="CP86" i="2"/>
  <c r="CP88" i="2" s="1"/>
  <c r="CP89" i="2" s="1"/>
  <c r="CP138" i="2"/>
  <c r="CP140" i="2" s="1"/>
  <c r="CP16" i="2"/>
  <c r="CP151" i="3"/>
  <c r="CP152" i="3" s="1"/>
  <c r="CP56" i="3"/>
  <c r="CP57" i="3" s="1"/>
  <c r="BW91" i="2"/>
  <c r="BW25" i="2"/>
  <c r="DH91" i="2"/>
  <c r="DH25" i="2"/>
  <c r="DH46" i="2" l="1"/>
  <c r="DH67" i="3"/>
  <c r="BW46" i="2"/>
  <c r="BW67" i="3"/>
  <c r="CP91" i="2"/>
  <c r="CP25" i="2"/>
  <c r="CP46" i="2" l="1"/>
  <c r="CP67" i="3"/>
  <c r="F1" i="3" l="1"/>
  <c r="BJ1" i="2"/>
  <c r="AZ1" i="3"/>
  <c r="T1" i="2"/>
  <c r="CM1" i="3"/>
  <c r="AH1" i="2"/>
  <c r="BD1" i="2"/>
  <c r="T1" i="3"/>
  <c r="AT1" i="2"/>
  <c r="BD1" i="3"/>
  <c r="X1" i="2"/>
  <c r="CW1" i="2"/>
  <c r="CN1" i="2"/>
  <c r="CJ1" i="2"/>
  <c r="X1" i="3"/>
  <c r="CJ1" i="3"/>
  <c r="Z1" i="2"/>
  <c r="AZ1" i="2"/>
  <c r="CL1" i="2"/>
  <c r="CT1" i="2"/>
  <c r="CM1" i="2"/>
  <c r="BZ1" i="2"/>
  <c r="BN1" i="2"/>
  <c r="CY1" i="3"/>
  <c r="AJ1" i="2"/>
  <c r="BX1" i="3"/>
  <c r="CY1" i="2"/>
  <c r="H1" i="3"/>
  <c r="V1" i="2"/>
  <c r="BX1" i="2"/>
  <c r="BF1" i="2"/>
  <c r="CU1" i="3"/>
  <c r="J1" i="83"/>
  <c r="AV1" i="2"/>
  <c r="R1" i="2"/>
  <c r="CF1" i="3"/>
  <c r="L1" i="2"/>
  <c r="AR1" i="3"/>
  <c r="CR1" i="2"/>
  <c r="BL1" i="2"/>
  <c r="AX1" i="2"/>
  <c r="CS1" i="3"/>
  <c r="AB1" i="2"/>
  <c r="BH1" i="3"/>
  <c r="AD1" i="2"/>
  <c r="BN1" i="3"/>
  <c r="DE1" i="83"/>
  <c r="CF1" i="2"/>
  <c r="CH1" i="2"/>
  <c r="DE1" i="3"/>
  <c r="AR1" i="2"/>
  <c r="J1" i="2"/>
  <c r="CB1" i="3"/>
  <c r="CS1" i="2"/>
  <c r="DF1" i="2"/>
  <c r="BB1" i="2"/>
  <c r="BH1" i="2"/>
  <c r="AP1" i="2"/>
  <c r="CO1" i="3"/>
  <c r="AB1" i="3"/>
  <c r="H1" i="2"/>
  <c r="AN1" i="3"/>
  <c r="DD1" i="2"/>
  <c r="CU1" i="2"/>
  <c r="D1" i="3"/>
  <c r="AL1" i="2"/>
  <c r="AN1" i="2"/>
  <c r="BZ1" i="3"/>
  <c r="D1" i="2"/>
  <c r="AJ1" i="3"/>
  <c r="DD1" i="3"/>
  <c r="AZ1" i="83"/>
  <c r="CW1" i="83"/>
  <c r="DE1" i="2"/>
  <c r="P1" i="3"/>
  <c r="CB1" i="2"/>
  <c r="CA1" i="2"/>
  <c r="DC1" i="3"/>
  <c r="AF1" i="3"/>
  <c r="CO1" i="2"/>
  <c r="DA1" i="2"/>
  <c r="BY1" i="2"/>
  <c r="AT1" i="3"/>
  <c r="T1" i="83"/>
  <c r="AP1" i="83"/>
  <c r="P1" i="2"/>
  <c r="AV1" i="3"/>
  <c r="CD1" i="2"/>
  <c r="DC1" i="2"/>
  <c r="L1" i="3"/>
  <c r="F1" i="2"/>
  <c r="AF1" i="2"/>
  <c r="BL1" i="3"/>
  <c r="N1" i="2"/>
  <c r="Z1" i="83"/>
  <c r="D1" i="83"/>
  <c r="N1" i="3"/>
  <c r="CD1" i="3"/>
  <c r="DA1" i="83"/>
  <c r="BD1" i="83"/>
  <c r="J1" i="3"/>
  <c r="F1" i="83"/>
  <c r="AH1" i="83"/>
  <c r="L1" i="83"/>
  <c r="AD1" i="3"/>
  <c r="R1" i="83"/>
  <c r="AT1" i="83"/>
  <c r="X1" i="83"/>
  <c r="BB1" i="3"/>
  <c r="DC1" i="83"/>
  <c r="BF1" i="3"/>
  <c r="CR1" i="83"/>
  <c r="AR1" i="83"/>
  <c r="CR1" i="3"/>
  <c r="CH1" i="3"/>
  <c r="AB1" i="83"/>
  <c r="CS1" i="83"/>
  <c r="AH1" i="3"/>
  <c r="AJ1" i="83"/>
  <c r="BF1" i="83"/>
  <c r="CT1" i="3"/>
  <c r="N1" i="83"/>
  <c r="CT1" i="83"/>
  <c r="AV1" i="83"/>
  <c r="CW1" i="3"/>
  <c r="CY1" i="83"/>
  <c r="AX1" i="3"/>
  <c r="DD1" i="83"/>
  <c r="CM1" i="83"/>
  <c r="R1" i="3"/>
  <c r="CA1" i="3"/>
  <c r="AL1" i="83"/>
  <c r="P1" i="83"/>
  <c r="AL1" i="3"/>
  <c r="DF1" i="3"/>
  <c r="AX1" i="83"/>
  <c r="BJ1" i="3"/>
  <c r="CN1" i="3"/>
  <c r="CL1" i="3"/>
  <c r="AN1" i="83"/>
  <c r="CN1" i="83"/>
  <c r="V1" i="83"/>
  <c r="V1" i="3"/>
  <c r="H1" i="83"/>
  <c r="AD1" i="83"/>
  <c r="BY1" i="3"/>
  <c r="AF1" i="83"/>
  <c r="BB1" i="83"/>
  <c r="DA1" i="3"/>
  <c r="Z1" i="3"/>
  <c r="CO1" i="83"/>
  <c r="DF1" i="83"/>
  <c r="AP1" i="3"/>
  <c r="CU1" i="83"/>
  <c r="CN78" i="3" l="1"/>
  <c r="CN79" i="3"/>
  <c r="BN80" i="3"/>
  <c r="BN83" i="3"/>
  <c r="CN83" i="3"/>
</calcChain>
</file>

<file path=xl/comments1.xml><?xml version="1.0" encoding="utf-8"?>
<comments xmlns="http://schemas.openxmlformats.org/spreadsheetml/2006/main">
  <authors>
    <author>josuev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卟䙄_x0003_＀＀˞伨A噎䅄䙞彅卅䥔䅍䕔✨䍆❆✬䕍乁Ⱗ䌧䱁❁✬〲㤰ⰧⰰⰬⰧ啃剒久奃唽䑓✬착!＀＀ ＀＀	＀＀_x0008_＀＀_x0001_＀＀_x0001_＀＀_x0001_＀＀ધ╆彵䁱찀˞伨C噎䅄䙞彅卅䥔䅍䕔✨偅䉓❇✬䕍乁Ⱗ䌧䱁❁✬〲㐱ⰧⰰⰬⰧ啃剒久奃唽䑓✬착!＀＀ ＀＀	＀＀_x0008_＀＀_x0001_＀＀_x0001_＀＀_x0001_＀＀豀碵꼝쐕찀ˠ伨_x001C_䑁幉䙆䍟十彈呓儨剔〬ⰬⰬ单⥄ċ＀＀ ＀＀ó＀＀_x0008_＀＀_x0001_＀＀_x0001_＀＀_x0001_＀＀閁譃წ䂬摦畳㩰⼯楄敲瑣潩獮䘯捡却瑥䄠摵瑩湩⁧楖睥牥愿瑣潩㵮啁䥄彔䅖啌♅䉄ㄽ㤲䤦ㅄ〽㈳㔶ㄴ☰䅖啌䥅㵄㈰〰☱䑓呁㵅〲ㄱ㐰倦剅佉呄偙㵅呑归呓♄䍓呆㌽眦湩潤㵷潰異彰潮扟牡眦摩桴㌽㔸栦楥桧㵴㈱☰呓剁彔䅍䥘䥍䕚㵄䅆卌♅牣慥潴㵲慦瑣敳♴楤灳慬役瑳楲杮䄽摵瑩찀ˑ伨C剁䡍䙞彅卅䥔䅍䕔✨偅䉓❇✬䕍乁Ⱗ䌧䱁❁✬〲㜰ⰧⰰⰬⰧ啃剒久奃唽䑓✬착!＀＀ ＀＀	＀＀_x0008_＀＀_x0001_＀＀_x0001_＀＀_x0001_＀＀猅뉏ἰ㿑찀ˊ伨_x0013_塍幌䝆偟䥒䕃㐨㤰㤳착!＀＀ ＀＀	＀＀_x0008_＀＀_x0001_＀＀_x0001_＀＀_x0001_＀＀⣶轜䀗찀˘伨L㐲㐵吭䥁䙞彅卅䥔䅍䕔✨啃呓䵏䕟卐Ⱗ䴧䅅❎✬䅃䅌Ⱗ㈧㄰✰〬Ⱜ✬䌬剕䕒䍎㵙单ⱄ⤧!＀＀ ＀＀	＀＀_x0008_＀＀_x0001_＀＀_x0001_＀＀_x0001_＀＀豀碵꼝쐕찀ˑ伨C剁䡍䙞彅卅䥔䅍䕔✨䅓䕌❓✬䕍乁Ⱗ䌧䱁❁✬〲㜰ⰧⰰⰬⰧ啃剒久奃唽䑓✬착!＀＀ ＀＀	＀＀_x0008_＀＀_x0001_＀＀_x0001_＀＀_x0001_＀＀癠ṏẖ䂀찀˚伨G噎䅄䙞彅卅䥔䅍䕔✨义彃則协❓✬䕍乁Ⱗ䌧䱁❁✬〲ㄱⰧⰰⰬⰧ啃剒久奃唽䑓✬착!＀＀ ＀＀	＀＀_x0008_＀＀_x0001_＀＀_x0001_＀＀_x0001_＀＀㭥俟禍䂟찀ˊ伨_x0017_偉䥈偞灟楲散江睯㕟眲〨착!＀＀ ＀＀	＀＀_x0008_＀＀_x0001_＀＀_x0001_＀＀_x0001_＀＀＀＀＀＀耀䀜찀˥伨C呓ⵍ剆䙞彅卅䥔䅍䕔✨䍆❆✬䕍乁Ⱗ䌧䱁❁✬〲〱ⰧⰰⰬⰧ啃剒久奃唽䑓✬착!＀＀ ＀＀	＀＀_x0008_＀＀_x0001_＀＀_x0001_＀＀_x0001_＀＀⋐呛䂐찀ˠ伨$呓ⵍ剆䙞彆佃彍䡓当問彔偅当䥄⡌呑ⱒ⤰!＀＀ ＀＀	＀＀_x0008_＀＀_x0001_＀＀_x0001_＀＀_x0001_＀＀＀＀＀＀ꠀ䂋찀ˑ伨C剁䡍䙞彅卅䥔䅍䕔✨䅃䕐❘✬䕍乁Ⱗ䌧䱁❁✬〲㜰ⰧⰰⰬⰧ啃剒久奃唽䑓✬착!＀＀ ＀＀	＀＀_x0008_＀＀_x0001_＀＀_x0001_＀＀_x0001_＀＀믽猾䟖䀩찀˞伨A噎䅄䙞彅卅䥔䅍䕔✨䍆❆✬䕍乁Ⱗ䌧䱁❁✬〲㘰ⰧⰰⰬⰧ啃剒久奃唽䑓✬착!＀＀ ＀＀	＀＀_x0008_＀＀_x0001_＀＀_x0001_＀＀_x0001_＀＀㓗㣯빅䂀찀ˠ伨_x001A_义䍔䙞彇剐䍉⡅〴㐵ⰴⰬ单⥄!＀＀ ＀＀	＀＀_x0008_＀＀_x0001_＀＀_x0001_＀＀_x0001_＀＀ᑺޮ䀵찀˞伨C噎䅄䙞彅卅䥔䅍䕔✨偅䉓❇✬䕍乁Ⱗ䌧䱁❁✬〲ㄱⰧⰰⰬⰧ啃剒久奃唽䑓✬착!＀＀ ＀＀	＀＀_x0008_＀＀_x0001_＀＀_x0001_＀＀_x0001_＀＀趂_xDFEB_姵㿲찀˖伨E㐲㐵吭䥁䙞彅卅䥔䅍䕔✨䍆❆✬䕍乁Ⱗ䌧䱁❁✬〲㜰ⰧⰰⰬⰧ啃剒久奃唽䑓✬착!＀＀ ＀＀	＀＀_x0008_＀＀_x0001_＀＀_x0001_＀＀_x0001_＀＀棜漀咁䂆찀˗伨G㐲㐵吭䥁䙞彅卅䥔䅍䕔✨偅䉓❇✬䕍乁Ⱗ䌧䱁❁✬〲㈱ⰧⰰⰬⰧ啃剒久奃唽䑓✬착!＀＀ ＀＀	＀＀_x0008_＀＀_x0001_＀＀_x0001_＀＀_x0001_＀＀眝݊_xFFFF_￫㿠찀˓伨G㐲㐵吭䥁䙞彅卅䥔䅍䕔✨䅓䕌❓✬䕍乁Ⱗ䌧䱁❁✬〲㠰ⰧⰰⰬⰧ啃剒久奃唽䑓✬착!＀＀ ＀＀	＀＀_x0008_＀＀_x0001_＀＀_x0001_＀＀_x0001_＀＀赐溗蓒䂥찀˙伨C噎䅄䙞彅卅䥔䅍䕔✨䅓䕌❓✬䕍乁Ⱗ䌧䱁❁✬〲ㄱⰧⰰⰬⰧ啃剒久奃唽䑓✬착!＀＀ ＀＀	＀＀_x0008_＀＀_x0001_＀＀_x0001_＀＀_x0001_＀＀糮㔿_xFFFF_ﾞ䂮찀˕伨G㐲㐵吭䥁䙞彅卅䥔䅍䕔✨䅃䕐❘✬䕍乁Ⱗ䌧䱁❁✬〲㠰ⰧⰰⰬⰧ啃剒久奃唽䑓✬착!＀＀ ＀＀	＀＀_x0008_＀＀_x0001_＀＀_x0001_＀＀_x0001_＀＀䤽暺秲䁎찀˝伨C噎䅄䙞彅卅䥔䅍䕔✨䅃䕐❘✬䕍乁Ⱗ䌧䱁❁✬〲ㄱⰧⰰⰬⰧ啃剒久奃唽䑓✬착!＀＀ ＀＀	＀＀_x0008_＀＀_x0001_＀＀_x0001_＀＀_x0001_＀＀誱㈷㲏䁞찀ˑ伨C剁䡍䙞彅卅䥔䅍䕔✨偅䉓❇✬䕍乁Ⱗ䌧䱁❁✬〲㐱ⰧⰰⰬⰧ啃剒久奃唽䑓✬착!＀＀ ＀＀	＀＀_x0008_＀＀_x0001_＀＀_x0001_＀＀_x0001_＀＀뺃⋧㿱찀ˊ伨_x0014_偉䥈䙞彇剐䍉⡅〴㌹⤹!＀＀ ＀＀	＀＀_x0008_＀＀_x0001_＀＀_x0001_＀＀_x0001_＀＀쳍쳌䳌䀮찀˙伨"噎䅄䙞彆佃彍䡓当問彔偅当䥄⡌呑ⱒ⤰ċ＀＀ ＀＀ó＀＀_x0008_＀＀_x0001_＀＀_x0001_＀＀_x0001_＀＀긔ⱺ䂃摦畳㩰⼯楄敲瑣潩獮䘯捡却瑥䄠摵瑩湩⁧楖睥牥愿瑣潩㵮啁䥄彔䅖啌♅䉄ㄽ㤲䤦ㅄ㘽〷㘶ㅇ☰䅖啌䥅㵄㔰㤱☴䑓呁㵅〲ㄱ㌰倦剅佉呄偙㵅呑归呓♄䍓呆㌽眦湩潤㵷潰異彰潮扟牡眦摩桴㌽㔸栦楥桧㵴㈱☰呓剁彔䅍䥘䥍䕚㵄䅆卌♅牣慥潴㵲慦瑣敳♴楤灳慬役瑳楲杮䄽摵瑩찀˦伨E呓ⵍ剆䙞彅卅䥔䅍䕔✨偅䉓❇✬䕍乁Ⱗ䌧䱁❁✬〲㘰ⰧⰰⰬⰧ啃剒久奃唽䑓✬착!＀＀ ＀＀	＀＀_x0008_＀＀_x0001_＀＀_x0001_＀＀_x0001_＀＀搲힆᤿㿭찀˥伨C呓ⵍ剆䙞彅卅䥔䅍䕔✨䍆❆✬䕍乁Ⱗ䌧䱁❁✬〲㌱ⰧⰰⰬⰧ啃剒久奃唽䑓✬착!＀＀ ＀＀	＀＀_x0008_＀＀_x0001_＀＀_x0001_＀＀_x0001_＀＀좴빶䰟䂀찀˔伨G义䍔䙞彅卅䥔䅍䕔✨义彃則协❓✬䕍乁Ⱗ䌧䱁❁✬〲㈱ⰧⰰⰬⰧ啃剒久奃唽䑓✬착!＀＀ ＀＀	＀＀_x0008_＀＀_x0001_＀＀_x0001_＀＀_x0001_＀＀Ẹ꼩䃡찀ˢ伨F䑁幉䕆䕟呓䵉呁⡅䤧䍎䝟佒卓Ⱗ䴧䅅❎✬䅃䅌Ⱗ㈧〰✶〬Ⱜ✬䌬剕䕒䍎㵙单ⱄ⤧!＀＀ ＀＀	＀＀_x0008_＀＀_x0001_＀＀_x0001_＀＀_x0001_＀＀豀碵꼝쐕찀ˊ伨_x0018_䅃䵖偞灟楲散桟杩彨㈵⡷⤰!＀＀ ＀＀	＀＀_x0008_＀＀_x0001_＀＀_x0001_＀＀_x0001_＀＀晧晦♦䁈찀ˑ伨&amp;㐲㐵吭䥁䙞彆佃彍䡓当問彔偅当䥄⡌呑ⱒ⤰ĉ＀＀ ＀＀ñ＀＀_x0008_＀＀_x0001_＀＀_x0001_＀＀_x0001_＀＀棨䭕㱪䂑摦畳㩰⼯楄敲瑣潩獮䘯捡却瑥䄠摵瑩湩⁧楖睥牥愿瑣潩㵮啁䥄彔䅖啌♅䉄ㄽ㤲䤦ㅄ㘽㜳㐲☸䅖啌䥅㵄㔰㤱☴䑓呁㵅〲ㄱ㌰倦剅佉呄偙㵅呑归呓♄䍓呆㌽眦湩潤㵷潰異彰潮扟牡眦摩桴㌽㔸栦楥桧㵴㈱☰呓剁彔䅍䥘䥍䕚㵄䅆卌♅牣慥潴㵲慦瑣敳♴楤灳慬役瑳楲杮䄽摵瑩찀˖伨E㐲㐵吭䥁䙞彅卅䥔䅍䕔✨䍆❆✬䕍乁Ⱗ䌧䱁❁✬〲㐱ⰧⰰⰬⰧ啃剒久奃唽䑓✬착!＀＀ ＀＀	＀＀_x0008_＀＀_x0001_＀＀_x0001_＀＀_x0001_＀＀豀碵꼝쐕찀˟伨C䍑䵏䙞彅卅䥔䅍䕔✨偅䉓❇✬䕍乁Ⱗ䌧䱁❁✬〲㜰ⰧⰰⰬⰧ啃剒久奃唽䑓✬착!＀＀ ＀＀	＀＀_x0008_＀＀_x0001_＀＀_x0001_＀＀_x0001_＀＀ଜ茊贲䀀찀ˢ伨A䑁幉䕆䕟呓䵉呁⡅攧楢❴✬䕍乁Ⱗ䌧䱁❁✬〲㘰ⰧⰰⰬⰧ啃剒久奃唽䑓✬착!＀＀ ＀＀	＀＀_x0008_＀＀_x0001_＀＀_x0001_＀＀_x0001_＀＀䯇褷ꥁ䂂찀˖伨A义䍔䙞彅卅䥔䅍䕔✨䍆❆✬䕍乁Ⱗ䌧䱁❁✬〲㜰ⰧⰰⰬⰧ啃剒久奃唽䑓✬착!＀＀ ＀＀	＀＀_x0008_＀＀_x0001_＀＀_x0001_＀＀_x0001_＀＀㽼덕䂽찀ˑ伨C剁䡍䙞彅卅䥔䅍䕔✨偅䉓❇✬䕍乁Ⱗ䌧䱁❁✬〲ㄱⰧⰰⰬⰧ啃剒久奃唽䑓✬착!＀＀ ＀＀	＀＀_x0008_＀＀_x0001_＀＀_x0001_＀＀_x0001_＀＀潏Ꮻ㿠찀˚伨C䍑䵏䙞彅卅䥔䅍䕔✨䅓䕌❓✬䕍乁Ⱗ䌧䱁❁✬〲㜰ⰧⰰⰬⰧ啃剒久奃唽䑓✬착!＀＀ ＀＀	＀＀_x0008_＀＀_x0001_＀＀_x0001_＀＀_x0001_＀＀빷᪟淟䃂찀˝伨C噎䅄䙞彅卅䥔䅍䕔✨䅃䕐❘✬䕍乁Ⱗ䌧䱁❁✬〲㐱ⰧⰰⰬⰧ啃剒久奃唽䑓✬착!＀＀ ＀＀	＀＀_x0008_＀＀_x0001_＀＀_x0001_＀＀_x0001_＀＀豀碵꼝쐕찀˔伨B义䍔䙞彅卅䥔䅍䕔✨扥瑩Ⱗ䴧䅅❎✬䅃䅌Ⱗ㈧〰✷〬Ⱜ✬䌬剕䕒䍎㵙单ⱄ⤧!＀＀ ＀＀	＀＀_x0008_＀＀_x0001_＀＀_x0001_＀＀_x0001_＀＀䷓ၢ똸䃀찀ˑ伨C剁䡍䙞彅卅䥔䅍䕔✨䅓䕌❓✬䕍乁Ⱗ䌧䱁❁✬〲ㄱⰧⰰⰬⰧ啃剒久奃唽䑓✬착!＀＀ ＀＀	＀＀_x0008_＀＀_x0001_＀＀_x0001_＀＀_x0001_＀＀麄꫍狏䂇찀˝伨C䍑䵏䙞彅卅䥔䅍䕔✨䅃䕐❘✬䕍乁Ⱗ䌧䱁❁✬〲㜰ⰧⰰⰬⰧ啃剒久奃唽䑓✬착!＀＀ ＀＀	＀＀_x0008_＀＀_x0001_＀＀_x0001_＀＀_x0001_＀＀Ƥּ餒䂌찀ˑ伨C剁䡍䙞彅卅䥔䅍䕔✨䅃䕐❘✬䕍乁Ⱗ䌧䱁❁✬〲ㄱⰧⰰⰬⰧ啃剒久奃唽䑓✬착!＀＀ ＀＀	＀＀_x0008_＀＀_x0001_＀＀_x0001_＀＀_x0001_＀＀狚씮㵕䀲찀˦伨E呓ⵍ剆䙞彅卅䥔䅍䕔✨偅䉓❇✬䕍乁Ⱗ䌧䱁❁✬〲㤰ⰧⰰⰬⰧ啃剒久奃唽䑓✬착!＀＀ ＀＀	＀＀_x0008_＀＀_x0001_＀＀_x0001_＀＀_x0001_＀＀㫮뿪찀˞伨A噎䅄䙞彅卅䥔䅍䕔✨䍆❆✬䕍乁Ⱗ䌧䱁❁✬〲〱ⰧⰰⰬⰧ啃剒久奃唽䑓✬착!＀＀ ＀＀	＀＀_x0008_＀＀_x0001_＀＀_x0001_＀＀_x0001_＀＀_xDABA_ﶊ쿥䂀찀ˠ伨_x001E_䍑䵏偞灟楲散桟杩彨㈵⡷ⰰⰬ单⥄!＀＀ ＀＀	＀＀_x0008_＀＀_x0001_＀＀_x0001_＀＀_x0001_＀＀凬Ẹ䁍찀˖伨E㐲㐵吭䥁䙞彅卅䥔䅍䕔✨䍆❆✬䕍乁Ⱗ䌧䱁❁✬〲ㄱⰧⰰⰬⰧ啃剒久奃唽䑓✬착!＀＀ ＀＀	＀＀_x0008_＀＀_x0001_＀＀_x0001_＀＀_x0001_＀＀马鱷늢䁻찀˦伨@䑁幉䕆䕟呓䵉呁⡅䐧卐Ⱗ䴧䅅❎✬䅃䅌Ⱗ㈧㄰✱〬Ⱜ✬䌬剕䕒䍎㵙单ⱄ⤧!＀＀ ＀＀	＀＀_x0008_＀＀_x0001_＀＀_x0001_＀＀_x0001_＀＀此ệ㿭찀ˣ伨D呓ⵍ剆䙞彅卅䥔䅍䕔✨扥瑩Ⱗ䴧䅅❎✬䅃䅌Ⱗ㈧〰✷〬Ⱜ✬䌬剕䕒䍎㵙单ⱄ⤧!＀＀ ＀＀	＀＀_x0008_＀＀_x0001_＀＀_x0001_＀＀_x0001_＀＀さꤪ搓삀찀ˢ伨F䑁幉䕆䕟呓䵉呁⡅䤧䍎䝟佒卓Ⱗ䴧䅅❎✬䅃䅌Ⱗ㈧〰✹〬Ⱜ✬䌬剕䕒䍎㵙单ⱄ⤧!＀＀ ＀＀	＀＀_x0008_＀＀_x0001_＀＀_x0001_＀＀_x0001_＀＀좴빶䆟䂓찀˟伨H噎䅄䙞彅卅䥔䅍䕔✨啃呓䵏䕟卐Ⱗ䴧䅅❎✬䅃䅌Ⱗ㈧㄰✲〬Ⱜ✬䌬剕䕒䍎㵙单ⱄ⤧!＀＀ ＀＀	＀＀_x0008_＀＀_x0001_＀＀_x0001_＀＀_x0001_＀＀聦눋便㿯찀ˡ伨E呓ⵍ剆䙞彅卅䥔䅍䕔✨䅓䕌❓✬䕍乁Ⱗ䌧䱁❁✬〲㤰ⰧⰰⰬⰧ啃剒久奃唽䑓✬착!＀＀ ＀＀	＀＀_x0008_＀＀_x0001_＀＀_x0001_＀＀_x0001_＀＀酩糭衿䃀찀˓伨G㐲㐵吭䥁䙞彅卅䥔䅍䕔✨䅓䕌❓✬䕍乁Ⱗ䌧䱁❁✬〲㈱ⰧⰰⰬⰧ啃剒久奃唽䑓✬착!＀＀ ＀＀	＀＀_x0008_＀＀_x0001_＀＀_x0001_＀＀_x0001_＀＀슐⣵帜䂪찀ˠ伨_x001A_噎䅄䙞彇剐䍉⡅〴㐵ⰴⰬ单⥄!＀＀ ＀＀	＀＀_x0008_＀＀_x0001_＀＀_x0001_＀＀_x0001_＀＀쳍쳌쳌䀮찀ˢ伨A䑁幉䕆䕟呓䵉呁⡅攧楢❴✬䕍乁Ⱗ䌧䱁❁✬〲㤰ⰧⰰⰬⰧ啃剒久奃唽䑓✬착!＀＀ ＀＀	＀＀_x0008_＀＀_x0001_＀＀_x0001_＀＀_x0001_＀＀혹淅昴䁺찀˦伨J呓ⵍ剆䙞彅卅䥔䅍䕔✨啃呓䵏䕟卐Ⱗ䴧䅅❎✬䅃䅌Ⱗ㈧〰✷〬Ⱜ✬䌬剕䕒䍎㵙单ⱄ⤧!＀＀ ＀＀	＀＀_x0008_＀＀_x0001_＀＀_x0001_＀＀_x0001_＀＀豀碵꼝쐕찀˥伨B䑁幉䕆䕟呓䵉呁⡅䔧卐䝂Ⱗ䴧䅅❎✬䅃䅌Ⱗ㈧〰✸〬Ⱜ✬䌬剕䕒䍎㵙单ⱄ⤧!＀＀ ＀＀	＀＀_x0008_＀＀_x0001_＀＀_x0001_＀＀_x0001_＀＀壪潌㿼찀˟伨C䍑䵏䙞彅卅䥔䅍䕔✨偅䉓❇✬䕍乁Ⱗ䌧䱁❁✬〲㐱ⰧⰰⰬⰧ啃剒久奃唽䑓✬착!＀＀ ＀＀	＀＀_x0008_＀＀_x0001_＀＀_x0001_＀＀_x0001_＀＀痕ꚨ鬤䀒찀ˤ伨E呓ⵍ剆䙞彅卅䥔䅍䕔✨䅃䕐❘✬䕍乁Ⱗ䌧䱁❁✬〲㤰ⰧⰰⰬⰧ啃剒久奃唽䑓✬착!＀＀ ＀＀	＀＀_x0008_＀＀_x0001_＀＀_x0001_＀＀_x0001_＀＀趹䁼찀ˠ伨!㐲㐵吭䥁偞灟楲散江睯㕟眲〨Ⱜ唬䑓착!＀＀ ＀＀	＀＀_x0008_＀＀_x0001_＀＀_x0001_＀＀_x0001_＀＀駵㺳磥䀞찀˖伨A义䍔䙞彅卅䥔䅍䕔✨䍆❆✬䕍乁Ⱗ䌧䱁❁✬〲㐱ⰧⰰⰬⰧ啃剒久奃唽䑓✬착!＀＀ ＀＀	＀＀_x0008_＀＀_x0001_＀＀_x0001_＀＀_x0001_＀＀㌳㌳酓䃆찀˕伨G㐲㐵吭䥁䙞彅卅䥔䅍䕔✨䅃䕐❘✬䕍乁Ⱗ䌧䱁❁✬〲㈱ⰧⰰⰬⰧ啃剒久奃唽䑓✬착!＀＀ ＀＀	＀＀_x0008_＀＀_x0001_＀＀_x0001_＀＀_x0001_＀＀緀㠝⑧䁑찀ˑ伨C剁䡍䙞彅卅䥔䅍䕔✨䅓䕌❓✬䕍乁Ⱗ䌧䱁❁✬〲㐱ⰧⰰⰬⰧ啃剒久奃唽䑓✬착!＀＀ ＀＀	＀＀_x0008_＀＀_x0001_＀＀_x0001_＀＀_x0001_＀＀鞍ቮ̃䂒찀ˢ伨I呓ⵍ剆䙞彅卅䥔䅍䕔✨义彃則协❓✬䕍乁Ⱗ䌧䱁❁✬〲㠰ⰧⰰⰬⰧ啃剒久奃唽䑓✬착!＀＀ ＀＀	＀＀_x0008_＀＀_x0001_＀＀_x0001_＀＀_x0001_＀＀摚_xDF3B_問䂯찀˦伨E呓ⵍ剆䙞彅卅䥔䅍䕔✨偅䉓❇✬䕍乁Ⱗ䌧䱁❁✬〲〱ⰧⰰⰬⰧ啃剒久奃唽䑓✬착!＀＀ ＀＀	＀＀_x0008_＀＀_x0001_＀＀_x0001_＀＀_x0001_＀＀咽䣦챸㿨찀˝伨B䍑䵏䙞彅卅䥔䅍䕔✨扥瑩Ⱗ䴧䅅❎✬䅃䅌Ⱗ㈧〰✶〬Ⱜ✬䌬剕䕒䍎㵙单ⱄ⤧!＀＀ ＀＀	＀＀_x0008_＀＀_x0001_＀＀_x0001_＀＀_x0001_＀＀率橾燼䂩찀˘伨H义䍔䙞彅卅䥔䅍䕔✨啃呓䵏䕟卐Ⱗ䴧䅅❎✬䅃䅌Ⱗ㈧〰✸〬Ⱜ✬䌬剕䕒䍎㵙单ⱄ⤧!＀＀ ＀＀	＀＀_x0008_＀＀_x0001_＀＀_x0001_＀＀_x0001_＀＀㵱휊炣㿭찀ˑ伨C剁䡍䙞彅卅䥔䅍䕔✨䅃䕐❘✬䕍乁Ⱗ䌧䱁❁✬〲㐱ⰧⰰⰬⰧ啃剒久奃唽䑓✬착!＀＀ ＀＀	＀＀_x0008_＀＀_x0001_＀＀_x0001_＀＀_x0001_＀＀빷᪟ᴯ䁂찀ˢ伨F䑁幉䕆䕟呓䵉呁⡅䤧䍎䝟佒卓Ⱗ䴧䅅❎✬䅃䅌Ⱗ㈧㄰✰〬Ⱜ✬䌬剕䕒䍎㵙单ⱄ⤧!＀＀ ＀＀	＀＀_x0008_＀＀_x0001_＀＀_x0001_＀＀_x0001_＀＀䆉飐䂜찀ˡ伨E呓ⵍ剆䙞彅卅䥔䅍䕔✨䅓䕌❓✬䕍乁Ⱗ䌧䱁❁✬〲㘰ⰧⰰⰬⰧ啃剒久奃唽䑓✬착!＀＀ ＀＀	＀＀_x0008_＀＀_x0001_＀＀_x0001_＀＀_x0001_＀＀尨㻿䃃찀˞伨A噎䅄䙞彅卅䥔䅍䕔✨䍆❆✬䕍乁Ⱗ䌧䱁❁✬〲㌱ⰧⰰⰬⰧ啃剒久奃唽䑓✬착!＀＀ ＀＀	＀＀_x0008_＀＀_x0001_＀＀_x0001_＀＀_x0001_＀＀⣶轜懂䂈찀˟伨C䍑䵏䙞彅卅䥔䅍䕔✨偅䉓❇✬䕍乁Ⱗ䌧䱁❁✬〲ㄱⰧⰰⰬⰧ啃剒久奃唽䑓✬착!＀＀ ＀＀	＀＀_x0008_＀＀_x0001_＀＀_x0001_＀＀_x0001_＀＀ᆶ癏挳䀊찀ˤ伨E呓ⵍ剆䙞彅卅䥔䅍䕔✨䅃䕐❘✬䕍乁Ⱗ䌧䱁❁✬〲㘰ⰧⰰⰬⰧ啃剒久奃唽䑓✬착!＀＀ ＀＀	＀＀_x0008_＀＀_x0001_＀＀_x0001_＀＀_x0001_＀＀璽ᢓ焄䂘찀ˢ伨A䑁幉䕆䕟呓䵉呁⡅攧楢❴✬䕍乁Ⱗ䌧䱁❁✬〲〱ⰧⰰⰬⰧ啃剒久奃唽䑓✬착!＀＀ ＀＀	＀＀_x0008_＀＀_x0001_＀＀_x0001_＀＀_x0001_＀＀箳냲懐䂍찀˖伨A义䍔䙞彅卅䥔䅍䕔✨䍆❆✬䕍乁Ⱗ䌧䱁❁✬〲ㄱⰧⰰⰬⰧ啃剒久奃唽䑓✬착!＀＀ ＀＀	＀＀_x0008_＀＀_x0001_＀＀_x0001_＀＀_x0001_＀＀褷恁롕䃁찀ˠ伨_x001E_剁䡍偞灟楲散桟杩彨㈵⡷ⰰⰬ单⥄!＀＀ ＀＀	＀＀_x0008_＀＀_x0001_＀＀_x0001_＀＀_x0001_＀＀ꏗ㵰ᜊ䁀찀˚伨C䍑䵏䙞彅卅䥔䅍䕔✨䅓䕌❓✬䕍乁Ⱗ䌧䱁❁✬〲ㄱⰧⰰⰬⰧ啃剒久奃唽䑓✬착!＀＀ ＀＀	＀＀_x0008_＀＀_x0001_＀＀_x0001_＀＀_x0001_＀＀尩슏䃎찀ˋ伨"剁䡍䙞彆佃彍䡓当問彔偅当䥄⡌呑ⱒ⤰!＀＀ ＀＀	＀＀_x0008_＀＀_x0001_＀＀_x0001_＀＀_x0001_＀＀鼊坡ꪀ䁼찀˔伨B义䍔䙞彅卅䥔䅍䕔✨扥瑩Ⱗ䴧䅅❎✬䅃䅌Ⱗ㈧㄰✱〬Ⱜ✬䌬剕䕒䍎㵙单ⱄ⤧!＀＀ ＀＀	＀＀_x0008_＀＀_x0001_＀＀_x0001_＀＀_x0001_＀＀ᑺ㩾䃑찀ˑ伨B剁䡍䙞彅卅䥔䅍䕔✨扥瑩Ⱗ䴧䅅❎✬䅃䅌Ⱗ㈧〰✸〬Ⱜ✬䌬剕䕒䍎㵙单ⱄ⤧!＀＀ ＀＀	＀＀_x0008_＀＀_x0001_＀＀_x0001_＀＀_x0001_＀＀钰补㵣䁞찀ˠ伨_x0019_䑁幉䝆偟䥒䕃㐨㤰㤳Ⱜ唬䑓착!＀＀ ＀＀	＀＀_x0008_＀＀_x0001_＀＀_x0001_＀＀_x0001_＀＀轜鰨䁃찀˝伨C䍑䵏䙞彅卅䥔䅍䕔✨䅃䕐❘✬䕍乁Ⱗ䌧䱁❁✬〲ㄱⰧⰰⰬⰧ啃剒久奃唽䑓✬착!＀＀ ＀＀	＀＀_x0008_＀＀_x0001_＀＀_x0001_＀＀_x0001_＀＀糮㔿䂄찀ˠ伨_x001F_呓ⵍ剆偞灟楲散江睯㕟眲〨Ⱜ唬䑓착!＀＀ ＀＀	＀＀_x0008_＀＀_x0001_＀＀_x0001_＀＀_x0001_＀＀ਜ਼רּ뀟䀕찀˦伨E呓ⵍ剆䙞彅卅䥔䅍䕔✨偅䉓❇✬䕍乁Ⱗ䌧䱁❁✬〲㌱ⰧⰰⰬⰧ啃剒久奃唽䑓✬착!＀＀ ＀＀	＀＀_x0008_＀＀_x0001_＀＀_x0001_＀＀_x0001_＀＀錻쟬ꯜ㿣찀˝伨B䍑䵏䙞彅卅䥔䅍䕔✨扥瑩Ⱗ䴧䅅❎✬䅃䅌Ⱗ㈧〰✹〬Ⱜ✬䌬剕䕒䍎㵙单ⱄ⤧!＀＀ ＀＀	＀＀_x0008_＀＀_x0001_＀＀_x0001_＀＀_x0001_＀＀ᚇ컙ﻷ䂪찀ˑ伨A剁䡍䙞彅卅䥔䅍䕔✨䍆❆✬䕍乁Ⱗ䌧䱁❁✬〲㜰ⰧⰰⰬⰧ啃剒久奃唽䑓✬착!＀＀ ＀＀	＀＀_x0008_＀＀_x0001_＀＀_x0001_＀＀_x0001_＀＀ꃹ덧㏪䁤찀ˤ伨@䑁幉䕆䕟呓䵉呁⡅䘧䙃Ⱗ䴧䅅❎✬䅃䅌Ⱗ㈧〰✸〬Ⱜ✬䌬剕䕒䍎㵙单ⱄ⤧!＀＀ ＀＀	＀＀_x0008_＀＀_x0001_＀＀_x0001_＀＀_x0001_＀＀땳閕䂃찀ˣ伨D呓ⵍ剆䙞彅卅䥔䅍䕔✨扥瑩Ⱗ䴧䅅❎✬䅃䅌Ⱗ㈧㄰✱〬Ⱜ✬䌬剕䕒䍎㵙单ⱄ⤧!＀＀ ＀＀	＀＀_x0008_＀＀_x0001_＀＀_x0001_＀＀_x0001_＀＀칱튈泞䁛찀ˢ伨F䑁幉䕆䕟呓䵉呁⡅䤧䍎䝟佒卓Ⱗ䴧䅅❎✬䅃䅌Ⱗ㈧㄰✳〬Ⱜ✬䌬剕䕒䍎㵙单ⱄ⤧!＀＀ ＀＀	＀＀_x0008_＀＀_x0001_＀＀_x0001_＀＀_x0001_＀＀璽ᢓ鰄䂟찀˗伨C义䍔䙞彅卅䥔䅍䕔✨偅䉓❇✬䕍乁Ⱗ䌧䱁❁✬〲㠰ⰧⰰⰬⰧ啃剒久奃唽䑓✬착!＀＀ ＀＀	＀＀_x0008_＀＀_x0001_＀＀_x0001_＀＀_x0001_＀＀尩슏⣵㿰찀ˊ伨_x0017_䅃䵖偞灟楲散江睯㕟眲〨착!＀＀ ＀＀	＀＀_x0008_＀＀_x0001_＀＀_x0001_＀＀_x0001_＀＀㌴㌳㌳䀸찀ˢ伨A䑁幉䕆䕟呓䵉呁⡅攧楢❴✬䕍乁Ⱗ䌧䱁❁✬〲㌱ⰧⰰⰬⰧ啃剒久奃唽䑓✬착!＀＀ ＀＀	＀＀_x0008_＀＀_x0001_＀＀_x0001_＀＀_x0001_＀＀_xDB23_绹䂐찀˜伨B噎䅄䙞彅卅䥔䅍䕔✨扥瑩Ⱗ䴧䅅❎✬䅃䅌Ⱗ㈧〰✹〬Ⱜ✬䌬剕䕒䍎㵙单ⱄ⤧!＀＀ ＀＀	＀＀_x0008_＀＀_x0001_＀＀_x0001_＀＀_x0001_＀＀泋䦐ቆ䁝찀˦伨J呓ⵍ剆䙞彅卅䥔䅍䕔✨啃呓䵏䕟卐Ⱗ䴧䅅❎✬䅃䅌Ⱗ㈧㄰✱〬Ⱜ✬䌬剕䕒䍎㵙单ⱄ⤧!＀＀ ＀＀	＀＀_x0008_＀＀_x0001_＀＀_x0001_＀＀_x0001_＀＀豀碵꼝쐕찀˥伨B䑁幉䕆䕟呓䵉呁⡅䔧卐䝂Ⱗ䴧䅅❎✬䅃䅌Ⱗ㈧㄰✲〬Ⱜ✬䌬剕䕒䍎㵙单ⱄ⤧!＀＀ ＀＀	＀＀_x0008_＀＀_x0001_＀＀_x0001_＀＀_x0001_＀＀휣⥍疯䀃찀ˤ伨E呓ⵍ剆䙞彅卅䥔䅍䕔✨䅃䕐❘✬䕍乁Ⱗ䌧䱁❁✬〲㌱ⰧⰰⰬⰧ啃剒久奃唽䑓✬착!＀＀ ＀＀	＀＀_x0008_＀＀_x0001_＀＀_x0001_＀＀_x0001_＀＀칱튈ꅞ䂋찀ˠ伨_x0018_䱘塎偞灟楲散桟杩彨㈵⡷⤰!＀＀ ＀＀	＀＀_x0008_＀＀_x0001_＀＀_x0001_＀＀_x0001_＀＀슏⣵꽜䁂찀ˡ伨B䑁幉䕆䕟呓䵉呁⡅匧䱁卅Ⱗ䴧䅅❎✬䅃䅌Ⱗ㈧〰✸〬Ⱜ✬䌬剕䕒䍎㵙单ⱄ⤧!＀＀ ＀＀	＀＀_x0008_＀＀_x0001_＀＀_x0001_＀＀_x0001_＀＀⋐牛䂣찀˚伨C䍑䵏䙞彅卅䥔䅍䕔✨䅓䕌❓✬䕍乁Ⱗ䌧䱁❁✬〲㐱ⰧⰰⰬⰧ啃剒久奃唽䑓✬착!＀＀ ＀＀	＀＀_x0008_＀＀_x0001_＀＀_x0001_＀＀_x0001_＀＀馚香⡙䃗찀˔伨K㐲㐵吭䥁䙞彅卅䥔䅍䕔✨义彃則协❓✬䕍乁Ⱗ䌧䱁❁✬〲㠰ⰧⰰⰬⰧ啃剒久奃唽䑓✬착!＀＀ ＀＀	＀＀_x0008_＀＀_x0001_＀＀_x0001_＀＀_x0001_＀＀⃅犰䫨䂗찀ˑ伨H剁䡍䙞彅卅䥔䅍䕔✨啃呓䵏䕟卐Ⱗ䴧䅅❎✬䅃䅌Ⱗ㈧〰✸〬Ⱜ✬䌬剕䕒䍎㵙单ⱄ⤧!＀＀ ＀＀	＀＀_x0008_＀＀_x0001_＀＀_x0001_＀＀_x0001_＀＀豀碵꼝쐕찀˔伨B义䍔䙞彅卅䥔䅍䕔✨扥瑩Ⱗ䴧䅅❎✬䅃䅌Ⱗ㈧㄰✴〬Ⱜ✬䌬剕䕒䍎㵙单ⱄ⤧!＀＀ ＀＀	＀＀_x0008_＀＀_x0001_＀＀_x0001_＀＀_x0001_＀＀롑貞䃓찀ˣ伨B䑁幉䕆䕟呓䵉呁⡅䌧偁塅Ⱗ䴧䅅❎✬䅃䅌Ⱗ㈧〰✸〬Ⱜ✬䌬剕䕒䍎㵙单ⱄ⤧!＀＀ ＀＀	＀＀_x0008_＀＀_x0001_＀＀_x0001_＀＀_x0001_＀＀ꏗ㵰䌊䁡찀ˢ伨I呓ⵍ剆䙞彅卅䥔䅍䕔✨义彃則协❓✬䕍乁Ⱗ䌧䱁❁✬〲㈱ⰧⰰⰬⰧ啃剒久奃唽䑓✬착!＀＀ ＀＀	＀＀_x0008_＀＀_x0001_＀＀_x0001_＀＀_x0001_＀＀蔟凫톸䂩찀˞伨A䍑䵏䙞彅卅䥔䅍䕔✨䍆❆✬䕍乁Ⱗ䌧䱁❁✬〲㘰ⰧⰰⰬⰧ啃剒久奃唽䑓✬착!＀＀ ＀＀	＀＀_x0008_＀＀_x0001_＀＀_x0001_＀＀_x0001_＀＀Წ摚牻䂤찀˝伨C䍑䵏䙞彅卅䥔䅍䕔✨䅃䕐❘✬䕍乁Ⱗ䌧䱁❁✬〲㐱ⰧⰰⰬⰧ啃剒久奃唽䑓✬착!＀＀ ＀＀	＀＀_x0008_＀＀_x0001_＀＀_x0001_＀＀_x0001_＀＀뮙邖༏䂌찀˝伨B䍑䵏䙞彅卅䥔䅍䕔✨扥瑩Ⱗ䴧䅅❎✬䅃䅌Ⱗ㈧㄰✰〬Ⱜ✬䌬剕䕒䍎㵙单ⱄ⤧!＀＀ ＀＀	＀＀_x0008_＀＀_x0001_＀＀_x0001_＀＀_x0001_＀＀뙆ﷳ䝴䂱찀˙伨"䍑䵏䙞彆佃彍䡓当問彔偅当䥄⡌呑ⱒ⤰ċ＀＀ ＀＀ó＀＀_x0008_＀＀_x0001_＀＀_x0001_＀＀_x0001_＀＀＀＀＀＀氀䂚摦畳㩰⼯楄敲瑣潩獮䘯捡却瑥䄠摵瑩湩⁧楖睥牥愿瑣潩㵮啁䥄彔䅖啌♅䉄ㄽ㤲䤦ㅄ㜽㜴㈵ㄵ☰䅖啌䥅㵄㔰㤱☴䑓呁㵅〲ㄱ㐰倦剅佉呄偙㵅呑归呓♄䍓呆㌽眦湩潤㵷潰異彰潮扟牡眦摩桴㌽㔸栦楥桧㵴㈱☰呓剁彔䅍䥘䥍䕚㵄䅆卌♅牣慥潴㵲慦瑣敳♴楤灳慬役瑳楲杮䄽摵瑩찀˘伨H义䍔䙞彅卅䥔䅍䕔✨啃呓䵏䕟卐Ⱗ䴧䅅❎✬䅃䅌Ⱗ㈧㄰✲〬Ⱜ✬䌬剕䕒䍎㵙单ⱄ⤧!＀＀ ＀＀	＀＀_x0008_＀＀_x0001_＀＀_x0001_＀＀_x0001_＀＀岖䀃찀˕伨F㐲㐵吭䥁䙞彅卅䥔䅍䕔✨扥瑩Ⱗ䴧䅅❎✬䅃䅌Ⱗ㈧〰✸〬Ⱜ✬䌬剕䕒䍎㵙单ⱄ⤧!＀＀ ＀＀	＀＀_x0008_＀＀_x0001_＀＀_x0001_＀＀_x0001_＀＀⛪࠱▬䂅찀ˡ伨E呓ⵍ剆䙞彅卅䥔䅍䕔✨䅓䕌❓✬䕍乁Ⱗ䌧䱁❁✬〲〱ⰧⰰⰬⰧ啃剒久奃唽䑓✬착!＀＀ ＀＀	＀＀_x0008_＀＀_x0001_＀＀_x0001_＀＀_x0001_＀＀빷᪟㓿䃄찀ˣ伨D呓ⵍ剆䙞彅卅䥔䅍䕔✨扥瑩Ⱗ䴧䅅❎✬䅃䅌Ⱗ㈧㄰✴〬Ⱜ✬䌬剕䕒䍎㵙单ⱄ⤧!＀＀ ＀＀	＀＀_x0008_＀＀_x0001_＀＀_x0001_＀＀_x0001_＀＀枡㣳䂊찀˛伨B噎䅄䙞彅卅䥔䅍䕔✨扥瑩Ⱗ䴧䅅❎✬䅃䅌Ⱗ㈧〰✶〬Ⱜ✬䌬剕䕒䍎㵙单ⱄ⤧!＀＀ ＀＀	＀＀_x0008_＀＀_x0001_＀＀_x0001_＀＀_x0001_＀＀덨珪辵䁾찀ˤ伨E呓ⵍ剆䙞彅卅䥔䅍䕔✨䅃䕐❘✬䕍乁Ⱗ䌧䱁❁✬〲〱ⰧⰰⰬⰧ啃剒久奃唽䑓✬착!＀＀ ＀＀	＀＀_x0008_＀＀_x0001_＀＀_x0001_＀＀_x0001_＀＀痷鳠ﲑ䂎찀˦伨J呓ⵍ剆䙞彅卅䥔䅍䕔✨啃呓䵏䕟卐Ⱗ䴧䅅❎✬䅃䅌Ⱗ㈧㄰✴〬Ⱜ✬䌬剕䕒䍎㵙单ⱄ⤧!＀＀ ＀＀	＀＀_x0008_＀＀_x0001_＀＀_x0001_＀＀_x0001_＀＀豀碵꼝쐕찀ˠ伨H䍑䵏䙞彅卅䥔䅍䕔✨啃呓䵏䕟卐Ⱗ䴧䅅❎✬䅃䅌Ⱗ㈧〰✷〬Ⱜ✬䌬剕䕒䍎㵙单ⱄ⤧!＀＀ ＀＀	＀＀_x0008_＀＀_x0001_＀＀_x0001_＀＀_x0001_＀＀ꈍꊵ㿽찀ˑ伨B剁䡍䙞彅卅䥔䅍䕔✨扥瑩Ⱗ䴧䅅❎✬䅃䅌Ⱗ㈧㄰✲〬Ⱜ✬䌬剕䕒䍎㵙单ⱄ⤧!＀＀ ＀＀	＀＀_x0008_＀＀_x0001_＀＀_x0001_＀＀_x0001_＀＀깾抶酿䁶찀˚伨G䍑䵏䙞彅卅䥔䅍䕔✨义彃則协❓✬䕍乁Ⱗ䌧䱁❁✬〲㠰ⰧⰰⰬⰧ啃剒久奃唽䑓✬착!＀＀ ＀＀	＀＀_x0008_＀＀_x0001_＀＀_x0001_＀＀_x0001_＀＀삃ꇊ㏅䂾찀ˑ伨G剁䡍䙞彅卅䥔䅍䕔✨义彃則协❓✬䕍乁Ⱗ䌧䱁❁✬〲㠰ⰧⰰⰬⰧ啃剒久奃唽䑓✬착!＀＀ ＀＀	＀＀_x0008_＀＀_x0001_＀＀_x0001_＀＀_x0001_＀＀縨릌扫䁸찀˞伨A䍑䵏䙞彅卅䥔䅍䕔✨䍆❆✬䕍乁Ⱗ䌧䱁❁✬〲㤰ⰧⰰⰬⰧ啃剒久奃唽䑓✬착!＀＀ ＀＀	＀＀_x0008_＀＀_x0001_＀＀_x0001_＀＀_x0001_＀＀褷恁싥䂳찀˦伨G䑁幉䕆䕟呓䵉呁⡅䌧单佔彍偅❓✬䕍乁Ⱗ䌧䱁❁✬〲㠰ⰧⰰⰬⰧ啃剒久奃唽䑓✬착!＀＀ ＀＀	＀＀_x0008_＀＀_x0001_＀＀_x0001_＀＀_x0001_＀＀䗡䅟㆚㿺찀˝伨B䍑䵏䙞彅卅䥔䅍䕔✨扥瑩Ⱗ䴧䅅❎✬䅃䅌Ⱗ㈧㄰✳〬Ⱜ✬䌬剕䕒䍎㵙单ⱄ⤧!＀＀ ＀＀	＀＀_x0008_＀＀_x0001_＀＀_x0001_＀＀_x0001_＀＀䯇褷쎁䂿찀ˤ伨@䑁幉䕆䕟呓䵉呁⡅䘧䙃Ⱗ䴧䅅❎✬䅃䅌Ⱗ㈧㄰✲〬Ⱜ✬䌬剕䕒䍎㵙单ⱄ⤧!＀＀ ＀＀	＀＀_x0008_＀＀_x0001_＀＀_x0001_＀＀_x0001_＀＀䪌ӪẴ䂈찀ˡ伨E呓ⵍ剆䙞彅卅䥔䅍䕔✨䅓䕌❓✬䕍乁Ⱗ䌧䱁❁✬〲㌱ⰧⰰⰬⰧ啃剒久奃唽䑓✬착!＀＀ ＀＀	＀＀_x0008_＀＀_x0001_＀＀_x0001_＀＀_x0001_＀＀䞮竡䃃찀˚伨G噎䅄䙞彅卅䥔䅍䕔✨义彃則协❓✬䕍乁Ⱗ䌧䱁❁✬〲㘰ⰧⰰⰬⰧ啃剒久奃唽䑓✬착!＀＀ ＀＀	＀＀_x0008_＀＀_x0001_＀＀_x0001_＀＀_x0001_＀＀豀碵꼝쐕찀˗伨C义䍔䙞彅卅䥔䅍䕔✨偅䉓❇✬䕍乁Ⱗ䌧䱁❁✬〲㈱ⰧⰰⰬⰧ啃剒久奃唽䑓✬착!＀＀ ＀＀	＀＀_x0008_＀＀_x0001_＀＀_x0001_＀＀_x0001_＀＀龝㣢쫰䀄찀ˠ伨_x0014_剂䵃䙞彇剐䍉⡅〴㐵⤴!＀＀ ＀＀	＀＀_x0008_＀＀_x0001_＀＀_x0001_＀＀_x0001_＀＀晦晦왦䁅찀˜伨B噎䅄䙞彅卅䥔䅍䕔✨扥瑩Ⱗ䴧䅅❎✬䅃䅌Ⱗ㈧㄰✳〬Ⱜ✬䌬剕䕒䍎㵙单ⱄ⤧!＀＀ ＀＀	＀＀_x0008_＀＀_x0001_＀＀_x0001_＀＀_x0001_＀＀凬Ẹ_xDB85_䂈찀˒伨C义䍔䙞彅卅䥔䅍䕔✨䅓䕌❓✬䕍乁Ⱗ䌧䱁❁✬〲㠰ⰧⰰⰬⰧ啃剒久奃唽䑓✬착!＀＀ ＀＀	＀＀_x0008_＀＀_x0001_＀＀_x0001_＀＀_x0001_＀＀＀＀＀＀婀䃢찀˞伨C噎䅄䙞彅卅䥔䅍䕔✨偅䉓❇✬䕍乁Ⱗ䌧䱁❁✬〲㘰ⰧⰰⰬⰧ啃剒久奃唽䑓✬착!＀＀ ＀＀	＀＀_x0008_＀＀_x0001_＀＀_x0001_＀＀_x0001_＀＀豀碵꼝쐕찀ˡ伨B䑁幉䕆䕟呓䵉呁⡅匧䱁卅Ⱗ䴧䅅❎✬䅃䅌Ⱗ㈧㄰✲〬Ⱜ✬䌬剕䕒䍎㵙单ⱄ⤧!＀＀ ＀＀	＀＀_x0008_＀＀_x0001_＀＀_x0001_＀＀_x0001_＀＀_xD917_㜓䂦찀˔伨K㐲㐵吭䥁䙞彅卅䥔䅍䕔✨义彃則协❓✬䕍乁Ⱗ䌧䱁❁✬〲㈱ⰧⰰⰬⰧ啃剒久奃唽䑓✬착!＀＀ ＀＀	＀＀_x0008_＀＀_x0001_＀＀_x0001_＀＀_x0001_＀＀尨_xD88F_䂗찀˕伨C义䍔䙞彅卅䥔䅍䕔✨䅃䕐❘✬䕍乁Ⱗ䌧䱁❁✬〲㠰ⰧⰰⰬⰧ啃剒久奃唽䑓✬착!＀＀ ＀＀	＀＀_x0008_＀＀_x0001_＀＀_x0001_＀＀_x0001_＀＀＀＀＀＀䷀䂴찀ˠ伨_x001E_噎䅄偞灟楲散桟杩彨㈵⡷ⰰⰬ单⥄!＀＀ ＀＀	＀＀_x0008_＀＀_x0001_＀＀_x0001_＀＀_x0001_＀＀凬Ẹ⮅䀺찀ˠ伨H䍑䵏䙞彅卅䥔䅍䕔✨啃呓䵏䕟卐Ⱗ䴧䅅❎✬䅃䅌Ⱗ㈧㄰✴〬Ⱜ✬䌬剕䕒䍎㵙单ⱄ⤧!＀＀ ＀＀	＀＀_x0008_＀＀_x0001_＀＀_x0001_＀＀_x0001_＀＀豀碵꼝쐕찀ˣ伨B䑁幉䕆䕟呓䵉呁⡅䌧偁塅Ⱗ䴧䅅❎✬䅃䅌Ⱗ㈧㄰✲〬Ⱜ✬䌬剕䕒䍎㵙单ⱄ⤧!＀＀ ＀＀	＀＀_x0008_＀＀_x0001_＀＀_x0001_＀＀_x0001_＀＀ꧼ틱ٍ䁠찀˞伨A䍑䵏䙞彅卅䥔䅍䕔✨䍆❆✬䕍乁Ⱗ䌧䱁❁✬〲〱ⰧⰰⰬⰧ啃剒久奃唽䑓✬착!＀＀ ＀＀	＀＀_x0008_＀＀_x0001_＀＀_x0001_＀＀_x0001_＀＀빷᪟唯䂯찀˕伨F㐲㐵吭䥁䙞彅卅䥔䅍䕔✨扥瑩Ⱗ䴧䅅❎✬䅃䅌Ⱗ㈧㄰✲〬Ⱜ✬䌬剕䕒䍎㵙单ⱄ⤧!＀＀ ＀＀	＀＀_x0008_＀＀_x0001_＀＀_x0001_＀＀_x0001_＀＀纑㫻嫰䂁찀˘伨L㐲㐵吭䥁䙞彅卅䥔䅍䕔✨啃呓䵏䕟卐Ⱗ䴧䅅❎✬䅃䅌Ⱗ㈧〰✸〬Ⱜ✬䌬剕䕒䍎㵙单ⱄ⤧!＀＀ ＀＀	＀＀_x0008_＀＀_x0001_＀＀_x0001_＀＀_x0001_＀＀豀碵꼝쐕찀ˑ伨A剁䡍䙞彅卅䥔䅍䕔✨䍆❆✬䕍乁Ⱗ䌧䱁❁✬〲㐱ⰧⰰⰬⰧ啃剒久奃唽䑓✬착!＀＀ ＀＀	＀＀_x0008_＀＀_x0001_＀＀_x0001_＀＀_x0001_＀＀딋禦ۇ䁹찀˜伨B噎䅄䙞彅卅䥔䅍䕔✨扥瑩Ⱗ䴧䅅❎✬䅃䅌Ⱗ㈧㄰✰〬Ⱜ✬䌬剕䕒䍎㵙单ⱄ⤧!＀＀ ＀＀	＀＀_x0008_＀＀_x0001_＀＀_x0001_＀＀_x0001_＀＀땴ﬕ䁴찀˚伨G噎䅄䙞彅卅䥔䅍䕔✨义彃則协❓✬䕍乁Ⱗ䌧䱁❁✬〲㤰ⰧⰰⰬⰧ啃剒久奃唽䑓✬착!＀＀ ＀＀	＀＀_x0008_＀＀_x0001_＀＀_x0001_＀＀_x0001_＀＀鮦⃄憰䂒찀˦伨C呓ⵍ剆䙞彅卅䥔䅍䕔✨偄❓✬䕍乁Ⱗ䌧䱁❁✬〲ㄱⰧⰰⰬⰧ啃剒久奃唽䑓✬착!＀＀ ＀＀	＀＀_x0008_＀＀_x0001_＀＀_x0001_＀＀_x0001_＀＀レﴦ钽㿘찀ˠ伨_x001A_䑁幉杦摟扥彴潴慴⡬ⰰⰬ单⥄!＀＀ ＀＀	＀＀_x0008_＀＀_x0001_＀＀_x0001_＀＀_x0001_＀＀멞౉댂䂋찀˥伨C呓ⵍ剆䙞彅卅䥔䅍䕔✨䍆❆✬䕍乁Ⱗ䌧䱁❁✬〲㠰ⰧⰰⰬⰧ啃剒久奃唽䑓✬착!＀＀ ＀＀	＀＀_x0008_＀＀_x0001_＀＀_x0001_＀＀_x0001_＀＀Ƥּ鄒䂂찀ˠ伨_x001C_呓ⵍ剆䙞彇剐䍉⡅〴㌹ⰹⰬ单⥄!＀＀ ＀＀	＀＀_x0008_＀＀_x0001_＀＀_x0001_＀＀_x0001_＀＀鯦戱䀛찀˞伨C噎䅄䙞彅卅䥔䅍䕔✨偅䉓❇✬䕍乁Ⱗ䌧䱁❁✬〲㤰ⰧⰰⰬⰧ啃剒久奃唽䑓✬착!＀＀ ＀＀	＀＀_x0008_＀＀_x0001_＀＀_x0001_＀＀_x0001_＀＀ኋ៴㿛찀ˠ伨H䍑䵏䙞彅卅䥔䅍䕔✨啃呓䵏䕟卐Ⱗ䴧䅅❎✬䅃䅌Ⱗ㈧㄰✱〬Ⱜ✬䌬剕䕒䍎㵙单ⱄ⤧!＀＀ ＀＀	＀＀_x0008_＀＀_x0001_＀＀_x0001_＀＀_x0001_＀＀▪噠䀇찀˙伨C噎䅄䙞彅卅䥔䅍䕔✨䅓䕌❓✬䕍乁Ⱗ䌧䱁❁✬〲㤰ⰧⰰⰬⰧ啃剒久奃唽䑓✬착!＀＀ ＀＀	＀＀_x0008_＀＀_x0001_＀＀_x0001_＀＀_x0001_＀＀䯇褷ఁ䂪찀˚伨G䍑䵏䙞彅卅䥔䅍䕔✨义彃則协❓✬䕍乁Ⱗ䌧䱁❁✬〲㈱ⰧⰰⰬⰧ啃剒久奃唽䑓✬착!＀＀ ＀＀	＀＀_x0008_＀＀_x0001_＀＀_x0001_＀＀_x0001_＀＀됹盈㩮䃈찀ˑ伨G剁䡍䙞彅卅䥔䅍䕔✨义彃則协❓✬䕍乁Ⱗ䌧䱁❁✬〲㈱ⰧⰰⰬⰧ啃剒久奃唽䑓✬착!＀＀ ＀＀	＀＀_x0008_＀＀_x0001_＀＀_x0001_＀＀_x0001_＀＀菤춞Ȫ䂉찀ˑ伨A剁䡍䙞彅卅䥔䅍䕔✨䍆❆✬䕍乁Ⱗ䌧䱁❁✬〲ㄱⰧⰰⰬⰧ啃剒久奃唽䑓✬착!＀＀ ＀＀	＀＀_x0008_＀＀_x0001_＀＀_x0001_＀＀_x0001_＀＀꾸㢌䁱찀˞伨A䍑䵏䙞彅卅䥔䅍䕔✨䍆❆✬䕍乁Ⱗ䌧䱁❁✬〲㌱ⰧⰰⰬⰧ啃剒久奃唽䑓✬착!＀＀ ＀＀	＀＀_x0008_＀＀_x0001_＀＀_x0001_＀＀_x0001_＀＀沋ﯧ庉䂻찀˦伨G䑁幉䕆䕟呓䵉呁⡅䌧单佔彍偅❓✬䕍乁Ⱗ䌧䱁❁✬〲㈱ⰧⰰⰬⰧ啃剒久奃唽䑓✬착!＀＀ ＀＀	＀＀_x0008_＀＀_x0001_＀＀_x0001_＀＀_x0001_＀＀ު䀂찀˝伨C噎䅄䙞彅卅䥔䅍䕔✨䅃䕐❘✬䕍乁Ⱗ䌧䱁❁✬〲㤰ⰧⰰⰬⰧ啃剒久奃唽䑓✬착!＀＀ ＀＀	＀＀_x0008_＀＀_x0001_＀＀_x0001_＀＀_x0001_＀＀蒡뚙_xD97F_䁘찀˙伨_x001B_䍑䵏晞彧敤瑢瑟瑯污〨Ⱜ唬䑓착!＀＀ ＀＀	＀＀_x0008_＀＀_x0001_＀＀_x0001_＀＀_x0001_＀＀＀＀＀＀က䂏찀˗伨G㐲㐵吭䥁䙞彅卅䥔䅍䕔✨偅䉓❇✬䕍乁Ⱗ䌧䱁❁✬〲㜰ⰧⰰⰬⰧ啃剒久奃唽䑓✬착!＀＀ ＀＀	＀＀_x0008_＀＀_x0001_＀＀_x0001_＀＀_x0001_＀＀貀韊ⵡ㿫찀˒伨C义䍔䙞彅卅䥔䅍䕔✨䅓䕌❓✬䕍乁Ⱗ䌧䱁❁✬〲㈱ⰧⰰⰬⰧ啃剒久奃唽䑓✬착!＀＀ ＀＀	＀＀_x0008_＀＀_x0001_＀＀_x0001_＀＀_x0001_＀＀炤਽鿧䃫찀˞伨C噎䅄䙞彅卅䥔䅍䕔✨偅䉓❇✬䕍乁Ⱗ䌧䱁❁✬〲〱ⰧⰰⰬⰧ啃剒久奃唽䑓✬착!＀＀ ＀＀	＀＀_x0008_＀＀_x0001_＀＀_x0001_＀＀_x0001_＀＀厙풸탷㿤찀˖伨E㐲㐵吭䥁䙞彅卅䥔䅍䕔✨䍆❆✬䕍乁Ⱗ䌧䱁❁✬〲㘰ⰧⰰⰬⰧ啃剒久奃唽䑓✬착!＀＀ ＀＀	＀＀_x0008_＀＀_x0001_＀＀_x0001_＀＀_x0001_＀＀儚ᯚ뛼䂃찀ˑ伨H剁䡍䙞彅卅䥔䅍䕔✨啃呓䵏䕟卐Ⱗ䴧䅅❎✬䅃䅌Ⱗ㈧㄰✲〬Ⱜ✬䌬剕䕒䍎㵙单ⱄ⤧!＀＀ ＀＀	＀＀_x0008_＀＀_x0001_＀＀_x0001_＀＀_x0001_＀＀豀碵꼝쐕찀ˠ伨"㐲㐵吭䥁偞灟楲散桟杩彨㈵⡷ⰰⰬ单⥄!＀＀ ＀＀	＀＀_x0008_＀＀_x0001_＀＀_x0001_＀＀_x0001_＀＀䄇ꭇ_xDA5A_䀫찀˟伨H噎䅄䙞彅卅䥔䅍䕔✨啃呓䵏䕟卐Ⱗ䴧䅅❎✬䅃䅌Ⱗ㈧〰✷〬Ⱜ✬䌬剕䕒䍎㵙单ⱄ⤧!＀＀ ＀＀	＀＀_x0008_＀＀_x0001_＀＀_x0001_＀＀_x0001_＀＀꟣潱;㿵찀˙伨C噎䅄䙞彅卅䥔䅍䕔✨䅓䕌❓✬䕍乁Ⱗ䌧䱁❁✬〲㘰ⰧⰰⰬⰧ啃剒久奃唽䑓✬착!＀＀ ＀＀	＀＀_x0008_＀＀_x0001_＀＀_x0001_＀＀_x0001_＀＀尨菏䂧찀˓伨G㐲㐵吭䥁䙞彅卅䥔䅍䕔✨䅓䕌❓✬䕍乁Ⱗ䌧䱁❁✬〲㜰ⰧⰰⰬⰧ啃剒久奃唽䑓✬착!＀＀ ＀＀	＀＀_x0008_＀＀_x0001_＀＀_x0001_＀＀_x0001_＀＀⃅犰⵨䂣찀˕伨C义䍔䙞彅卅䥔䅍䕔✨䅃䕐❘✬䕍乁Ⱗ䌧䱁❁✬〲㈱ⰧⰰⰬⰧ啃剒久奃唽䑓✬착!＀＀ ＀＀	＀＀_x0008_＀＀_x0001_＀＀_x0001_＀＀_x0001_＀＀_xDF3C_赏峇䃆찀ˠ伨_x0019_䑁幉䝆偟䥒䕃㐨㔰㐴Ⱜ唬䑓착!＀＀ ＀＀	＀＀_x0008_＀＀_x0001_＀＀_x0001_＀＀_x0001_＀＀⣶轜헂䁂찀ˠ伨_x001A_前䱖䙞彇剐䍉⡅〴㌹ⰹⰬ单⥄!＀＀ ＀＀	＀＀_x0008_＀＀_x0001_＀＀_x0001_＀＀_x0001_＀＀㵱휊炣䀯찀˝伨C噎䅄䙞彅卅䥔䅍䕔✨䅃䕐❘✬䕍乁Ⱗ䌧䱁❁✬〲㘰ⰧⰰⰬⰧ啃剒久奃唽䑓✬착!＀＀ ＀＀	＀＀_x0008_＀＀_x0001_＀＀_x0001_＀＀_x0001_＀＀凗ӕꝑ䁞찀ˑ伨C剁䡍䙞彅卅䥔䅍䕔✨偅䉓❇✬䕍乁Ⱗ䌧䱁❁✬〲㤰ⰧⰰⰬⰧ啃剒久奃唽䑓✬착!＀＀ ＀＀	＀＀_x0008_＀＀_x0001_＀＀_x0001_＀＀_x0001_＀＀ᘣꖌ瞣㿐찀˕伨G㐲㐵吭䥁䙞彅卅䥔䅍䕔✨䅃䕐❘✬䕍乁Ⱗ䌧䱁❁✬〲㜰ⰧⰰⰬⰧ啃剒久奃唽䑓✬착!＀＀ ＀＀	＀＀_x0008_＀＀_x0001_＀＀_x0001_＀＀_x0001_＀＀꒔♫죟䁉찀˘伨L㐲㐵吭䥁䙞彅卅䥔䅍䕔✨啃呓䵏䕟卐Ⱗ䴧䅅❎✬䅃䅌Ⱗ㈧㄰✲〬Ⱜ✬䌬剕䕒䍎㵙单ⱄ⤧!＀＀ ＀＀	＀＀_x0008_＀＀_x0001_＀＀_x0001_＀＀_x0001_＀＀豀碵꼝쐕찀˚伨G噎䅄䙞彅卅䥔䅍䕔✨义彃則协❓✬䕍乁Ⱗ䌧䱁❁✬〲㌱ⰧⰰⰬⰧ啃剒久奃唽䑓✬착!＀＀ ＀＀	＀＀_x0008_＀＀_x0001_＀＀_x0001_＀＀_x0001_＀＀蔟凫ݸ䂢찀˔伨G义䍔䙞彅卅䥔䅍䕔✨义彃則协❓✬䕍乁Ⱗ䌧䱁❁✬〲㜰ⰧⰰⰬⰧ啃剒久奃唽䑓✬착!＀＀ ＀＀	＀＀_x0008_＀＀_x0001_＀＀_x0001_＀＀_x0001_＀＀䞮竡愴䃓찀ˠ伨A噎䅄䙞彅卅䥔䅍䕔✨偄❓✬䕍乁Ⱗ䌧䱁❁✬〲ㄱⰧⰰⰬⰧ啃剒久奃唽䑓✬착!＀＀ ＀＀	＀＀_x0008_＀＀_x0001_＀＀_x0001_＀＀_x0001_＀＀＀＀＀＀＀＀＀＀찀˞伨A噎䅄䙞彅卅䥔䅍䕔✨䍆❆✬䕍乁Ⱗ䌧䱁❁✬〲㠰ⰧⰰⰬⰧ啃剒久奃唽䑓✬착!＀＀ ＀＀	＀＀_x0008_＀＀_x0001_＀＀_x0001_＀＀_x0001_＀＀營躊⣤䁔찀˞伨C噎䅄䙞彅卅䥔䅍䕔✨偅䉓❇✬䕍乁Ⱗ䌧䱁❁✬〲㌱ⰧⰰⰬⰧ啃剒久奃唽䑓✬착!＀＀ ＀＀	＀＀_x0008_＀＀_x0001_＀＀_x0001_＀＀_x0001_＀＀_xD9EC_饳蒚㿴찀˖伨E㐲㐵吭䥁䙞彅卅䥔䅍䕔✨䍆❆✬䕍乁Ⱗ䌧䱁❁✬〲㤰ⰧⰰⰬⰧ啃剒久奃唽䑓✬착!＀＀ ＀＀	＀＀_x0008_＀＀_x0001_＀＀_x0001_＀＀_x0001_＀＀鮦⃄㞰䂘찀ˑ伨C剁䡍䙞彅卅䥔䅍䕔✨偅䉓❇✬䕍乁Ⱗ䌧䱁❁✬〲㘰ⰧⰰⰬⰧ啃剒久奃唽䑓✬착!＀＀ ＀＀	＀＀_x0008_＀＀_x0001_＀＀_x0001_＀＀_x0001_＀＀䦶捅㿐찀ˠ伨_x0018_䱁剔偞灟楲散桟杩彨㈵⡷⤰!＀＀ ＀＀	＀＀_x0008_＀＀_x0001_＀＀_x0001_＀＀_x0001_＀＀凬Ẹ쮅䁈찀˙伨C噎䅄䙞彅卅䥔䅍䕔✨䅓䕌❓✬䕍乁Ⱗ䌧䱁❁✬〲㌱ⰧⰰⰬⰧ啃剒久奃唽䑓✬착!＀＀ ＀＀	＀＀_x0008_＀＀_x0001_＀＀_x0001_＀＀_x0001_＀＀쳍쳌曌䂱찀˖伨A义䍔䙞彅卅䥔䅍䕔✨䍆❆✬䕍乁Ⱗ䌧䱁❁✬〲㘰ⰧⰰⰬⰧ啃剒久奃唽䑓✬착!＀＀ ＀＀	＀＀_x0008_＀＀_x0001_＀＀_x0001_＀＀_x0001_＀＀＀＀＀＀䂲찀ˑ伨C剁䡍䙞彅卅䥔䅍䕔✨䅓䕌❓✬䕍乁Ⱗ䌧䱁❁✬〲㘰ⰧⰰⰬⰧ啃剒久奃唽䑓✬착!＀＀ ＀＀	＀＀_x0008_＀＀_x0001_＀＀_x0001_＀＀_x0001_＀＀ẹ᧑䂀찀˝伨C噎䅄䙞彅卅䥔䅍䕔✨䅃䕐❘✬䕍乁Ⱗ䌧䱁❁✬〲㌱ⰧⰰⰬⰧ啃剒久奃唽䑓✬착!＀＀ ＀＀	＀＀_x0008_＀＀_x0001_＀＀_x0001_＀＀_x0001_＀＀疎᭱縍䁡찀˚伨G噎䅄䙞彅卅䥔䅍䕔✨义彃則协❓✬䕍乁Ⱗ䌧䱁❁✬〲〱ⰧⰰⰬⰧ啃剒久奃唽䑓✬착!＀＀ ＀＀	＀＀_x0008_＀＀_x0001_＀＀_x0001_＀＀_x0001_＀＀譄땻䂕찀ˑ伨C剁䡍䙞彅卅䥔䅍䕔✨䅃䕐❘✬䕍乁Ⱗ䌧䱁❁✬〲㘰ⰧⰰⰬⰧ啃剒久奃唽䑓✬착!＀＀ ＀＀	＀＀_x0008_＀＀_x0001_＀＀_x0001_＀＀_x0001_＀＀ꐕ鬙䀶찀ˊ伨_x0014_䅃䵖䙞彇剐䍉⡅〴㐵⤴!＀＀ ＀＀	＀＀_x0008_＀＀_x0001_＀＀_x0001_＀＀_x0001_＀＀ꏗ㵰휊䁂찀˗伨G㐲㐵吭䥁䙞彅卅䥔䅍䕔✨偅䉓❇✬䕍乁Ⱗ䌧䱁❁✬〲ㄱⰧⰰⰬⰧ啃剒久奃唽䑓✬착!＀＀ ＀＀	＀＀_x0008_＀＀_x0001_＀＀_x0001_＀＀_x0001_＀＀ᚮ횎젇㿚찀˟伨H噎䅄䙞彅卅䥔䅍䕔✨啃呓䵏䕟卐Ⱗ䴧䅅❎✬䅃䅌Ⱗ㈧㄰✱〬Ⱜ✬䌬剕䕒䍎㵙单ⱄ⤧!＀＀ ＀＀	＀＀_x0008_＀＀_x0001_＀＀_x0001_＀＀_x0001_＀＀ࢃᆂ剅㿮찀˙伨C噎䅄䙞彅卅䥔䅍䕔✨䅓䕌❓✬䕍乁Ⱗ䌧䱁❁✬〲〱ⰧⰰⰬⰧ啃剒久奃唽䑓✬착!＀＀ ＀＀	＀＀_x0008_＀＀_x0001_＀＀_x0001_＀＀_x0001_＀＀إ閁觃䂫찀ˋ伨_x001D_剁䡍䙞彆䅃䡓卟⡔呑ⱒⰰⰬ唬䑓착!＀＀ ＀＀	＀＀_x0008_＀＀_x0001_＀＀_x0001_＀＀_x0001_＀＀ᶵ鏉䁿찀ˠ伨_x0014_䱘塎䙞彇剐䍉⡅〴㐵⤴!＀＀ ＀＀	＀＀_x0008_＀＀_x0001_＀＀_x0001_＀＀_x0001_＀＀ᑻ䞮﫡䀼찀ˠ伨!䑁幉䙆䍟䵏卟午佟呕䕟卐䑟䱉儨剔〬착ċ＀＀ ＀＀ó＀＀_x0008_＀＀_x0001_＀＀_x0001_＀＀_x0001_＀＀됹盈ᮾ䁳摦畳㩰⼯楄敲瑣潩獮䘯捡却瑥䄠摵瑩湩⁧楖睥牥愿瑣潩㵮啁䥄彔䅖啌♅䉄ㄽ㤲䤦ㅄ〽㈳㔶ㄴ☰䅖啌䥅㵄㔰㤱☴䑓呁㵅〲ㄱ㐰倦剅佉呄偙㵅呑归呓♄䍓呆㌽眦湩潤㵷潰異彰潮扟牡眦摩桴㌽㔸栦楥桧㵴㈱☰呓剁彔䅍䥘䥍䕚㵄䅆卌♅牣慥潴㵲慦瑣敳♴楤灳慬役瑳楲杮䄽摵瑩찀˟伨C䍑䵏䙞彅卅䥔䅍䕔✨偅䉓❇✬䕍乁Ⱗ䌧䱁❁✬〲㤰ⰧⰰⰬⰧ啃剒久奃唽䑓✬착!＀＀ ＀＀	＀＀_x0008_＀＀_x0001_＀＀_x0001_＀＀_x0001_＀＀듔榋ﮦ㿾찀ˢ伨A䑁幉䕆䕟呓䵉呁⡅攧楢❴✬䕍乁Ⱗ䌧䱁❁✬〲㠰ⰧⰰⰬⰧ啃剒久奃唽䑓✬착!＀＀ ＀＀	＀＀_x0008_＀＀_x0001_＀＀_x0001_＀＀_x0001_＀＀앮닾⵻䂂찀˖伨A义䍔䙞彅卅䥔䅍䕔✨䍆❆✬䕍乁Ⱗ䌧䱁❁✬〲㤰ⰧⰰⰬⰧ啃剒久奃唽䑓✬착!＀＀ ＀＀	＀＀_x0008_＀＀_x0001_＀＀_x0001_＀＀_x0001_＀＀鮥졄䂴찀˝伨C噎䅄䙞彅卅䥔䅍䕔✨䅃䕐❘✬䕍乁Ⱗ䌧䱁❁✬〲〱ⰧⰰⰬⰧ啃剒久奃唽䑓✬착!＀＀ ＀＀	＀＀_x0008_＀＀_x0001_＀＀_x0001_＀＀_x0001_＀＀꽥罷䁗찀ˑ伨C剁䡍䙞彅卅䥔䅍䕔✨偅䉓❇✬䕍乁Ⱗ䌧䱁❁✬〲㌱ⰧⰰⰬⰧ啃剒久奃唽䑓✬착!＀＀ ＀＀	＀＀_x0008_＀＀_x0001_＀＀_x0001_＀＀_x0001_＀＀ﮮ땽⭙㿨찀ˑ伨C剁䡍䙞彅卅䥔䅍䕔✨䅓䕌❓✬䕍乁Ⱗ䌧䱁❁✬〲㤰ⰧⰰⰬⰧ啃剒久奃唽䑓✬착!＀＀ ＀＀	＀＀_x0008_＀＀_x0001_＀＀_x0001_＀＀_x0001_＀＀豿殹줉䁾찀˙伨_x001D_䍑䵏䙞彆䅃䡓卟⡔呑ⱒⰰⰬ唬䑓착ċ＀＀ ＀＀ó＀＀_x0008_＀＀_x0001_＀＀_x0001_＀＀_x0001_＀＀＀＀＀＀숀䃆摦畳㩰⼯楄敲瑣潩獮䘯捡却瑥䄠摵瑩湩⁧楖睥牥愿瑣潩㵮啁䥄彔䅖啌♅䉄ㄽ㤲䤦ㅄ㜽㜴㈵ㄵ☰䅖啌䥅㵄㈰〰☱䑓呁㵅〲ㄱ㐰倦剅佉呄偙㵅呑归呓♄䍓呆㌽眦湩潤㵷潰異彰潮扟牡眦摩桴㌽㔸栦楥桧㵴㈱☰呓剁彔䅍䥘䥍䕚㵄䅆卌♅牣慥潴㵲慦瑣敳♴楤灳慬役瑳楲杮䄽摵瑩찀˔伨B义䍔䙞彅卅䥔䅍䕔✨扥瑩Ⱗ䴧䅅❎✬䅃䅌Ⱗ㈧〰✹〬Ⱜ✬䌬剕䕒䍎㵙单ⱄ⤧!＀＀ ＀＀	＀＀_x0008_＀＀_x0001_＀＀_x0001_＀＀_x0001_＀＀褷恁㛅䂼찀˥伨C呓ⵍ剆䙞彅卅䥔䅍䕔✨䍆❆✬䕍乁Ⱗ䌧䱁❁✬〲㈱ⰧⰰⰬⰧ啃剒久奃唽䑓✬착!＀＀ ＀＀	＀＀_x0008_＀＀_x0001_＀＀_x0001_＀＀_x0001_＀＀곚峺譭䁵찀˔伨G义䍔䙞彅卅䥔䅍䕔✨义彃則协❓✬䕍乁Ⱗ䌧䱁❁✬〲ㄱⰧⰰⰬⰧ啃剒久奃唽䑓✬착!＀＀ ＀＀	＀＀_x0008_＀＀_x0001_＀＀_x0001_＀＀_x0001_＀＀＀＀＀＀箠䃠찀ˑ伨C剁䡍䙞彅卅䥔䅍䕔✨䅃䕐❘✬䕍乁Ⱗ䌧䱁❁✬〲㤰ⰧⰰⰬⰧ啃剒久奃唽䑓✬착!＀＀ ＀＀	＀＀_x0008_＀＀_x0001_＀＀_x0001_＀＀_x0001_＀＀돻⤟쌢䀩찀ˋ伨_x001B_剁䡍晞彧敤瑢瑟瑯污〨Ⱜ唬䑓착!＀＀ ＀＀	＀＀_x0008_＀＀_x0001_＀＀_x0001_＀＀_x0001_＀＀＀＀＀＀＀＀＀＀찀˞伨A噎䅄䙞彅卅䥔䅍䕔✨䍆❆✬䕍乁Ⱗ䌧䱁❁✬〲㈱ⰧⰰⰬⰧ啃剒久奃唽䑓✬착!＀＀ ＀＀	＀＀_x0008_＀＀_x0001_＀＀_x0001_＀＀_x0001_＀＀슏⣵╜䂇찀˗伨G㐲㐵吭䥁䙞彅卅䥔䅍䕔✨偅䉓❇✬䕍乁Ⱗ䌧䱁❁✬〲㐱ⰧⰰⰬⰧ啃剒久奃唽䑓✬착!＀＀ ＀＀	＀＀_x0008_＀＀_x0001_＀＀_x0001_＀＀_x0001_＀＀Ⲭ⺀㿣찀˖伨E㐲㐵吭䥁䙞彅卅䥔䅍䕔✨䍆❆✬䕍乁Ⱗ䌧䱁❁✬〲㌱ⰧⰰⰬⰧ啃剒久奃唽䑓✬착!＀＀ ＀＀	＀＀_x0008_＀＀_x0001_＀＀_x0001_＀＀_x0001_＀＀ಳ걱蜋䂅찀ˣ伨D呓ⵍ剆䙞彅卅䥔䅍䕔✨扥瑩Ⱗ䴧䅅❎✬䅃䅌Ⱗ㈧〰✹〬Ⱜ✬䌬剕䕒䍎㵙单ⱄ⤧!＀＀ ＀＀	＀＀_x0008_＀＀_x0001_＀＀_x0001_＀＀_x0001_＀＀⚁蛂괧삋찀˟伨C䍑䵏䙞彅卅䥔䅍䕔✨偅䉓❇✬䕍乁Ⱗ䌧䱁❁✬〲㘰ⰧⰰⰬⰧ啃剒久奃唽䑓✬착!＀＀ ＀＀	＀＀_x0008_＀＀_x0001_＀＀_x0001_＀＀_x0001_＀＀灻홷뭮㿻찀˟伨H噎䅄䙞彅卅䥔䅍䕔✨啃呓䵏䕟卐Ⱗ䴧䅅❎✬䅃䅌Ⱗ㈧㄰✴〬Ⱜ✬䌬剕䕒䍎㵙单ⱄ⤧!＀＀ ＀＀	＀＀_x0008_＀＀_x0001_＀＀_x0001_＀＀_x0001_＀＀豀碵꼝쐕찀˓伨G㐲㐵吭䥁䙞彅卅䥔䅍䕔✨䅓䕌❓✬䕍乁Ⱗ䌧䱁❁✬〲㐱ⰧⰰⰬⰧ啃剒久奃唽䑓✬착!＀＀ ＀＀	＀＀_x0008_＀＀_x0001_＀＀_x0001_＀＀_x0001_＀＀ၢ㥘瓴䂭찀ˑ伨C剁䡍䙞彅卅䥔䅍䕔✨偅䉓❇✬䕍乁Ⱗ䌧䱁❁✬〲〱ⰧⰰⰬⰧ啃剒久奃唽䑓✬착!＀＀ ＀＀	＀＀_x0008_＀＀_x0001_＀＀_x0001_＀＀_x0001_＀＀蝠登̊㿛찀˚伨C䍑䵏䙞彅卅䥔䅍䕔✨䅓䕌❓✬䕍乁Ⱗ䌧䱁❁✬〲㘰ⰧⰰⰬⰧ啃剒久奃唽䑓✬착!＀＀ ＀＀	＀＀_x0008_＀＀_x0001_＀＀_x0001_＀＀_x0001_＀＀إ閁뤃䂾찀ˊ伨_x0016_塍幌彐牰捩彥潬彷㈵⡷⤰!＀＀ ＀＀	＀＀_x0008_＀＀_x0001_＀＀_x0001_＀＀_x0001_＀＀롑蔞䀐찀ˠ伨_x0018_剂䵃偞灟楲散桟杩彨㈵⡷⤰!＀＀ ＀＀	＀＀_x0008_＀＀_x0001_＀＀_x0001_＀＀_x0001_＀＀＀＀＀＀怀䁇찀˦伨J呓ⵍ剆䙞彅卅䥔䅍䕔✨啃呓䵏䕟卐Ⱗ䴧䅅❎✬䅃䅌Ⱗ㈧〰✹〬Ⱜ✬䌬剕䕒䍎㵙单ⱄ⤧!＀＀ ＀＀	＀＀_x0008_＀＀_x0001_＀＀_x0001_＀＀_x0001_＀＀豀碵꼝쐕찀˔伨B义䍔䙞彅卅䥔䅍䕔✨扥瑩Ⱗ䴧䅅❎✬䅃䅌Ⱗ㈧〰✶〬Ⱜ✬䌬剕䕒䍎㵙单ⱄ⤧!＀＀ ＀＀	＀＀_x0008_＀＀_x0001_＀＀_x0001_＀＀_x0001_＀＀磕⛩ꘑ䂸찀ˑ伨C剁䡍䙞彅卅䥔䅍䕔✨䅓䕌❓✬䕍乁Ⱗ䌧䱁❁✬〲〱ⰧⰰⰬⰧ啃剒久奃唽䑓✬착!＀＀ ＀＀	＀＀_x0008_＀＀_x0001_＀＀_x0001_＀＀_x0001_＀＀䂃찀˕伨G㐲㐵吭䥁䙞彅卅䥔䅍䕔✨䅃䕐❘✬䕍乁Ⱗ䌧䱁❁✬〲㐱ⰧⰰⰬⰧ啃剒久奃唽䑓✬착!＀＀ ＀＀	＀＀_x0008_＀＀_x0001_＀＀_x0001_＀＀_x0001_＀＀툵祒똻䁓찀˝伨C䍑䵏䙞彅卅䥔䅍䕔✨䅃䕐❘✬䕍乁Ⱗ䌧䱁❁✬〲㘰ⰧⰰⰬⰧ啃剒久奃唽䑓✬착!＀＀ ＀＀	＀＀_x0008_＀＀_x0001_＀＀_x0001_＀＀_x0001_＀＀嵤䛜ꮃ䂃찀ˑ伨C剁䡍䙞彅卅䥔䅍䕔✨䅃䕐❘✬䕍乁Ⱗ䌧䱁❁✬〲〱ⰧⰰⰬⰧ啃剒久奃唽䑓✬착!＀＀ ＀＀	＀＀_x0008_＀＀_x0001_＀＀_x0001_＀＀_x0001_＀＀ټ쏔䀫찀˦伨E呓ⵍ剆䙞彅卅䥔䅍䕔✨偅䉓❇✬䕍乁Ⱗ䌧䱁❁✬〲㠰ⰧⰰⰬⰧ啃剒久奃唽䑓✬착!＀＀ ＀＀	＀＀_x0008_＀＀_x0001_＀＀_x0001_＀＀_x0001_＀＀ဌꖻ΋㿕찀˔伨G义䍔䙞彅卅䥔䅍䕔✨义彃則协❓✬䕍乁Ⱗ䌧䱁❁✬〲㐱ⰧⰰⰬⰧ啃剒久奃唽䑓✬착!＀＀ ＀＀	＀＀_x0008_＀＀_x0001_＀＀_x0001_＀＀_x0001_＀＀晧晦泖䃣찀ˠ伨_x001C_呓ⵍ剆䙞彇剐䍉⡅〴㐵ⰴⰬ单⥄!＀＀ ＀＀	＀＀_x0008_＀＀_x0001_＀＀_x0001_＀＀_x0001_＀＀晉໵쎷䀤찀˖伨E㐲㐵吭䥁䙞彅卅䥔䅍䕔✨䍆❆✬䕍乁Ⱗ䌧䱁❁✬〲〱ⰧⰰⰬⰧ啃剒久奃唽䑓✬착!＀＀ ＀＀	＀＀_x0008_＀＀_x0001_＀＀_x0001_＀＀_x0001_＀＀ᢔ嘄쮎䂎찀ˣ伨D呓ⵍ剆䙞彅卅䥔䅍䕔✨扥瑩Ⱗ䴧䅅❎✬䅃䅌Ⱗ㈧〰✶〬Ⱜ✬䌬剕䕒䍎㵙单ⱄ⤧!＀＀ ＀＀	＀＀_x0008_＀＀_x0001_＀＀_x0001_＀＀_x0001_＀＀歑瞚릜䂆찀ˢ伨F䑁幉䕆䕟呓䵉呁⡅䤧䍎䝟佒卓Ⱗ䴧䅅❎✬䅃䅌Ⱗ㈧〰✸〬Ⱜ✬䌬剕䕒䍎㵙单ⱄ⤧!＀＀ ＀＀	＀＀_x0008_＀＀_x0001_＀＀_x0001_＀＀_x0001_＀＀龿⼚畝䂗찀˝伨B䍑䵏䙞彅卅䥔䅍䕔✨扥瑩Ⱗ䴧䅅❎✬䅃䅌Ⱗ㈧〰✸〬Ⱜ✬䌬剕䕒䍎㵙单ⱄ⤧!＀＀ ＀＀	＀＀_x0008_＀＀_x0001_＀＀_x0001_＀＀_x0001_＀＀꟰䯆ط䂰찀ˡ伨E呓ⵍ剆䙞彅卅䥔䅍䕔✨䅓䕌❓✬䕍乁Ⱗ䌧䱁❁✬〲㠰ⰧⰰⰬⰧ啃剒久奃唽䑓✬착!＀＀ ＀＀	＀＀_x0008_＀＀_x0001_＀＀_x0001_＀＀_x0001_＀＀＀＀＀＀㤀䃃찀˓伨G㐲㐵吭䥁䙞彅卅䥔䅍䕔✨䅓䕌❓✬䕍乁Ⱗ䌧䱁❁✬〲ㄱⰧⰰⰬⰧ啃剒久奃唽䑓✬착!＀＀ ＀＀	＀＀_x0008_＀＀_x0001_＀＀_x0001_＀＀_x0001_＀＀삃ꇊꏅ䂦찀˦伨J呓ⵍ剆䙞彅卅䥔䅍䕔✨啃呓䵏䕟卐Ⱗ䴧䅅❎✬䅃䅌Ⱗ㈧〰✶〬Ⱜ✬䌬剕䕒䍎㵙单ⱄ⤧!＀＀ ＀＀	＀＀_x0008_＀＀_x0001_＀＀_x0001_＀＀_x0001_＀＀豀碵꼝쐕찀˥伨B䑁幉䕆䕟呓䵉呁⡅䔧卐䝂Ⱗ䴧䅅❎✬䅃䅌Ⱗ㈧〰✷〬Ⱜ✬䌬剕䕒䍎㵙单ⱄ⤧!＀＀ ＀＀	＀＀_x0008_＀＀_x0001_＀＀_x0001_＀＀_x0001_＀＀ᖱⴴ㿺찀˟伨C䍑䵏䙞彅卅䥔䅍䕔✨偅䉓❇✬䕍乁Ⱗ䌧䱁❁✬〲㌱ⰧⰰⰬⰧ啃剒久奃唽䑓✬착!＀＀ ＀＀	＀＀_x0008_＀＀_x0001_＀＀_x0001_＀＀_x0001_＀＀䤆嚟近䀐찀ˤ伨E呓ⵍ剆䙞彅卅䥔䅍䕔✨䅃䕐❘✬䕍乁Ⱗ䌧䱁❁✬〲㠰ⰧⰰⰬⰧ啃剒久奃唽䑓✬착!＀＀ ＀＀	＀＀_x0008_＀＀_x0001_＀＀_x0001_＀＀_x0001_＀＀멞౉ং䂐찀ˠ伨_x001D_前䱖偞灟楲散江睯㕟眲〨Ⱜ唬䑓착!＀＀ ＀＀	＀＀_x0008_＀＀_x0001_＀＀_x0001_＀＀_x0001_＀＀⣶轜痂䀦찀˖伨A义䍔䙞彅卅䥔䅍䕔✨䍆❆✬䕍乁Ⱗ䌧䱁❁✬〲㌱ⰧⰰⰬⰧ啃剒久奃唽䑓✬착!＀＀ ＀＀	＀＀_x0008_＀＀_x0001_＀＀_x0001_＀＀_x0001_＀＀⃅犰騨䃇찀˕伨G㐲㐵吭䥁䙞彅卅䥔䅍䕔✨䅃䕐❘✬䕍乁Ⱗ䌧䱁❁✬〲ㄱⰧⰰⰬⰧ啃剒久奃唽䑓✬착!＀＀ ＀＀	＀＀_x0008_＀＀_x0001_＀＀_x0001_＀＀_x0001_＀＀损ꢗ哞䁒찀˚伨C䍑䵏䙞彅卅䥔䅍䕔✨䅓䕌❓✬䕍乁Ⱗ䌧䱁❁✬〲㤰ⰧⰰⰬⰧ啃剒久奃唽䑓✬착!＀＀ ＀＀	＀＀_x0008_＀＀_x0001_＀＀_x0001_＀＀_x0001_＀＀꟰䯆ꁷ䃄찀ˠ伨_x0014_䱁剔䙞彇剐䍉⡅〴㌹⤹!＀＀ ＀＀	＀＀_x0008_＀＀_x0001_＀＀_x0001_＀＀_x0001_＀＀롒蔞퇫䁃찀˔伨K㐲㐵吭䥁䙞彅卅䥔䅍䕔✨义彃則协❓✬䕍乁Ⱗ䌧䱁❁✬〲㜰ⰧⰰⰬⰧ啃剒久奃唽䑓✬착!＀＀ ＀＀	＀＀_x0008_＀＀_x0001_＀＀_x0001_＀＀_x0001_＀＀좴빶휟䂕찀ˑ伨C剁䡍䙞彅卅䥔䅍䕔✨䅓䕌❓✬䕍乁Ⱗ䌧䱁❁✬〲㌱ⰧⰰⰬⰧ啃剒久奃唽䑓✬착!＀＀ ＀＀	＀＀_x0008_＀＀_x0001_＀＀_x0001_＀＀_x0001_＀＀ꣂ交᥀䂎찀ˢ伨I呓ⵍ剆䙞彅卅䥔䅍䕔✨义彃則协❓✬䕍乁Ⱗ䌧䱁❁✬〲㜰ⰧⰰⰬⰧ啃剒久奃唽䑓✬착!＀＀ ＀＀	＀＀_x0008_＀＀_x0001_＀＀_x0001_＀＀_x0001_＀＀⋑率鉾䂰찀ˠ伨_x001E_义䍔偞灟楲散桟杩彨㈵⡷ⰰⰬ单⥄!＀＀ ＀＀	＀＀_x0008_＀＀_x0001_＀＀_x0001_＀＀_x0001_＀＀＀＀＀＀＀＀䀻찀˝伨C䍑䵏䙞彅卅䥔䅍䕔✨䅃䕐❘✬䕍乁Ⱗ䌧䱁❁✬〲㤰ⰧⰰⰬⰧ啃剒久奃唽䑓✬착!＀＀ ＀＀	＀＀_x0008_＀＀_x0001_＀＀_x0001_＀＀_x0001_＀＀奋㢆ᅖ䂅찀˘伨H义䍔䙞彅卅䥔䅍䕔✨啃呓䵏䕟卐Ⱗ䴧䅅❎✬䅃䅌Ⱗ㈧〰✷〬Ⱜ✬䌬剕䕒䍎㵙单ⱄ⤧!＀＀ ＀＀	＀＀_x0008_＀＀_x0001_＀＀_x0001_＀＀_x0001_＀＀ᑺ䞮㿳찀ˑ伨C剁䡍䙞彅卅䥔䅍䕔✨䅃䕐❘✬䕍乁Ⱗ䌧䱁❁✬〲㌱ⰧⰰⰬⰧ啃剒久奃唽䑓✬착!＀＀ ＀＀	＀＀_x0008_＀＀_x0001_＀＀_x0001_＀＀_x0001_＀＀骁뙚䟖䀳찀ˠ伨_x001E_㐲㐵吭䥁䙞彇剐䍉⡅〴㌹ⰹⰬ单⥄!＀＀ ＀＀	＀＀_x0008_＀＀_x0001_＀＀_x0001_＀＀_x0001_＀＀踻⨟ᢍ䀣찀ˣ伨D呓ⵍ剆䙞彅卅䥔䅍䕔✨扥瑩Ⱗ䴧䅅❎✬䅃䅌Ⱗ㈧㄰✳〬Ⱜ✬䌬剕䕒䍎㵙单ⱄ⤧!＀＀ ＀＀	＀＀_x0008_＀＀_x0001_＀＀_x0001_＀＀_x0001_＀＀喜ꮟ릭䁸찀˟伨C䍑䵏䙞彅卅䥔䅍䕔✨偅䉓❇✬䕍乁Ⱗ䌧䱁❁✬〲〱ⰧⰰⰬⰧ啃剒久奃唽䑓✬착!＀＀ ＀＀	＀＀_x0008_＀＀_x0001_＀＀_x0001_＀＀_x0001_＀＀櫰㎹Ⱃ䀅찀˖伨A义䍔䙞彅卅䥔䅍䕔✨䍆❆✬䕍乁Ⱗ䌧䱁❁✬〲〱ⰧⰰⰬⰧ啃剒久奃唽䑓✬착!＀＀ ＀＀	＀＀_x0008_＀＀_x0001_＀＀_x0001_＀＀_x0001_＀＀晧晦㏦䃂찀ˠ伨 呓ⵍ剆偞灟楲散桟杩彨㈵⡷ⰰⰬ单⥄!＀＀ ＀＀	＀＀_x0008_＀＀_x0001_＀＀_x0001_＀＀_x0001_＀＀갭᜛䀫찀˚伨C䍑䵏䙞彅卅䥔䅍䕔✨䅓䕌❓✬䕍乁Ⱗ䌧䱁❁✬〲〱ⰧⰰⰬⰧ啃剒久奃唽䑓✬착!＀＀ ＀＀	＀＀_x0008_＀＀_x0001_＀＀_x0001_＀＀_x0001_＀＀鞍ቮ歓䃇찀˦伨J呓ⵍ剆䙞彅卅䥔䅍䕔✨啃呓䵏䕟卐Ⱗ䴧䅅❎✬䅃䅌Ⱗ㈧㄰✳〬Ⱜ✬䌬剕䕒䍎㵙单ⱄ⤧!＀＀ ＀＀	＀＀_x0008_＀＀_x0001_＀＀_x0001_＀＀_x0001_＀＀豀碵꼝쐕찀˔伨B义䍔䙞彅卅䥔䅍䕔✨扥瑩Ⱗ䴧䅅❎✬䅃䅌Ⱗ㈧㄰✰〬Ⱜ✬䌬剕䕒䍎㵙单ⱄ⤧!＀＀ ＀＀	＀＀_x0008_＀＀_x0001_＀＀_x0001_＀＀_x0001_＀＀鞍ቮ_xD9E3_䃎찀ˑ伨B剁䡍䙞彅卅䥔䅍䕔✨扥瑩Ⱗ䴧䅅❎✬䅃䅌Ⱗ㈧〰✷〬Ⱜ✬䌬剕䕒䍎㵙单ⱄ⤧!＀＀ ＀＀	＀＀_x0008_＀＀_x0001_＀＀_x0001_＀＀_x0001_＀＀壢뜗壑䁡찀ˠ伨H䍑䵏䙞彅卅䥔䅍䕔✨啃呓䵏䕟卐Ⱗ䴧䅅❎✬䅃䅌Ⱗ㈧〰✶〬Ⱜ✬䌬剕䕒䍎㵙单ⱄ⤧!＀＀ ＀＀	＀＀_x0008_＀＀_x0001_＀＀_x0001_＀＀_x0001_＀＀饰旓넱㿸찀˝伨C䍑䵏䙞彅卅䥔䅍䕔✨䅃䕐❘✬䕍乁Ⱗ䌧䱁❁✬〲〱ⰧⰰⰬⰧ啃剒久奃唽䑓✬착!＀＀ ＀＀	＀＀_x0008_＀＀_x0001_＀＀_x0001_＀＀_x0001_＀＀폄攫_xFFFF_９䁼찀˦伨E呓ⵍ剆䙞彅卅䥔䅍䕔✨偅䉓❇✬䕍乁Ⱗ䌧䱁❁✬〲㈱ⰧⰰⰬⰧ啃剒久奃唽䑓✬착!＀＀ ＀＀	＀＀_x0008_＀＀_x0001_＀＀_x0001_＀＀_x0001_＀＀ꏻ徹Տ㿐찀ˠ伨A䍑䵏䙞彅卅䥔䅍䕔✨偄❓✬䕍乁Ⱗ䌧䱁❁✬〲ㄱⰧⰰⰬⰧ啃剒久奃唽䑓✬착!＀＀ ＀＀	＀＀_x0008_＀＀_x0001_＀＀_x0001_＀＀_x0001_＀＀浩_xDB1A_腫㿪찀ˑ伨A剁䡍䙞彅卅䥔䅍䕔✨䍆❆✬䕍乁Ⱗ䌧䱁❁✬〲㘰ⰧⰰⰬⰧ啃剒久奃唽䑓✬착!＀＀ ＀＀	＀＀_x0008_＀＀_x0001_＀＀_x0001_＀＀_x0001_＀＀슐⣵赜䁠찀ˤ伨@䑁幉䕆䕟呓䵉呁⡅䘧䙃Ⱗ䴧䅅❎✬䅃䅌Ⱗ㈧〰✷〬Ⱜ✬䌬剕䕒䍎㵙单ⱄ⤧!＀＀ ＀＀	＀＀_x0008_＀＀_x0001_＀＀_x0001_＀＀_x0001_＀＀ᚇ컙⿷䂅찀˞伨A䍑䵏䙞彅卅䥔䅍䕔✨䍆❆✬䕍乁Ⱗ䌧䱁❁✬〲㠰ⰧⰰⰬⰧ啃剒久奃唽䑓✬착!＀＀ ＀＀	＀＀_x0008_＀＀_x0001_＀＀_x0001_＀＀_x0001_＀＀㌴㌳砳䂧찀ˣ伨D呓ⵍ剆䙞彅卅䥔䅍䕔✨扥瑩Ⱗ䴧䅅❎✬䅃䅌Ⱗ㈧㄰✰〬Ⱜ✬䌬剕䕒䍎㵙单ⱄ⤧!＀＀ ＀＀	＀＀_x0008_＀＀_x0001_＀＀_x0001_＀＀_x0001_＀＀摚_xDF3B_䧏䂁찀ˢ伨F䑁幉䕆䕟呓䵉呁⡅䤧䍎䝟佒卓Ⱗ䴧䅅❎✬䅃䅌Ⱗ㈧㄰✲〬Ⱜ✬䌬剕䕒䍎㵙单ⱄ⤧!＀＀ ＀＀	＀＀_x0008_＀＀_x0001_＀＀_x0001_＀＀_x0001_＀＀竡긔_xDDC7_䂜찀ˊ伨_x0013_塍幌䝆偟䥒䕃㐨㔰㐴착!＀＀ ＀＀	＀＀_x0008_＀＀_x0001_＀＀_x0001_＀＀_x0001_＀＀롑蔞䀥찀ˡ伨E呓ⵍ剆䙞彅卅䥔䅍䕔✨䅓䕌❓✬䕍乁Ⱗ䌧䱁❁✬〲㈱ⰧⰰⰬⰧ啃剒久奃唽䑓✬착!＀＀ ＀＀	＀＀_x0008_＀＀_x0001_＀＀_x0001_＀＀_x0001_＀＀욧䤫䃂찀ˠ伨_x001A_剁䡍䙞彇剐䍉⡅〴㌹ⰹⰬ单⥄!＀＀ ＀＀	＀＀_x0008_＀＀_x0001_＀＀_x0001_＀＀_x0001_＀＀＀＀＀＀쀀䀽찀˗伨C义䍔䙞彅卅䥔䅍䕔✨偅䉓❇✬䕍乁Ⱗ䌧䱁❁✬〲㜰ⰧⰰⰬⰧ啃剒久奃唽䑓✬착!＀＀ ＀＀	＀＀_x0008_＀＀_x0001_＀＀_x0001_＀＀_x0001_＀＀豀碵꼝쐕찀ˢ伨A䑁幉䕆䕟呓䵉呁⡅攧楢❴✬䕍乁Ⱗ䌧䱁❁✬〲㈱ⰧⰰⰬⰧ啃剒久奃唽䑓✬착!＀＀ ＀＀	＀＀_x0008_＀＀_x0001_＀＀_x0001_＀＀_x0001_＀＀鍵Иⷖ䂍찀˛伨B噎䅄䙞彅卅䥔䅍䕔✨扥瑩Ⱗ䴧䅅❎✬䅃䅌Ⱗ㈧〰✸〬Ⱜ✬䌬剕䕒䍎㵙单ⱄ⤧!＀＀ ＀＀	＀＀_x0008_＀＀_x0001_＀＀_x0001_＀＀_x0001_＀＀錋悩䁫찀˦伨J呓ⵍ剆䙞彅卅䥔䅍䕔✨啃呓䵏䕟卐Ⱗ䴧䅅❎✬䅃䅌Ⱗ㈧㄰✰〬Ⱜ✬䌬剕䕒䍎㵙单ⱄ⤧!＀＀ ＀＀	＀＀_x0008_＀＀_x0001_＀＀_x0001_＀＀_x0001_＀＀豀碵꼝쐕찀˥伨B䑁幉䕆䕟呓䵉呁⡅䔧卐䝂Ⱗ䴧䅅❎✬䅃䅌Ⱗ㈧㄰✱〬Ⱜ✬䌬剕䕒䍎㵙单ⱄ⤧!＀＀ ＀＀	＀＀_x0008_＀＀_x0001_＀＀_x0001_＀＀_x0001_＀＀㆐⵷ἡ䀆찀ˤ伨E呓ⵍ剆䙞彅卅䥔䅍䕔✨䅃䕐❘✬䕍乁Ⱗ䌧䱁❁✬〲㈱ⰧⰰⰬⰧ啃剒久奃唽䑓✬착!＀＀ ＀＀	＀＀_x0008_＀＀_x0001_＀＀_x0001_＀＀_x0001_＀＀鄀ﭾ∺䂉찀˒伨C义䍔䙞彅卅䥔䅍䕔✨䅓䕌❓✬䕍乁Ⱗ䌧䱁❁✬〲㜰ⰧⰰⰬⰧ啃剒久奃唽䑓✬착!＀＀ ＀＀	＀＀_x0008_＀＀_x0001_＀＀_x0001_＀＀_x0001_＀＀＀＀＀＀럀䃢찀ˡ伨B䑁幉䕆䕟呓䵉呁⡅匧䱁卅Ⱗ䴧䅅❎✬䅃䅌Ⱗ㈧〰✷〬Ⱜ✬䌬剕䕒䍎㵙单ⱄ⤧!＀＀ ＀＀	＀＀_x0008_＀＀_x0001_＀＀_x0001_＀＀_x0001_＀＀䦺Ȍ䂣찀˚伨C䍑䵏䙞彅卅䥔䅍䕔✨䅓䕌❓✬䕍乁Ⱗ䌧䱁❁✬〲㌱ⰧⰰⰬⰧ啃剒久奃唽䑓✬착!＀＀ ＀＀	＀＀_x0008_＀＀_x0001_＀＀_x0001_＀＀_x0001_＀＀Ẹ핑䃔찀ˠ伨_x001D_噎䅄偞灟楲散江睯㕟眲〨Ⱜ唬䑓착!＀＀ ＀＀	＀＀_x0008_＀＀_x0001_＀＀_x0001_＀＀_x0001_＀＀㵱휊䀦찀ˑ伨H剁䡍䙞彅卅䥔䅍䕔✨啃呓䵏䕟卐Ⱗ䴧䅅❎✬䅃䅌Ⱗ㈧〰✷〬Ⱜ✬䌬剕䕒䍎㵙单ⱄ⤧!＀＀ ＀＀	＀＀_x0008_＀＀_x0001_＀＀_x0001_＀＀_x0001_＀＀豀碵꼝쐕찀˔伨B义䍔䙞彅卅䥔䅍䕔✨扥瑩Ⱗ䴧䅅❎✬䅃䅌Ⱗ㈧㄰✳〬Ⱜ✬䌬剕䕒䍎㵙单ⱄ⤧!＀＀ ＀＀	＀＀_x0008_＀＀_x0001_＀＀_x0001_＀＀_x0001_＀＀蔟凫跸䃒찀˔伨K㐲㐵吭䥁䙞彅卅䥔䅍䕔✨义彃則协❓✬䕍乁Ⱗ䌧䱁❁✬〲ㄱⰧⰰⰬⰧ啃剒久奃唽䑓✬착!＀＀ ＀＀	＀＀_x0008_＀＀_x0001_＀＀_x0001_＀＀_x0001_＀＀ਾꏗ幰䂔찀ˠ伨H䍑䵏䙞彅卅䥔䅍䕔✨啃呓䵏䕟卐Ⱗ䴧䅅❎✬䅃䅌Ⱗ㈧〰✹〬Ⱜ✬䌬剕䕒䍎㵙单ⱄ⤧!＀＀ ＀＀	＀＀_x0008_＀＀_x0001_＀＀_x0001_＀＀_x0001_＀＀鄲泒䜞㿵찀˕伨C义䍔䙞彅卅䥔䅍䕔✨䅃䕐❘✬䕍乁Ⱗ䌧䱁❁✬〲㜰ⰧⰰⰬⰧ啃剒久奃唽䑓✬착!＀＀ ＀＀	＀＀_x0008_＀＀_x0001_＀＀_x0001_＀＀_x0001_＀＀＀＀＀＀蠀䂳찀ˑ伨B剁䡍䙞彅卅䥔䅍䕔✨扥瑩Ⱗ䴧䅅❎✬䅃䅌Ⱗ㈧㄰✴〬Ⱜ✬䌬剕䕒䍎㵙单ⱄ⤧!＀＀ ＀＀	＀＀_x0008_＀＀_x0001_＀＀_x0001_＀＀_x0001_＀＀㧁䨣毻䂂찀ˣ伨B䑁幉䕆䕟呓䵉呁⡅䌧偁塅Ⱗ䴧䅅❎✬䅃䅌Ⱗ㈧〰✷〬Ⱜ✬䌬剕䕒䍎㵙单ⱄ⤧!＀＀ ＀＀	＀＀_x0008_＀＀_x0001_＀＀_x0001_＀＀_x0001_＀＀攬_xFFFF_ｘ䁡찀ˢ伨I呓ⵍ剆䙞彅卅䥔䅍䕔✨义彃則协❓✬䕍乁Ⱗ䌧䱁❁✬〲ㄱⰧⰰⰬⰧ啃剒久奃唽䑓✬착!＀＀ ＀＀	＀＀_x0008_＀＀_x0001_＀＀_x0001_＀＀_x0001_＀＀㌴㌳䂫찀˝伨C䍑䵏䙞彅卅䥔䅍䕔✨䅃䕐❘✬䕍乁Ⱗ䌧䱁❁✬〲㌱ⰧⰰⰬⰧ啃剒久奃唽䑓✬착!＀＀ ＀＀	＀＀_x0008_＀＀_x0001_＀＀_x0001_＀＀_x0001_＀＀ሆ㼔䂊찀˘伨H义䍔䙞彅卅䥔䅍䕔✨啃呓䵏䕟卐Ⱗ䴧䅅❎✬䅃䅌Ⱗ㈧㄰✱〬Ⱜ✬䌬剕䕒䍎㵙单ⱄ⤧!＀＀ ＀＀	＀＀_x0008_＀＀_x0001_＀＀_x0001_＀＀_x0001_＀＀ਾꏗ㵰䀄찀˕伨F㐲㐵吭䥁䙞彅卅䥔䅍䕔✨扥瑩Ⱗ䴧䅅❎✬䅃䅌Ⱗ㈧〰✷〬Ⱜ✬䌬剕䕒䍎㵙单ⱄ⤧!＀＀ ＀＀	＀＀_x0008_＀＀_x0001_＀＀_x0001_＀＀_x0001_＀＀凬Ẹ붅䂎찀ˑ伨A剁䡍䙞彅卅䥔䅍䕔✨䍆❆✬䕍乁Ⱗ䌧䱁❁✬〲㤰ⰧⰰⰬⰧ啃剒久奃唽䑓✬착!＀＀ ＀＀	＀＀_x0008_＀＀_x0001_＀＀_x0001_＀＀_x0001_＀＀㲟퐬沚䁠찀ˑ伨!㐲㐵吭䥁䙞彆䅃䡓卟⡔呑ⱒⰰⰬ唬䑓착ĉ＀＀ ＀＀ñ＀＀_x0008_＀＀_x0001_＀＀_x0001_＀＀_x0001_＀＀뀐_xDC04_詧䂣摦畳㩰⼯楄敲瑣潩獮䘯捡却瑥䄠摵瑩湩⁧楖睥牥愿瑣潩㵮啁䥄彔䅖啌♅䉄ㄽ㤲䤦ㅄ㘽㜳㐲☸䅖啌䥅㵄㈰〰☱䑓呁㵅〲ㄱ㌰倦剅佉呄偙㵅呑归呓♄䍓呆㌽眦湩潤㵷潰異彰潮扟牡眦摩桴㌽㔸栦楥桧㵴㈱☰呓剁彔䅍䥘䥍䕚㵄䅆卌♅牣慥潴㵲慦瑣敳♴楤灳慬役瑳楲杮䄽摵瑩찀ˊ伨_x0014_偉䥈䙞彇剐䍉⡅〴㐵⤴!＀＀ ＀＀	＀＀_x0008_＀＀_x0001_＀＀_x0001_＀＀_x0001_＀＀ꏗ㵰ᜊ䀴찀ˠ伨_x001D_义䍔偞灟楲散江睯㕟眲〨Ⱜ唬䑓착!＀＀ ＀＀	＀＀_x0008_＀＀_x0001_＀＀_x0001_＀＀_x0001_＀＀尩슏⣵䀳찀ˠ伨_x001A_前䱖䙞彇剐䍉⡅〴㐵ⰴⰬ单⥄!＀＀ ＀＀	＀＀_x0008_＀＀_x0001_＀＀_x0001_＀＀_x0001_＀＀쳍쳌賌䀲찀˥伨B䑁幉䕆䕟呓䵉呁⡅䔧卐䝂Ⱗ䴧䅅❎✬䅃䅌Ⱗ㈧㄰✴〬Ⱜ✬䌬剕䕒䍎㵙单ⱄ⤧!＀＀ ＀＀	＀＀_x0008_＀＀_x0001_＀＀_x0001_＀＀_x0001_＀＀豀碵꼝쐕찀ˑ伨B剁䡍䙞彅卅䥔䅍䕔✨扥瑩Ⱗ䴧䅅❎✬䅃䅌Ⱗ㈧㄰✱〬Ⱜ✬䌬剕䕒䍎㵙单ⱄ⤧!＀＀ ＀＀	＀＀_x0008_＀＀_x0001_＀＀_x0001_＀＀_x0001_＀＀쬪윐羺䁲찀˔伨K㐲㐵吭䥁䙞彅卅䥔䅍䕔✨义彃則协❓✬䕍乁Ⱗ䌧䱁❁✬〲㐱ⰧⰰⰬⰧ啃剒久奃唽䑓✬착!＀＀ ＀＀	＀＀_x0008_＀＀_x0001_＀＀_x0001_＀＀_x0001_＀＀ꗣ쒛ﰠ䂚찀˚伨G䍑䵏䙞彅卅䥔䅍䕔✨义彃則协❓✬䕍乁Ⱗ䌧䱁❁✬〲㜰ⰧⰰⰬⰧ啃剒久奃唽䑓✬착!＀＀ ＀＀	＀＀_x0008_＀＀_x0001_＀＀_x0001_＀＀_x0001_＀＀탦_xDB22_ཙ䂺찀ˑ伨G剁䡍䙞彅卅䥔䅍䕔✨义彃則协❓✬䕍乁Ⱗ䌧䱁❁✬〲㜰ⰧⰰⰬⰧ啃剒久奃唽䑓✬착!＀＀ ＀＀	＀＀_x0008_＀＀_x0001_＀＀_x0001_＀＀_x0001_＀＀䷒퉢䁼찀ˢ伨I呓ⵍ剆䙞彅卅䥔䅍䕔✨义彃則协❓✬䕍乁Ⱗ䌧䱁❁✬〲㐱ⰧⰰⰬⰧ啃剒久奃唽䑓✬착!＀＀ ＀＀	＀＀_x0008_＀＀_x0001_＀＀_x0001_＀＀_x0001_＀＀豀碵꼝쐕찀˦伨G䑁幉䕆䕟呓䵉呁⡅䌧单佔彍偅❓✬䕍乁Ⱗ䌧䱁❁✬〲㜰ⰧⰰⰬⰧ啃剒久奃唽䑓✬착!＀＀ ＀＀	＀＀_x0008_＀＀_x0001_＀＀_x0001_＀＀_x0001_＀＀遵菗煉㿸찀˝伨B䍑䵏䙞彅卅䥔䅍䕔✨扥瑩Ⱗ䴧䅅❎✬䅃䅌Ⱗ㈧㄰✲〬Ⱜ✬䌬剕䕒䍎㵙单ⱄ⤧!＀＀ ＀＀	＀＀_x0008_＀＀_x0001_＀＀_x0001_＀＀_x0001_＀＀扎堐䂻찀ˑ伨A剁䡍䙞彅卅䥔䅍䕔✨䍆❆✬䕍乁Ⱗ䌧䱁❁✬〲〱ⰧⰰⰬⰧ啃剒久奃唽䑓✬착!＀＀ ＀＀	＀＀_x0008_＀＀_x0001_＀＀_x0001_＀＀_x0001_＀＀ધ╆≵䁫찀ˤ伨@䑁幉䕆䕟呓䵉呁⡅䘧䙃Ⱗ䴧䅅❎✬䅃䅌Ⱗ㈧㄰✱〬Ⱜ✬䌬剕䕒䍎㵙单ⱄ⤧!＀＀ ＀＀	＀＀_x0008_＀＀_x0001_＀＀_x0001_＀＀_x0001_＀＀凬Ẹ皅䂈찀ˣ伨B䑁幉䕆䕟呓䵉呁⡅䌧偁塅Ⱗ䴧䅅❎✬䅃䅌Ⱗ㈧㄰✴〬Ⱜ✬䌬剕䕒䍎㵙单ⱄ⤧!＀＀ ＀＀	＀＀_x0008_＀＀_x0001_＀＀_x0001_＀＀_x0001_＀＀豀碵꼝쐕찀ˠ伨_x0017_䱘塎偞灟楲散江睯㕟眲〨착!＀＀ ＀＀	＀＀_x0008_＀＀_x0001_＀＀_x0001_＀＀_x0001_＀＀쳍쳌賌䀺찀˘伨H义䍔䙞彅卅䥔䅍䕔✨啃呓䵏䕟卐Ⱗ䴧䅅❎✬䅃䅌Ⱗ㈧㄰✴〬Ⱜ✬䌬剕䕒䍎㵙单ⱄ⤧!＀＀ ＀＀	＀＀_x0008_＀＀_x0001_＀＀_x0001_＀＀_x0001_＀＀＀＀＀＀＀＀䀂찀˗伨C义䍔䙞彅卅䥔䅍䕔✨偅䉓❇✬䕍乁Ⱗ䌧䱁❁✬〲ㄱⰧⰰⰬⰧ啃剒久奃唽䑓✬착!＀＀ ＀＀	＀＀_x0008_＀＀_x0001_＀＀_x0001_＀＀_x0001_＀＀睱滖邻䀅찀˜伨B噎䅄䙞彅卅䥔䅍䕔✨扥瑩Ⱗ䴧䅅❎✬䅃䅌Ⱗ㈧㄰✲〬Ⱜ✬䌬剕䕒䍎㵙单ⱄ⤧!＀＀ ＀＀	＀＀_x0008_＀＀_x0001_＀＀_x0001_＀＀_x0001_＀＀嘄ⴎ₲䂆찀ˠ伨_x001F_呓ⵍ剆䙞彆䅃䡓卟⡔呑ⱒⰰⰬ唬䑓착ĉ＀＀ ＀＀ñ＀＀_x0008_＀＀_x0001_＀＀_x0001_＀＀_x0001_＀＀㫢ﶲ⿿䂢摦畳㩰⼯楄敲瑣潩獮䘯捡却瑥䄠摵瑩湩⁧楖睥牥愿瑣潩㵮啁䥄彔䅖啌♅䉄ㄽ㤲䤦ㅄ㔽㘹㌲☳䅖啌䥅㵄㈰〰☱䑓呁㵅〲ㄱ㐰倦剅佉呄偙㵅呑归呓♄䍓呆㌽眦湩潤㵷潰異彰潮扟牡眦摩桴㌽㔸栦楥桧㵴㈱☰呓剁彔䅍䥘䥍䕚㵄䅆卌♅牣慥潴㵲慦瑣敳♴楤灳慬役瑳楲杮䄽摵瑩찀ˡ伨B䑁幉䕆䕟呓䵉呁⡅匧䱁卅Ⱗ䴧䅅❎✬䅃䅌Ⱗ㈧㄰✱〬Ⱜ✬䌬剕䕒䍎㵙单ⱄ⤧!＀＀ ＀＀	＀＀_x0008_＀＀_x0001_＀＀_x0001_＀＀_x0001_＀＀桳ᾼ䂧찀ˑ伨H剁䡍䙞彅卅䥔䅍䕔✨啃呓䵏䕟卐Ⱗ䴧䅅❎✬䅃䅌Ⱗ㈧㄰✱〬Ⱜ✬䌬剕䕒䍎㵙单ⱄ⤧!＀＀ ＀＀	＀＀_x0008_＀＀_x0001_＀＀_x0001_＀＀_x0001_＀＀豀碵꼝쐕찀ˊ伨_x0018_偉䥈偞灟楲散桟杩彨㈵⡷⤰!＀＀ ＀＀	＀＀_x0008_＀＀_x0001_＀＀_x0001_＀＀_x0001_＀＀㌴㌳㌳䀻찀ˠ伨_x001A_䍑䵏䙞彇剐䍉⡅〴㌹ⰹⰬ单⥄!＀＀ ＀＀	＀＀_x0008_＀＀_x0001_＀＀_x0001_＀＀_x0001_＀＀尨芏䁍찀ˠ伨H䍑䵏䙞彅卅䥔䅍䕔✨啃呓䵏䕟卐Ⱗ䴧䅅❎✬䅃䅌Ⱗ㈧㄰✳〬Ⱜ✬䌬剕䕒䍎㵙单ⱄ⤧!＀＀ ＀＀	＀＀_x0008_＀＀_x0001_＀＀_x0001_＀＀_x0001_＀＀蘷鏘䀎찀ˣ伨B䑁幉䕆䕟呓䵉呁⡅䌧偁塅Ⱗ䴧䅅❎✬䅃䅌Ⱗ㈧㄰✱〬Ⱜ✬䌬剕䕒䍎㵙单ⱄ⤧!＀＀ ＀＀	＀＀_x0008_＀＀_x0001_＀＀_x0001_＀＀_x0001_＀＀➧₀䁟찀˕伨F㐲㐵吭䥁䙞彅卅䥔䅍䕔✨扥瑩Ⱗ䴧䅅❎✬䅃䅌Ⱗ㈧㄰✱〬Ⱜ✬䌬剕䕒䍎㵙单ⱄ⤧!＀＀ ＀＀	＀＀_x0008_＀＀_x0001_＀＀_x0001_＀＀_x0001_＀＀㖩㯍͎䁻찀ˑ伨G剁䡍䙞彅卅䥔䅍䕔✨义彃則协❓✬䕍乁Ⱗ䌧䱁❁✬〲㐱ⰧⰰⰬⰧ啃剒久奃唽䑓✬착!＀＀ ＀＀	＀＀_x0008_＀＀_x0001_＀＀_x0001_＀＀_x0001_＀＀閁譃쵬䂑찀˘伨L㐲㐵吭䥁䙞彅卅䥔䅍䕔✨啃呓䵏䕟卐Ⱗ䴧䅅❎✬䅃䅌Ⱗ㈧〰✷〬Ⱜ✬䌬剕䕒䍎㵙单ⱄ⤧!＀＀ ＀＀	＀＀_x0008_＀＀_x0001_＀＀_x0001_＀＀_x0001_＀＀豀碵꼝쐕찀ˑ伨A剁䡍䙞彅卅䥔䅍䕔✨䍆❆✬䕍乁Ⱗ䌧䱁❁✬〲㌱ⰧⰰⰬⰧ啃剒久奃唽䑓✬착!＀＀ ＀＀	＀＀_x0008_＀＀_x0001_＀＀_x0001_＀＀_x0001_＀＀ꈴ㞴맸䁵찀ˤ伨@䑁幉䕆䕟呓䵉呁⡅䘧䙃Ⱗ䴧䅅❎✬䅃䅌Ⱗ㈧㄰✴〬Ⱜ✬䌬剕䕒䍎㵙单ⱄ⤧!＀＀ ＀＀	＀＀_x0008_＀＀_x0001_＀＀_x0001_＀＀_x0001_＀＀豀碵꼝쐕찀˦伨G䑁幉䕆䕟呓䵉呁⡅䌧单佔彍偅❓✬䕍乁Ⱗ䌧䱁❁✬〲㐱ⰧⰰⰬⰧ啃剒久奃唽䑓✬착!＀＀ ＀＀	＀＀_x0008_＀＀_x0001_＀＀_x0001_＀＀_x0001_＀＀豀碵꼝쐕찀˚伨G噎䅄䙞彅卅䥔䅍䕔✨义彃則协❓✬䕍乁Ⱗ䌧䱁❁✬〲㠰ⰧⰰⰬⰧ啃剒久奃唽䑓✬착!＀＀ ＀＀	＀＀_x0008_＀＀_x0001_＀＀_x0001_＀＀_x0001_＀＀䖢䥽䂓찀˥伨C呓ⵍ剆䙞彅卅䥔䅍䕔✨䍆❆✬䕍乁Ⱗ䌧䱁❁✬〲㜰ⰧⰰⰬⰧ啃剒久奃唽䑓✬착!＀＀ ＀＀	＀＀_x0008_＀＀_x0001_＀＀_x0001_＀＀_x0001_＀＀轜芨䂄찀˗伨C义䍔䙞彅卅䥔䅍䕔✨偅䉓❇✬䕍乁Ⱗ䌧䱁❁✬〲㐱ⰧⰰⰬⰧ啃剒久奃唽䑓✬착!＀＀ ＀＀	＀＀_x0008_＀＀_x0001_＀＀_x0001_＀＀_x0001_＀＀蔟凫Ẹ䀃찀˞伨C噎䅄䙞彅卅䥔䅍䕔✨偅䉓❇✬䕍乁Ⱗ䌧䱁❁✬〲㠰ⰧⰰⰬⰧ啃剒久奃唽䑓✬착!＀＀ ＀＀	＀＀_x0008_＀＀_x0001_＀＀_x0001_＀＀_x0001_＀＀쮨ᮽ썦㿣찀ˠ伨H䍑䵏䙞彅卅䥔䅍䕔✨啃呓䵏䕟卐Ⱗ䴧䅅❎✬䅃䅌Ⱗ㈧㄰✰〬Ⱜ✬䌬剕䕒䍎㵙单ⱄ⤧!＀＀ ＀＀	＀＀_x0008_＀＀_x0001_＀＀_x0001_＀＀_x0001_＀＀섁㴜콾䀂찀˙伨E㐲㐵吭䥁䙞彅卅䥔䅍䕔✨偄❓✬䕍乁Ⱗ䌧䱁❁✬〲ㄱⰧⰰⰬⰧ啃剒久奃唽䑓✬착!＀＀ ＀＀	＀＀_x0008_＀＀_x0001_＀＀_x0001_＀＀_x0001_＀＀贚ៗ♤㿞찀˗伨G㐲㐵吭䥁䙞彅卅䥔䅍䕔✨偅䉓❇✬䕍乁Ⱗ䌧䱁❁✬〲㤰ⰧⰰⰬⰧ啃剒久奃唽䑓✬착!＀＀ ＀＀	＀＀_x0008_＀＀_x0001_＀＀_x0001_＀＀_x0001_＀＀尵黤㿰찀˒伨C义䍔䙞彅卅䥔䅍䕔✨䅓䕌❓✬䕍乁Ⱗ䌧䱁❁✬〲㐱ⰧⰰⰬⰧ啃剒久奃唽䑓✬착!＀＀ ＀＀	＀＀_x0008_＀＀_x0001_＀＀_x0001_＀＀_x0001_＀＀ẹ贱䃯찀ˑ伨H剁䡍䙞彅卅䥔䅍䕔✨啃呓䵏䕟卐Ⱗ䴧䅅❎✬䅃䅌Ⱗ㈧㄰✴〬Ⱜ✬䌬剕䕒䍎㵙单ⱄ⤧!＀＀ ＀＀	＀＀_x0008_＀＀_x0001_＀＀_x0001_＀＀_x0001_＀＀豀碵꼝쐕찀˙伨C噎䅄䙞彅卅䥔䅍䕔✨䅓䕌❓✬䕍乁Ⱗ䌧䱁❁✬〲㠰ⰧⰰⰬⰧ啃剒久奃唽䑓✬착!＀＀ ＀＀	＀＀_x0008_＀＀_x0001_＀＀_x0001_＀＀_x0001_＀＀司ꗣ㖛䂫찀˚伨G䍑䵏䙞彅卅䥔䅍䕔✨义彃則协❓✬䕍乁Ⱗ䌧䱁❁✬〲ㄱⰧⰰⰬⰧ啃剒久奃唽䑓✬착!＀＀ ＀＀	＀＀_x0008_＀＀_x0001_＀＀_x0001_＀＀_x0001_＀＀鶲꟯렆䃄찀ˑ伨G剁䡍䙞彅卅䥔䅍䕔✨义彃則协❓✬䕍乁Ⱗ䌧䱁❁✬〲ㄱⰧⰰⰬⰧ啃剒久奃唽䑓✬착!＀＀ ＀＀	＀＀_x0008_＀＀_x0001_＀＀_x0001_＀＀_x0001_＀＀쮓䡿㖿䂆찀˕伨C义䍔䙞彅卅䥔䅍䕔✨䅃䕐❘✬䕍乁Ⱗ䌧䱁❁✬〲㐱ⰧⰰⰬⰧ啃剒久奃唽䑓✬착!＀＀ ＀＀	＀＀_x0008_＀＀_x0001_＀＀_x0001_＀＀_x0001_＀＀ਾꏗ쏐䃁찀˞伨A䍑䵏䙞彅卅䥔䅍䕔✨䍆❆✬䕍乁Ⱗ䌧䱁❁✬〲㈱ⰧⰰⰬⰧ啃剒久奃唽䑓✬착!＀＀ ＀＀	＀＀_x0008_＀＀_x0001_＀＀_x0001_＀＀_x0001_＀＀鮦⃄閐䂸찀˦伨G䑁幉䕆䕟呓䵉呁⡅䌧单佔彍偅❓✬䕍乁Ⱗ䌧䱁❁✬〲ㄱⰧⰰⰬⰧ啃剒久奃唽䑓✬착!＀＀ ＀＀	＀＀_x0008_＀＀_x0001_＀＀_x0001_＀＀_x0001_＀＀腢⯖䀅찀ˠ伨_x001C_䑁幉彐牰捩彥潬彷㈵⡷ⰰⰬ单⥄!＀＀ ＀＀	＀＀_x0008_＀＀_x0001_＀＀_x0001_＀＀_x0001_＀＀ᑻ䞮㫡䀽찀˝伨C噎䅄䙞彅卅䥔䅍䕔✨䅃䕐❘✬䕍乁Ⱗ䌧䱁❁✬〲㠰ⰧⰰⰬⰧ啃剒久奃唽䑓✬착!＀＀ ＀＀	＀＀_x0008_＀＀_x0001_＀＀_x0001_＀＀_x0001_＀＀楅墅䁷찀˕伨F㐲㐵吭䥁䙞彅卅䥔䅍䕔✨扥瑩Ⱗ䴧䅅❎✬䅃䅌Ⱗ㈧㄰✴〬Ⱜ✬䌬剕䕒䍎㵙单ⱄ⤧!＀＀ ＀＀	＀＀_x0008_＀＀_x0001_＀＀_x0001_＀＀_x0001_＀＀돑焹䂂찀ˠ伨_x001E_㐲㐵吭䥁䙞彇剐䍉⡅〴㐵ⰴⰬ单⥄!＀＀ ＀＀	＀＀_x0008_＀＀_x0001_＀＀_x0001_＀＀_x0001_＀＀ꨢ柰ꍸ䀬찀˗伨G㐲㐵吭䥁䙞彅卅䥔䅍䕔✨偅䉓❇✬䕍乁Ⱗ䌧䱁❁✬〲㘰ⰧⰰⰬⰧ啃剒久奃唽䑓✬착!＀＀ ＀＀	＀＀_x0008_＀＀_x0001_＀＀_x0001_＀＀_x0001_＀＀ᆈꏂ⎍㿤찀˔伨G义䍔䙞彅卅䥔䅍䕔✨义彃則协❓✬䕍乁Ⱗ䌧䱁❁✬〲㤰ⰧⰰⰬⰧ啃剒久奃唽䑓✬착!＀＀ ＀＀	＀＀_x0008_＀＀_x0001_＀＀_x0001_＀＀_x0001_＀＀＀＀＀＀ᩀ䃓찀˒伨C义䍔䙞彅卅䥔䅍䕔✨䅓䕌❓✬䕍乁Ⱗ䌧䱁❁✬〲ㄱⰧⰰⰬⰧ啃剒久奃唽䑓✬착!＀＀ ＀＀	＀＀_x0008_＀＀_x0001_＀＀_x0001_＀＀_x0001_＀＀＀＀＀＀巠䃪찀˟伨H噎䅄䙞彅卅䥔䅍䕔✨啃呓䵏䕟卐Ⱗ䴧䅅❎✬䅃䅌Ⱗ㈧〰✶〬Ⱜ✬䌬剕䕒䍎㵙单ⱄ⤧!＀＀ ＀＀	＀＀_x0008_＀＀_x0001_＀＀_x0001_＀＀_x0001_＀＀豀碵꼝쐕찀˓伨G㐲㐵吭䥁䙞彅卅䥔䅍䕔✨䅓䕌❓✬䕍乁Ⱗ䌧䱁❁✬〲㘰ⰧⰰⰬⰧ啃剒久奃唽䑓✬착!＀＀ ＀＀	＀＀_x0008_＀＀_x0001_＀＀_x0001_＀＀_x0001_＀＀ꧻ_xDFF1_䂙찀˕伨C义䍔䙞彅卅䥔䅍䕔✨䅃䕐❘✬䕍乁Ⱗ䌧䱁❁✬〲ㄱⰧⰰⰬⰧ啃剒久奃唽䑓✬착!＀＀ ＀＀	＀＀_x0008_＀＀_x0001_＀＀_x0001_＀＀_x0001_＀＀褷恁𥉉䃄찀˚伨G䍑䵏䙞彅卅䥔䅍䕔✨义彃則协❓✬䕍乁Ⱗ䌧䱁❁✬〲㐱ⰧⰰⰬⰧ啃剒久奃唽䑓✬착!＀＀ ＀＀	＀＀_x0008_＀＀_x0001_＀＀_x0001_＀＀_x0001_＀＀䷓ၢᢨ䃎찀˘伨A义䍔䙞彅卅䥔䅍䕔✨偄❓✬䕍乁Ⱗ䌧䱁❁✬〲ㄱⰧⰰⰬⰧ啃剒久奃唽䑓✬착!＀＀ ＀＀	＀＀_x0008_＀＀_x0001_＀＀_x0001_＀＀_x0001_＀＀慪₻믇㿨찀ˑ伨C剁䡍䙞彅卅䥔䅍䕔✨偅䉓❇✬䕍乁Ⱗ䌧䱁❁✬〲㠰ⰧⰰⰬⰧ啃剒久奃唽䑓✬착!＀＀ ＀＀	＀＀_x0008_＀＀_x0001_＀＀_x0001_＀＀_x0001_＀＀္֒㿎찀˕伨G㐲㐵吭䥁䙞彅卅䥔䅍䕔✨䅃䕐❘✬䕍乁Ⱗ䌧䱁❁✬〲㘰ⰧⰰⰬⰧ啃剒久奃唽䑓✬착!＀＀ ＀＀	＀＀_x0008_＀＀_x0001_＀＀_x0001_＀＀_x0001_＀＀Ꝉ粮䁈찀˘伨L㐲㐵吭䥁䙞彅卅䥔䅍䕔✨啃呓䵏䕟卐Ⱗ䴧䅅❎✬䅃䅌Ⱗ㈧㄰✱〬Ⱜ✬䌬剕䕒䍎㵙单ⱄ⤧!＀＀ ＀＀	＀＀_x0008_＀＀_x0001_＀＀_x0001_＀＀_x0001_＀＀豀碵꼝쐕찀ˑ伨C剁䡍䙞彅卅䥔䅍䕔✨䅓䕌❓✬䕍乁Ⱗ䌧䱁❁✬〲㠰ⰧⰰⰬⰧ啃剒久奃唽䑓✬착!＀＀ ＀＀	＀＀_x0008_＀＀_x0001_＀＀_x0001_＀＀_x0001_＀＀낊_xDC95_䁺찀˚伨G噎䅄䙞彅卅䥔䅍䕔✨义彃則协❓✬䕍乁Ⱗ䌧䱁❁✬〲㈱ⰧⰰⰬⰧ啃剒久奃唽䑓✬착!＀＀ ＀＀	＀＀_x0008_＀＀_x0001_＀＀_x0001_＀＀_x0001_＀＀퓾ަ䂡찀˔伨G义䍔䙞彅卅䥔䅍䕔✨义彃則协❓✬䕍乁Ⱗ䌧䱁❁✬〲㘰ⰧⰰⰬⰧ啃剒久奃唽䑓✬착!＀＀ ＀＀	＀＀_x0008_＀＀_x0001_＀＀_x0001_＀＀_x0001_＀＀豀碵꼝쐕찀ˠ伨_x001A_剁䡍䙞彇剐䍉⡅〴㐵ⰴⰬ单⥄!＀＀ ＀＀	＀＀_x0008_＀＀_x0001_＀＀_x0001_＀＀_x0001_＀＀＀＀＀＀쀀䀴찀˥伨C呓ⵍ剆䙞彅卅䥔䅍䕔✨䍆❆✬䕍乁Ⱗ䌧䱁❁✬〲ㄱⰧⰰⰬⰧ啃剒久奃唽䑓✬착!＀＀ ＀＀	＀＀_x0008_＀＀_x0001_＀＀_x0001_＀＀_x0001_＀＀헐缯쁯찀ˑ伨C剁䡍䙞彅卅䥔䅍䕔✨䅃䕐❘✬䕍乁Ⱗ䌧䱁❁✬〲㠰ⰧⰰⰬⰧ啃剒久奃唽䑓✬착!＀＀ ＀＀	＀＀_x0008_＀＀_x0001_＀＀_x0001_＀＀_x0001_＀＀덫኱㳳䀭찀ˠ伨_x0017_剂䵃偞灟楲散江睯㕟眲〨착!＀＀ ＀＀	＀＀_x0008_＀＀_x0001_＀＀_x0001_＀＀_x0001_＀＀ꏗ㵰霊䀻찀˞伨A噎䅄䙞彅卅䥔䅍䕔✨䍆❆✬䕍乁Ⱗ䌧䱁❁✬〲㜰ⰧⰰⰬⰧ啃剒久奃唽䑓✬착!＀＀ ＀＀	＀＀_x0008_＀＀_x0001_＀＀_x0001_＀＀_x0001_＀＀낊ﺕ䂉찀˞伨C噎䅄䙞彅卅䥔䅍䕔✨偅䉓❇✬䕍乁Ⱗ䌧䱁❁✬〲㈱ⰧⰰⰬⰧ啃剒久奃唽䑓✬착!＀＀ ＀＀	＀＀_x0008_＀＀_x0001_＀＀_x0001_＀＀_x0001_＀＀㫄㹕㿳찀˖伨E㐲㐵吭䥁䙞彅卅䥔䅍䕔✨䍆❆✬䕍乁Ⱗ䌧䱁❁✬〲㠰ⰧⰰⰬⰧ啃剒久奃唽䑓✬착!＀＀ ＀＀	＀＀_x0008_＀＀_x0001_＀＀_x0001_＀＀_x0001_＀＀鵊⚀_xD942_䂋찀˗伨G㐲㐵吭䥁䙞彅卅䥔䅍䕔✨偅䉓❇✬䕍乁Ⱗ䌧䱁❁✬〲㌱ⰧⰰⰬⰧ啃剒久奃唽䑓✬착!＀＀ ＀＀	＀＀_x0008_＀＀_x0001_＀＀_x0001_＀＀_x0001_＀＀쑦奠쯄㿤찀˟伨H噎䅄䙞彅卅䥔䅍䕔✨啃呓䵏䕟卐Ⱗ䴧䅅❎✬䅃䅌Ⱗ㈧〰✹〬Ⱜ✬䌬剕䕒䍎㵙单ⱄ⤧!＀＀ ＀＀	＀＀_x0008_＀＀_x0001_＀＀_x0001_＀＀_x0001_＀＀贻咴軞㿐찀˓伨G㐲㐵吭䥁䙞彅卅䥔䅍䕔✨䅓䕌❓✬䕍乁Ⱗ䌧䱁❁✬〲㤰ⰧⰰⰬⰧ啃剒久奃唽䑓✬착!＀＀ ＀＀	＀＀_x0008_＀＀_x0001_＀＀_x0001_＀＀_x0001_＀＀퓾㧦䂬찀˙伨C噎䅄䙞彅卅䥔䅍䕔✨䅓䕌❓✬䕍乁Ⱗ䌧䱁❁✬〲㈱ⰧⰰⰬⰧ啃剒久奃唽䑓✬착!＀＀ ＀＀	＀＀_x0008_＀＀_x0001_＀＀_x0001_＀＀_x0001_＀＀ꇋ뙅弓䂰찀˕伨G㐲㐵吭䥁䙞彅卅䥔䅍䕔✨䅃䕐❘✬䕍乁Ⱗ䌧䱁❁✬〲㤰ⰧⰰⰬⰧ啃剒久奃唽䑓✬착!＀＀ ＀＀	＀＀_x0008_＀＀_x0001_＀＀_x0001_＀＀_x0001_＀＀괮쒆긽䁄찀˝伨C噎䅄䙞彅卅䥔䅍䕔✨䅃䕐❘✬䕍乁Ⱗ䌧䱁❁✬〲㈱ⰧⰰⰬⰧ啃剒久奃唽䑓✬착!＀＀ ＀＀	＀＀_x0008_＀＀_x0001_＀＀_x0001_＀＀_x0001_＀＀퓾뤦䁠찀ˊ伨_x0017_塍幌彐牰捩彥楨桧㕟眲〨착!＀＀ ＀＀	＀＀_x0008_＀＀_x0001_＀＀_x0001_＀＀_x0001_＀＀Ẹ㡑䀨찀˘伨L㐲㐵吭䥁䙞彅卅䥔䅍䕔✨啃呓䵏䕟卐Ⱗ䴧䅅❎✬䅃䅌Ⱗ㈧㄰✴〬Ⱜ✬䌬剕䕒䍎㵙单ⱄ⤧!＀＀ ＀＀	＀＀_x0008_＀＀_x0001_＀＀_x0001_＀＀_x0001_＀＀豀碵꼝쐕찀˦伨E呓ⵍ剆䙞彅卅䥔䅍䕔✨偅䉓❇✬䕍乁Ⱗ䌧䱁❁✬〲㜰ⰧⰰⰬⰧ啃剒久奃唽䑓✬착!＀＀ ＀＀	＀＀_x0008_＀＀_x0001_＀＀_x0001_＀＀_x0001_＀＀⌇৶ᢠ㿨찀˥伨C呓ⵍ剆䙞彅卅䥔䅍䕔✨䍆❆✬䕍乁Ⱗ䌧䱁❁✬〲㐱ⰧⰰⰬⰧ啃剒久奃唽䑓✬착!＀＀ ＀＀	＀＀_x0008_＀＀_x0001_＀＀_x0001_＀＀_x0001_＀＀_xD917_嫓䂎찀˗伨G㐲㐵吭䥁䙞彅卅䥔䅍䕔✨偅䉓❇✬䕍乁Ⱗ䌧䱁❁✬〲〱ⰧⰰⰬⰧ啃剒久奃唽䑓✬착!＀＀ ＀＀	＀＀_x0008_＀＀_x0001_＀＀_x0001_＀＀_x0001_＀＀毠䝣䨾㿯찀˔伨G义䍔䙞彅卅䥔䅍䕔✨义彃則协❓✬䕍乁Ⱗ䌧䱁❁✬〲㌱ⰧⰰⰬⰧ啃剒久奃唽䑓✬착!＀＀ ＀＀	＀＀_x0008_＀＀_x0001_＀＀_x0001_＀＀_x0001_＀＀쳍쳌됄䃢찀ˢ伨F䑁幉䕆䕟呓䵉呁⡅䤧䍎䝟佒卓Ⱗ䴧䅅❎✬䅃䅌Ⱗ㈧〰✷〬Ⱜ✬䌬剕䕒䍎㵙单ⱄ⤧!＀＀ ＀＀	＀＀_x0008_＀＀_x0001_＀＀_x0001_＀＀_x0001_＀＀绺뱪䂗찀˟伨H噎䅄䙞彅卅䥔䅍䕔✨啃呓䵏䕟卐Ⱗ䴧䅅❎✬䅃䅌Ⱗ㈧㄰✰〬Ⱜ✬䌬剕䕒䍎㵙单ⱄ⤧!＀＀ ＀＀	＀＀_x0008_＀＀_x0001_＀＀_x0001_＀＀_x0001_＀＀䋊㒅뵴㿣찀˓伨G㐲㐵吭䥁䙞彅卅䥔䅍䕔✨䅓䕌❓✬䕍乁Ⱗ䌧䱁❁✬〲〱ⰧⰰⰬⰧ啃剒久奃唽䑓✬착!＀＀ ＀＀	＀＀_x0008_＀＀_x0001_＀＀_x0001_＀＀_x0001_＀＀삃ꇊ汅䂮찀˟伨C䍑䵏䙞彅卅䥔䅍䕔✨偅䉓❇✬䕍乁Ⱗ䌧䱁❁✬〲㠰ⰧⰰⰬⰧ啃剒久奃唽䑓✬착!＀＀ ＀＀	＀＀_x0008_＀＀_x0001_＀＀_x0001_＀＀_x0001_＀＀_xDA94_梋ػ䀁찀˙伨_x001B_噎䅄晞彧敤瑢瑟瑯污〨Ⱜ唬䑓착!＀＀ ＀＀	＀＀_x0008_＀＀_x0001_＀＀_x0001_＀＀_x0001_＀＀ꧻ䀵찀ˢ伨A䑁幉䕆䕟呓䵉呁⡅攧楢❴✬䕍乁Ⱗ䌧䱁❁✬〲㜰ⰧⰰⰬⰧ啃剒久奃唽䑓✬착!＀＀ ＀＀	＀＀_x0008_＀＀_x0001_＀＀_x0001_＀＀_x0001_＀＀唳⨰枩䂂찀˖伨A义䍔䙞彅卅䥔䅍䕔✨䍆❆✬䕍乁Ⱗ䌧䱁❁✬〲㠰ⰧⰰⰬⰧ啃剒久奃唽䑓✬착!＀＀ ＀＀	＀＀_x0008_＀＀_x0001_＀＀_x0001_＀＀_x0001_＀＀㽼_xD955_䂺찀ˑ伨C剁䡍䙞彅卅䥔䅍䕔✨偅䉓❇✬䕍乁Ⱗ䌧䱁❁✬〲㈱ⰧⰰⰬⰧ啃剒久奃唽䑓✬착!＀＀ ＀＀	＀＀_x0008_＀＀_x0001_＀＀_x0001_＀＀_x0001_＀＀펥呟㿣찀˕伨G㐲㐵吭䥁䙞彅卅䥔䅍䕔✨䅃䕐❘✬䕍乁Ⱗ䌧䱁❁✬〲〱ⰧⰰⰬⰧ啃剒久奃唽䑓✬착!＀＀ ＀＀	＀＀_x0008_＀＀_x0001_＀＀_x0001_＀＀_x0001_＀＀呡❒솠䁌찀ˠ伨_x0017_䱁剔偞灟楲散江睯㕟眲〨착!＀＀ ＀＀	＀＀_x0008_＀＀_x0001_＀＀_x0001_＀＀_x0001_＀＀炤਽揗䀾찀˚伨C䍑䵏䙞彅卅䥔䅍䕔✨䅓䕌❓✬䕍乁Ⱗ䌧䱁❁✬〲㠰ⰧⰰⰬⰧ啃剒久奃唽䑓✬착!＀＀ ＀＀	＀＀_x0008_＀＀_x0001_＀＀_x0001_＀＀_x0001_＀＀ొ⬂歗䃅찀ˠ伨_x0014_剂䵃䙞彇剐䍉⡅〴㌹⤹!＀＀ ＀＀	＀＀_x0008_＀＀_x0001_＀＀_x0001_＀＀_x0001_＀＀竡긔慇䁁찀˔伨B义䍔䙞彅卅䥔䅍䕔✨扥瑩Ⱗ䴧䅅❎✬䅃䅌Ⱗ㈧〰✸〬Ⱜ✬䌬剕䕒䍎㵙单ⱄ⤧!＀＀ ＀＀	＀＀_x0008_＀＀_x0001_＀＀_x0001_＀＀_x0001_＀＀盉龾퍊䃁찀ˑ伨_x001F_㐲㐵吭䥁晞彧敤瑢瑟瑯污〨Ⱜ唬䑓착!＀＀ ＀＀	＀＀_x0008_＀＀_x0001_＀＀_x0001_＀＀_x0001_＀＀晧Ɂ䁓찀˔伨G义䍔䙞彅卅䥔䅍䕔✨义彃則协❓✬䕍乁Ⱗ䌧䱁❁✬〲〱ⰧⰰⰬⰧ啃剒久奃唽䑓✬착!＀＀ ＀＀	＀＀_x0008_＀＀_x0001_＀＀_x0001_＀＀_x0001_＀＀＀＀＀＀⏀䃜찀˝伨C䍑䵏䙞彅卅䥔䅍䕔✨䅃䕐❘✬䕍乁Ⱗ䌧䱁❁✬〲㠰ⰧⰰⰬⰧ啃剒久奃唽䑓✬착!＀＀ ＀＀	＀＀_x0008_＀＀_x0001_＀＀_x0001_＀＀_x0001_＀＀䎖沋埧䂓찀˞伨A噎䅄䙞彅卅䥔䅍䕔✨䍆❆✬䕍乁Ⱗ䌧䱁❁✬〲ㄱⰧⰰⰬⰧ啃剒久奃唽䑓✬착!＀＀ ＀＀	＀＀_x0008_＀＀_x0001_＀＀_x0001_＀＀_x0001_＀＀멞౉뒂䂂찀˖伨E㐲㐵吭䥁䙞彅卅䥔䅍䕔✨䍆❆✬䕍乁Ⱗ䌧䱁❁✬〲㈱ⰧⰰⰬⰧ啃剒久奃唽䑓✬착!＀＀ ＀＀	＀＀_x0008_＀＀_x0001_＀＀_x0001_＀＀_x0001_＀＀릍५๹䂃찀ˣ伨D呓ⵍ剆䙞彅卅䥔䅍䕔✨扥瑩Ⱗ䴧䅅❎✬䅃䅌Ⱗ㈧〰✸〬Ⱜ✬䌬剕䕒䍎㵙单ⱄ⤧!＀＀ ＀＀	＀＀_x0008_＀＀_x0001_＀＀_x0001_＀＀_x0001_＀＀陓踡扵䁰찀˟伨H噎䅄䙞彅卅䥔䅍䕔✨啃呓䵏䕟卐Ⱗ䴧䅅❎✬䅃䅌Ⱗ㈧㄰✳〬Ⱜ✬䌬剕䕒䍎㵙单ⱄ⤧!＀＀ ＀＀	＀＀_x0008_＀＀_x0001_＀＀_x0001_＀＀_x0001_＀＀鴸ꭤ㿰찀˓伨G㐲㐵吭䥁䙞彅卅䥔䅍䕔✨䅓䕌❓✬䕍乁Ⱗ䌧䱁❁✬〲㌱ⰧⰰⰬⰧ啃剒久奃唽䑓✬착!＀＀ ＀＀	＀＀_x0008_＀＀_x0001_＀＀_x0001_＀＀_x0001_＀＀ꇋ뙅即䂭찀ˠ伨_x001A_䍑䵏䙞彇剐䍉⡅〴㐵ⰴⰬ单⥄!＀＀ ＀＀	＀＀_x0008_＀＀_x0001_＀＀_x0001_＀＀_x0001_＀＀蔟凫뺸䁈찀˦伨J呓ⵍ剆䙞彅卅䥔䅍䕔✨啃呓䵏䕟卐Ⱗ䴧䅅❎✬䅃䅌Ⱗ㈧〰✸〬Ⱜ✬䌬剕䕒䍎㵙单ⱄ⤧!＀＀ ＀＀	＀＀_x0008_＀＀_x0001_＀＀_x0001_＀＀_x0001_＀＀豀碵꼝쐕찀˥伨B䑁幉䕆䕟呓䵉呁⡅䔧卐䝂Ⱗ䴧䅅❎✬䅃䅌Ⱗ㈧〰✹〬Ⱜ✬䌬剕䕒䍎㵙单ⱄ⤧!＀＀ ＀＀	＀＀_x0008_＀＀_x0001_＀＀_x0001_＀＀_x0001_＀＀좧铦㿵찀˕伨G㐲㐵吭䥁䙞彅卅䥔䅍䕔✨䅃䕐❘✬䕍乁Ⱗ䌧䱁❁✬〲㌱ⰧⰰⰬⰧ啃剒久奃唽䑓✬착!＀＀ ＀＀	＀＀_x0008_＀＀_x0001_＀＀_x0001_＀＀_x0001_＀＀頡잣䁏찀ˑ伨B剁䡍䙞彅卅䥔䅍䕔✨扥瑩Ⱗ䴧䅅❎✬䅃䅌Ⱗ㈧〰✶〬Ⱜ✬䌬剕䕒䍎㵙单ⱄ⤧!＀＀ ＀＀	＀＀_x0008_＀＀_x0001_＀＀_x0001_＀＀_x0001_＀＀뗲陧㠄䁝찀ˑ伨"义䍔䙞彆佃彍䡓当問彔偅当䥄⡌呑ⱒ⤰ċ＀＀ ＀＀ó＀＀_x0008_＀＀_x0001_＀＀_x0001_＀＀_x0001_＀＀＀＀＀＀稀䂴摦畳㩰⼯楄敲瑣潩獮䘯捡却瑥䄠摵瑩湩⁧楖睥牥愿瑣潩㵮啁䥄彔䅖啌♅䉄ㄽ㤲䤦ㅄ㐽㠵㐱㄰☰䅖啌䥅㵄㔰㤱☴䑓呁㵅〲ㄱ㐰倦剅佉呄偙㵅呑归呓♄䍓呆㌽眦湩潤㵷潰異彰潮扟牡眦摩桴㌽㔸栦楥桧㵴㈱☰呓剁彔䅍䥘䥍䕚㵄䅆卌♅牣慥潴㵲慦瑣敳♴楤灳慬役瑳楲杮䄽摵瑩찀ˢ伨I呓ⵍ剆䙞彅卅䥔䅍䕔✨义彃則协❓✬䕍乁Ⱗ䌧䱁❁✬〲㤰ⰧⰰⰬⰧ啃剒久奃唽䑓✬착!＀＀ ＀＀	＀＀_x0008_＀＀_x0001_＀＀_x0001_＀＀_x0001_＀＀桳菼䂤찀˝伨B䍑䵏䙞彅卅䥔䅍䕔✨扥瑩Ⱗ䴧䅅❎✬䅃䅌Ⱗ㈧〰✷〬Ⱜ✬䌬剕䕒䍎㵙单ⱄ⤧!＀＀ ＀＀	＀＀_x0008_＀＀_x0001_＀＀_x0001_＀＀_x0001_＀＀褷恁薥䂬찀˘伨H义䍔䙞彅卅䥔䅍䕔✨啃呓䵏䕟卐Ⱗ䴧䅅❎✬䅃䅌Ⱗ㈧〰✹〬Ⱜ✬䌬剕䕒䍎㵙单ⱄ⤧!＀＀ ＀＀	＀＀_x0008_＀＀_x0001_＀＀_x0001_＀＀_x0001_＀＀Ẹ롑㿲찀ˡ伨E呓ⵍ剆䙞彅卅䥔䅍䕔✨䅓䕌❓✬䕍乁Ⱗ䌧䱁❁✬〲㜰ⰧⰰⰬⰧ啃剒久奃唽䑓✬착!＀＀ ＀＀	＀＀_x0008_＀＀_x0001_＀＀_x0001_＀＀_x0001_＀＀＀＀＀＀䃃찀˞伨A噎䅄䙞彅卅䥔䅍䕔✨䍆❆✬䕍乁Ⱗ䌧䱁❁✬〲㐱ⰧⰰⰬⰧ啃剒久奃唽䑓✬착!＀＀ ＀＀	＀＀_x0008_＀＀_x0001_＀＀_x0001_＀＀_x0001_＀＀豀碵꼝쐕찀˥伨B䑁幉䕆䕟呓䵉呁⡅䔧卐䝂Ⱗ䴧䅅❎✬䅃䅌Ⱗ㈧〰✶〬Ⱜ✬䌬剕䕒䍎㵙单ⱄ⤧!＀＀ ＀＀	＀＀_x0008_＀＀_x0001_＀＀_x0001_＀＀_x0001_＀＀_xD894_붵鋝㿹찀˟伨C䍑䵏䙞彅卅䥔䅍䕔✨偅䉓❇✬䕍乁Ⱗ䌧䱁❁✬〲㈱ⰧⰰⰬⰧ啃剒久奃唽䑓✬착!＀＀ ＀＀	＀＀_x0008_＀＀_x0001_＀＀_x0001_＀＀_x0001_＀＀༂‌꡼䀍찀ˤ伨E呓ⵍ剆䙞彅卅䥔䅍䕔✨䅃䕐❘✬䕍乁Ⱗ䌧䱁❁✬〲㜰ⰧⰰⰬⰧ啃剒久奃唽䑓✬착!＀＀ ＀＀	＀＀_x0008_＀＀_x0001_＀＀_x0001_＀＀_x0001_＀＀鶲꟯緆䂓찀ˢ伨A䑁幉䕆䕟呓䵉呁⡅攧楢❴✬䕍乁Ⱗ䌧䱁❁✬〲ㄱⰧⰰⰬⰧ啃剒久奃唽䑓✬착!＀＀ ＀＀	＀＀_x0008_＀＀_x0001_＀＀_x0001_＀＀_x0001_＀＀尩슏兵䂐찀˖伨A义䍔䙞彅卅䥔䅍䕔✨䍆❆✬䕍乁Ⱗ䌧䱁❁✬〲㈱ⰧⰰⰬⰧ啃剒久奃唽䑓✬착!＀＀ ＀＀	＀＀_x0008_＀＀_x0001_＀＀_x0001_＀＀_x0001_＀＀됹盈ພ䃂찀ˠ伨_x001A_义䍔䙞彇剐䍉⡅〴㌹ⰹⰬ单⥄!＀＀ ＀＀	＀＀_x0008_＀＀_x0001_＀＀_x0001_＀＀_x0001_＀＀슏⣵꽜䀺찀ˡ伨B䑁幉䕆䕟呓䵉呁⡅匧䱁卅Ⱗ䴧䅅❎✬䅃䅌Ⱗ㈧〰✶〬Ⱜ✬䌬剕䕒䍎㵙单ⱄ⤧!＀＀ ＀＀	＀＀_x0008_＀＀_x0001_＀＀_x0001_＀＀_x0001_＀＀脆䎕ᅋ䂤찀˔伨K㐲㐵吭䥁䙞彅卅䥔䅍䕔✨义彃則协❓✬䕍乁Ⱗ䌧䱁❁✬〲㘰ⰧⰰⰬⰧ啃剒久奃唽䑓✬착!＀＀ ＀＀	＀＀_x0008_＀＀_x0001_＀＀_x0001_＀＀_x0001_＀＀豀碵꼝쐕찀ˑ伨C剁䡍䙞彅卅䥔䅍䕔✨䅓䕌❓✬䕍乁Ⱗ䌧䱁❁✬〲㈱ⰧⰰⰬⰧ啃剒久奃唽䑓✬착!＀＀ ＀＀	＀＀_x0008_＀＀_x0001_＀＀_x0001_＀＀_x0001_＀＀㰶劽隖䂊찀˔伨B义䍔䙞彅卅䥔䅍䕔✨扥瑩Ⱗ䴧䅅❎✬䅃䅌Ⱗ㈧㄰✲〬Ⱜ✬䌬剕䕒䍎㵙单ⱄ⤧!＀＀ ＀＀	＀＀_x0008_＀＀_x0001_＀＀_x0001_＀＀_x0001_＀＀竡긔哷䃑찀ˑ伨B剁䡍䙞彅卅䥔䅍䕔✨扥瑩Ⱗ䴧䅅❎✬䅃䅌Ⱗ㈧〰✹〬Ⱜ✬䌬剕䕒䍎㵙单ⱄ⤧!＀＀ ＀＀	＀＀_x0008_＀＀_x0001_＀＀_x0001_＀＀_x0001_＀＀蒶큼厳䁠찀ˢ伨I呓ⵍ剆䙞彅卅䥔䅍䕔✨义彃則协❓✬䕍乁Ⱗ䌧䱁❁✬〲㘰ⰧⰰⰬⰧ啃剒久奃唽䑓✬착!＀＀ ＀＀	＀＀_x0008_＀＀_x0001_＀＀_x0001_＀＀_x0001_＀＀豀碵꼝쐕찀ˣ伨B䑁幉䕆䕟呓䵉呁⡅䌧偁塅Ⱗ䴧䅅❎✬䅃䅌Ⱗ㈧〰✶〬Ⱜ✬䌬剕䕒䍎㵙单ⱄ⤧!＀＀ ＀＀	＀＀_x0008_＀＀_x0001_＀＀_x0001_＀＀_x0001_＀＀珫ᖵ忻䁠찀˘伨H义䍔䙞彅卅䥔䅍䕔✨啃呓䵏䕟卐Ⱗ䴧䅅❎✬䅃䅌Ⱗ㈧〰✶〬Ⱜ✬䌬剕䕒䍎㵙单ⱄ⤧!＀＀ ＀＀	＀＀_x0008_＀＀_x0001_＀＀_x0001_＀＀_x0001_＀＀롑蔞㿫찀ˑ伨C剁䡍䙞彅卅䥔䅍䕔✨䅃䕐❘✬䕍乁Ⱗ䌧䱁❁✬〲㈱ⰧⰰⰬⰧ啃剒久奃唽䑓✬착!＀＀ ＀＀	＀＀_x0008_＀＀_x0001_＀＀_x0001_＀＀_x0001_＀＀寿軉䢍䀳찀ˑ伨A剁䡍䙞彅卅䥔䅍䕔✨偄❓✬䕍乁Ⱗ䌧䱁❁✬〲ㄱⰧⰰⰬⰧ啃剒久奃唽䑓✬착!＀＀ ＀＀	＀＀_x0008_＀＀_x0001_＀＀_x0001_＀＀_x0001_＀＀䬽쫫㋂㿄찀˦伨E呓ⵍ剆䙞彅卅䥔䅍䕔✨偅䉓❇✬䕍乁Ⱗ䌧䱁❁✬〲㐱ⰧⰰⰬⰧ啃剒久奃唽䑓✬착!＀＀ ＀＀	＀＀_x0008_＀＀_x0001_＀＀_x0001_＀＀_x0001_＀＀ꗟ弯㿮찀ˤ伨@䑁幉䕆䕟呓䵉呁⡅䘧䙃Ⱗ䴧䅅❎✬䅃䅌Ⱗ㈧〰✹〬Ⱜ✬䌬剕䕒䍎㵙单ⱄ⤧!＀＀ ＀＀	＀＀_x0008_＀＀_x0001_＀＀_x0001_＀＀_x0001_＀＀賧嗀䁻찀ˣ伨D呓ⵍ剆䙞彅卅䥔䅍䕔✨扥瑩Ⱗ䴧䅅❎✬䅃䅌Ⱗ㈧㄰✲〬Ⱜ✬䌬剕䕒䍎㵙单ⱄ⤧!＀＀ ＀＀	＀＀_x0008_＀＀_x0001_＀＀_x0001_＀＀_x0001_＀＀粅돐㵙쁢찀ˢ伨F䑁幉䕆䕟呓䵉呁⡅䤧䍎䝟佒卓Ⱗ䴧䅅❎✬䅃䅌Ⱗ㈧㄰✴〬Ⱜ✬䌬剕䕒䍎㵙单ⱄ⤧!＀＀ ＀＀	＀＀_x0008_＀＀_x0001_＀＀_x0001_＀＀_x0001_＀＀豀碵꼝쐕찀˗伨C义䍔䙞彅卅䥔䅍䕔✨偅䉓❇✬䕍乁Ⱗ䌧䱁❁✬〲㤰ⰧⰰⰬⰧ啃剒久奃唽䑓✬착!＀＀ ＀＀	＀＀_x0008_＀＀_x0001_＀＀_x0001_＀＀_x0001_＀＀蔟凫Ẹ㿵찀˦伨J呓ⵍ剆䙞彅卅䥔䅍䕔✨啃呓䵏䕟卐Ⱗ䴧䅅❎✬䅃䅌Ⱗ㈧㄰✲〬Ⱜ✬䌬剕䕒䍎㵙单ⱄ⤧!＀＀ ＀＀	＀＀_x0008_＀＀_x0001_＀＀_x0001_＀＀_x0001_＀＀豀碵꼝쐕찀ˑ伨_x001B_义䍔晞彧敤瑢瑟瑯污〨Ⱜ唬䑓착!＀＀ ＀＀	＀＀_x0008_＀＀_x0001_＀＀_x0001_＀＀_x0001_＀＀＀＀＀＀ꌀ䂼찀ˡ伨B䑁幉䕆䕟呓䵉呁⡅匧䱁卅Ⱗ䴧䅅❎✬䅃䅌Ⱗ㈧〰✹〬Ⱜ✬䌬剕䕒䍎㵙单ⱄ⤧!＀＀ ＀＀	＀＀_x0008_＀＀_x0001_＀＀_x0001_＀＀_x0001_＀＀⬂ᚇ띙䂠찀˔伨K㐲㐵吭䥁䙞彅卅䥔䅍䕔✨义彃則协❓✬䕍乁Ⱗ䌧䱁❁✬〲㤰ⰧⰰⰬⰧ啃剒久奃唽䑓✬착!＀＀ ＀＀	＀＀_x0008_＀＀_x0001_＀＀_x0001_＀＀_x0001_＀＀㌳㌳ꜳ䂠찀ˑ伨G剁䡍䙞彅卅䥔䅍䕔✨义彃則协❓✬䕍乁Ⱗ䌧䱁❁✬〲㘰ⰧⰰⰬⰧ啃剒久奃唽䑓✬착!＀＀ ＀＀	＀＀_x0008_＀＀_x0001_＀＀_x0001_＀＀_x0001_＀＀豀碵꼝쐕찀˦伨E呓ⵍ剆䙞彅卅䥔䅍䕔✨偅䉓❇✬䕍乁Ⱗ䌧䱁❁✬〲ㄱⰧⰰⰬⰧ啃剒久奃唽䑓✬착!＀＀ ＀＀	＀＀_x0008_＀＀_x0001_＀＀_x0001_＀＀_x0001_＀＀㫧뒍_xDE54_㿞찀ˤ伨@䑁幉䕆䕟呓䵉呁⡅䘧䙃Ⱗ䴧䅅❎✬䅃䅌Ⱗ㈧〰✶〬Ⱜ✬䌬剕䕒䍎㵙单ⱄ⤧!＀＀ ＀＀	＀＀_x0008_＀＀_x0001_＀＀_x0001_＀＀_x0001_＀＀࢚鸛䩞䁽찀ˣ伨B䑁幉䕆䕟呓䵉呁⡅䌧偁塅Ⱗ䴧䅅❎✬䅃䅌Ⱗ㈧〰✹〬Ⱜ✬䌬剕䕒䍎㵙单ⱄ⤧!＀＀ ＀＀	＀＀_x0008_＀＀_x0001_＀＀_x0001_＀＀_x0001_＀＀ㄑ堥䁐찀˞伨A䍑䵏䙞彅卅䥔䅍䕔✨䍆❆✬䕍乁Ⱗ䌧䱁❁✬〲㜰ⰧⰰⰬⰧ啃剒久奃唽䑓✬착!＀＀ ＀＀	＀＀_x0008_＀＀_x0001_＀＀_x0001_＀＀_x0001_＀＀桳쥼䂤찀˦伨G䑁幉䕆䕟呓䵉呁⡅䌧单佔彍偅❓✬䕍乁Ⱗ䌧䱁❁✬〲㘰ⰧⰰⰬⰧ啃剒久奃唽䑓✬착!＀＀ ＀＀	＀＀_x0008_＀＀_x0001_＀＀_x0001_＀＀_x0001_＀＀俧픛䃩㿷찀ˢ伨F䑁幉䕆䕟呓䵉呁⡅䤧䍎䝟佒卓Ⱗ䴧䅅❎✬䅃䅌Ⱗ㈧㄰✱〬Ⱜ✬䌬剕䕒䍎㵙单ⱄ⤧!＀＀ ＀＀	＀＀_x0008_＀＀_x0001_＀＀_x0001_＀＀_x0001_＀＀鞍ቮ覃䂞찀˝伨B䍑䵏䙞彅卅䥔䅍䕔✨扥瑩Ⱗ䴧䅅❎✬䅃䅌Ⱗ㈧㄰✱〬Ⱜ✬䌬剕䕒䍎㵙单ⱄ⤧!＀＀ ＀＀	＀＀_x0008_＀＀_x0001_＀＀_x0001_＀＀_x0001_＀＀⼛ⓝ隦䂷찀˕伨F㐲㐵吭䥁䙞彅卅䥔䅍䕔✨扥瑩Ⱗ䴧䅅❎✬䅃䅌Ⱗ㈧〰✹〬Ⱜ✬䌬剕䕒䍎㵙单ⱄ⤧!＀＀ ＀＀	＀＀_x0008_＀＀_x0001_＀＀_x0001_＀＀_x0001_＀＀_xDF3B_赏씗䂑찀ˡ伨E呓ⵍ剆䙞彅卅䥔䅍䕔✨䅓䕌❓✬䕍乁Ⱗ䌧䱁❁✬〲ㄱⰧⰰⰬⰧ啃剒久奃唽䑓✬착!＀＀ ＀＀	＀＀_x0008_＀＀_x0001_＀＀_x0001_＀＀_x0001_＀＀尨Ϳ䃃찀˗伨C义䍔䙞彅卅䥔䅍䕔✨偅䉓❇✬䕍乁Ⱗ䌧䱁❁✬〲㘰ⰧⰰⰬⰧ啃剒久奃唽䑓✬착!＀＀ ＀＀	＀＀_x0008_＀＀_x0001_＀＀_x0001_＀＀_x0001_＀＀豀碵꼝쐕찀˛伨B噎䅄䙞彅卅䥔䅍䕔✨扥瑩Ⱗ䴧䅅❎✬䅃䅌Ⱗ㈧〰✷〬Ⱜ✬䌬剕䕒䍎㵙单ⱄ⤧!＀＀ ＀＀	＀＀_x0008_＀＀_x0001_＀＀_x0001_＀＀_x0001_＀＀릍५廹䂋찀˥伨B䑁幉䕆䕟呓䵉呁⡅䔧卐䝂Ⱗ䴧䅅❎✬䅃䅌Ⱗ㈧㄰✰〬Ⱜ✬䌬剕䕒䍎㵙单ⱄ⤧!＀＀ ＀＀	＀＀_x0008_＀＀_x0001_＀＀_x0001_＀＀_x0001_＀＀嫮㹂맨䀄찀ˤ伨E呓ⵍ剆䙞彅卅䥔䅍䕔✨䅃䕐❘✬䕍乁Ⱗ䌧䱁❁✬〲ㄱⰧⰰⰬⰧ啃剒久奃唽䑓✬착!＀＀ ＀＀	＀＀_x0008_＀＀_x0001_＀＀_x0001_＀＀_x0001_＀＀䷓ၢ歘䂓찀ˠ伨_x001E_前䱖偞灟楲散桟杩彨㈵⡷ⰰⰬ单⥄!＀＀ ＀＀	＀＀_x0008_＀＀_x0001_＀＀_x0001_＀＀_x0001_＀＀凬Ẹ殅䀴찀˒伨C义䍔䙞彅卅䥔䅍䕔✨䅓䕌❓✬䕍乁Ⱗ䌧䱁❁✬〲㘰ⰧⰰⰬⰧ啃剒久奃唽䑓✬착!＀＀ ＀＀	＀＀_x0008_＀＀_x0001_＀＀_x0001_＀＀_x0001_＀＀＀＀＀＀䛀䃡찀˚伨C䍑䵏䙞彅卅䥔䅍䕔✨䅓䕌❓✬䕍乁Ⱗ䌧䱁❁✬〲㈱ⰧⰰⰬⰧ啃剒久奃唽䑓✬착!＀＀ ＀＀	＀＀_x0008_＀＀_x0001_＀＀_x0001_＀＀_x0001_＀＀⣶轜閲䃒찀ˑ伨H剁䡍䙞彅卅䥔䅍䕔✨啃呓䵏䕟卐Ⱗ䴧䅅❎✬䅃䅌Ⱗ㈧〰✶〬Ⱜ✬䌬剕䕒䍎㵙单ⱄ⤧!＀＀ ＀＀	＀＀_x0008_＀＀_x0001_＀＀_x0001_＀＀_x0001_＀＀豀碵꼝쐕찀˔伨K㐲㐵吭䥁䙞彅卅䥔䅍䕔✨义彃則协❓✬䕍乁Ⱗ䌧䱁❁✬〲〱ⰧⰰⰬⰧ啃剒久奃唽䑓✬착!＀＀ ＀＀	＀＀_x0008_＀＀_x0001_＀＀_x0001_＀＀_x0001_＀＀ᑺ낮䂠찀ˊ伨_x0014_䅃䵖䙞彇剐䍉⡅〴㌹⤹!＀＀ ＀＀	＀＀_x0008_＀＀_x0001_＀＀_x0001_＀＀_x0001_＀＀㵱휊ィ䁀찀ˠ伨H䍑䵏䙞彅卅䥔䅍䕔✨啃呓䵏䕟卐Ⱗ䴧䅅❎✬䅃䅌Ⱗ㈧〰✸〬Ⱜ✬䌬剕䕒䍎㵙单ⱄ⤧!＀＀ ＀＀	＀＀_x0008_＀＀_x0001_＀＀_x0001_＀＀_x0001_＀＀띅퍞芃㿼찀˕伨C义䍔䙞彅卅䥔䅍䕔✨䅃䕐❘✬䕍乁Ⱗ䌧䱁❁✬〲㘰ⰧⰰⰬⰧ啃剒久奃唽䑓✬착!＀＀ ＀＀	＀＀_x0008_＀＀_x0001_＀＀_x0001_＀＀_x0001_＀＀＀＀＀＀꬀䂶찀ˑ伨B剁䡍䙞彅卅䥔䅍䕔✨扥瑩Ⱗ䴧䅅❎✬䅃䅌Ⱗ㈧㄰✳〬Ⱜ✬䌬剕䕒䍎㵙单ⱄ⤧!＀＀ ＀＀	＀＀_x0008_＀＀_x0001_＀＀_x0001_＀＀_x0001_＀＀Წ摚搻䁻찀ˢ伨I呓ⵍ剆䙞彅卅䥔䅍䕔✨义彃則协❓✬䕍乁Ⱗ䌧䱁❁✬〲〱ⰧⰰⰬⰧ啃剒久奃唽䑓✬착!＀＀ ＀＀	＀＀_x0008_＀＀_x0001_＀＀_x0001_＀＀_x0001_＀＀_xDF3C_赏岗䂯찀˝伨C䍑䵏䙞彅卅䥔䅍䕔✨䅃䕐❘✬䕍乁Ⱗ䌧䱁❁✬〲㈱ⰧⰰⰬⰧ啃剒久奃唽䑓✬착!＀＀ ＀＀	＀＀_x0008_＀＀_x0001_＀＀_x0001_＀＀_x0001_＀＀＀＀＀＀ꐀ䂊찀ˣ伨B䑁幉䕆䕟呓䵉呁⡅䌧偁塅Ⱗ䴧䅅❎✬䅃䅌Ⱗ㈧㄰✰〬Ⱜ✬䌬剕䕒䍎㵙单ⱄ⤧!＀＀ ＀＀	＀＀_x0008_＀＀_x0001_＀＀_x0001_＀＀_x0001_＀＀ᝯ爴䁜찀˚伨G䍑䵏䙞彅卅䥔䅍䕔✨义彃則协❓✬䕍乁Ⱗ䌧䱁❁✬〲㤰ⰧⰰⰬⰧ啃剒久奃唽䑓✬착!＀＀ ＀＀	＀＀_x0008_＀＀_x0001_＀＀_x0001_＀＀_x0001_＀＀슐⣵䂼찀˘伨H义䍔䙞彅卅䥔䅍䕔✨啃呓䵏䕟卐Ⱗ䴧䅅❎✬䅃䅌Ⱗ㈧㄰✰〬Ⱜ✬䌬剕䕒䍎㵙单ⱄ⤧!＀＀ ＀＀	＀＀_x0008_＀＀_x0001_＀＀_x0001_＀＀_x0001_＀＀晦晦晦䀀찀˔伨F㐲㐵吭䥁䙞彅卅䥔䅍䕔✨扥瑩Ⱗ䴧䅅❎✬䅃䅌Ⱗ㈧〰✶〬Ⱜ✬䌬剕䕒䍎㵙单ⱄ⤧!＀＀ ＀＀	＀＀_x0008_＀＀_x0001_＀＀_x0001_＀＀_x0001_＀＀⁜ౣ䂆찀ˑ伨G剁䡍䙞彅卅䥔䅍䕔✨义彃則协❓✬䕍乁Ⱗ䌧䱁❁✬〲㤰ⰧⰰⰬⰧ啃剒久奃唽䑓✬착!＀＀ ＀＀	＀＀_x0008_＀＀_x0001_＀＀_x0001_＀＀_x0001_＀＀_xD980_礽䡘䁼찀ˑ伨A剁䡍䙞彅卅䥔䅍䕔✨䍆❆✬䕍乁Ⱗ䌧䱁❁✬〲㠰ⰧⰰⰬⰧ啃剒久奃唽䑓✬착!＀＀ ＀＀	＀＀_x0008_＀＀_x0001_＀＀_x0001_＀＀_x0001_＀＀_xD9E9_窱ꍜ䁕찀ˠ伨_x0014_䱘塎䙞彇剐䍉⡅〴㌹⤹!＀＀ ＀＀	＀＀_x0008_＀＀_x0001_＀＀_x0001_＀＀_x0001_＀＀凬Ẹ䁁찀˦伨G䑁幉䕆䕟呓䵉呁⡅䌧单佔彍偅❓✬䕍乁Ⱗ䌧䱁❁✬〲㤰ⰧⰰⰬⰧ啃剒久奃唽䑓✬착!＀＀ ＀＀	＀＀_x0008_＀＀_x0001_＀＀_x0001_＀＀_x0001_＀＀䖪ㅄ䍹㿳찀˝伨B䍑䵏䙞彅卅䥔䅍䕔✨扥瑩Ⱗ䴧䅅❎✬䅃䅌Ⱗ㈧㄰✴〬Ⱜ✬䌬剕䕒䍎㵙单ⱄ⤧!＀＀ ＀＀	＀＀_x0008_＀＀_x0001_＀＀_x0001_＀＀_x0001_＀＀糮㔿㽞䃂찀ˤ伨@䑁幉䕆䕟呓䵉呁⡅䘧䙃Ⱗ䴧䅅❎✬䅃䅌Ⱗ㈧㄰✳〬Ⱜ✬䌬剕䕒䍎㵙单ⱄ⤧!＀＀ ＀＀	＀＀_x0008_＀＀_x0001_＀＀_x0001_＀＀_x0001_＀＀騃ᬈꂞ䂈찀ˡ伨E呓ⵍ剆䙞彅卅䥔䅍䕔✨䅓䕌❓✬䕍乁Ⱗ䌧䱁❁✬〲㐱ⰧⰰⰬⰧ啃剒久奃唽䑓✬착!＀＀ ＀＀	＀＀_x0008_＀＀_x0001_＀＀_x0001_＀＀_x0001_＀＀ⴎ鶲伯䃅찀˗伨C义䍔䙞彅卅䥔䅍䕔✨偅䉓❇✬䕍乁Ⱗ䌧䱁❁✬〲㌱ⰧⰰⰬⰧ啃剒久奃唽䑓✬착!＀＀ ＀＀	＀＀_x0008_＀＀_x0001_＀＀_x0001_＀＀_x0001_＀＀Й๖눭䀅찀˥伨B䑁幉䕆䕟呓䵉呁⡅䔧卐䝂Ⱗ䴧䅅❎✬䅃䅌Ⱗ㈧㄰✳〬Ⱜ✬䌬剕䕒䍎㵙单ⱄ⤧!＀＀ ＀＀	＀＀_x0008_＀＀_x0001_＀＀_x0001_＀＀_x0001_＀＀팽豋穥䀆찀ˤ伨E呓ⵍ剆䙞彅卅䥔䅍䕔✨䅃䕐❘✬䕍乁Ⱗ䌧䱁❁✬〲㐱ⰧⰰⰬⰧ啃剒久奃唽䑓✬착!＀＀ ＀＀	＀＀_x0008_＀＀_x0001_＀＀_x0001_＀＀_x0001_＀＀＀＀＀＀퀀䂋찀˒伨C义䍔䙞彅卅䥔䅍䕔✨䅓䕌❓✬䕍乁Ⱗ䌧䱁❁✬〲㤰ⰧⰰⰬⰧ啃剒久奃唽䑓✬착!＀＀ ＀＀	＀＀_x0008_＀＀_x0001_＀＀_x0001_＀＀_x0001_＀＀＀＀＀＀⛠䃡찀˞伨C噎䅄䙞彅卅䥔䅍䕔✨偅䉓❇✬䕍乁Ⱗ䌧䱁❁✬〲㜰ⰧⰰⰬⰧ啃剒久奃唽䑓✬착!＀＀ ＀＀	＀＀_x0008_＀＀_x0001_＀＀_x0001_＀＀_x0001_＀＀ꑲ〳㋲㿸찀ˑ伨B剁䡍䙞彅卅䥔䅍䕔✨扥瑩Ⱗ䴧䅅❎✬䅃䅌Ⱗ㈧㄰✰〬Ⱜ✬䌬剕䕒䍎㵙单ⱄ⤧!＀＀ ＀＀	＀＀_x0008_＀＀_x0001_＀＀_x0001_＀＀_x0001_＀＀菥춞侪䁭찀ˑ伨H剁䡍䙞彅卅䥔䅍䕔✨啃呓䵏䕟卐Ⱗ䴧䅅❎✬䅃䅌Ⱗ㈧〰✹〬Ⱜ✬䌬剕䕒䍎㵙单ⱄ⤧!＀＀ ＀＀	＀＀_x0008_＀＀_x0001_＀＀_x0001_＀＀_x0001_＀＀豀碵꼝쐕찀ˡ伨B䑁幉䕆䕟呓䵉呁⡅匧䱁卅Ⱗ䴧䅅❎✬䅃䅌Ⱗ㈧㄰✳〬Ⱜ✬䌬剕䕒䍎㵙单ⱄ⤧!＀＀ ＀＀	＀＀_x0008_＀＀_x0001_＀＀_x0001_＀＀_x0001_＀＀酩糭錄䂧찀˔伨K㐲㐵吭䥁䙞彅卅䥔䅍䕔✨义彃則协❓✬䕍乁Ⱗ䌧䱁❁✬〲㌱ⰧⰰⰬⰧ啃剒久奃唽䑓✬착!＀＀ ＀＀	＀＀_x0008_＀＀_x0001_＀＀_x0001_＀＀_x0001_＀＀⣶轜䟂䂛찀˚伨G䍑䵏䙞彅卅䥔䅍䕔✨义彃則协❓✬䕍乁Ⱗ䌧䱁❁✬〲㘰ⰧⰰⰬⰧ啃剒久奃唽䑓✬착!＀＀ ＀＀	＀＀_x0008_＀＀_x0001_＀＀_x0001_＀＀_x0001_＀＀豀碵꼝쐕찀˕伨C义䍔䙞彅卅䥔䅍䕔✨䅃䕐❘✬䕍乁Ⱗ䌧䱁❁✬〲㤰ⰧⰰⰬⰧ啃剒久奃唽䑓✬착!＀＀ ＀＀	＀＀_x0008_＀＀_x0001_＀＀_x0001_＀＀_x0001_＀＀＀＀＀＀ꌀ䂱찀ˢ伨I呓ⵍ剆䙞彅卅䥔䅍䕔✨义彃則协❓✬䕍乁Ⱗ䌧䱁❁✬〲㌱ⰧⰰⰬⰧ啃剒久奃唽䑓✬착!＀＀ ＀＀	＀＀_x0008_＀＀_x0001_＀＀_x0001_＀＀_x0001_＀＀꟰䯆갷䂮찀ˤ伨@䑁幉䕆䕟呓䵉呁⡅䘧䙃Ⱗ䴧䅅❎✬䅃䅌Ⱗ㈧㄰✰〬Ⱜ✬䌬剕䕒䍎㵙单ⱄ⤧!＀＀ ＀＀	＀＀_x0008_＀＀_x0001_＀＀_x0001_＀＀_x0001_＀＀鵊⚀ɂ䂋찀ˣ伨B䑁幉䕆䕟呓䵉呁⡅䌧偁塅Ⱗ䴧䅅❎✬䅃䅌Ⱗ㈧㄰✳〬Ⱜ✬䌬剕䕒䍎㵙单ⱄ⤧!＀＀ ＀＀	＀＀_x0008_＀＀_x0001_＀＀_x0001_＀＀_x0001_＀＀녜袞䁡찀˞伨A䍑䵏䙞彅卅䥔䅍䕔✨䍆❆✬䕍乁Ⱗ䌧䱁❁✬〲ㄱⰧⰰⰬⰧ啃剒久奃唽䑓✬착!＀＀ ＀＀	＀＀_x0008_＀＀_x0001_＀＀_x0001_＀＀_x0001_＀＀ⴎ鶲੏䂴찀˘伨H义䍔䙞彅卅䥔䅍䕔✨啃呓䵏䕟卐Ⱗ䴧䅅❎✬䅃䅌Ⱗ㈧㄰✳〬Ⱜ✬䌬剕䕒䍎㵙单ⱄ⤧!＀＀ ＀＀	＀＀_x0008_＀＀_x0001_＀＀_x0001_＀＀_x0001_＀＀䓾썥䪚䀅찀˕伨F㐲㐵吭䥁䙞彅卅䥔䅍䕔✨扥瑩Ⱗ䴧䅅❎✬䅃䅌Ⱗ㈧㄰✳〬Ⱜ✬䌬剕䕒䍎㵙单ⱄ⤧!＀＀ ＀＀	＀＀_x0008_＀＀_x0001_＀＀_x0001_＀＀_x0001_＀＀≨硬ꍺ䂄찀˘伨L㐲㐵吭䥁䙞彅卅䥔䅍䕔✨啃呓䵏䕟卐Ⱗ䴧䅅❎✬䅃䅌Ⱗ㈧〰✹〬Ⱜ✬䌬剕䕒䍎㵙单ⱄ⤧!＀＀ ＀＀	＀＀_x0008_＀＀_x0001_＀＀_x0001_＀＀_x0001_＀＀豀碵꼝쐕찀˗伨C义䍔䙞彅卅䥔䅍䕔✨偅䉓❇✬䕍乁Ⱗ䌧䱁❁✬〲〱ⰧⰰⰬⰧ啃剒久奃唽䑓✬착!＀＀ ＀＀	＀＀_x0008_＀＀_x0001_＀＀_x0001_＀＀_x0001_＀＀焍讬棛䀁찀˜伨B噎䅄䙞彅卅䥔䅍䕔✨扥瑩Ⱗ䴧䅅❎✬䅃䅌Ⱗ㈧㄰✱〬Ⱜ✬䌬剕䕒䍎㵙单ⱄ⤧!＀＀ ＀＀	＀＀_x0008_＀＀_x0001_＀＀_x0001_＀＀_x0001_＀＀윑뢺_xD88D_䂄찀˒伨C义䍔䙞彅卅䥔䅍䕔✨䅓䕌❓✬䕍乁Ⱗ䌧䱁❁✬〲〱ⰧⰰⰬⰧ啃剒久奃唽䑓✬착!＀＀ ＀＀	＀＀_x0008_＀＀_x0001_＀＀_x0001_＀＀_x0001_＀＀＀＀＀＀䳠䃥찀ˡ伨B䑁幉䕆䕟呓䵉呁⡅匧䱁卅Ⱗ䴧䅅❎✬䅃䅌Ⱗ㈧㄰✰〬Ⱜ✬䌬剕䕒䍎㵙单ⱄ⤧!＀＀ ＀＀	＀＀_x0008_＀＀_x0001_＀＀_x0001_＀＀_x0001_＀＀譄䂥찀ˠ伨_x001D_䑁幉彐牰捩彥楨桧㕟眲〨Ⱜ唬䑓착!＀＀ ＀＀	＀＀_x0008_＀＀_x0001_＀＀_x0001_＀＀_x0001_＀＀炤਽ꏗ䁅찀ˑ伨H剁䡍䙞彅卅䥔䅍䕔✨啃呓䵏䕟卐Ⱗ䴧䅅❎✬䅃䅌Ⱗ㈧㄰✰〬Ⱜ✬䌬剕䕒䍎㵙单ⱄ⤧!＀＀ ＀＀	＀＀_x0008_＀＀_x0001_＀＀_x0001_＀＀_x0001_＀＀豀碵꼝쐕찀ˠ伨_x001A_噎䅄䙞彇剐䍉⡅〴㌹ⰹⰬ单⥄!＀＀ ＀＀	＀＀_x0008_＀＀_x0001_＀＀_x0001_＀＀_x0001_＀＀竡긔慇䀭찀ˠ伨H䍑䵏䙞彅卅䥔䅍䕔✨啃呓䵏䕟卐Ⱗ䴧䅅❎✬䅃䅌Ⱗ㈧㄰✲〬Ⱜ✬䌬剕䕒䍎㵙单ⱄ⤧!＀＀ ＀＀	＀＀_x0008_＀＀_x0001_＀＀_x0001_＀＀_x0001_＀＀ꏬ坓款䀊찀˕伨C义䍔䙞彅卅䥔䅍䕔✨䅃䕐❘✬䕍乁Ⱗ䌧䱁❁✬〲〱ⰧⰰⰬⰧ啃剒久奃唽䑓✬착!＀＀ ＀＀	＀＀_x0008_＀＀_x0001_＀＀_x0001_＀＀_x0001_＀＀＀＀＀＀啀䂴찀˚伨G䍑䵏䙞彅卅䥔䅍䕔✨义彃則协❓✬䕍乁Ⱗ䌧䱁❁✬〲㌱ⰧⰰⰬⰧ啃剒久奃唽䑓✬착!＀＀ ＀＀	＀＀_x0008_＀＀_x0001_＀＀_x0001_＀＀_x0001_＀＀⛪࠱Ⅼ䃋찀˕伨F㐲㐵吭䥁䙞彅卅䥔䅍䕔✨扥瑩Ⱗ䴧䅅❎✬䅃䅌Ⱗ㈧㄰✰〬Ⱜ✬䌬剕䕒䍎㵙单ⱄ⤧!＀＀ ＀＀	＀＀_x0008_＀＀_x0001_＀＀_x0001_＀＀_x0001_＀＀ᚇ컙ꝷ䂐찀ˑ伨G剁䡍䙞彅卅䥔䅍䕔✨义彃則协❓✬䕍乁Ⱗ䌧䱁❁✬〲㌱ⰧⰰⰬⰧ啃剒久奃唽䑓✬착!＀＀ ＀＀	＀＀_x0008_＀＀_x0001_＀＀_x0001_＀＀_x0001_＀＀຿㎜椢䂌찀˘伨L㐲㐵吭䥁䙞彅卅䥔䅍䕔✨啃呓䵏䕟卐Ⱗ䴧䅅❎✬䅃䅌Ⱗ㈧〰✶〬Ⱜ✬䌬剕䕒䍎㵙单ⱄ⤧!＀＀ ＀＀	＀＀_x0008_＀＀_x0001_＀＀_x0001_＀＀_x0001_＀＀豀碵꼝쐕찀ˑ伨A剁䡍䙞彅卅䥔䅍䕔✨䍆❆✬䕍乁Ⱗ䌧䱁❁✬〲㈱ⰧⰰⰬⰧ啃剒久奃唽䑓✬착!＀＀ ＀＀	＀＀_x0008_＀＀_x0001_＀＀_x0001_＀＀_x0001_＀＀컙号䁱찀ˠ伨_x001D_剁䡍偞灟楲散江睯㕟眲〨Ⱜ唬䑓착!＀＀ ＀＀	＀＀_x0008_＀＀_x0001_＀＀_x0001_＀＀_x0001_＀＀馚香ᦙ䀶찀˞伨A䍑䵏䙞彅卅䥔䅍䕔✨䍆❆✬䕍乁Ⱗ䌧䱁❁✬〲㐱ⰧⰰⰬⰧ啃剒久奃唽䑓✬착!＀＀ ＀＀	＀＀_x0008_＀＀_x0001_＀＀_x0001_＀＀_x0001_＀＀긕ꍚ䂼찀˦伨G䑁幉䕆䕟呓䵉呁⡅䌧单佔彍偅❓✬䕍乁Ⱗ䌧䱁❁✬〲㌱ⰧⰰⰬⰧ啃剒久奃唽䑓✬착!＀＀ ＀＀	＀＀_x0008_＀＀_x0001_＀＀_x0001_＀＀_x0001_＀＀蓤ꌉᥙ䀆찀˚伨G噎䅄䙞彅卅䥔䅍䕔✨义彃則协❓✬䕍乁Ⱗ䌧䱁❁✬〲㜰ⰧⰰⰬⰧ啃剒久奃唽䑓✬착!＀＀ ＀＀	＀＀_x0008_＀＀_x0001_＀＀_x0001_＀＀_x0001_＀＀豀碵꼝쐕찀˙伨_x001D_噎䅄䙞彆䅃䡓卟⡔呑ⱒⰰⰬ唬䑓착ċ＀＀ ＀＀ó＀＀_x0008_＀＀_x0001_＀＀_x0001_＀＀_x0001_＀＀㽼碵䂥摦畳㩰⼯楄敲瑣潩獮䘯捡却瑥䄠摵瑩湩⁧楖睥牥愿瑣潩㵮啁䥄彔䅖啌♅䉄ㄽ㤲䤦ㅄ㘽〷㘶ㅇ☰䅖啌䥅㵄㈰〰☱䑓呁㵅〲ㄱ㌰倦剅佉呄偙㵅呑归呓♄䍓呆㌽眦湩潤㵷潰異彰潮扟牡眦摩桴㌽㔸栦楥桧㵴㈱☰呓剁彔䅍䥘䥍䕚㵄䅆卌♅牣慥潴㵲慦瑣敳♴楤灳慬役瑳楲杮䄽摵瑩찀˥伨C呓ⵍ剆䙞彅卅䥔䅍䕔✨䍆❆✬䕍乁Ⱗ䌧䱁❁✬〲㘰ⰧⰰⰬⰧ啃剒久奃唽䑓✬착!＀＀ ＀＀	＀＀_x0008_＀＀_x0001_＀＀_x0001_＀＀_x0001_＀＀욧擋䂆찀ˠ伨_x001D_呓ⵍ剆晞彧敤瑢瑟瑯污〨Ⱜ唬䑓착!＀＀ ＀＀	＀＀_x0008_＀＀_x0001_＀＀_x0001_＀＀_x0001_＀＀诮ﳦ矿䂘찀ˠ伨_x0014_䱁剔䙞彇剐䍉⡅〴㐵⤴!＀＀ ＀＀	＀＀_x0008_＀＀_x0001_＀＀_x0001_＀＀_x0001_＀＀휊炣쨽䁁찀ˠ伨_x001D_䍑䵏偞灟楲散江睯㕟眲〨Ⱜ唬䑓착!＀＀ ＀＀	＀＀_x0008_＀＀_x0001_＀＀_x0001_＀＀_x0001_＀＀ਾꏗﵰ䁆찀˗伨G㐲㐵吭䥁䙞彅卅䥔䅍䕔✨偅䉓❇✬䕍乁Ⱗ䌧䱁❁✬〲㠰ⰧⰰⰬⰧ啃剒久奃唽䑓✬착!＀＀ ＀＀	＀＀_x0008_＀＀_x0001_＀＀_x0001_＀＀_x0001_＀＀꘺堸㿡찀˒伨C义䍔䙞彅卅䥔䅍䕔✨䅓䕌❓✬䕍乁Ⱗ䌧䱁❁✬〲㌱ⰧⰰⰬⰧ啃剒久奃唽䑓✬착!＀＀ ＀＀	＀＀_x0008_＀＀_x0001_＀＀_x0001_＀＀_x0001_＀＀ᑻ䞮뀱䃭찀ˑ伨H剁䡍䙞彅卅䥔䅍䕔✨啃呓䵏䕟卐Ⱗ䴧䅅❎✬䅃䅌Ⱗ㈧㄰✳〬Ⱜ✬䌬剕䕒䍎㵙单ⱄ⤧!＀＀ ＀＀	＀＀_x0008_＀＀_x0001_＀＀_x0001_＀＀_x0001_＀＀豀碵꼝쐕찀˟伨H噎䅄䙞彅卅䥔䅍䕔✨啃呓䵏䕟卐Ⱗ䴧䅅❎✬䅃䅌Ⱗ㈧〰✸〬Ⱜ✬䌬剕䕒䍎㵙单ⱄ⤧!＀＀ ＀＀	＀＀_x0008_＀＀_x0001_＀＀_x0001_＀＀_x0001_＀＀腠痹죱㿕찀˙伨C噎䅄䙞彅卅䥔䅍䕔✨䅓䕌❓✬䕍乁Ⱗ䌧䱁❁✬〲㜰ⰧⰰⰬⰧ啃剒久奃唽䑓✬착!＀＀ ＀＀	＀＀_x0008_＀＀_x0001_＀＀_x0001_＀＀_x0001_＀＀_xDB23_绹哪䂯찀˚伨G䍑䵏䙞彅卅䥔䅍䕔✨义彃則协❓✬䕍乁Ⱗ䌧䱁❁✬〲〱ⰧⰰⰬⰧ啃剒久奃唽䑓✬착!＀＀ ＀＀	＀＀_x0008_＀＀_x0001_＀＀_x0001_＀＀_x0001_＀＀嘄ⴎ⮂䃀찀ˑ伨G剁䡍䙞彅卅䥔䅍䕔✨义彃則协❓✬䕍乁Ⱗ䌧䱁❁✬〲〱ⰧⰰⰬⰧ啃剒久奃唽䑓✬착!＀＀ ＀＀	＀＀_x0008_＀＀_x0001_＀＀_x0001_＀＀_x0001_＀＀묰༧눋䂂찀˕伨C义䍔䙞彅卅䥔䅍䕔✨䅃䕐❘✬䕍乁Ⱗ䌧䱁❁✬〲㌱ⰧⰰⰬⰧ啃剒久奃唽䑓✬착!＀＀ ＀＀	＀＀_x0008_＀＀_x0001_＀＀_x0001_＀＀_x0001_＀＀馚香뚹䃁찀˦伨G䑁幉䕆䕟呓䵉呁⡅䌧单佔彍偅❓✬䕍乁Ⱗ䌧䱁❁✬〲〱ⰧⰰⰬⰧ啃剒久奃唽䑓✬착!＀＀ ＀＀	＀＀_x0008_＀＀_x0001_＀＀_x0001_＀＀_x0001_＀＀蓹볬涍䀃찀˝伨C噎䅄䙞彅卅䥔䅍䕔✨䅃䕐❘✬䕍乁Ⱗ䌧䱁❁✬〲㜰ⰧⰰⰬⰧ啃剒久奃唽䑓✬착!＀＀ ＀＀	＀＀_x0008_＀＀_x0001_＀＀_x0001_＀＀_x0001_＀＀╆ɵ劚䁥찀ˑ伨_x001D_义䍔䙞彆䅃䡓卟⡔呑ⱒⰰⰬ唬䑓착ċ＀＀ ＀＀ó＀＀_x0008_＀＀_x0001_＀＀_x0001_＀＀_x0001_＀＀＀＀＀＀̀䃄摦畳㩰⼯楄敲瑣潩獮䘯捡却瑥䄠摵瑩湩⁧楖睥牥愿瑣潩㵮啁䥄彔䅖啌♅䉄ㄽ㤲䤦ㅄ㐽㠵㐱㄰☰䅖啌䥅㵄㈰〰☱䑓呁㵅〲ㄱ㐰倦剅佉呄偙㵅呑归呓♄䍓呆㌽眦湩潤㵷潰異彰潮扟牡眦摩桴㌽㔸栦楥桧㵴㈱☰呓剁彔䅍䥘䥍䕚㵄䅆卌♅牣慥潴㵲慦瑣敳♴楤灳慬役瑳楲杮䄽摵瑩찀˘伨L㐲㐵吭䥁䙞彅卅䥔䅍䕔✨啃呓䵏䕟卐Ⱗ䴧䅅❎✬䅃䅌Ⱗ㈧㄰✳〬Ⱜ✬䌬剕䕒䍎㵙单ⱄ⤧!＀＀ ＀＀	＀＀_x0008_＀＀_x0001_＀＀_x0001_＀＀_x0001_＀＀豀碵꼝쐕찀˥伨C呓ⵍ剆䙞彅卅䥔䅍䕔✨䍆❆✬䕍乁Ⱗ䌧䱁❁✬〲㤰ⰧⰰⰬⰧ啃剒久奃唽䑓✬착!＀＀ ＀＀	＀＀_x0008_＀＀_x0001_＀＀_x0001_＀＀_x0001_＀＀⹉⇿忽䁱찀˚伨G噎䅄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32893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䙞彅卅䥔䅍䕔✨义彃則协❓✬䕍乁Ⱗ䌧䱁❁✬〲㐱ⰧⰰⰬⰧ啃剒久奃唽䑓✬착!＀＀ ＀＀	＀＀_x0008_＀＀_x0001_＀＀_x0001_＀＀_x0001_＀＀豀碵꼝쐕찀˔伨G义䍔䙞彅卅䥔䅍䕔✨义彃則协❓✬䕍乁Ⱗ䌧䱁❁✬〲㠰ⰧⰰⰬⰧ啃剒久奃唽䑓✬착!＀＀ ＀＀	＀＀_x0008_＀＀_x0001_＀＀_x0001_＀＀_x0001_＀＀＀＀＀＀嬀䃔찀</t>
        </r>
      </text>
    </comment>
  </commentList>
</comments>
</file>

<file path=xl/comments2.xml><?xml version="1.0" encoding="utf-8"?>
<comments xmlns="http://schemas.openxmlformats.org/spreadsheetml/2006/main">
  <authors>
    <author>josuev</author>
    <author>sergiol</author>
    <author>Chang, Diana (Research)</author>
    <author>Lira, Sergio (Research)</author>
  </authors>
  <commentList>
    <comment ref="AU8" authorId="0">
      <text>
        <r>
          <rPr>
            <sz val="8"/>
            <color indexed="81"/>
            <rFont val="Tahoma"/>
            <family val="2"/>
          </rPr>
          <t>020713 - g - Revenue of $420.2-432.7m</t>
        </r>
      </text>
    </comment>
    <comment ref="AV8" authorId="0">
      <text>
        <r>
          <rPr>
            <sz val="8"/>
            <color indexed="81"/>
            <rFont val="Tahoma"/>
            <family val="2"/>
          </rPr>
          <t>050213 - g - Revenue to be up 2-6%</t>
        </r>
      </text>
    </comment>
    <comment ref="AU21" authorId="0">
      <text>
        <r>
          <rPr>
            <sz val="8"/>
            <color indexed="81"/>
            <rFont val="Tahoma"/>
            <family val="2"/>
          </rPr>
          <t>020713 - g - GM of 55.0-55.5%</t>
        </r>
      </text>
    </comment>
    <comment ref="AV21" authorId="0">
      <text>
        <r>
          <rPr>
            <sz val="8"/>
            <color indexed="81"/>
            <rFont val="Tahoma"/>
            <family val="2"/>
          </rPr>
          <t>050213 - g - GM of 56.0-56.5%</t>
        </r>
      </text>
    </comment>
    <comment ref="AW21" authorId="1">
      <text>
        <r>
          <rPr>
            <sz val="8"/>
            <color indexed="81"/>
            <rFont val="Tahoma"/>
            <family val="2"/>
          </rPr>
          <t>07/31/13 - g - 58.1-58.7%</t>
        </r>
      </text>
    </comment>
    <comment ref="AW57" authorId="1">
      <text>
        <r>
          <rPr>
            <sz val="8"/>
            <color indexed="81"/>
            <rFont val="Tahoma"/>
            <family val="2"/>
          </rPr>
          <t>07/31/13 - g - 27-27.5% of sales</t>
        </r>
      </text>
    </comment>
    <comment ref="AU66" authorId="0">
      <text>
        <r>
          <rPr>
            <sz val="8"/>
            <color indexed="81"/>
            <rFont val="Tahoma"/>
            <family val="2"/>
          </rPr>
          <t>020713 - g - Other Expense of ~$6.7m</t>
        </r>
      </text>
    </comment>
    <comment ref="AV66" authorId="0">
      <text>
        <r>
          <rPr>
            <sz val="8"/>
            <color indexed="81"/>
            <rFont val="Tahoma"/>
            <family val="2"/>
          </rPr>
          <t>050213 - g - Other Expense of ~$8m</t>
        </r>
      </text>
    </comment>
    <comment ref="AT71" authorId="0">
      <text>
        <r>
          <rPr>
            <sz val="8"/>
            <color indexed="81"/>
            <rFont val="Tahoma"/>
            <family val="2"/>
          </rPr>
          <t>Convertible debt non-cash interest expense</t>
        </r>
      </text>
    </comment>
    <comment ref="AU77" authorId="0">
      <text>
        <r>
          <rPr>
            <sz val="8"/>
            <color indexed="81"/>
            <rFont val="Tahoma"/>
            <family val="2"/>
          </rPr>
          <t>020713 - g - Income Tax Expense in range of $4.9-6.1m</t>
        </r>
      </text>
    </comment>
    <comment ref="AV77" authorId="0">
      <text>
        <r>
          <rPr>
            <sz val="8"/>
            <color indexed="81"/>
            <rFont val="Tahoma"/>
            <family val="2"/>
          </rPr>
          <t>050213 - g - Income Tax Expense in range of 13.1-14.1%</t>
        </r>
      </text>
    </comment>
    <comment ref="AU86" authorId="0">
      <text>
        <r>
          <rPr>
            <sz val="8"/>
            <color indexed="81"/>
            <rFont val="Tahoma"/>
            <family val="2"/>
          </rPr>
          <t>020713 - g - GAAP Net income to be $37.7-44.5m</t>
        </r>
      </text>
    </comment>
    <comment ref="AV86" authorId="0">
      <text>
        <r>
          <rPr>
            <sz val="8"/>
            <color indexed="81"/>
            <rFont val="Tahoma"/>
            <family val="2"/>
          </rPr>
          <t>050213 - g - GAAP Net income to be $64.2-71.5m</t>
        </r>
      </text>
    </comment>
    <comment ref="AU94" authorId="0">
      <text>
        <r>
          <rPr>
            <sz val="8"/>
            <color indexed="81"/>
            <rFont val="Tahoma"/>
            <family val="2"/>
          </rPr>
          <t>020713 - g - GAAP EPS in range of 18-21 cents</t>
        </r>
      </text>
    </comment>
    <comment ref="AV94" authorId="0">
      <text>
        <r>
          <rPr>
            <sz val="8"/>
            <color indexed="81"/>
            <rFont val="Tahoma"/>
            <family val="2"/>
          </rPr>
          <t>050213 - g - GAAP EPS in range of 30-34 cents</t>
        </r>
      </text>
    </comment>
    <comment ref="AW96" authorId="1">
      <text>
        <r>
          <rPr>
            <sz val="8"/>
            <color indexed="81"/>
            <rFont val="Tahoma"/>
            <family val="2"/>
          </rPr>
          <t>07/31/13 $0.58-0.62</t>
        </r>
      </text>
    </comment>
    <comment ref="AU104" authorId="0">
      <text>
        <r>
          <rPr>
            <sz val="8"/>
            <color indexed="81"/>
            <rFont val="Tahoma"/>
            <family val="2"/>
          </rPr>
          <t>020713 - g - 209m</t>
        </r>
      </text>
    </comment>
    <comment ref="AV104" authorId="0">
      <text>
        <r>
          <rPr>
            <sz val="8"/>
            <color indexed="81"/>
            <rFont val="Tahoma"/>
            <family val="2"/>
          </rPr>
          <t>050213 - g - 212m</t>
        </r>
      </text>
    </comment>
    <comment ref="AU105" authorId="0">
      <text>
        <r>
          <rPr>
            <sz val="8"/>
            <color indexed="81"/>
            <rFont val="Tahoma"/>
            <family val="2"/>
          </rPr>
          <t>020713 - g - 209m</t>
        </r>
      </text>
    </comment>
    <comment ref="AV105" authorId="0">
      <text>
        <r>
          <rPr>
            <sz val="8"/>
            <color indexed="81"/>
            <rFont val="Tahoma"/>
            <family val="2"/>
          </rPr>
          <t>050213 - g - 212m</t>
        </r>
      </text>
    </comment>
    <comment ref="BD110" authorId="2">
      <text>
        <r>
          <rPr>
            <sz val="9"/>
            <color indexed="81"/>
            <rFont val="Tahoma"/>
            <family val="2"/>
          </rPr>
          <t>https://www.microchip.com/investor/Pressrelease/MCHP%20Declares%20Quarterly%20Cash%20Dividend%20of%2035.8%20Cents%20per%20Share.080315.pdf</t>
        </r>
      </text>
    </comment>
    <comment ref="BE110" authorId="2">
      <text>
        <r>
          <rPr>
            <sz val="9"/>
            <color indexed="81"/>
            <rFont val="Tahoma"/>
            <family val="2"/>
          </rPr>
          <t>https://www.microchip.com/investor/Pressrelease/MCHP%20Announces%20Q2FY16%20Financial%20Results.110415.pdf</t>
        </r>
      </text>
    </comment>
    <comment ref="AZ125" authorId="3">
      <text>
        <r>
          <rPr>
            <sz val="9"/>
            <color indexed="81"/>
            <rFont val="Tahoma"/>
            <family val="2"/>
          </rPr>
          <t>$2.469 of Distributor revenue recognition adjustment input to match the GM and OM Non GAAP.</t>
        </r>
      </text>
    </comment>
    <comment ref="AU128" authorId="0">
      <text>
        <r>
          <rPr>
            <sz val="8"/>
            <color indexed="81"/>
            <rFont val="Tahoma"/>
            <family val="2"/>
          </rPr>
          <t>020713 - g - Non-GAAP GM of 55.75%-56.25%</t>
        </r>
      </text>
    </comment>
    <comment ref="AV128" authorId="0">
      <text>
        <r>
          <rPr>
            <sz val="8"/>
            <color indexed="81"/>
            <rFont val="Tahoma"/>
            <family val="2"/>
          </rPr>
          <t>050213 - g - Non-GAAP GM of 56.5-57.0%</t>
        </r>
      </text>
    </comment>
    <comment ref="AU131" authorId="0">
      <text>
        <r>
          <rPr>
            <sz val="8"/>
            <color indexed="81"/>
            <rFont val="Tahoma"/>
            <family val="2"/>
          </rPr>
          <t>020713 - g - Operating Expense, Non-GAAP 29.25-30.25%</t>
        </r>
      </text>
    </comment>
    <comment ref="AV131" authorId="0">
      <text>
        <r>
          <rPr>
            <sz val="8"/>
            <color indexed="81"/>
            <rFont val="Tahoma"/>
            <family val="2"/>
          </rPr>
          <t>050213 - g - Operating Expense, Non-GAAP 27.75-28.25%</t>
        </r>
      </text>
    </comment>
    <comment ref="AU136" authorId="0">
      <text>
        <r>
          <rPr>
            <sz val="8"/>
            <color indexed="81"/>
            <rFont val="Tahoma"/>
            <family val="2"/>
          </rPr>
          <t>020713 - g - NG $4.6m</t>
        </r>
      </text>
    </comment>
    <comment ref="AV136" authorId="0">
      <text>
        <r>
          <rPr>
            <sz val="8"/>
            <color indexed="81"/>
            <rFont val="Tahoma"/>
            <family val="2"/>
          </rPr>
          <t>050213 - g - Non-GAAP $5.8m</t>
        </r>
      </text>
    </comment>
    <comment ref="AU137" authorId="0">
      <text>
        <r>
          <rPr>
            <sz val="8"/>
            <color indexed="81"/>
            <rFont val="Tahoma"/>
            <family val="2"/>
          </rPr>
          <t>020713 - g - tax expense Non-GAAP of ~$8.7-10.0m</t>
        </r>
      </text>
    </comment>
    <comment ref="AV137" authorId="0">
      <text>
        <r>
          <rPr>
            <sz val="8"/>
            <color indexed="81"/>
            <rFont val="Tahoma"/>
            <family val="2"/>
          </rPr>
          <t>050213 - g - tax expense Non-GAAP of 10.5-11.5%</t>
        </r>
      </text>
    </comment>
    <comment ref="AU139" authorId="0">
      <text>
        <r>
          <rPr>
            <sz val="8"/>
            <color indexed="81"/>
            <rFont val="Tahoma"/>
            <family val="2"/>
          </rPr>
          <t>020713 - g - Net income Non-GAAP in range of $93.8-102.2m</t>
        </r>
      </text>
    </comment>
    <comment ref="AV139" authorId="0">
      <text>
        <r>
          <rPr>
            <sz val="8"/>
            <color indexed="81"/>
            <rFont val="Tahoma"/>
            <family val="2"/>
          </rPr>
          <t>050213 - g - Net income Non-GAAP in range of $104.6-114.2m</t>
        </r>
      </text>
    </comment>
    <comment ref="AU140" authorId="0">
      <text>
        <r>
          <rPr>
            <sz val="8"/>
            <color indexed="81"/>
            <rFont val="Tahoma"/>
            <family val="2"/>
          </rPr>
          <t>020713 - g - Non-GAAP EPS of 45-49 cents</t>
        </r>
      </text>
    </comment>
    <comment ref="AV140" authorId="0">
      <text>
        <r>
          <rPr>
            <sz val="8"/>
            <color indexed="81"/>
            <rFont val="Tahoma"/>
            <family val="2"/>
          </rPr>
          <t>020713 - g - Non-GAAP EPS of 50-54 cents</t>
        </r>
      </text>
    </comment>
  </commentList>
</comments>
</file>

<file path=xl/comments3.xml><?xml version="1.0" encoding="utf-8"?>
<comments xmlns="http://schemas.openxmlformats.org/spreadsheetml/2006/main">
  <authors>
    <author>josuev</author>
  </authors>
  <commentList>
    <comment ref="AU52" authorId="0">
      <text>
        <r>
          <rPr>
            <sz val="8"/>
            <color indexed="81"/>
            <rFont val="Tahoma"/>
            <family val="2"/>
          </rPr>
          <t>Inventory days to be 123-129 (Source: C4Q12 Press Release).</t>
        </r>
      </text>
    </comment>
  </commentList>
</comments>
</file>

<file path=xl/comments4.xml><?xml version="1.0" encoding="utf-8"?>
<comments xmlns="http://schemas.openxmlformats.org/spreadsheetml/2006/main">
  <authors>
    <author>josuev</author>
    <author>Gonzalez, Andres (Research)</author>
    <author>Alexander French</author>
  </authors>
  <commentList>
    <comment ref="AU52" authorId="0">
      <text>
        <r>
          <rPr>
            <sz val="8"/>
            <color indexed="81"/>
            <rFont val="Tahoma"/>
            <family val="2"/>
          </rPr>
          <t>Plug, since CF is not available in the PR (updated: 05/02/13)</t>
        </r>
      </text>
    </comment>
    <comment ref="AY52" authorId="0">
      <text>
        <r>
          <rPr>
            <sz val="8"/>
            <color indexed="81"/>
            <rFont val="Tahoma"/>
            <family val="2"/>
          </rPr>
          <t>Plug, since CF is not available in the PR (updated: 05/02/13)</t>
        </r>
      </text>
    </comment>
    <comment ref="AZ52" authorId="1">
      <text>
        <r>
          <rPr>
            <sz val="9"/>
            <color indexed="81"/>
            <rFont val="Tahoma"/>
            <family val="2"/>
          </rPr>
          <t>Plug as CFS is not relased in PR</t>
        </r>
      </text>
    </comment>
    <comment ref="AU64" authorId="0">
      <text>
        <r>
          <rPr>
            <sz val="8"/>
            <color indexed="81"/>
            <rFont val="Tahoma"/>
            <family val="2"/>
          </rPr>
          <t>CapEx to be ~$24m (C4Q12 Press Release, p. 5).</t>
        </r>
      </text>
    </comment>
    <comment ref="AY113" authorId="1">
      <text>
        <r>
          <rPr>
            <sz val="9"/>
            <color indexed="81"/>
            <rFont val="Tahoma"/>
            <family val="2"/>
          </rPr>
          <t>Includes Amortization of premium on available-for-sale investments and Unrealizaed impairment loss on available-for-sale investments</t>
        </r>
      </text>
    </comment>
    <comment ref="AZ113" authorId="1">
      <text>
        <r>
          <rPr>
            <sz val="9"/>
            <color indexed="81"/>
            <rFont val="Tahoma"/>
            <family val="2"/>
          </rPr>
          <t>Includes Amortization of premium on available-for-sale investments</t>
        </r>
      </text>
    </comment>
    <comment ref="AM127" authorId="0">
      <text>
        <r>
          <rPr>
            <sz val="8"/>
            <color indexed="81"/>
            <rFont val="Tahoma"/>
            <family val="2"/>
          </rPr>
          <t>Purchase of Silicon Storage Technology, Inc</t>
        </r>
      </text>
    </comment>
    <comment ref="AT127" authorId="0">
      <text>
        <r>
          <rPr>
            <sz val="8"/>
            <color indexed="81"/>
            <rFont val="Tahoma"/>
            <family val="2"/>
          </rPr>
          <t>Includes Acquisition of SMSC</t>
        </r>
      </text>
    </comment>
    <comment ref="AV135" authorId="2">
      <text>
        <r>
          <rPr>
            <sz val="8"/>
            <color indexed="81"/>
            <rFont val="Tahoma"/>
            <family val="2"/>
          </rPr>
          <t>Proceeds from borrowings on revolving loan under previous credit facility: $30m
Proceeds from borrowings on revolving loan under new credit facility:  $260m
Proceeds from issuance of long-term borrowings: $350m</t>
        </r>
      </text>
    </comment>
    <comment ref="AV136" authorId="2">
      <text>
        <r>
          <rPr>
            <sz val="8"/>
            <color indexed="81"/>
            <rFont val="Tahoma"/>
            <family val="2"/>
          </rPr>
          <t>Repayments of revolving loan under previous credit facility</t>
        </r>
      </text>
    </comment>
    <comment ref="AV141" authorId="2">
      <text>
        <r>
          <rPr>
            <sz val="8"/>
            <color indexed="81"/>
            <rFont val="Tahoma"/>
            <family val="2"/>
          </rPr>
          <t>Deferred financing costs: -$7.515m
Capital lease payments: -$0.044m</t>
        </r>
      </text>
    </comment>
    <comment ref="AY141" authorId="1">
      <text>
        <r>
          <rPr>
            <sz val="9"/>
            <color indexed="81"/>
            <rFont val="Tahoma"/>
            <family val="2"/>
          </rPr>
          <t>Includes Proceeds from issuance of long-term borrowings and Deferred financing costs</t>
        </r>
      </text>
    </comment>
    <comment ref="AZ141" authorId="1">
      <text>
        <r>
          <rPr>
            <sz val="9"/>
            <color indexed="81"/>
            <rFont val="Tahoma"/>
            <family val="2"/>
          </rPr>
          <t>Repayments of long term borrowings</t>
        </r>
      </text>
    </comment>
    <comment ref="BB141" authorId="1">
      <text>
        <r>
          <rPr>
            <sz val="9"/>
            <color indexed="81"/>
            <rFont val="Tahoma"/>
            <family val="2"/>
          </rPr>
          <t>Repayments of long term debt</t>
        </r>
      </text>
    </comment>
  </commentList>
</comments>
</file>

<file path=xl/sharedStrings.xml><?xml version="1.0" encoding="utf-8"?>
<sst xmlns="http://schemas.openxmlformats.org/spreadsheetml/2006/main" count="1262" uniqueCount="961">
  <si>
    <t>COGS - GAAP</t>
  </si>
  <si>
    <t>COGS - MW</t>
  </si>
  <si>
    <t>Gross Profit - MW</t>
  </si>
  <si>
    <t>Gross Margin - MW</t>
  </si>
  <si>
    <t>R&amp;D - MW</t>
  </si>
  <si>
    <t>Other OpEx - MW</t>
  </si>
  <si>
    <t>Operating Expenses - MW</t>
  </si>
  <si>
    <t>Operating Income - MW</t>
  </si>
  <si>
    <t>Operating Margin MW%</t>
  </si>
  <si>
    <t>Other income (expense), net</t>
  </si>
  <si>
    <t>Total Interest Income (net) and Other Income - MW</t>
  </si>
  <si>
    <t>PBT - MW</t>
  </si>
  <si>
    <t>Taxes-SBC</t>
  </si>
  <si>
    <t>Taxes-Extraordinary</t>
  </si>
  <si>
    <t>Income Tax Expense (Benefit) - MW</t>
  </si>
  <si>
    <t>Effective tax rate MW</t>
  </si>
  <si>
    <t>EPS - GAAP</t>
  </si>
  <si>
    <t>Dividends Declared Per Share</t>
  </si>
  <si>
    <t>Statutory Tax (%)</t>
  </si>
  <si>
    <t>Operating Expenses</t>
  </si>
  <si>
    <t>Actual/Estimate Toggle</t>
  </si>
  <si>
    <t>Fiscal Year</t>
  </si>
  <si>
    <t>Fiscal Quarter</t>
  </si>
  <si>
    <t>Calendar Year</t>
  </si>
  <si>
    <t>Calendar Quarter</t>
  </si>
  <si>
    <t>USD</t>
  </si>
  <si>
    <t>E</t>
  </si>
  <si>
    <t>Assets</t>
  </si>
  <si>
    <t>Cash and cash equivalents</t>
  </si>
  <si>
    <t>Accounts receivables, net</t>
  </si>
  <si>
    <t>Total Current Assets</t>
  </si>
  <si>
    <t>Goodwill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</si>
  <si>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</si>
  <si>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</si>
  <si>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</si>
  <si>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</si>
  <si>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</si>
  <si>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</si>
  <si>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</si>
  <si>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</si>
  <si>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</si>
  <si>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</si>
  <si>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</si>
  <si>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</si>
  <si>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</si>
  <si>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</si>
  <si>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</si>
  <si>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</si>
  <si>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</si>
  <si>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</si>
  <si>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</si>
  <si>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</si>
  <si>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</si>
  <si>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</si>
  <si>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</si>
  <si>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</si>
  <si>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</si>
  <si>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Net working capital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</si>
  <si>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</si>
  <si>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</si>
  <si>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</si>
  <si>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</si>
  <si>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</si>
  <si>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Changes in current assets and liabilities:</t>
  </si>
  <si>
    <t>Accounts receivable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</si>
  <si>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</si>
  <si>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</si>
  <si>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</si>
  <si>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</si>
  <si>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</si>
  <si>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</si>
  <si>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</si>
  <si>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</si>
  <si>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</si>
  <si>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</si>
  <si>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</si>
  <si>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</si>
  <si>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</si>
  <si>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</si>
  <si>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</si>
  <si>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</si>
  <si>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</si>
  <si>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</si>
  <si>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</si>
  <si>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</si>
  <si>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</si>
  <si>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</si>
  <si>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</si>
  <si>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</si>
  <si>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</si>
  <si>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Adjusted FCF</t>
  </si>
  <si>
    <t>Other financing activities</t>
  </si>
  <si>
    <t>Revenue</t>
  </si>
  <si>
    <t>Gross Margin</t>
  </si>
  <si>
    <t>GAAP Net Income</t>
  </si>
  <si>
    <t>BRCM.O,mscalc:sedolCodeCalc</t>
  </si>
  <si>
    <t>BRCM.O,mscalc:closePriceCurrencyCalc</t>
  </si>
  <si>
    <t>BRCM.O,mscalc:targetPrice,,,,USD</t>
  </si>
  <si>
    <t>Q-o-Q growth</t>
  </si>
  <si>
    <t>Y-o-Y growth</t>
  </si>
  <si>
    <t>Percent of Revenue</t>
  </si>
  <si>
    <t>Total Bottoms Up Revenue</t>
  </si>
  <si>
    <t>Actual Revenue from Income Statement</t>
  </si>
  <si>
    <t>BU / Income Statement Check</t>
  </si>
  <si>
    <t>This sheet contains Factset binary data for use with this workbook's =FDS codes.  Modifying the worksheet's contents may damage the workbook's =FDS functionality.</t>
  </si>
  <si>
    <t>COGS</t>
  </si>
  <si>
    <t>Difference</t>
  </si>
  <si>
    <t>Gross Profit</t>
  </si>
  <si>
    <t>R&amp;D</t>
  </si>
  <si>
    <t>SG&amp;A</t>
  </si>
  <si>
    <t>Operating Income</t>
  </si>
  <si>
    <t>Operating Margin</t>
  </si>
  <si>
    <t>Interest expense</t>
  </si>
  <si>
    <t>Tax Rate</t>
  </si>
  <si>
    <t>Net Income</t>
  </si>
  <si>
    <t>EPS</t>
  </si>
  <si>
    <t>2235822</t>
  </si>
  <si>
    <t>48</t>
  </si>
  <si>
    <t>TXN.N,mscalc:sedolCodeCalc</t>
  </si>
  <si>
    <t>TXN.N,mscalc:closePriceCurrencyCalc</t>
  </si>
  <si>
    <t>TXN.N,mscalc:targetPrice,,,,USD</t>
  </si>
  <si>
    <t>NA</t>
  </si>
  <si>
    <t>Currency</t>
  </si>
  <si>
    <t>Current Stock Price</t>
  </si>
  <si>
    <t>Count</t>
  </si>
  <si>
    <t>Restricted cash</t>
  </si>
  <si>
    <t>Percent Gross Margin</t>
  </si>
  <si>
    <t>Total Bottoms Up Gross Margin</t>
  </si>
  <si>
    <t>Actual Gross Margin from Income Statement</t>
  </si>
  <si>
    <t>Adjustments to reconcile net income to net cash</t>
  </si>
  <si>
    <t>INTC.O,mscalc:targetPrice,,,,USD</t>
  </si>
  <si>
    <t>INTC.O,mscalc:closePriceCurrencyCalc</t>
  </si>
  <si>
    <t>INTC.O,mscalc:sedolCodeCalc</t>
  </si>
  <si>
    <t>Other</t>
  </si>
  <si>
    <t>Increase (decrease) in short-term debt, net</t>
  </si>
  <si>
    <t>Income taxes payable and receivable</t>
  </si>
  <si>
    <t>Other assets and liabilities</t>
  </si>
  <si>
    <t>Actual Operating Income from Income Statement</t>
  </si>
  <si>
    <t>100% Check</t>
  </si>
  <si>
    <t xml:space="preserve">Total </t>
  </si>
  <si>
    <t>Revenues by Geography ($)</t>
  </si>
  <si>
    <t>Revenues by Geography (%)</t>
  </si>
  <si>
    <t>Europe</t>
  </si>
  <si>
    <t>AMD.N,mscalc:targetPrice,,,,USD</t>
  </si>
  <si>
    <t>AMD.N,mscalc:sedolCodeCalc</t>
  </si>
  <si>
    <t>AMD.N,mscalc:closePriceCurrencyCalc</t>
  </si>
  <si>
    <t>Treasury stock</t>
  </si>
  <si>
    <t>Noncontrolling interest</t>
  </si>
  <si>
    <t>Repurchase of noncontrolling interest</t>
  </si>
  <si>
    <t>NVDA.O,mscalc:targetPrice,,,,USD</t>
  </si>
  <si>
    <t>NVDA.O,mscalc:sedolCodeCalc</t>
  </si>
  <si>
    <t>NVDA.O,mscalc:closePriceCurrencyCalc</t>
  </si>
  <si>
    <t>Intangible assets, net</t>
  </si>
  <si>
    <t>ADI.N,mscalc:closePriceCurrencyCalc</t>
  </si>
  <si>
    <t>ADI.N,mscalc:sedolCodeCalc</t>
  </si>
  <si>
    <t>ADI.N,mscalc:targetPrice,,,,USD</t>
  </si>
  <si>
    <t>ADI.N,mscalc:targetPrice</t>
  </si>
  <si>
    <t>,mscalc:closePriceCurrencyCalc</t>
  </si>
  <si>
    <t>,mscalc:sedolCodeCalc</t>
  </si>
  <si>
    <t>,mscalc:targetPrice,,,,USD</t>
  </si>
  <si>
    <t>Deferred tax assets</t>
  </si>
  <si>
    <t>Property, plant and equipment, net</t>
  </si>
  <si>
    <t>Other non-cash activities</t>
  </si>
  <si>
    <t>MXIM.O,mscalc:targetPrice</t>
  </si>
  <si>
    <t>MXIM.O,mscalc:closePriceCurrencyCalc</t>
  </si>
  <si>
    <t>MXIM.O,mscalc:targetPrice,,,,USD</t>
  </si>
  <si>
    <t>MXIM.O,mscalc:sedolCodeCalc</t>
  </si>
  <si>
    <t>Deferred income on shipments to distributors</t>
  </si>
  <si>
    <t>Depreciation and amortization</t>
  </si>
  <si>
    <t>LLTC.O,mscalc:closePriceCurrencyCalc</t>
  </si>
  <si>
    <t>LLTC.O,mscalc:sedolCodeCalc</t>
  </si>
  <si>
    <t>LLTC.O,mscalc:targetPrice</t>
  </si>
  <si>
    <t>LLTC.O,mscalc:targetPrice,,,,USD</t>
  </si>
  <si>
    <t>Other current liabilities</t>
  </si>
  <si>
    <t>Payments of cash dividends</t>
  </si>
  <si>
    <t>Accounts payable, accrued payroll, other accrued liabilities</t>
  </si>
  <si>
    <t>Retirement of convertible senior notes</t>
  </si>
  <si>
    <t xml:space="preserve"> </t>
  </si>
  <si>
    <t>Long-term investments</t>
  </si>
  <si>
    <t>TER.N,mscalc:sedolCodeCalc</t>
  </si>
  <si>
    <t>2884183</t>
  </si>
  <si>
    <t>VECO.O,mscalc:sedolCodeCalc</t>
  </si>
  <si>
    <t>2938422</t>
  </si>
  <si>
    <t>TER.N,mscalc:targetPrice,,,,USD</t>
  </si>
  <si>
    <t>10</t>
  </si>
  <si>
    <t>AMAT.O,mscalc:closePriceCurrencyCalc</t>
  </si>
  <si>
    <t>LRCX.O,mscalc:sedolCodeCalc</t>
  </si>
  <si>
    <t>2502247</t>
  </si>
  <si>
    <t>LRCX.O,mscalc:targetPrice,,,,USD</t>
  </si>
  <si>
    <t>49</t>
  </si>
  <si>
    <t>AMAT.O,mscalc:sedolCodeCalc</t>
  </si>
  <si>
    <t>2046552</t>
  </si>
  <si>
    <t>NVLS.O,mscalc:closePriceCurrencyCalc</t>
  </si>
  <si>
    <t>TER.N,mscalc:closePriceCurrencyCalc</t>
  </si>
  <si>
    <t>TER.N,mscalc:factsetIdCalc</t>
  </si>
  <si>
    <t>TER</t>
  </si>
  <si>
    <t>LRCX.O,mscalc:closePriceCurrencyCalc</t>
  </si>
  <si>
    <t>NVLS.O,mscalc:targetPrice,,,,USD</t>
  </si>
  <si>
    <t>NVLS.O,mscalc:sedolCodeCalc</t>
  </si>
  <si>
    <t>VECO.O,mscalc:targetPrice,,,,USD</t>
  </si>
  <si>
    <t>VECO.O,mscalc:closePriceCurrencyCalc</t>
  </si>
  <si>
    <t>AMAT.O,mscalc:targetPrice,,,,USD</t>
  </si>
  <si>
    <t>2650748</t>
  </si>
  <si>
    <t>EPS - Consensus</t>
  </si>
  <si>
    <t>Gross Margins</t>
  </si>
  <si>
    <t>Bottoms Up Segment Model Build</t>
  </si>
  <si>
    <t>Revenues by Product ($)</t>
  </si>
  <si>
    <t>Revenues by Product (%)</t>
  </si>
  <si>
    <t>Key Metrics</t>
  </si>
  <si>
    <t>Bookings</t>
  </si>
  <si>
    <t>Analog</t>
  </si>
  <si>
    <t>Key Markets by Revenue ($)</t>
  </si>
  <si>
    <t>Key Markets by Units (in millions)</t>
  </si>
  <si>
    <t>Key Markets by ASP ($ per Unit)</t>
  </si>
  <si>
    <t>Average</t>
  </si>
  <si>
    <t>Internal wafer fabrication capacity (%)</t>
  </si>
  <si>
    <t>Variable cost portion</t>
  </si>
  <si>
    <t>Profit sharing portion</t>
  </si>
  <si>
    <t>Depreciation</t>
  </si>
  <si>
    <t>Other fixed costs</t>
  </si>
  <si>
    <t>5 year average Q-o-Q growth</t>
  </si>
  <si>
    <t>COGS Worksheet:</t>
  </si>
  <si>
    <t>% of Revenues</t>
  </si>
  <si>
    <t>Gross Margin %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</si>
  <si>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</si>
  <si>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</si>
  <si>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</si>
  <si>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</si>
  <si>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</si>
  <si>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</si>
  <si>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</si>
  <si>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</si>
  <si>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</si>
  <si>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</si>
  <si>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</si>
  <si>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</si>
  <si>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</si>
  <si>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</si>
  <si>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</si>
  <si>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</si>
  <si>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</si>
  <si>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</si>
  <si>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</si>
  <si>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</si>
  <si>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</si>
  <si>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</si>
  <si>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</si>
  <si>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</si>
  <si>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</si>
  <si>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</si>
  <si>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</si>
  <si>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C3Q13E</t>
  </si>
  <si>
    <t>C1Q14E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</si>
  <si>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</si>
  <si>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</si>
  <si>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</si>
  <si>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</si>
  <si>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</si>
  <si>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</si>
  <si>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</si>
  <si>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</si>
  <si>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</si>
  <si>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</si>
  <si>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</si>
  <si>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</si>
  <si>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</si>
  <si>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</si>
  <si>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</si>
  <si>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</si>
  <si>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</si>
  <si>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</si>
  <si>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</si>
  <si>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</si>
  <si>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</si>
  <si>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</si>
  <si>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</si>
  <si>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</si>
  <si>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</si>
  <si>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</si>
  <si>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F3Q12A</t>
  </si>
  <si>
    <t>FY2006A</t>
  </si>
  <si>
    <t>FY2007A</t>
  </si>
  <si>
    <t>FY2008A</t>
  </si>
  <si>
    <t>FY2009A</t>
  </si>
  <si>
    <t>FY2010A</t>
  </si>
  <si>
    <t>FY2011A</t>
  </si>
  <si>
    <t>FY2018E</t>
  </si>
  <si>
    <t>FY2019E</t>
  </si>
  <si>
    <t>FY2020E</t>
  </si>
  <si>
    <t>2516839</t>
  </si>
  <si>
    <t>F4Q12A</t>
  </si>
  <si>
    <t>C2Q12A</t>
  </si>
  <si>
    <t>FY2012A</t>
  </si>
  <si>
    <t>Company</t>
  </si>
  <si>
    <t>Q/Q Change</t>
  </si>
  <si>
    <t>Stock Based Compensation</t>
  </si>
  <si>
    <t>COGs</t>
  </si>
  <si>
    <t>Subtotal</t>
  </si>
  <si>
    <t>Y/Y Change</t>
  </si>
  <si>
    <t>% of Revs.</t>
  </si>
  <si>
    <t>Average Basic Shares</t>
  </si>
  <si>
    <t>Average Diluted Shares</t>
  </si>
  <si>
    <t>% of Rev. Growth</t>
  </si>
  <si>
    <t>One-time Items</t>
  </si>
  <si>
    <t>SG&amp;A - MW</t>
  </si>
  <si>
    <t>Other OpEx</t>
  </si>
  <si>
    <t>Debt &amp; Interest Schedule</t>
  </si>
  <si>
    <t>Interest Income</t>
  </si>
  <si>
    <t>PBT</t>
  </si>
  <si>
    <t>Cash &amp; Equivalents</t>
  </si>
  <si>
    <t>Marketable Securities</t>
  </si>
  <si>
    <t>Beginning of Period</t>
  </si>
  <si>
    <t>End of Period</t>
  </si>
  <si>
    <t>Interest Rate</t>
  </si>
  <si>
    <t>Effective Interest Rates</t>
  </si>
  <si>
    <t>Coupon Interest Rates</t>
  </si>
  <si>
    <t>Principal Amounts</t>
  </si>
  <si>
    <t>Amortization</t>
  </si>
  <si>
    <t>Effective Interest Expense</t>
  </si>
  <si>
    <t>Coupon Interest Expense</t>
  </si>
  <si>
    <t>Book Value</t>
  </si>
  <si>
    <t>Interest Expense</t>
  </si>
  <si>
    <t>Net Income - MW</t>
  </si>
  <si>
    <t>Total Interest Income (net) and Other Income</t>
  </si>
  <si>
    <t>Income Tax Expense (Benefit)</t>
  </si>
  <si>
    <t>Effective Tax Rate</t>
  </si>
  <si>
    <t>Consensus Revs.</t>
  </si>
  <si>
    <t>EPS - MW</t>
  </si>
  <si>
    <t>Debt Issuance Cost</t>
  </si>
  <si>
    <t>Last 3 Years Avg. Quarterly Dilution</t>
  </si>
  <si>
    <t>Extraordinary Items</t>
  </si>
  <si>
    <t>Period End Shares (Do not delete)</t>
  </si>
  <si>
    <t>Share Count and Dividend Summary</t>
  </si>
  <si>
    <t>C3Q12A</t>
  </si>
  <si>
    <t>F1Q13A</t>
  </si>
  <si>
    <t>Book Value per Share</t>
  </si>
  <si>
    <t>Tangible Book Value</t>
  </si>
  <si>
    <t>Tangible Book Value per Share</t>
  </si>
  <si>
    <t>Net Cash</t>
  </si>
  <si>
    <t>Principal Value of Debt</t>
  </si>
  <si>
    <t>Net Cash per Share</t>
  </si>
  <si>
    <t>C4Q12A</t>
  </si>
  <si>
    <t>F2Q13A</t>
  </si>
  <si>
    <t>MCHP.O</t>
  </si>
  <si>
    <t>Microchip Technology Inc.</t>
  </si>
  <si>
    <t>MCHP.O,mscalc:closePriceCurrencyCalc</t>
  </si>
  <si>
    <t>MCHP.O,mscalc:sedolCodeCalc</t>
  </si>
  <si>
    <t>MCHP.O,mscalc:targetPrice,,,,USD</t>
  </si>
  <si>
    <t>$CT$2</t>
  </si>
  <si>
    <t>Microchip Technology Inc. Balance Sheet</t>
  </si>
  <si>
    <t>Microchip Technology Inc. Bottoms Up Model</t>
  </si>
  <si>
    <t>Microchip Statement of Cash Flows (Non Cumulative)</t>
  </si>
  <si>
    <t>Microchip Statement of Cash Flows (Cumulative)</t>
  </si>
  <si>
    <t>MCHP</t>
  </si>
  <si>
    <t>($ in millions; fiscal year ends in March)</t>
  </si>
  <si>
    <t>C2Q05A</t>
  </si>
  <si>
    <t>Semiconductor products</t>
  </si>
  <si>
    <t>Technology licensing</t>
  </si>
  <si>
    <t>Amortization of acquired intangible assets</t>
  </si>
  <si>
    <t>Special charges (income)</t>
  </si>
  <si>
    <t>Short-term investments</t>
  </si>
  <si>
    <t>Inventories</t>
  </si>
  <si>
    <t>Other current assets</t>
  </si>
  <si>
    <t>Accrued liabilities</t>
  </si>
  <si>
    <t>Long-term line of credit</t>
  </si>
  <si>
    <t>Long-term income tax payable</t>
  </si>
  <si>
    <t>Other long-term liabilities</t>
  </si>
  <si>
    <t>F3Q13A</t>
  </si>
  <si>
    <t>Prepaid expenses</t>
  </si>
  <si>
    <t>Other assets</t>
  </si>
  <si>
    <t>Proceeds from sale of common stock</t>
  </si>
  <si>
    <t>Proceeds from borrowings on line of credit</t>
  </si>
  <si>
    <t>Purchase of available-for-sale investments</t>
  </si>
  <si>
    <t>Sales and maturities of available-for-sale investments</t>
  </si>
  <si>
    <t>Proceeds from sale of assets</t>
  </si>
  <si>
    <t>Capital expenditures</t>
  </si>
  <si>
    <t>Acquisitions, net of cash acquired</t>
  </si>
  <si>
    <t>Investment in other assets</t>
  </si>
  <si>
    <t>Deferred income taxes</t>
  </si>
  <si>
    <t>Share-based compensation expense</t>
  </si>
  <si>
    <t>Excess tax benefit from share-based compensation</t>
  </si>
  <si>
    <t>Amortization of convertible debenture - others</t>
  </si>
  <si>
    <t>Losses on equity method investments</t>
  </si>
  <si>
    <t>Gross Profit by Segment</t>
  </si>
  <si>
    <t>Revenues by Segment ($)</t>
  </si>
  <si>
    <t>Revenues by Segment (%)</t>
  </si>
  <si>
    <t>Gross Profit by Segment (%)</t>
  </si>
  <si>
    <t>Microcontrollers</t>
  </si>
  <si>
    <t>Memory</t>
  </si>
  <si>
    <t>Analog and interface</t>
  </si>
  <si>
    <t>Americas</t>
  </si>
  <si>
    <t>Asia</t>
  </si>
  <si>
    <t>Other income (expense), net (1x)</t>
  </si>
  <si>
    <t>Non-GAAP Measures</t>
  </si>
  <si>
    <t>Other Expense</t>
  </si>
  <si>
    <t>Income Tax Expense</t>
  </si>
  <si>
    <t>Non-GAAP EPS</t>
  </si>
  <si>
    <t>Percentage of Revenue</t>
  </si>
  <si>
    <t>EPS - Non-GAAP</t>
  </si>
  <si>
    <t>Backlog</t>
  </si>
  <si>
    <t>Revenues by Customer/Distributor ($)</t>
  </si>
  <si>
    <t>Future Electronics</t>
  </si>
  <si>
    <t>Revenues by Customer/Distributor (%)</t>
  </si>
  <si>
    <t>Net Income - Non-GAAP</t>
  </si>
  <si>
    <t>Gains on equity method investments</t>
  </si>
  <si>
    <t>Short-Term Debt</t>
  </si>
  <si>
    <t>Income tax payable</t>
  </si>
  <si>
    <t>Other current assets % of Revenues</t>
  </si>
  <si>
    <t>Repurchase of common stock</t>
  </si>
  <si>
    <t>Distribution</t>
  </si>
  <si>
    <t>Customers</t>
  </si>
  <si>
    <t>Overall Gross Profit</t>
  </si>
  <si>
    <t>Reconciliations</t>
  </si>
  <si>
    <t>Reconciliation of GAAP to MS Modelware</t>
  </si>
  <si>
    <t>Amortization of Intangibles</t>
  </si>
  <si>
    <t>One-time items</t>
  </si>
  <si>
    <t>Tax Effect</t>
  </si>
  <si>
    <t>Modelware Net Income</t>
  </si>
  <si>
    <t>Non-GAAP Net Income</t>
  </si>
  <si>
    <t>Included in COGs</t>
  </si>
  <si>
    <t>Included in Other OpEx</t>
  </si>
  <si>
    <t>Reconciliation of GAAP to MCHP Non-GAAP</t>
  </si>
  <si>
    <t>Net Income - GAAP</t>
  </si>
  <si>
    <t>Distributors</t>
  </si>
  <si>
    <t>2.125% Junior Subordinated Conv. Debentures due 2027</t>
  </si>
  <si>
    <t>F1Q03A</t>
  </si>
  <si>
    <t>F2Q03A</t>
  </si>
  <si>
    <t>F3Q03A</t>
  </si>
  <si>
    <t>F4Q03A</t>
  </si>
  <si>
    <t>F1Q04A</t>
  </si>
  <si>
    <t>F2Q04A</t>
  </si>
  <si>
    <t>F3Q04A</t>
  </si>
  <si>
    <t>F4Q04A</t>
  </si>
  <si>
    <t>F1Q05A</t>
  </si>
  <si>
    <t>F2Q05A</t>
  </si>
  <si>
    <t>F3Q05A</t>
  </si>
  <si>
    <t>F4Q05A</t>
  </si>
  <si>
    <t>C2Q02A</t>
  </si>
  <si>
    <t>C3Q02A</t>
  </si>
  <si>
    <t>C4Q02A</t>
  </si>
  <si>
    <t>C1Q03A</t>
  </si>
  <si>
    <t>C2Q03A</t>
  </si>
  <si>
    <t>C3Q03A</t>
  </si>
  <si>
    <t>C4Q03A</t>
  </si>
  <si>
    <t>C1Q04A</t>
  </si>
  <si>
    <t>C2Q04A</t>
  </si>
  <si>
    <t>C3Q04A</t>
  </si>
  <si>
    <t>C4Q04A</t>
  </si>
  <si>
    <t>C1Q05A</t>
  </si>
  <si>
    <t>FY2005A</t>
  </si>
  <si>
    <t>FY2004A</t>
  </si>
  <si>
    <t>FY2003A</t>
  </si>
  <si>
    <t>F4Q13A</t>
  </si>
  <si>
    <t>Total Cash &amp; Investments</t>
  </si>
  <si>
    <t>Total debt</t>
  </si>
  <si>
    <t>Average Debt</t>
  </si>
  <si>
    <t>EBITDA</t>
  </si>
  <si>
    <t>EBIT (MW)</t>
  </si>
  <si>
    <t>Plus: D&amp;A</t>
  </si>
  <si>
    <t>Less: amortization of intangibles in other opex</t>
  </si>
  <si>
    <t>EBITDA (from IS)</t>
  </si>
  <si>
    <t>Less: Taxes</t>
  </si>
  <si>
    <t>Less: Capex</t>
  </si>
  <si>
    <t>Less: Net Interest expense</t>
  </si>
  <si>
    <t>Cash Flow from Ops less Capex</t>
  </si>
  <si>
    <t>Cash Flow from Ops less Capex + SBC</t>
  </si>
  <si>
    <t>Microchip GAAP Income Statement</t>
  </si>
  <si>
    <t>F1Q14A</t>
  </si>
  <si>
    <t>C1Q13A</t>
  </si>
  <si>
    <t>C2Q13A</t>
  </si>
  <si>
    <t>2592174</t>
  </si>
  <si>
    <t>F2Q14A</t>
  </si>
  <si>
    <t>FY2013A</t>
  </si>
  <si>
    <t>CY2003</t>
  </si>
  <si>
    <t>CY2004</t>
  </si>
  <si>
    <t>CY2005</t>
  </si>
  <si>
    <t>CY2006</t>
  </si>
  <si>
    <t>CY2007</t>
  </si>
  <si>
    <t>CY2008</t>
  </si>
  <si>
    <t>CY2009</t>
  </si>
  <si>
    <t>CY2010</t>
  </si>
  <si>
    <t>CY2011</t>
  </si>
  <si>
    <t>CY2012</t>
  </si>
  <si>
    <t>CY2013</t>
  </si>
  <si>
    <t>CY2014</t>
  </si>
  <si>
    <t>Average Diluted Shares - GAAP</t>
  </si>
  <si>
    <t>Gross Margin Non GAAP</t>
  </si>
  <si>
    <t>Gross Margin % Non GAAP</t>
  </si>
  <si>
    <t>Operating Expenses Non GAAP</t>
  </si>
  <si>
    <t>Operating Income Non GAAP</t>
  </si>
  <si>
    <t>Net IncomeNon GAAP</t>
  </si>
  <si>
    <t>Average Diluted Shares -Non GAAP</t>
  </si>
  <si>
    <t>C4Q13A</t>
  </si>
  <si>
    <t>F3Q14A</t>
  </si>
  <si>
    <t>CY2015</t>
  </si>
  <si>
    <t>CY2016</t>
  </si>
  <si>
    <t>New</t>
  </si>
  <si>
    <t>GM</t>
  </si>
  <si>
    <t>F4Q14A</t>
  </si>
  <si>
    <t>FY2014A</t>
  </si>
  <si>
    <t>C2Q14A</t>
  </si>
  <si>
    <t>F1Q15A</t>
  </si>
  <si>
    <t>Net Income from Noncontrolling Interest</t>
  </si>
  <si>
    <t>Net Income as Reported - MW</t>
  </si>
  <si>
    <t>F2Q15A</t>
  </si>
  <si>
    <t>C3Q14A</t>
  </si>
  <si>
    <t>C4Q14A</t>
  </si>
  <si>
    <t>F3Q15A</t>
  </si>
  <si>
    <t>Convertible debt</t>
  </si>
  <si>
    <t>C1Q15A</t>
  </si>
  <si>
    <t>F4Q15A</t>
  </si>
  <si>
    <t>Opex</t>
  </si>
  <si>
    <t>Operating profit</t>
  </si>
  <si>
    <t>Taxes</t>
  </si>
  <si>
    <t>Share Count</t>
  </si>
  <si>
    <t>FY2015A</t>
  </si>
  <si>
    <t>C1Q18E</t>
  </si>
  <si>
    <t>F4Q18E</t>
  </si>
  <si>
    <t>Synergies</t>
  </si>
  <si>
    <t>Accretion %</t>
  </si>
  <si>
    <t>OM%</t>
  </si>
  <si>
    <t>Opex%</t>
  </si>
  <si>
    <t>GM%</t>
  </si>
  <si>
    <t>Leverage</t>
  </si>
  <si>
    <t>CY2017</t>
  </si>
  <si>
    <t>United States</t>
  </si>
  <si>
    <t>Total</t>
  </si>
  <si>
    <t>C2Q18E</t>
  </si>
  <si>
    <t>C3Q18E</t>
  </si>
  <si>
    <t>C4Q18E</t>
  </si>
  <si>
    <t>C1Q19E</t>
  </si>
  <si>
    <t>F1Q19E</t>
  </si>
  <si>
    <t>F2Q19E</t>
  </si>
  <si>
    <t>F3Q19E</t>
  </si>
  <si>
    <t>F4Q19E</t>
  </si>
  <si>
    <t>Technology licensing &amp; Others Revenue</t>
  </si>
  <si>
    <t>Technology licensing &amp; Others Gross Margin</t>
  </si>
  <si>
    <t>R&amp;D excl Synergies</t>
  </si>
  <si>
    <t>SG&amp;A excl Synergies</t>
  </si>
  <si>
    <t>MMO Revenue</t>
  </si>
  <si>
    <t>MMO Gross Margin</t>
  </si>
  <si>
    <t>MMO</t>
  </si>
  <si>
    <t>CY2018</t>
  </si>
  <si>
    <t>FY2016A</t>
  </si>
  <si>
    <t>F4Q16A</t>
  </si>
  <si>
    <t>C1Q16A</t>
  </si>
  <si>
    <t>F1Q17A</t>
  </si>
  <si>
    <t>C2Q16A</t>
  </si>
  <si>
    <t>C2Q15A</t>
  </si>
  <si>
    <t>C3Q15A</t>
  </si>
  <si>
    <t>C4Q15A</t>
  </si>
  <si>
    <t>F3Q16A</t>
  </si>
  <si>
    <t>F2Q16A</t>
  </si>
  <si>
    <t>F1Q16A</t>
  </si>
  <si>
    <t>F2Q17A</t>
  </si>
  <si>
    <t>C3Q16A</t>
  </si>
  <si>
    <t>F3Q17A</t>
  </si>
  <si>
    <t>C4Q16A</t>
  </si>
  <si>
    <t>C1Q17A</t>
  </si>
  <si>
    <t>F4Q17A</t>
  </si>
  <si>
    <t>F1Q18A</t>
  </si>
  <si>
    <t>C2Q17A</t>
  </si>
  <si>
    <t>C2Q19E</t>
  </si>
  <si>
    <t>C3Q19E</t>
  </si>
  <si>
    <t>C4Q19E</t>
  </si>
  <si>
    <t>C1Q20E</t>
  </si>
  <si>
    <t>F1Q20E</t>
  </si>
  <si>
    <t>F2Q20E</t>
  </si>
  <si>
    <t>F3Q20E</t>
  </si>
  <si>
    <t>F4Q20E</t>
  </si>
  <si>
    <t>FY2017A</t>
  </si>
  <si>
    <t>CY2019</t>
  </si>
  <si>
    <t>C3Q17A</t>
  </si>
  <si>
    <t>F2Q18A</t>
  </si>
  <si>
    <t>C4Q17A</t>
  </si>
  <si>
    <t>F3Q18A</t>
  </si>
  <si>
    <t>99</t>
  </si>
  <si>
    <t>MSCC</t>
  </si>
  <si>
    <t>% of total costs</t>
  </si>
  <si>
    <t>Offer price</t>
  </si>
  <si>
    <t>Cash</t>
  </si>
  <si>
    <t>Total without Synergies</t>
  </si>
  <si>
    <t>Net Leverage without Synergies</t>
  </si>
  <si>
    <t>MCHP+MSCC</t>
  </si>
  <si>
    <t>Cost Savings ($mn)</t>
  </si>
  <si>
    <t>Equity value ($mn)</t>
  </si>
  <si>
    <t>Financing</t>
  </si>
  <si>
    <t>Debt</t>
  </si>
  <si>
    <t>Amount ($mn)</t>
  </si>
  <si>
    <t>Net Leverage with Synergies</t>
  </si>
  <si>
    <t>Total with Synergies</t>
  </si>
  <si>
    <t>Interest ($mn) / Shares (mn)</t>
  </si>
  <si>
    <t>Net Debt ($mn)</t>
  </si>
  <si>
    <t>TTM EBITDA ($mn)</t>
  </si>
  <si>
    <t>EPS Accretion</t>
  </si>
  <si>
    <t xml:space="preserve">* The company expects to exit FY19 at an EPS accretion run rate of $0.75 and achieve $300mn of synergies across COGs, opex and sales by FY21 (ends Mar'21). For this analysis, we assume MCHP realizes $175mn in cost savings in CY19. </t>
  </si>
  <si>
    <t>Research</t>
  </si>
  <si>
    <t xml:space="preserve">                            </t>
  </si>
  <si>
    <t xml:space="preserve">            Manual Calculation            </t>
  </si>
  <si>
    <t xml:space="preserve">              Manual Calculation              </t>
  </si>
  <si>
    <t xml:space="preserve">             Manual Calculation             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</si>
  <si>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</si>
  <si>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</si>
  <si>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</si>
  <si>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</si>
  <si>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</si>
  <si>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</si>
  <si>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Moore, Vinayak Rao</t>
  </si>
  <si>
    <t>Date: 05 Mar 2018</t>
  </si>
  <si>
    <t>Ticker: MCHP.O</t>
  </si>
  <si>
    <t>Stock Rating: Equal-Weight</t>
  </si>
  <si>
    <t>Industry: Semiconductors</t>
  </si>
  <si>
    <t>Industry View: In-Line</t>
  </si>
  <si>
    <t>Price as of 05 Mar 2018: 94.47</t>
  </si>
  <si>
    <t>Target Price: 96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</si>
  <si>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</si>
  <si>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</si>
  <si>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</si>
  <si>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</si>
  <si>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Microchip Technology Inc..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</si>
  <si>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</si>
  <si>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</si>
  <si>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</si>
  <si>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</si>
  <si>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</si>
  <si>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</si>
  <si>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</si>
  <si>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</si>
  <si>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</si>
  <si>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</si>
  <si>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</si>
  <si>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</si>
  <si>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</si>
  <si>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</si>
  <si>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</si>
  <si>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</si>
  <si>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</si>
  <si>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</si>
  <si>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</si>
  <si>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</si>
  <si>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</si>
  <si>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</si>
  <si>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</si>
  <si>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</si>
  <si>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</si>
  <si>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</si>
  <si>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</si>
  <si>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</si>
  <si>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</si>
  <si>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</si>
  <si>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</si>
  <si>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</si>
  <si>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</si>
  <si>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</si>
  <si>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</si>
  <si>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</si>
  <si>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</si>
  <si>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</si>
  <si>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</si>
  <si>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</si>
  <si>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</si>
  <si>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</si>
  <si>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</si>
  <si>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</si>
  <si>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</si>
  <si>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</si>
  <si>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</si>
  <si>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</si>
  <si>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</si>
  <si>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</si>
  <si>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</si>
  <si>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</si>
  <si>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</si>
  <si>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</si>
  <si>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</si>
  <si>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</si>
  <si>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</si>
  <si>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</si>
  <si>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</si>
  <si>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</si>
  <si>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</si>
  <si>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</si>
  <si>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</si>
  <si>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</si>
  <si>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</si>
  <si>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</si>
  <si>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</si>
  <si>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</si>
  <si>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</si>
  <si>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</si>
  <si>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</si>
  <si>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</si>
  <si>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</si>
  <si>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</si>
  <si>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</si>
  <si>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</si>
  <si>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</si>
  <si>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</si>
  <si>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</si>
  <si>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</si>
  <si>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</si>
  <si>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</si>
  <si>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</si>
  <si>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</si>
  <si>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</si>
  <si>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</si>
  <si>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</si>
  <si>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</si>
  <si>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</si>
  <si>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</si>
  <si>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</si>
  <si>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</si>
  <si>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</si>
  <si>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</si>
  <si>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</si>
  <si>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</si>
  <si>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</si>
  <si>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</si>
  <si>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</si>
  <si>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</si>
  <si>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</si>
  <si>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</si>
  <si>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</si>
  <si>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</si>
  <si>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</si>
  <si>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</si>
  <si>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</si>
  <si>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</si>
  <si>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</si>
  <si>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</si>
  <si>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</si>
  <si>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</si>
  <si>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</si>
  <si>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</si>
  <si>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</si>
  <si>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</si>
  <si>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</si>
  <si>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</si>
  <si>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</si>
  <si>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</si>
  <si>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</si>
  <si>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</si>
  <si>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</si>
  <si>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</si>
  <si>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</si>
  <si>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</si>
  <si>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</si>
  <si>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</si>
  <si>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</si>
  <si>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</si>
  <si>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</si>
  <si>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</si>
  <si>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</si>
  <si>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</si>
  <si>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</si>
  <si>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</si>
  <si>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</si>
  <si>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</si>
  <si>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</si>
  <si>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</si>
  <si>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</si>
  <si>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</si>
  <si>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</si>
  <si>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</si>
  <si>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</si>
  <si>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</si>
  <si>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</si>
  <si>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</si>
  <si>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</si>
  <si>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</si>
  <si>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</si>
  <si>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</si>
  <si>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</si>
  <si>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</si>
  <si>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</si>
  <si>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</si>
  <si>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</si>
  <si>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</si>
  <si>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</si>
  <si>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</si>
  <si>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</si>
  <si>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</si>
  <si>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</si>
  <si>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</si>
  <si>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</si>
  <si>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</si>
  <si>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</si>
  <si>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</si>
  <si>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</si>
  <si>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</si>
  <si>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</si>
  <si>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</si>
  <si>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</si>
  <si>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</si>
  <si>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</si>
  <si>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</si>
  <si>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Microchip Technology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</si>
  <si>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</si>
  <si>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</si>
  <si>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</si>
  <si>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</si>
  <si>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</si>
  <si>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</si>
  <si>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</si>
  <si>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</si>
  <si>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</si>
  <si>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</si>
  <si>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</si>
  <si>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</si>
  <si>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</si>
  <si>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</si>
  <si>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</si>
  <si>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</si>
  <si>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</si>
  <si>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</si>
  <si>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</si>
  <si>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</si>
  <si>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</si>
  <si>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</si>
  <si>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</si>
  <si>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</si>
  <si>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</si>
  <si>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</si>
  <si>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</si>
  <si>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</si>
  <si>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</si>
  <si>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</si>
  <si>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</si>
  <si>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</si>
  <si>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</si>
  <si>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</si>
  <si>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</si>
  <si>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</si>
  <si>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</si>
  <si>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</si>
  <si>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</si>
  <si>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</si>
  <si>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</si>
  <si>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</si>
  <si>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</si>
  <si>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</si>
  <si>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</si>
  <si>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</si>
  <si>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</si>
  <si>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</si>
  <si>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</si>
  <si>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</si>
  <si>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</si>
  <si>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</si>
  <si>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</si>
  <si>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</si>
  <si>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</si>
  <si>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</si>
  <si>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</si>
  <si>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</si>
  <si>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</si>
  <si>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</si>
  <si>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</si>
  <si>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</si>
  <si>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</si>
  <si>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</si>
  <si>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</si>
  <si>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</si>
  <si>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</si>
  <si>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</si>
  <si>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Microchip Technology Inc..</t>
  </si>
  <si>
    <t>Within the last 12 months, Morgan Stanley has provided or is providing investment banking services to,</t>
  </si>
  <si>
    <t>or has an investment banking client relationship with, the following company: Microchip Technology Inc..</t>
  </si>
  <si>
    <t>In the next 3 months, Morgan Stanley expects to receive or intends to seek compensation for investment</t>
  </si>
  <si>
    <t>banking services from Microchip Technology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</si>
  <si>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</si>
  <si>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</si>
  <si>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</si>
  <si>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</si>
  <si>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</si>
  <si>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</si>
  <si>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</si>
  <si>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</si>
  <si>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</si>
  <si>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</si>
  <si>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</si>
  <si>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</si>
  <si>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</si>
  <si>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</si>
  <si>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</si>
  <si>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</si>
  <si>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</si>
  <si>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</si>
  <si>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</si>
  <si>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</si>
  <si>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</si>
  <si>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</si>
  <si>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</si>
  <si>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</si>
  <si>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</si>
  <si>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</si>
  <si>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</si>
  <si>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</si>
  <si>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</si>
  <si>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</si>
  <si>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</si>
  <si>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</si>
  <si>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</si>
  <si>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</si>
  <si>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</si>
  <si>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</si>
  <si>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</si>
  <si>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</si>
  <si>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</si>
  <si>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</si>
  <si>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</si>
  <si>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</si>
  <si>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</si>
  <si>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</si>
  <si>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</si>
  <si>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</si>
  <si>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</si>
  <si>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</si>
  <si>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</si>
  <si>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</si>
  <si>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</si>
  <si>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</si>
  <si>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</si>
  <si>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</si>
  <si>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</si>
  <si>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</si>
  <si>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</si>
  <si>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</si>
  <si>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</si>
  <si>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</si>
  <si>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</si>
  <si>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</si>
  <si>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</si>
  <si>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</si>
  <si>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</si>
  <si>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</si>
  <si>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</si>
  <si>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</si>
  <si>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</si>
  <si>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</si>
  <si>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</si>
  <si>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</si>
  <si>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</si>
  <si>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</si>
  <si>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</si>
  <si>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vinayakr</t>
  </si>
  <si>
    <t>MSA89GWN, MSA32FNJ, MSA68HLF</t>
  </si>
  <si>
    <t>L:\SEMI CAP\Joe Files\Companies\MCHP\MCHP_WIP.xlsm</t>
  </si>
  <si>
    <t>[BRO MSA]</t>
  </si>
  <si>
    <t>[PRODUCT MODEL]</t>
  </si>
  <si>
    <t>[EMAIL_ALERT YES]</t>
  </si>
  <si>
    <t>[DISCIPLINE Company]</t>
  </si>
  <si>
    <t>[SUPPRESSED NO]</t>
  </si>
  <si>
    <t>[DOCDAT 2018-03-05]</t>
  </si>
  <si>
    <t>[DOCTIME 17:56]</t>
  </si>
  <si>
    <t>[PSYM MCHP.O(S&amp;P) (None)]</t>
  </si>
  <si>
    <t>[COU 1]</t>
  </si>
  <si>
    <t>[ANA MSA32FNJ MSA68HLF]</t>
  </si>
  <si>
    <t>[HL MCHP.O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</si>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</sst>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&quot;$&quot;* #,##0.0000_);_(&quot;$&quot;* \(#,##0.0000\);_(&quot;$&quot;* &quot;-&quot;_);_(@_)"/>
    <numFmt numFmtId="172" formatCode="_(* #,##0.0000_);_(* \(#,##0.0000\);_(* &quot;-&quot;?_);_(@_)"/>
    <numFmt numFmtId="173" formatCode="_(&quot;$&quot;* #,##0.00_);_(&quot;$&quot;* \(#,##0.00\);_(&quot;$&quot;* &quot;-&quot;_);_(@_)"/>
    <numFmt numFmtId="174" formatCode="#,##0.0_);\(#,##0.0\);#,##0.0_);@_)"/>
    <numFmt numFmtId="176" formatCode="_(* #,##0.0_);_(* \(#,##0.0\);_(* &quot;-&quot;??_);_(@_)"/>
    <numFmt numFmtId="177" formatCode="#,##0.0000_);\(#,##0.0000\)"/>
    <numFmt numFmtId="178" formatCode="#,##0.0_);\(#,##0.0\)"/>
    <numFmt numFmtId="179" formatCode="_(* #,##0.0_);_(* \(#,##0.0\);_(* &quot;-&quot;_);_(@_)"/>
    <numFmt numFmtId="180" formatCode="#,##0.000_);\(#,##0.000\)"/>
    <numFmt numFmtId="181" formatCode="0.0"/>
    <numFmt numFmtId="183" formatCode="_(* #,##0.00_);_(* \(#,##0.00\);_(* &quot;-&quot;_);_(@_)"/>
    <numFmt numFmtId="184" formatCode="_(&quot;$&quot;* #,##0.0_);_(&quot;$&quot;* \(#,##0.0\);_(&quot;$&quot;* &quot;-&quot;??_);_(@_)"/>
    <numFmt numFmtId="186" formatCode="_(&quot;$&quot;* #,##0_);_(&quot;$&quot;* \(#,##0\);_(&quot;$&quot;* &quot;-&quot;??_);_(@_)"/>
    <numFmt numFmtId="190" formatCode="#,##0.0"/>
    <numFmt numFmtId="192" formatCode="&quot;$&quot;#,##0.00"/>
    <numFmt numFmtId="198" formatCode="_(* #,##0.000_);_(* \(#,##0.000\);_(* &quot;-&quot;_);_(@_)"/>
    <numFmt numFmtId="200" formatCode="_(* #,##0_);_(* \(#,##0\);_(* &quot;-&quot;?_);_(@_)"/>
    <numFmt numFmtId="201" formatCode="0_)"/>
    <numFmt numFmtId="202" formatCode="_(&quot;$&quot;* #,##0.00_);_(&quot;$&quot;* \(#,##0.00\);_(&quot;$&quot;* &quot;-&quot;?_);_(@_)"/>
    <numFmt numFmtId="204" formatCode="_(* #,##0.00_);_(* \(#,##0.00\);_(* &quot;-&quot;?_);_(@_)"/>
    <numFmt numFmtId="206" formatCode="_(* #,##0.000_);_(* \(#,##0.000\);_(* &quot;-&quot;??_);_(@_)"/>
    <numFmt numFmtId="208" formatCode="0.0\X"/>
    <numFmt numFmtId="212" formatCode="mmm\-yyyy"/>
    <numFmt numFmtId="213" formatCode="General_)"/>
    <numFmt numFmtId="214" formatCode="0.000_)"/>
    <numFmt numFmtId="215" formatCode="0.00_)"/>
    <numFmt numFmtId="216" formatCode="&quot;$&quot;#,##0.0;\(&quot;$&quot;#,##0.0\)"/>
    <numFmt numFmtId="217" formatCode="\£\ #,##0_);[Red]\(\£\ #,##0\)"/>
    <numFmt numFmtId="218" formatCode="\¥\ #,##0_);[Red]\(\¥\ #,##0\)"/>
    <numFmt numFmtId="219" formatCode="_(* #,##0.0_);_(* \(#,##0.0\);_(* &quot;--- &quot;_)"/>
    <numFmt numFmtId="220" formatCode="\•\ \ @"/>
    <numFmt numFmtId="221" formatCode="\ \ _•\–\ \ \ \ @"/>
    <numFmt numFmtId="222" formatCode="#,##0.0;\(###0.0\)"/>
    <numFmt numFmtId="223" formatCode="0.00000000000000000%"/>
    <numFmt numFmtId="224" formatCode="#,##0.0;\(#,##0.0\)"/>
    <numFmt numFmtId="225" formatCode="0.00\ "/>
    <numFmt numFmtId="226" formatCode="_-* #,##0.00_-;\-* #,##0.00_-;_-* &quot;-&quot;??_-;_-@_-"/>
    <numFmt numFmtId="227" formatCode="&quot;$&quot;#,##0"/>
    <numFmt numFmtId="233" formatCode="mm/dd/yy\ hh:mm"/>
  </numFmts>
  <fonts count="24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i/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9"/>
      <name val="Arial"/>
      <family val="2"/>
    </font>
    <font>
      <b/>
      <sz val="11"/>
      <color indexed="17"/>
      <name val="Arial"/>
      <family val="2"/>
    </font>
    <font>
      <b/>
      <sz val="8"/>
      <color indexed="81"/>
      <name val="Tahoma"/>
      <family val="2"/>
    </font>
    <font>
      <sz val="11"/>
      <color indexed="9"/>
      <name val="Arial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sz val="8"/>
      <color indexed="81"/>
      <name val="Tahoma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30"/>
      <name val="Arial"/>
      <family val="2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b/>
      <i/>
      <sz val="11"/>
      <name val="Arial"/>
      <family val="2"/>
    </font>
    <font>
      <sz val="10"/>
      <color indexed="8"/>
      <name val="Arial"/>
      <family val="2"/>
    </font>
    <font>
      <sz val="11"/>
      <color indexed="17"/>
      <name val="Arial"/>
      <family val="2"/>
    </font>
    <font>
      <sz val="10"/>
      <name val="Arial"/>
      <family val="2"/>
    </font>
    <font>
      <sz val="11"/>
      <color indexed="24"/>
      <name val="Arial"/>
      <family val="2"/>
    </font>
    <font>
      <b/>
      <i/>
      <sz val="11"/>
      <name val="Arial"/>
      <family val="2"/>
    </font>
    <font>
      <b/>
      <sz val="11"/>
      <color indexed="19"/>
      <name val="Arial"/>
      <family val="2"/>
    </font>
    <font>
      <b/>
      <sz val="11"/>
      <color indexed="10"/>
      <name val="Symbol"/>
      <family val="1"/>
      <charset val="2"/>
    </font>
    <font>
      <b/>
      <sz val="11"/>
      <color indexed="17"/>
      <name val="Symbol"/>
      <family val="1"/>
      <charset val="2"/>
    </font>
    <font>
      <b/>
      <sz val="11"/>
      <name val="Symbol"/>
      <family val="1"/>
      <charset val="2"/>
    </font>
    <font>
      <b/>
      <sz val="16"/>
      <name val="Arial"/>
      <family val="2"/>
    </font>
    <font>
      <i/>
      <sz val="10"/>
      <name val="Arial"/>
      <family val="2"/>
    </font>
    <font>
      <i/>
      <u/>
      <sz val="11"/>
      <name val="Arial"/>
      <family val="2"/>
    </font>
    <font>
      <i/>
      <u/>
      <sz val="11"/>
      <color indexed="12"/>
      <name val="Arial"/>
      <family val="2"/>
    </font>
    <font>
      <u/>
      <sz val="11"/>
      <color indexed="8"/>
      <name val="Arial"/>
      <family val="2"/>
    </font>
    <font>
      <sz val="11"/>
      <color indexed="21"/>
      <name val="Arial"/>
      <family val="2"/>
    </font>
    <font>
      <u/>
      <sz val="11"/>
      <name val="Arial"/>
      <family val="2"/>
    </font>
    <font>
      <u/>
      <sz val="11"/>
      <color indexed="12"/>
      <name val="Arial"/>
      <family val="2"/>
    </font>
    <font>
      <u/>
      <sz val="11"/>
      <color indexed="8"/>
      <name val="Arial"/>
      <family val="2"/>
    </font>
    <font>
      <sz val="11"/>
      <color indexed="19"/>
      <name val="Arial"/>
      <family val="2"/>
    </font>
    <font>
      <b/>
      <sz val="11"/>
      <color indexed="30"/>
      <name val="Arial"/>
      <family val="2"/>
    </font>
    <font>
      <b/>
      <sz val="11"/>
      <color indexed="17"/>
      <name val="Arial"/>
      <family val="2"/>
    </font>
    <font>
      <b/>
      <i/>
      <sz val="11"/>
      <color indexed="30"/>
      <name val="Arial"/>
      <family val="2"/>
    </font>
    <font>
      <i/>
      <sz val="11"/>
      <color indexed="17"/>
      <name val="Arial"/>
      <family val="2"/>
    </font>
    <font>
      <sz val="11"/>
      <color indexed="48"/>
      <name val="Arial"/>
      <family val="2"/>
    </font>
    <font>
      <u/>
      <sz val="11"/>
      <color indexed="48"/>
      <name val="Arial"/>
      <family val="2"/>
    </font>
    <font>
      <sz val="11"/>
      <color indexed="10"/>
      <name val="Arial"/>
      <family val="2"/>
    </font>
    <font>
      <u/>
      <sz val="11"/>
      <color indexed="53"/>
      <name val="Arial"/>
      <family val="2"/>
    </font>
    <font>
      <i/>
      <sz val="11"/>
      <color indexed="53"/>
      <name val="Arial"/>
      <family val="2"/>
    </font>
    <font>
      <i/>
      <u/>
      <sz val="11"/>
      <color indexed="53"/>
      <name val="Arial"/>
      <family val="2"/>
    </font>
    <font>
      <sz val="11"/>
      <color indexed="54"/>
      <name val="Arial"/>
      <family val="2"/>
    </font>
    <font>
      <b/>
      <sz val="8"/>
      <color indexed="10"/>
      <name val="Helvetica"/>
      <family val="2"/>
    </font>
    <font>
      <sz val="10"/>
      <name val="Arial"/>
      <family val="2"/>
    </font>
    <font>
      <sz val="9"/>
      <color indexed="81"/>
      <name val="Tahoma"/>
      <family val="2"/>
    </font>
    <font>
      <i/>
      <sz val="11"/>
      <color indexed="2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i/>
      <sz val="11"/>
      <color indexed="24"/>
      <name val="Arial"/>
      <family val="2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9"/>
      <name val="Calibri"/>
      <family val="2"/>
    </font>
    <font>
      <sz val="11"/>
      <color indexed="24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58"/>
      <name val="Arial"/>
      <family val="2"/>
    </font>
    <font>
      <u/>
      <sz val="11"/>
      <color indexed="58"/>
      <name val="Arial"/>
      <family val="2"/>
    </font>
    <font>
      <sz val="10"/>
      <name val="Arial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sz val="10"/>
      <name val="Helv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u/>
      <sz val="9"/>
      <color indexed="12"/>
      <name val="Arial"/>
      <family val="2"/>
    </font>
    <font>
      <u/>
      <sz val="11"/>
      <color indexed="24"/>
      <name val="Calibri"/>
      <family val="2"/>
    </font>
    <font>
      <sz val="10"/>
      <color indexed="2"/>
      <name val="Segoe UI"/>
      <family val="2"/>
    </font>
    <font>
      <b/>
      <sz val="10"/>
      <color indexed="0"/>
      <name val="Segoe UI"/>
      <family val="2"/>
    </font>
    <font>
      <sz val="10"/>
      <name val="Segoe UI"/>
      <family val="2"/>
    </font>
    <font>
      <b/>
      <i/>
      <sz val="10"/>
      <color indexed="4"/>
      <name val="Segoe UI"/>
      <family val="2"/>
    </font>
    <font>
      <sz val="10"/>
      <color indexed="4"/>
      <name val="Segoe UI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0"/>
      <name val="Courier"/>
      <family val="3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1"/>
      <color indexed="24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5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9" tint="-0.249977111117893"/>
      <name val="Arial"/>
      <family val="2"/>
    </font>
    <font>
      <sz val="11"/>
      <color rgb="FF137CB1"/>
      <name val="Arial"/>
      <family val="2"/>
    </font>
    <font>
      <u/>
      <sz val="11"/>
      <color rgb="FF137CB1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76">
    <fill>
      <patternFill patternType="none"/>
    </fill>
    <fill>
      <patternFill patternType="gray125"/>
    </fill>
    <fill>
      <patternFill patternType="solid">
        <fgColor indexed="41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15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5"/>
      </patternFill>
    </fill>
    <fill>
      <patternFill patternType="solid">
        <fgColor indexed="48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5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60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1"/>
        <bgColor indexed="64"/>
      </patternFill>
    </fill>
    <fill>
      <patternFill patternType="mediumGray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0313">
    <xf numFmtId="0" fontId="0" fillId="0" borderId="0" applyNumberFormat="0" applyFont="0" applyFill="0" applyBorder="0" applyAlignment="0" applyProtection="0"/>
    <xf numFmtId="9" fontId="59" fillId="0" borderId="0">
      <alignment horizontal="right"/>
    </xf>
    <xf numFmtId="0" fontId="95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216" fontId="129" fillId="0" borderId="0">
      <alignment horizontal="right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3" fontId="117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73" fillId="0" borderId="0"/>
    <xf numFmtId="0" fontId="173" fillId="0" borderId="0"/>
    <xf numFmtId="3" fontId="117" fillId="0" borderId="0"/>
    <xf numFmtId="0" fontId="173" fillId="0" borderId="0"/>
    <xf numFmtId="0" fontId="173" fillId="0" borderId="0"/>
    <xf numFmtId="0" fontId="33" fillId="0" borderId="0"/>
    <xf numFmtId="0" fontId="33" fillId="0" borderId="0"/>
    <xf numFmtId="0" fontId="33" fillId="0" borderId="0"/>
    <xf numFmtId="3" fontId="117" fillId="0" borderId="0"/>
    <xf numFmtId="3" fontId="117" fillId="0" borderId="0"/>
    <xf numFmtId="3" fontId="117" fillId="0" borderId="0"/>
    <xf numFmtId="3" fontId="117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3" fontId="117" fillId="0" borderId="0"/>
    <xf numFmtId="0" fontId="33" fillId="0" borderId="0"/>
    <xf numFmtId="0" fontId="33" fillId="0" borderId="0"/>
    <xf numFmtId="3" fontId="117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" fillId="0" borderId="0"/>
    <xf numFmtId="0" fontId="33" fillId="0" borderId="0"/>
    <xf numFmtId="0" fontId="33" fillId="0" borderId="0"/>
    <xf numFmtId="0" fontId="213" fillId="0" borderId="0"/>
    <xf numFmtId="0" fontId="214" fillId="0" borderId="0"/>
    <xf numFmtId="0" fontId="118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8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3" fontId="117" fillId="0" borderId="0"/>
    <xf numFmtId="0" fontId="173" fillId="0" borderId="0"/>
    <xf numFmtId="0" fontId="33" fillId="0" borderId="0" applyFill="0" applyAlignment="0">
      <protection locked="0"/>
    </xf>
    <xf numFmtId="0" fontId="33" fillId="0" borderId="0" applyFill="0" applyAlignment="0">
      <protection locked="0"/>
    </xf>
    <xf numFmtId="0" fontId="33" fillId="0" borderId="0"/>
    <xf numFmtId="3" fontId="117" fillId="0" borderId="0"/>
    <xf numFmtId="44" fontId="130" fillId="0" borderId="0" applyFont="0" applyFill="0" applyBorder="0" applyAlignment="0" applyProtection="0"/>
    <xf numFmtId="42" fontId="130" fillId="0" borderId="0" applyFont="0" applyFill="0" applyBorder="0" applyAlignment="0" applyProtection="0"/>
    <xf numFmtId="217" fontId="131" fillId="0" borderId="0" applyFont="0" applyFill="0" applyBorder="0" applyAlignment="0" applyProtection="0"/>
    <xf numFmtId="218" fontId="13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2" fillId="0" borderId="0"/>
    <xf numFmtId="0" fontId="130" fillId="0" borderId="0"/>
    <xf numFmtId="0" fontId="40" fillId="0" borderId="0"/>
    <xf numFmtId="0" fontId="40" fillId="0" borderId="0"/>
    <xf numFmtId="9" fontId="33" fillId="0" borderId="0"/>
    <xf numFmtId="9" fontId="33" fillId="0" borderId="0"/>
    <xf numFmtId="9" fontId="33" fillId="0" borderId="0"/>
    <xf numFmtId="9" fontId="33" fillId="0" borderId="0"/>
    <xf numFmtId="9" fontId="33" fillId="0" borderId="0"/>
    <xf numFmtId="9" fontId="33" fillId="0" borderId="0"/>
    <xf numFmtId="9" fontId="33" fillId="0" borderId="0"/>
    <xf numFmtId="9" fontId="33" fillId="0" borderId="0"/>
    <xf numFmtId="9" fontId="33" fillId="0" borderId="0"/>
    <xf numFmtId="0" fontId="33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2" fontId="40" fillId="0" borderId="0"/>
    <xf numFmtId="2" fontId="40" fillId="0" borderId="0"/>
    <xf numFmtId="10" fontId="40" fillId="0" borderId="0"/>
    <xf numFmtId="1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201" fontId="40" fillId="0" borderId="0"/>
    <xf numFmtId="201" fontId="40" fillId="0" borderId="0"/>
    <xf numFmtId="201" fontId="40" fillId="0" borderId="0"/>
    <xf numFmtId="178" fontId="33" fillId="0" borderId="0"/>
    <xf numFmtId="178" fontId="33" fillId="0" borderId="0"/>
    <xf numFmtId="178" fontId="33" fillId="0" borderId="0"/>
    <xf numFmtId="178" fontId="33" fillId="0" borderId="0"/>
    <xf numFmtId="178" fontId="33" fillId="0" borderId="0"/>
    <xf numFmtId="178" fontId="33" fillId="0" borderId="0"/>
    <xf numFmtId="178" fontId="33" fillId="0" borderId="0"/>
    <xf numFmtId="178" fontId="33" fillId="0" borderId="0"/>
    <xf numFmtId="178" fontId="33" fillId="0" borderId="0"/>
    <xf numFmtId="0" fontId="119" fillId="3" borderId="0" applyNumberFormat="0" applyBorder="0" applyAlignment="0" applyProtection="0"/>
    <xf numFmtId="0" fontId="119" fillId="3" borderId="0" applyNumberFormat="0" applyBorder="0" applyAlignment="0" applyProtection="0"/>
    <xf numFmtId="0" fontId="215" fillId="2" borderId="0" applyNumberFormat="0" applyBorder="0" applyAlignment="0" applyProtection="0"/>
    <xf numFmtId="0" fontId="119" fillId="4" borderId="0" applyNumberFormat="0" applyBorder="0" applyAlignment="0" applyProtection="0"/>
    <xf numFmtId="0" fontId="119" fillId="4" borderId="0" applyNumberFormat="0" applyBorder="0" applyAlignment="0" applyProtection="0"/>
    <xf numFmtId="0" fontId="215" fillId="3" borderId="0" applyNumberFormat="0" applyBorder="0" applyAlignment="0" applyProtection="0"/>
    <xf numFmtId="0" fontId="215" fillId="44" borderId="0" applyNumberFormat="0" applyBorder="0" applyAlignment="0" applyProtection="0"/>
    <xf numFmtId="0" fontId="119" fillId="6" borderId="0" applyNumberFormat="0" applyBorder="0" applyAlignment="0" applyProtection="0"/>
    <xf numFmtId="0" fontId="119" fillId="6" borderId="0" applyNumberFormat="0" applyBorder="0" applyAlignment="0" applyProtection="0"/>
    <xf numFmtId="0" fontId="119" fillId="3" borderId="0" applyNumberFormat="0" applyBorder="0" applyAlignment="0" applyProtection="0"/>
    <xf numFmtId="0" fontId="119" fillId="3" borderId="0" applyNumberFormat="0" applyBorder="0" applyAlignment="0" applyProtection="0"/>
    <xf numFmtId="0" fontId="215" fillId="7" borderId="0" applyNumberFormat="0" applyBorder="0" applyAlignment="0" applyProtection="0"/>
    <xf numFmtId="0" fontId="119" fillId="8" borderId="0" applyNumberFormat="0" applyBorder="0" applyAlignment="0" applyProtection="0"/>
    <xf numFmtId="0" fontId="119" fillId="8" borderId="0" applyNumberFormat="0" applyBorder="0" applyAlignment="0" applyProtection="0"/>
    <xf numFmtId="0" fontId="215" fillId="2" borderId="0" applyNumberFormat="0" applyBorder="0" applyAlignment="0" applyProtection="0"/>
    <xf numFmtId="0" fontId="215" fillId="45" borderId="0" applyNumberFormat="0" applyBorder="0" applyAlignment="0" applyProtection="0"/>
    <xf numFmtId="0" fontId="119" fillId="6" borderId="0" applyNumberFormat="0" applyBorder="0" applyAlignment="0" applyProtection="0"/>
    <xf numFmtId="0" fontId="119" fillId="6" borderId="0" applyNumberFormat="0" applyBorder="0" applyAlignment="0" applyProtection="0"/>
    <xf numFmtId="0" fontId="119" fillId="9" borderId="0" applyNumberFormat="0" applyBorder="0" applyAlignment="0" applyProtection="0"/>
    <xf numFmtId="0" fontId="119" fillId="9" borderId="0" applyNumberFormat="0" applyBorder="0" applyAlignment="0" applyProtection="0"/>
    <xf numFmtId="0" fontId="215" fillId="2" borderId="0" applyNumberFormat="0" applyBorder="0" applyAlignment="0" applyProtection="0"/>
    <xf numFmtId="0" fontId="119" fillId="4" borderId="0" applyNumberFormat="0" applyBorder="0" applyAlignment="0" applyProtection="0"/>
    <xf numFmtId="0" fontId="119" fillId="4" borderId="0" applyNumberFormat="0" applyBorder="0" applyAlignment="0" applyProtection="0"/>
    <xf numFmtId="0" fontId="215" fillId="3" borderId="0" applyNumberFormat="0" applyBorder="0" applyAlignment="0" applyProtection="0"/>
    <xf numFmtId="0" fontId="119" fillId="6" borderId="0" applyNumberFormat="0" applyBorder="0" applyAlignment="0" applyProtection="0"/>
    <xf numFmtId="0" fontId="119" fillId="6" borderId="0" applyNumberFormat="0" applyBorder="0" applyAlignment="0" applyProtection="0"/>
    <xf numFmtId="0" fontId="215" fillId="4" borderId="0" applyNumberFormat="0" applyBorder="0" applyAlignment="0" applyProtection="0"/>
    <xf numFmtId="0" fontId="119" fillId="9" borderId="0" applyNumberFormat="0" applyBorder="0" applyAlignment="0" applyProtection="0"/>
    <xf numFmtId="0" fontId="119" fillId="9" borderId="0" applyNumberFormat="0" applyBorder="0" applyAlignment="0" applyProtection="0"/>
    <xf numFmtId="0" fontId="215" fillId="9" borderId="0" applyNumberFormat="0" applyBorder="0" applyAlignment="0" applyProtection="0"/>
    <xf numFmtId="0" fontId="119" fillId="11" borderId="0" applyNumberFormat="0" applyBorder="0" applyAlignment="0" applyProtection="0"/>
    <xf numFmtId="0" fontId="119" fillId="11" borderId="0" applyNumberFormat="0" applyBorder="0" applyAlignment="0" applyProtection="0"/>
    <xf numFmtId="0" fontId="215" fillId="10" borderId="0" applyNumberFormat="0" applyBorder="0" applyAlignment="0" applyProtection="0"/>
    <xf numFmtId="0" fontId="119" fillId="6" borderId="0" applyNumberFormat="0" applyBorder="0" applyAlignment="0" applyProtection="0"/>
    <xf numFmtId="0" fontId="119" fillId="6" borderId="0" applyNumberFormat="0" applyBorder="0" applyAlignment="0" applyProtection="0"/>
    <xf numFmtId="0" fontId="215" fillId="3" borderId="0" applyNumberFormat="0" applyBorder="0" applyAlignment="0" applyProtection="0"/>
    <xf numFmtId="0" fontId="120" fillId="12" borderId="0" applyNumberFormat="0" applyBorder="0" applyAlignment="0" applyProtection="0"/>
    <xf numFmtId="0" fontId="216" fillId="11" borderId="0" applyNumberFormat="0" applyBorder="0" applyAlignment="0" applyProtection="0"/>
    <xf numFmtId="0" fontId="120" fillId="4" borderId="0" applyNumberFormat="0" applyBorder="0" applyAlignment="0" applyProtection="0"/>
    <xf numFmtId="0" fontId="216" fillId="13" borderId="0" applyNumberFormat="0" applyBorder="0" applyAlignment="0" applyProtection="0"/>
    <xf numFmtId="0" fontId="120" fillId="14" borderId="0" applyNumberFormat="0" applyBorder="0" applyAlignment="0" applyProtection="0"/>
    <xf numFmtId="0" fontId="216" fillId="4" borderId="0" applyNumberFormat="0" applyBorder="0" applyAlignment="0" applyProtection="0"/>
    <xf numFmtId="0" fontId="120" fillId="9" borderId="0" applyNumberFormat="0" applyBorder="0" applyAlignment="0" applyProtection="0"/>
    <xf numFmtId="0" fontId="216" fillId="9" borderId="0" applyNumberFormat="0" applyBorder="0" applyAlignment="0" applyProtection="0"/>
    <xf numFmtId="0" fontId="120" fillId="12" borderId="0" applyNumberFormat="0" applyBorder="0" applyAlignment="0" applyProtection="0"/>
    <xf numFmtId="0" fontId="216" fillId="15" borderId="0" applyNumberFormat="0" applyBorder="0" applyAlignment="0" applyProtection="0"/>
    <xf numFmtId="0" fontId="120" fillId="6" borderId="0" applyNumberFormat="0" applyBorder="0" applyAlignment="0" applyProtection="0"/>
    <xf numFmtId="0" fontId="216" fillId="3" borderId="0" applyNumberFormat="0" applyBorder="0" applyAlignment="0" applyProtection="0"/>
    <xf numFmtId="37" fontId="133" fillId="0" borderId="0">
      <alignment horizontal="center"/>
    </xf>
    <xf numFmtId="0" fontId="120" fillId="12" borderId="0" applyNumberFormat="0" applyBorder="0" applyAlignment="0" applyProtection="0"/>
    <xf numFmtId="0" fontId="216" fillId="16" borderId="0" applyNumberFormat="0" applyBorder="0" applyAlignment="0" applyProtection="0"/>
    <xf numFmtId="0" fontId="120" fillId="4" borderId="0" applyNumberFormat="0" applyBorder="0" applyAlignment="0" applyProtection="0"/>
    <xf numFmtId="0" fontId="216" fillId="17" borderId="0" applyNumberFormat="0" applyBorder="0" applyAlignment="0" applyProtection="0"/>
    <xf numFmtId="0" fontId="120" fillId="14" borderId="0" applyNumberFormat="0" applyBorder="0" applyAlignment="0" applyProtection="0"/>
    <xf numFmtId="0" fontId="216" fillId="18" borderId="0" applyNumberFormat="0" applyBorder="0" applyAlignment="0" applyProtection="0"/>
    <xf numFmtId="0" fontId="120" fillId="20" borderId="0" applyNumberFormat="0" applyBorder="0" applyAlignment="0" applyProtection="0"/>
    <xf numFmtId="0" fontId="216" fillId="19" borderId="0" applyNumberFormat="0" applyBorder="0" applyAlignment="0" applyProtection="0"/>
    <xf numFmtId="0" fontId="120" fillId="12" borderId="0" applyNumberFormat="0" applyBorder="0" applyAlignment="0" applyProtection="0"/>
    <xf numFmtId="0" fontId="216" fillId="16" borderId="0" applyNumberFormat="0" applyBorder="0" applyAlignment="0" applyProtection="0"/>
    <xf numFmtId="0" fontId="216" fillId="46" borderId="0" applyNumberFormat="0" applyBorder="0" applyAlignment="0" applyProtection="0"/>
    <xf numFmtId="0" fontId="120" fillId="4" borderId="0" applyNumberFormat="0" applyBorder="0" applyAlignment="0" applyProtection="0"/>
    <xf numFmtId="219" fontId="134" fillId="0" borderId="0" applyFont="0" applyFill="0" applyBorder="0" applyAlignment="0" applyProtection="0"/>
    <xf numFmtId="213" fontId="135" fillId="0" borderId="0">
      <alignment horizontal="left"/>
    </xf>
    <xf numFmtId="0" fontId="163" fillId="22" borderId="0" applyNumberFormat="0" applyBorder="0" applyAlignment="0" applyProtection="0"/>
    <xf numFmtId="0" fontId="205" fillId="21" borderId="0" applyNumberFormat="0" applyBorder="0" applyAlignment="0" applyProtection="0"/>
    <xf numFmtId="0" fontId="104" fillId="21" borderId="0" applyNumberFormat="0" applyBorder="0" applyAlignment="0" applyProtection="0"/>
    <xf numFmtId="1" fontId="136" fillId="23" borderId="1" applyNumberFormat="0" applyBorder="0" applyAlignment="0">
      <alignment horizontal="center" vertical="top" wrapText="1"/>
      <protection hidden="1"/>
    </xf>
    <xf numFmtId="0" fontId="137" fillId="0" borderId="0" applyNumberFormat="0" applyFill="0" applyBorder="0" applyAlignment="0" applyProtection="0"/>
    <xf numFmtId="0" fontId="138" fillId="0" borderId="2" applyNumberFormat="0" applyFill="0" applyAlignment="0" applyProtection="0"/>
    <xf numFmtId="220" fontId="13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34" fillId="0" borderId="0"/>
    <xf numFmtId="0" fontId="164" fillId="24" borderId="3" applyNumberFormat="0" applyAlignment="0" applyProtection="0"/>
    <xf numFmtId="0" fontId="217" fillId="24" borderId="39" applyNumberFormat="0" applyAlignment="0" applyProtection="0"/>
    <xf numFmtId="0" fontId="129" fillId="0" borderId="0">
      <alignment horizontal="right"/>
    </xf>
    <xf numFmtId="1" fontId="139" fillId="0" borderId="0"/>
    <xf numFmtId="0" fontId="64" fillId="0" borderId="0" applyAlignment="0"/>
    <xf numFmtId="0" fontId="218" fillId="47" borderId="40" applyNumberFormat="0" applyAlignment="0" applyProtection="0"/>
    <xf numFmtId="0" fontId="121" fillId="25" borderId="4" applyNumberFormat="0" applyAlignment="0" applyProtection="0"/>
    <xf numFmtId="0" fontId="193" fillId="0" borderId="0" applyAlignment="0"/>
    <xf numFmtId="0" fontId="193" fillId="0" borderId="0" applyAlignment="0"/>
    <xf numFmtId="0" fontId="193" fillId="0" borderId="0" applyAlignment="0"/>
    <xf numFmtId="0" fontId="193" fillId="0" borderId="0" applyAlignment="0"/>
    <xf numFmtId="0" fontId="140" fillId="0" borderId="2" applyNumberFormat="0" applyFill="0" applyProtection="0">
      <alignment horizontal="left" vertical="center"/>
    </xf>
    <xf numFmtId="0" fontId="194" fillId="26" borderId="0" applyAlignment="0"/>
    <xf numFmtId="181" fontId="58" fillId="0" borderId="0" applyBorder="0">
      <alignment horizontal="right"/>
    </xf>
    <xf numFmtId="181" fontId="58" fillId="0" borderId="5" applyAlignment="0">
      <alignment horizontal="right"/>
    </xf>
    <xf numFmtId="43" fontId="12" fillId="0" borderId="0" applyFont="0" applyFill="0" applyBorder="0" applyAlignment="0" applyProtection="0"/>
    <xf numFmtId="214" fontId="141" fillId="0" borderId="0"/>
    <xf numFmtId="214" fontId="141" fillId="0" borderId="0"/>
    <xf numFmtId="214" fontId="141" fillId="0" borderId="0"/>
    <xf numFmtId="214" fontId="141" fillId="0" borderId="0"/>
    <xf numFmtId="214" fontId="141" fillId="0" borderId="0"/>
    <xf numFmtId="214" fontId="141" fillId="0" borderId="0"/>
    <xf numFmtId="214" fontId="141" fillId="0" borderId="0"/>
    <xf numFmtId="214" fontId="141" fillId="0" borderId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190" fontId="117" fillId="0" borderId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12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1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226" fontId="191" fillId="0" borderId="0" applyFont="0" applyFill="0" applyBorder="0" applyAlignment="0" applyProtection="0"/>
    <xf numFmtId="226" fontId="119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19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213" fillId="0" borderId="0" applyFont="0" applyFill="0" applyBorder="0" applyAlignment="0" applyProtection="0"/>
    <xf numFmtId="43" fontId="213" fillId="0" borderId="0" applyFont="0" applyFill="0" applyBorder="0" applyAlignment="0" applyProtection="0"/>
    <xf numFmtId="43" fontId="213" fillId="0" borderId="0" applyFont="0" applyFill="0" applyBorder="0" applyAlignment="0" applyProtection="0"/>
    <xf numFmtId="43" fontId="213" fillId="0" borderId="0" applyFont="0" applyFill="0" applyBorder="0" applyAlignment="0" applyProtection="0"/>
    <xf numFmtId="43" fontId="21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142" fillId="0" borderId="0"/>
    <xf numFmtId="0" fontId="143" fillId="0" borderId="0" applyFill="0" applyBorder="0">
      <alignment horizontal="left"/>
    </xf>
    <xf numFmtId="44" fontId="12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213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118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00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11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28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221" fontId="131" fillId="0" borderId="0" applyFont="0" applyFill="0" applyBorder="0" applyAlignment="0" applyProtection="0"/>
    <xf numFmtId="14" fontId="29" fillId="0" borderId="6" applyFont="0">
      <alignment horizontal="right"/>
    </xf>
    <xf numFmtId="212" fontId="33" fillId="0" borderId="0" applyFont="0" applyFill="0" applyBorder="0" applyAlignment="0" applyProtection="0"/>
    <xf numFmtId="0" fontId="130" fillId="0" borderId="0"/>
    <xf numFmtId="0" fontId="144" fillId="0" borderId="0"/>
    <xf numFmtId="222" fontId="129" fillId="0" borderId="0">
      <alignment horizontal="right"/>
    </xf>
    <xf numFmtId="0" fontId="129" fillId="0" borderId="0"/>
    <xf numFmtId="5" fontId="64" fillId="0" borderId="0" applyFont="0" applyFill="0" applyBorder="0" applyAlignment="0" applyProtection="0">
      <protection locked="0"/>
    </xf>
    <xf numFmtId="5" fontId="64" fillId="0" borderId="0" applyFont="0" applyFill="0" applyBorder="0" applyAlignment="0" applyProtection="0">
      <protection locked="0"/>
    </xf>
    <xf numFmtId="0" fontId="219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74" fillId="0" borderId="0"/>
    <xf numFmtId="0" fontId="184" fillId="0" borderId="0"/>
    <xf numFmtId="1" fontId="145" fillId="27" borderId="7" applyNumberFormat="0" applyBorder="0" applyAlignment="0">
      <alignment horizontal="centerContinuous" vertical="center"/>
      <protection locked="0"/>
    </xf>
    <xf numFmtId="0" fontId="175" fillId="16" borderId="0"/>
    <xf numFmtId="0" fontId="185" fillId="16" borderId="0"/>
    <xf numFmtId="0" fontId="129" fillId="0" borderId="0"/>
    <xf numFmtId="0" fontId="146" fillId="0" borderId="0" applyNumberFormat="0" applyFill="0" applyBorder="0" applyProtection="0">
      <alignment horizontal="left" vertical="center"/>
    </xf>
    <xf numFmtId="49" fontId="34" fillId="0" borderId="0" applyFill="0" applyBorder="0"/>
    <xf numFmtId="49" fontId="34" fillId="0" borderId="0" applyFill="0" applyBorder="0"/>
    <xf numFmtId="49" fontId="33" fillId="0" borderId="0"/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49" fontId="33" fillId="0" borderId="0" applyFill="0" applyBorder="0">
      <alignment horizontal="right" vertical="center"/>
    </xf>
    <xf numFmtId="0" fontId="165" fillId="5" borderId="0" applyNumberFormat="0" applyBorder="0" applyAlignment="0" applyProtection="0"/>
    <xf numFmtId="0" fontId="206" fillId="4" borderId="0" applyNumberFormat="0" applyBorder="0" applyAlignment="0" applyProtection="0"/>
    <xf numFmtId="0" fontId="105" fillId="4" borderId="0" applyNumberFormat="0" applyBorder="0" applyAlignment="0" applyProtection="0"/>
    <xf numFmtId="0" fontId="147" fillId="0" borderId="0"/>
    <xf numFmtId="0" fontId="147" fillId="0" borderId="0"/>
    <xf numFmtId="0" fontId="147" fillId="0" borderId="0"/>
    <xf numFmtId="0" fontId="147" fillId="0" borderId="0"/>
    <xf numFmtId="38" fontId="34" fillId="28" borderId="0" applyNumberFormat="0" applyBorder="0" applyAlignment="0" applyProtection="0"/>
    <xf numFmtId="38" fontId="34" fillId="28" borderId="0" applyNumberFormat="0" applyBorder="0" applyAlignment="0" applyProtection="0"/>
    <xf numFmtId="38" fontId="34" fillId="28" borderId="0" applyNumberFormat="0" applyBorder="0" applyAlignment="0" applyProtection="0"/>
    <xf numFmtId="168" fontId="33" fillId="29" borderId="8" applyNumberFormat="0" applyFont="0" applyBorder="0" applyAlignment="0" applyProtection="0"/>
    <xf numFmtId="168" fontId="33" fillId="29" borderId="8" applyNumberFormat="0" applyFont="0" applyBorder="0" applyAlignment="0" applyProtection="0"/>
    <xf numFmtId="178" fontId="148" fillId="29" borderId="0" applyNumberFormat="0" applyFont="0" applyAlignment="0"/>
    <xf numFmtId="0" fontId="94" fillId="30" borderId="0">
      <alignment horizontal="left"/>
    </xf>
    <xf numFmtId="0" fontId="55" fillId="0" borderId="9" applyNumberFormat="0" applyAlignment="0" applyProtection="0">
      <alignment horizontal="left" vertical="center"/>
    </xf>
    <xf numFmtId="0" fontId="55" fillId="0" borderId="6">
      <alignment horizontal="left" vertical="center"/>
    </xf>
    <xf numFmtId="0" fontId="166" fillId="0" borderId="11" applyNumberFormat="0" applyFill="0" applyAlignment="0" applyProtection="0"/>
    <xf numFmtId="0" fontId="207" fillId="0" borderId="10" applyNumberFormat="0" applyFill="0" applyAlignment="0" applyProtection="0"/>
    <xf numFmtId="0" fontId="106" fillId="0" borderId="10" applyNumberFormat="0" applyFill="0" applyAlignment="0" applyProtection="0"/>
    <xf numFmtId="0" fontId="167" fillId="0" borderId="13" applyNumberFormat="0" applyFill="0" applyAlignment="0" applyProtection="0"/>
    <xf numFmtId="0" fontId="208" fillId="0" borderId="12" applyNumberFormat="0" applyFill="0" applyAlignment="0" applyProtection="0"/>
    <xf numFmtId="0" fontId="107" fillId="0" borderId="12" applyNumberFormat="0" applyFill="0" applyAlignment="0" applyProtection="0"/>
    <xf numFmtId="0" fontId="168" fillId="0" borderId="15" applyNumberFormat="0" applyFill="0" applyAlignment="0" applyProtection="0"/>
    <xf numFmtId="0" fontId="209" fillId="0" borderId="14" applyNumberFormat="0" applyFill="0" applyAlignment="0" applyProtection="0"/>
    <xf numFmtId="0" fontId="108" fillId="0" borderId="14" applyNumberFormat="0" applyFill="0" applyAlignment="0" applyProtection="0"/>
    <xf numFmtId="0" fontId="168" fillId="0" borderId="0" applyNumberFormat="0" applyFill="0" applyBorder="0" applyAlignment="0" applyProtection="0"/>
    <xf numFmtId="0" fontId="209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176" fillId="0" borderId="0">
      <alignment wrapText="1"/>
    </xf>
    <xf numFmtId="0" fontId="186" fillId="0" borderId="0">
      <alignment wrapText="1"/>
    </xf>
    <xf numFmtId="0" fontId="182" fillId="0" borderId="0" applyNumberFormat="0" applyFill="0" applyBorder="0" applyAlignment="0" applyProtection="0">
      <alignment vertical="top"/>
      <protection locked="0"/>
    </xf>
    <xf numFmtId="0" fontId="182" fillId="0" borderId="0" applyNumberFormat="0" applyFill="0" applyBorder="0" applyAlignment="0" applyProtection="0">
      <alignment vertical="top"/>
      <protection locked="0"/>
    </xf>
    <xf numFmtId="0" fontId="183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183" fillId="0" borderId="0" applyNumberFormat="0" applyFill="0" applyBorder="0" applyAlignment="0" applyProtection="0"/>
    <xf numFmtId="10" fontId="34" fillId="31" borderId="8" applyNumberFormat="0" applyBorder="0" applyAlignment="0" applyProtection="0"/>
    <xf numFmtId="10" fontId="34" fillId="31" borderId="8" applyNumberFormat="0" applyBorder="0" applyAlignment="0" applyProtection="0"/>
    <xf numFmtId="10" fontId="34" fillId="31" borderId="8" applyNumberFormat="0" applyBorder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220" fillId="48" borderId="39" applyNumberFormat="0" applyAlignment="0" applyProtection="0"/>
    <xf numFmtId="0" fontId="220" fillId="48" borderId="39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69" fillId="6" borderId="3" applyNumberFormat="0" applyAlignment="0" applyProtection="0"/>
    <xf numFmtId="0" fontId="149" fillId="0" borderId="0" applyNumberFormat="0" applyFill="0" applyBorder="0" applyAlignment="0">
      <protection locked="0"/>
    </xf>
    <xf numFmtId="0" fontId="129" fillId="0" borderId="0"/>
    <xf numFmtId="0" fontId="195" fillId="0" borderId="0" applyAlignment="0"/>
    <xf numFmtId="0" fontId="150" fillId="0" borderId="0" applyNumberFormat="0" applyFill="0" applyBorder="0" applyProtection="0">
      <alignment horizontal="left" vertical="center"/>
    </xf>
    <xf numFmtId="0" fontId="170" fillId="0" borderId="17" applyNumberFormat="0" applyFill="0" applyAlignment="0" applyProtection="0"/>
    <xf numFmtId="0" fontId="211" fillId="0" borderId="16" applyNumberFormat="0" applyFill="0" applyAlignment="0" applyProtection="0"/>
    <xf numFmtId="0" fontId="109" fillId="0" borderId="16" applyNumberFormat="0" applyFill="0" applyAlignment="0" applyProtection="0"/>
    <xf numFmtId="0" fontId="175" fillId="0" borderId="0"/>
    <xf numFmtId="0" fontId="185" fillId="0" borderId="0"/>
    <xf numFmtId="0" fontId="177" fillId="0" borderId="0"/>
    <xf numFmtId="0" fontId="187" fillId="0" borderId="0"/>
    <xf numFmtId="0" fontId="178" fillId="0" borderId="0"/>
    <xf numFmtId="0" fontId="188" fillId="0" borderId="0"/>
    <xf numFmtId="212" fontId="34" fillId="31" borderId="0">
      <alignment horizontal="center"/>
    </xf>
    <xf numFmtId="212" fontId="34" fillId="31" borderId="0">
      <alignment horizontal="center"/>
    </xf>
    <xf numFmtId="212" fontId="34" fillId="31" borderId="0">
      <alignment horizontal="center"/>
    </xf>
    <xf numFmtId="0" fontId="171" fillId="6" borderId="0" applyNumberFormat="0" applyBorder="0" applyAlignment="0" applyProtection="0"/>
    <xf numFmtId="0" fontId="221" fillId="49" borderId="0" applyNumberFormat="0" applyBorder="0" applyAlignment="0" applyProtection="0"/>
    <xf numFmtId="0" fontId="196" fillId="32" borderId="0" applyAlignment="0"/>
    <xf numFmtId="0" fontId="56" fillId="33" borderId="0" applyAlignment="0"/>
    <xf numFmtId="0" fontId="197" fillId="0" borderId="0" applyAlignment="0"/>
    <xf numFmtId="37" fontId="151" fillId="0" borderId="0"/>
    <xf numFmtId="215" fontId="152" fillId="0" borderId="0"/>
    <xf numFmtId="0" fontId="33" fillId="0" borderId="0" applyNumberFormat="0" applyFont="0" applyFill="0" applyBorder="0" applyAlignment="0" applyProtection="0"/>
    <xf numFmtId="0" fontId="215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100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118" fillId="0" borderId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3" fontId="117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215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215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215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215" fillId="0" borderId="0"/>
    <xf numFmtId="0" fontId="215" fillId="0" borderId="0"/>
    <xf numFmtId="0" fontId="215" fillId="0" borderId="0"/>
    <xf numFmtId="0" fontId="215" fillId="0" borderId="0"/>
    <xf numFmtId="0" fontId="215" fillId="0" borderId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/>
    <xf numFmtId="0" fontId="153" fillId="0" borderId="0"/>
    <xf numFmtId="0" fontId="16" fillId="0" borderId="0"/>
    <xf numFmtId="166" fontId="21" fillId="0" borderId="0"/>
    <xf numFmtId="0" fontId="16" fillId="0" borderId="0"/>
    <xf numFmtId="0" fontId="33" fillId="6" borderId="18" applyNumberFormat="0" applyFont="0" applyAlignment="0" applyProtection="0"/>
    <xf numFmtId="0" fontId="33" fillId="6" borderId="18" applyNumberFormat="0" applyFont="0" applyAlignment="0" applyProtection="0"/>
    <xf numFmtId="0" fontId="33" fillId="6" borderId="18" applyNumberFormat="0" applyFont="0" applyAlignment="0" applyProtection="0"/>
    <xf numFmtId="0" fontId="33" fillId="6" borderId="18" applyNumberFormat="0" applyFont="0" applyAlignment="0" applyProtection="0"/>
    <xf numFmtId="0" fontId="33" fillId="6" borderId="18" applyNumberFormat="0" applyFont="0" applyAlignment="0" applyProtection="0"/>
    <xf numFmtId="0" fontId="191" fillId="6" borderId="41" applyNumberFormat="0" applyFont="0" applyAlignment="0" applyProtection="0"/>
    <xf numFmtId="0" fontId="119" fillId="6" borderId="41" applyNumberFormat="0" applyFont="0" applyAlignment="0" applyProtection="0"/>
    <xf numFmtId="164" fontId="59" fillId="0" borderId="0" applyFont="0" applyFill="0" applyBorder="0" applyProtection="0">
      <alignment horizontal="right"/>
    </xf>
    <xf numFmtId="3" fontId="117" fillId="0" borderId="0" applyBorder="0"/>
    <xf numFmtId="43" fontId="130" fillId="0" borderId="0" applyFont="0" applyFill="0" applyBorder="0" applyAlignment="0" applyProtection="0"/>
    <xf numFmtId="41" fontId="130" fillId="0" borderId="0" applyFont="0" applyFill="0" applyBorder="0" applyAlignment="0" applyProtection="0"/>
    <xf numFmtId="181" fontId="12" fillId="0" borderId="0"/>
    <xf numFmtId="0" fontId="154" fillId="0" borderId="0">
      <alignment horizontal="left"/>
    </xf>
    <xf numFmtId="0" fontId="123" fillId="24" borderId="19" applyNumberFormat="0" applyAlignment="0" applyProtection="0"/>
    <xf numFmtId="0" fontId="222" fillId="24" borderId="42" applyNumberFormat="0" applyAlignment="0" applyProtection="0"/>
    <xf numFmtId="0" fontId="43" fillId="0" borderId="0">
      <alignment vertical="center"/>
    </xf>
    <xf numFmtId="0" fontId="178" fillId="0" borderId="0"/>
    <xf numFmtId="0" fontId="188" fillId="0" borderId="0"/>
    <xf numFmtId="9" fontId="12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1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9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99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9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19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19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19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19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213" fillId="0" borderId="0" applyFont="0" applyFill="0" applyBorder="0" applyAlignment="0" applyProtection="0"/>
    <xf numFmtId="9" fontId="213" fillId="0" borderId="0" applyFont="0" applyFill="0" applyBorder="0" applyAlignment="0" applyProtection="0"/>
    <xf numFmtId="9" fontId="21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13" fillId="0" borderId="0" applyFont="0" applyFill="0" applyBorder="0" applyAlignment="0" applyProtection="0"/>
    <xf numFmtId="9" fontId="21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14" fillId="0" borderId="0" applyFont="0" applyFill="0" applyBorder="0" applyAlignment="0" applyProtection="0"/>
    <xf numFmtId="168" fontId="33" fillId="0" borderId="0" applyFont="0" applyFill="0" applyBorder="0" applyAlignment="0" applyProtection="0"/>
    <xf numFmtId="1" fontId="155" fillId="28" borderId="0">
      <alignment horizontal="center"/>
    </xf>
    <xf numFmtId="223" fontId="34" fillId="0" borderId="0"/>
    <xf numFmtId="223" fontId="34" fillId="0" borderId="0"/>
    <xf numFmtId="49" fontId="117" fillId="0" borderId="0">
      <alignment horizontal="right"/>
    </xf>
    <xf numFmtId="0" fontId="156" fillId="0" borderId="0"/>
    <xf numFmtId="0" fontId="156" fillId="0" borderId="0"/>
    <xf numFmtId="0" fontId="156" fillId="0" borderId="0"/>
    <xf numFmtId="0" fontId="156" fillId="0" borderId="0"/>
    <xf numFmtId="0" fontId="150" fillId="0" borderId="0" applyNumberFormat="0" applyFill="0" applyBorder="0" applyProtection="0">
      <alignment horizontal="right" vertical="center"/>
    </xf>
    <xf numFmtId="0" fontId="33" fillId="34" borderId="0" applyNumberFormat="0" applyFont="0" applyBorder="0" applyAlignment="0" applyProtection="0"/>
    <xf numFmtId="0" fontId="33" fillId="34" borderId="0" applyNumberFormat="0" applyFont="0" applyBorder="0" applyAlignment="0" applyProtection="0"/>
    <xf numFmtId="178" fontId="44" fillId="0" borderId="0"/>
    <xf numFmtId="178" fontId="44" fillId="0" borderId="0"/>
    <xf numFmtId="178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44" fillId="0" borderId="20">
      <alignment horizontal="centerContinuous"/>
    </xf>
    <xf numFmtId="0" fontId="198" fillId="35" borderId="0" applyAlignment="0"/>
    <xf numFmtId="3" fontId="34" fillId="0" borderId="0"/>
    <xf numFmtId="0" fontId="45" fillId="0" borderId="20"/>
    <xf numFmtId="0" fontId="12" fillId="0" borderId="0">
      <alignment vertical="top"/>
    </xf>
    <xf numFmtId="0" fontId="33" fillId="0" borderId="0"/>
    <xf numFmtId="0" fontId="33" fillId="0" borderId="0"/>
    <xf numFmtId="0" fontId="33" fillId="0" borderId="0">
      <alignment vertical="top"/>
    </xf>
    <xf numFmtId="0" fontId="213" fillId="0" borderId="0">
      <alignment vertical="top"/>
    </xf>
    <xf numFmtId="0" fontId="214" fillId="0" borderId="0">
      <alignment vertical="top"/>
    </xf>
    <xf numFmtId="0" fontId="33" fillId="0" borderId="0">
      <alignment vertical="top"/>
    </xf>
    <xf numFmtId="0" fontId="33" fillId="0" borderId="0"/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118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3" fontId="117" fillId="0" borderId="0"/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128" fillId="0" borderId="0">
      <alignment vertical="top"/>
    </xf>
    <xf numFmtId="0" fontId="33" fillId="0" borderId="0"/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/>
    <xf numFmtId="0" fontId="33" fillId="0" borderId="0"/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/>
    <xf numFmtId="0" fontId="33" fillId="0" borderId="0"/>
    <xf numFmtId="0" fontId="54" fillId="0" borderId="0"/>
    <xf numFmtId="0" fontId="54" fillId="0" borderId="0"/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2" fontId="199" fillId="32" borderId="21" applyProtection="0"/>
    <xf numFmtId="2" fontId="200" fillId="36" borderId="21" applyProtection="0"/>
    <xf numFmtId="2" fontId="200" fillId="33" borderId="21" applyProtection="0"/>
    <xf numFmtId="2" fontId="200" fillId="26" borderId="21" applyProtection="0"/>
    <xf numFmtId="0" fontId="201" fillId="0" borderId="0" applyAlignment="0"/>
    <xf numFmtId="0" fontId="157" fillId="0" borderId="6" applyNumberFormat="0" applyFill="0" applyProtection="0">
      <alignment horizontal="left" vertical="center"/>
    </xf>
    <xf numFmtId="0" fontId="202" fillId="0" borderId="0" applyAlignment="0"/>
    <xf numFmtId="3" fontId="53" fillId="0" borderId="0" applyNumberFormat="0"/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190" fillId="0" borderId="0" applyAlignment="0"/>
    <xf numFmtId="0" fontId="190" fillId="0" borderId="0" applyAlignment="0"/>
    <xf numFmtId="0" fontId="203" fillId="0" borderId="0" applyAlignment="0"/>
    <xf numFmtId="0" fontId="189" fillId="0" borderId="0" applyAlignment="0"/>
    <xf numFmtId="0" fontId="172" fillId="0" borderId="0" applyNumberFormat="0" applyFill="0" applyBorder="0" applyAlignment="0" applyProtection="0"/>
    <xf numFmtId="0" fontId="212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3" fontId="179" fillId="0" borderId="0"/>
    <xf numFmtId="0" fontId="158" fillId="37" borderId="0" applyNumberFormat="0" applyBorder="0" applyProtection="0">
      <alignment horizontal="left" vertical="center"/>
    </xf>
    <xf numFmtId="0" fontId="159" fillId="1" borderId="0" applyNumberFormat="0" applyBorder="0" applyProtection="0">
      <alignment horizontal="left" vertical="center"/>
    </xf>
    <xf numFmtId="0" fontId="204" fillId="0" borderId="0" applyAlignment="0"/>
    <xf numFmtId="181" fontId="53" fillId="0" borderId="0"/>
    <xf numFmtId="186" fontId="160" fillId="0" borderId="22" applyNumberFormat="0" applyFont="0" applyFill="0" applyAlignment="0" applyProtection="0"/>
    <xf numFmtId="0" fontId="53" fillId="0" borderId="6">
      <alignment horizontal="right" wrapText="1"/>
    </xf>
    <xf numFmtId="0" fontId="53" fillId="0" borderId="6">
      <alignment horizontal="right" wrapText="1"/>
    </xf>
    <xf numFmtId="0" fontId="223" fillId="0" borderId="23" applyNumberFormat="0" applyFill="0" applyAlignment="0" applyProtection="0"/>
    <xf numFmtId="0" fontId="124" fillId="0" borderId="24" applyNumberFormat="0" applyFill="0" applyAlignment="0" applyProtection="0"/>
    <xf numFmtId="0" fontId="190" fillId="0" borderId="0" applyAlignment="0">
      <alignment wrapText="1"/>
    </xf>
    <xf numFmtId="0" fontId="190" fillId="0" borderId="0" applyAlignment="0">
      <alignment wrapText="1"/>
    </xf>
    <xf numFmtId="0" fontId="190" fillId="0" borderId="0" applyAlignment="0">
      <alignment wrapText="1"/>
    </xf>
    <xf numFmtId="0" fontId="190" fillId="0" borderId="0" applyAlignment="0">
      <alignment wrapText="1"/>
    </xf>
    <xf numFmtId="0" fontId="190" fillId="0" borderId="0" applyAlignment="0">
      <alignment wrapText="1"/>
    </xf>
    <xf numFmtId="0" fontId="190" fillId="0" borderId="0" applyAlignment="0">
      <alignment wrapText="1"/>
    </xf>
    <xf numFmtId="0" fontId="190" fillId="0" borderId="0" applyAlignment="0">
      <alignment wrapText="1"/>
    </xf>
    <xf numFmtId="0" fontId="190" fillId="0" borderId="0" applyAlignment="0">
      <alignment wrapText="1"/>
    </xf>
    <xf numFmtId="3" fontId="53" fillId="0" borderId="2" applyNumberFormat="0"/>
    <xf numFmtId="181" fontId="58" fillId="0" borderId="25"/>
    <xf numFmtId="224" fontId="161" fillId="0" borderId="0">
      <alignment horizontal="right"/>
    </xf>
    <xf numFmtId="225" fontId="155" fillId="28" borderId="1" applyBorder="0">
      <alignment horizontal="right" vertical="center"/>
      <protection locked="0"/>
    </xf>
    <xf numFmtId="0" fontId="162" fillId="0" borderId="0" applyNumberFormat="0"/>
    <xf numFmtId="0" fontId="2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" fontId="33" fillId="0" borderId="0">
      <alignment horizontal="center"/>
    </xf>
    <xf numFmtId="168" fontId="180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2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0" fontId="33" fillId="0" borderId="0"/>
    <xf numFmtId="213" fontId="192" fillId="0" borderId="0"/>
    <xf numFmtId="40" fontId="181" fillId="0" borderId="0" applyFont="0" applyFill="0" applyBorder="0" applyAlignment="0" applyProtection="0">
      <alignment vertical="center"/>
    </xf>
    <xf numFmtId="0" fontId="43" fillId="0" borderId="0"/>
    <xf numFmtId="0" fontId="33" fillId="0" borderId="0" applyNumberFormat="0" applyFont="0" applyFill="0" applyBorder="0" applyAlignment="0" applyProtection="0"/>
    <xf numFmtId="9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Fill="0" applyAlignment="0">
      <protection locked="0"/>
    </xf>
    <xf numFmtId="0" fontId="12" fillId="0" borderId="0" applyFill="0" applyAlignment="0"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/>
    <xf numFmtId="9" fontId="12" fillId="0" borderId="0"/>
    <xf numFmtId="9" fontId="12" fillId="0" borderId="0"/>
    <xf numFmtId="9" fontId="12" fillId="0" borderId="0"/>
    <xf numFmtId="9" fontId="12" fillId="0" borderId="0"/>
    <xf numFmtId="9" fontId="12" fillId="0" borderId="0"/>
    <xf numFmtId="9" fontId="12" fillId="0" borderId="0"/>
    <xf numFmtId="9" fontId="12" fillId="0" borderId="0"/>
    <xf numFmtId="9" fontId="12" fillId="0" borderId="0"/>
    <xf numFmtId="0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4" borderId="0" applyNumberFormat="0" applyBorder="0" applyAlignment="0" applyProtection="0"/>
    <xf numFmtId="0" fontId="11" fillId="7" borderId="0" applyNumberFormat="0" applyBorder="0" applyAlignment="0" applyProtection="0"/>
    <xf numFmtId="0" fontId="11" fillId="2" borderId="0" applyNumberFormat="0" applyBorder="0" applyAlignment="0" applyProtection="0"/>
    <xf numFmtId="0" fontId="11" fillId="45" borderId="0" applyNumberFormat="0" applyBorder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3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212" fontId="12" fillId="0" borderId="0" applyFont="0" applyFill="0" applyBorder="0" applyAlignment="0" applyProtection="0"/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49" fontId="12" fillId="0" borderId="0" applyFill="0" applyBorder="0">
      <alignment horizontal="right" vertical="center"/>
    </xf>
    <xf numFmtId="168" fontId="12" fillId="29" borderId="8" applyNumberFormat="0" applyFont="0" applyBorder="0" applyAlignment="0" applyProtection="0"/>
    <xf numFmtId="168" fontId="12" fillId="29" borderId="8" applyNumberFormat="0" applyFont="0" applyBorder="0" applyAlignment="0" applyProtection="0"/>
    <xf numFmtId="0" fontId="12" fillId="0" borderId="0" applyNumberFormat="0" applyFont="0" applyFill="0" applyBorder="0" applyAlignment="0" applyProtection="0"/>
    <xf numFmtId="0" fontId="11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1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1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6" borderId="18" applyNumberFormat="0" applyFont="0" applyAlignment="0" applyProtection="0"/>
    <xf numFmtId="0" fontId="12" fillId="6" borderId="18" applyNumberFormat="0" applyFont="0" applyAlignment="0" applyProtection="0"/>
    <xf numFmtId="0" fontId="12" fillId="6" borderId="18" applyNumberFormat="0" applyFont="0" applyAlignment="0" applyProtection="0"/>
    <xf numFmtId="0" fontId="12" fillId="6" borderId="18" applyNumberFormat="0" applyFont="0" applyAlignment="0" applyProtection="0"/>
    <xf numFmtId="0" fontId="12" fillId="6" borderId="18" applyNumberFormat="0" applyFont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34" borderId="0" applyNumberFormat="0" applyFont="0" applyBorder="0" applyAlignment="0" applyProtection="0"/>
    <xf numFmtId="0" fontId="12" fillId="34" borderId="0" applyNumberFormat="0" applyFont="0" applyBorder="0" applyAlignment="0" applyProtection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1" fontId="12" fillId="0" borderId="0">
      <alignment horizontal="center"/>
    </xf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4" borderId="0" applyNumberFormat="0" applyBorder="0" applyAlignment="0" applyProtection="0"/>
    <xf numFmtId="0" fontId="10" fillId="7" borderId="0" applyNumberFormat="0" applyBorder="0" applyAlignment="0" applyProtection="0"/>
    <xf numFmtId="0" fontId="10" fillId="2" borderId="0" applyNumberFormat="0" applyBorder="0" applyAlignment="0" applyProtection="0"/>
    <xf numFmtId="0" fontId="10" fillId="45" borderId="0" applyNumberFormat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3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4" borderId="0" applyNumberFormat="0" applyBorder="0" applyAlignment="0" applyProtection="0"/>
    <xf numFmtId="0" fontId="10" fillId="7" borderId="0" applyNumberFormat="0" applyBorder="0" applyAlignment="0" applyProtection="0"/>
    <xf numFmtId="0" fontId="10" fillId="2" borderId="0" applyNumberFormat="0" applyBorder="0" applyAlignment="0" applyProtection="0"/>
    <xf numFmtId="0" fontId="10" fillId="45" borderId="0" applyNumberFormat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4" borderId="0" applyNumberFormat="0" applyBorder="0" applyAlignment="0" applyProtection="0"/>
    <xf numFmtId="0" fontId="10" fillId="7" borderId="0" applyNumberFormat="0" applyBorder="0" applyAlignment="0" applyProtection="0"/>
    <xf numFmtId="0" fontId="10" fillId="2" borderId="0" applyNumberFormat="0" applyBorder="0" applyAlignment="0" applyProtection="0"/>
    <xf numFmtId="0" fontId="10" fillId="45" borderId="0" applyNumberFormat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3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4" borderId="0" applyNumberFormat="0" applyBorder="0" applyAlignment="0" applyProtection="0"/>
    <xf numFmtId="0" fontId="10" fillId="7" borderId="0" applyNumberFormat="0" applyBorder="0" applyAlignment="0" applyProtection="0"/>
    <xf numFmtId="0" fontId="10" fillId="2" borderId="0" applyNumberFormat="0" applyBorder="0" applyAlignment="0" applyProtection="0"/>
    <xf numFmtId="0" fontId="10" fillId="45" borderId="0" applyNumberFormat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3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 applyNumberFormat="0" applyFont="0" applyFill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4" borderId="0" applyNumberFormat="0" applyBorder="0" applyAlignment="0" applyProtection="0"/>
    <xf numFmtId="0" fontId="9" fillId="7" borderId="0" applyNumberFormat="0" applyBorder="0" applyAlignment="0" applyProtection="0"/>
    <xf numFmtId="0" fontId="9" fillId="2" borderId="0" applyNumberFormat="0" applyBorder="0" applyAlignment="0" applyProtection="0"/>
    <xf numFmtId="0" fontId="9" fillId="45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3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4" borderId="0" applyNumberFormat="0" applyBorder="0" applyAlignment="0" applyProtection="0"/>
    <xf numFmtId="0" fontId="9" fillId="7" borderId="0" applyNumberFormat="0" applyBorder="0" applyAlignment="0" applyProtection="0"/>
    <xf numFmtId="0" fontId="9" fillId="2" borderId="0" applyNumberFormat="0" applyBorder="0" applyAlignment="0" applyProtection="0"/>
    <xf numFmtId="0" fontId="9" fillId="45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3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 applyNumberFormat="0" applyFont="0" applyFill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4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8" fillId="45" borderId="0" applyNumberFormat="0" applyBorder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 applyNumberFormat="0" applyFont="0" applyFill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 applyNumberFormat="0" applyFont="0" applyFill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4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45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25" fillId="0" borderId="0" applyNumberFormat="0" applyFill="0" applyBorder="0" applyAlignment="0" applyProtection="0"/>
    <xf numFmtId="0" fontId="226" fillId="0" borderId="43" applyNumberFormat="0" applyFill="0" applyAlignment="0" applyProtection="0"/>
    <xf numFmtId="0" fontId="227" fillId="0" borderId="44" applyNumberFormat="0" applyFill="0" applyAlignment="0" applyProtection="0"/>
    <xf numFmtId="0" fontId="228" fillId="0" borderId="45" applyNumberFormat="0" applyFill="0" applyAlignment="0" applyProtection="0"/>
    <xf numFmtId="0" fontId="228" fillId="0" borderId="0" applyNumberFormat="0" applyFill="0" applyBorder="0" applyAlignment="0" applyProtection="0"/>
    <xf numFmtId="0" fontId="229" fillId="50" borderId="0" applyNumberFormat="0" applyBorder="0" applyAlignment="0" applyProtection="0"/>
    <xf numFmtId="0" fontId="230" fillId="51" borderId="0" applyNumberFormat="0" applyBorder="0" applyAlignment="0" applyProtection="0"/>
    <xf numFmtId="0" fontId="231" fillId="49" borderId="0" applyNumberFormat="0" applyBorder="0" applyAlignment="0" applyProtection="0"/>
    <xf numFmtId="0" fontId="232" fillId="48" borderId="39" applyNumberFormat="0" applyAlignment="0" applyProtection="0"/>
    <xf numFmtId="0" fontId="222" fillId="52" borderId="42" applyNumberFormat="0" applyAlignment="0" applyProtection="0"/>
    <xf numFmtId="0" fontId="233" fillId="52" borderId="39" applyNumberFormat="0" applyAlignment="0" applyProtection="0"/>
    <xf numFmtId="0" fontId="234" fillId="0" borderId="46" applyNumberFormat="0" applyFill="0" applyAlignment="0" applyProtection="0"/>
    <xf numFmtId="0" fontId="223" fillId="0" borderId="47" applyNumberFormat="0" applyFill="0" applyAlignment="0" applyProtection="0"/>
    <xf numFmtId="0" fontId="216" fillId="54" borderId="0" applyNumberFormat="0" applyBorder="0" applyAlignment="0" applyProtection="0"/>
    <xf numFmtId="0" fontId="6" fillId="55" borderId="0" applyNumberFormat="0" applyBorder="0" applyAlignment="0" applyProtection="0"/>
    <xf numFmtId="0" fontId="6" fillId="56" borderId="0" applyNumberFormat="0" applyBorder="0" applyAlignment="0" applyProtection="0"/>
    <xf numFmtId="0" fontId="216" fillId="57" borderId="0" applyNumberFormat="0" applyBorder="0" applyAlignment="0" applyProtection="0"/>
    <xf numFmtId="0" fontId="216" fillId="58" borderId="0" applyNumberFormat="0" applyBorder="0" applyAlignment="0" applyProtection="0"/>
    <xf numFmtId="0" fontId="6" fillId="59" borderId="0" applyNumberFormat="0" applyBorder="0" applyAlignment="0" applyProtection="0"/>
    <xf numFmtId="0" fontId="6" fillId="60" borderId="0" applyNumberFormat="0" applyBorder="0" applyAlignment="0" applyProtection="0"/>
    <xf numFmtId="0" fontId="216" fillId="61" borderId="0" applyNumberFormat="0" applyBorder="0" applyAlignment="0" applyProtection="0"/>
    <xf numFmtId="0" fontId="216" fillId="62" borderId="0" applyNumberFormat="0" applyBorder="0" applyAlignment="0" applyProtection="0"/>
    <xf numFmtId="0" fontId="6" fillId="63" borderId="0" applyNumberFormat="0" applyBorder="0" applyAlignment="0" applyProtection="0"/>
    <xf numFmtId="0" fontId="216" fillId="64" borderId="0" applyNumberFormat="0" applyBorder="0" applyAlignment="0" applyProtection="0"/>
    <xf numFmtId="0" fontId="216" fillId="65" borderId="0" applyNumberFormat="0" applyBorder="0" applyAlignment="0" applyProtection="0"/>
    <xf numFmtId="0" fontId="6" fillId="66" borderId="0" applyNumberFormat="0" applyBorder="0" applyAlignment="0" applyProtection="0"/>
    <xf numFmtId="0" fontId="6" fillId="67" borderId="0" applyNumberFormat="0" applyBorder="0" applyAlignment="0" applyProtection="0"/>
    <xf numFmtId="0" fontId="216" fillId="68" borderId="0" applyNumberFormat="0" applyBorder="0" applyAlignment="0" applyProtection="0"/>
    <xf numFmtId="0" fontId="216" fillId="69" borderId="0" applyNumberFormat="0" applyBorder="0" applyAlignment="0" applyProtection="0"/>
    <xf numFmtId="0" fontId="6" fillId="70" borderId="0" applyNumberFormat="0" applyBorder="0" applyAlignment="0" applyProtection="0"/>
    <xf numFmtId="0" fontId="6" fillId="71" borderId="0" applyNumberFormat="0" applyBorder="0" applyAlignment="0" applyProtection="0"/>
    <xf numFmtId="0" fontId="216" fillId="72" borderId="0" applyNumberFormat="0" applyBorder="0" applyAlignment="0" applyProtection="0"/>
    <xf numFmtId="0" fontId="6" fillId="73" borderId="0" applyNumberFormat="0" applyBorder="0" applyAlignment="0" applyProtection="0"/>
    <xf numFmtId="0" fontId="216" fillId="74" borderId="0" applyNumberFormat="0" applyBorder="0" applyAlignment="0" applyProtection="0"/>
    <xf numFmtId="0" fontId="12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6" fillId="53" borderId="41" applyNumberFormat="0" applyFont="0" applyAlignment="0" applyProtection="0"/>
    <xf numFmtId="0" fontId="12" fillId="0" borderId="0"/>
    <xf numFmtId="0" fontId="6" fillId="0" borderId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3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226" fontId="6" fillId="0" borderId="0" applyFont="0" applyFill="0" applyBorder="0" applyAlignment="0" applyProtection="0"/>
    <xf numFmtId="0" fontId="190" fillId="0" borderId="0" applyAlignment="0"/>
    <xf numFmtId="0" fontId="12" fillId="0" borderId="0" applyNumberFormat="0" applyFon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2" fillId="0" borderId="0" applyNumberFormat="0" applyFon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4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45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2" fillId="0" borderId="0" applyNumberFormat="0" applyFont="0" applyFill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4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4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3" borderId="41" applyNumberFormat="0" applyFont="0" applyAlignment="0" applyProtection="0"/>
    <xf numFmtId="0" fontId="3" fillId="55" borderId="0" applyNumberFormat="0" applyBorder="0" applyAlignment="0" applyProtection="0"/>
    <xf numFmtId="0" fontId="3" fillId="56" borderId="0" applyNumberFormat="0" applyBorder="0" applyAlignment="0" applyProtection="0"/>
    <xf numFmtId="0" fontId="3" fillId="59" borderId="0" applyNumberFormat="0" applyBorder="0" applyAlignment="0" applyProtection="0"/>
    <xf numFmtId="0" fontId="3" fillId="60" borderId="0" applyNumberFormat="0" applyBorder="0" applyAlignment="0" applyProtection="0"/>
    <xf numFmtId="0" fontId="3" fillId="0" borderId="0"/>
    <xf numFmtId="0" fontId="3" fillId="44" borderId="0" applyNumberFormat="0" applyBorder="0" applyAlignment="0" applyProtection="0"/>
    <xf numFmtId="0" fontId="3" fillId="63" borderId="0" applyNumberFormat="0" applyBorder="0" applyAlignment="0" applyProtection="0"/>
    <xf numFmtId="0" fontId="3" fillId="66" borderId="0" applyNumberFormat="0" applyBorder="0" applyAlignment="0" applyProtection="0"/>
    <xf numFmtId="0" fontId="3" fillId="67" borderId="0" applyNumberFormat="0" applyBorder="0" applyAlignment="0" applyProtection="0"/>
    <xf numFmtId="0" fontId="3" fillId="70" borderId="0" applyNumberFormat="0" applyBorder="0" applyAlignment="0" applyProtection="0"/>
    <xf numFmtId="0" fontId="3" fillId="71" borderId="0" applyNumberFormat="0" applyBorder="0" applyAlignment="0" applyProtection="0"/>
    <xf numFmtId="0" fontId="3" fillId="45" borderId="0" applyNumberFormat="0" applyBorder="0" applyAlignment="0" applyProtection="0"/>
    <xf numFmtId="0" fontId="3" fillId="73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90" fillId="0" borderId="0" applyAlignment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190" fillId="0" borderId="0" applyAlignment="0"/>
    <xf numFmtId="9" fontId="3" fillId="0" borderId="0" applyFont="0" applyFill="0" applyBorder="0" applyAlignment="0" applyProtection="0"/>
    <xf numFmtId="22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0" fillId="0" borderId="0" applyAlignment="0"/>
    <xf numFmtId="0" fontId="3" fillId="0" borderId="0"/>
    <xf numFmtId="0" fontId="190" fillId="0" borderId="0" applyAlignment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12" fillId="0" borderId="0" applyNumberFormat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1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 applyNumberFormat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3" borderId="0" applyNumberFormat="0" applyBorder="0" applyAlignment="0" applyProtection="0"/>
    <xf numFmtId="0" fontId="2" fillId="66" borderId="0" applyNumberFormat="0" applyBorder="0" applyAlignment="0" applyProtection="0"/>
    <xf numFmtId="0" fontId="2" fillId="67" borderId="0" applyNumberFormat="0" applyBorder="0" applyAlignment="0" applyProtection="0"/>
    <xf numFmtId="0" fontId="2" fillId="70" borderId="0" applyNumberFormat="0" applyBorder="0" applyAlignment="0" applyProtection="0"/>
    <xf numFmtId="0" fontId="2" fillId="71" borderId="0" applyNumberFormat="0" applyBorder="0" applyAlignment="0" applyProtection="0"/>
    <xf numFmtId="0" fontId="2" fillId="7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2" fillId="0" borderId="0"/>
    <xf numFmtId="0" fontId="2" fillId="53" borderId="41" applyNumberFormat="0" applyFont="0" applyAlignment="0" applyProtection="0"/>
    <xf numFmtId="0" fontId="2" fillId="0" borderId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226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7" borderId="0" applyNumberFormat="0" applyBorder="0" applyAlignment="0" applyProtection="0"/>
    <xf numFmtId="0" fontId="2" fillId="2" borderId="0" applyNumberFormat="0" applyBorder="0" applyAlignment="0" applyProtection="0"/>
    <xf numFmtId="0" fontId="2" fillId="45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53" borderId="41" applyNumberFormat="0" applyFont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0" borderId="0"/>
    <xf numFmtId="0" fontId="2" fillId="44" borderId="0" applyNumberFormat="0" applyBorder="0" applyAlignment="0" applyProtection="0"/>
    <xf numFmtId="0" fontId="2" fillId="63" borderId="0" applyNumberFormat="0" applyBorder="0" applyAlignment="0" applyProtection="0"/>
    <xf numFmtId="0" fontId="2" fillId="66" borderId="0" applyNumberFormat="0" applyBorder="0" applyAlignment="0" applyProtection="0"/>
    <xf numFmtId="0" fontId="2" fillId="67" borderId="0" applyNumberFormat="0" applyBorder="0" applyAlignment="0" applyProtection="0"/>
    <xf numFmtId="0" fontId="2" fillId="70" borderId="0" applyNumberFormat="0" applyBorder="0" applyAlignment="0" applyProtection="0"/>
    <xf numFmtId="0" fontId="2" fillId="71" borderId="0" applyNumberFormat="0" applyBorder="0" applyAlignment="0" applyProtection="0"/>
    <xf numFmtId="0" fontId="2" fillId="45" borderId="0" applyNumberFormat="0" applyBorder="0" applyAlignment="0" applyProtection="0"/>
    <xf numFmtId="0" fontId="2" fillId="73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2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3" borderId="0" applyNumberFormat="0" applyBorder="0" applyAlignment="0" applyProtection="0"/>
    <xf numFmtId="0" fontId="1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3" borderId="0" applyNumberFormat="0" applyBorder="0" applyAlignment="0" applyProtection="0"/>
    <xf numFmtId="0" fontId="1" fillId="0" borderId="0"/>
    <xf numFmtId="0" fontId="1" fillId="53" borderId="41" applyNumberFormat="0" applyFont="0" applyAlignment="0" applyProtection="0"/>
    <xf numFmtId="0" fontId="1" fillId="0" borderId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226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53" borderId="41" applyNumberFormat="0" applyFont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0" borderId="0"/>
    <xf numFmtId="0" fontId="1" fillId="44" borderId="0" applyNumberFormat="0" applyBorder="0" applyAlignment="0" applyProtection="0"/>
    <xf numFmtId="0" fontId="1" fillId="63" borderId="0" applyNumberFormat="0" applyBorder="0" applyAlignment="0" applyProtection="0"/>
    <xf numFmtId="0" fontId="1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45" borderId="0" applyNumberFormat="0" applyBorder="0" applyAlignment="0" applyProtection="0"/>
    <xf numFmtId="0" fontId="1" fillId="73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22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3" borderId="0" applyNumberFormat="0" applyBorder="0" applyAlignment="0" applyProtection="0"/>
    <xf numFmtId="0" fontId="1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3" borderId="0" applyNumberFormat="0" applyBorder="0" applyAlignment="0" applyProtection="0"/>
    <xf numFmtId="0" fontId="1" fillId="0" borderId="0"/>
    <xf numFmtId="0" fontId="1" fillId="53" borderId="41" applyNumberFormat="0" applyFont="0" applyAlignment="0" applyProtection="0"/>
    <xf numFmtId="0" fontId="1" fillId="0" borderId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226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4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45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53" borderId="41" applyNumberFormat="0" applyFont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0" borderId="0"/>
    <xf numFmtId="0" fontId="1" fillId="44" borderId="0" applyNumberFormat="0" applyBorder="0" applyAlignment="0" applyProtection="0"/>
    <xf numFmtId="0" fontId="1" fillId="63" borderId="0" applyNumberFormat="0" applyBorder="0" applyAlignment="0" applyProtection="0"/>
    <xf numFmtId="0" fontId="1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45" borderId="0" applyNumberFormat="0" applyBorder="0" applyAlignment="0" applyProtection="0"/>
    <xf numFmtId="0" fontId="1" fillId="73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22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92" fillId="0" borderId="0"/>
  </cellStyleXfs>
  <cellXfs count="1616">
    <xf numFmtId="0" fontId="0" fillId="0" borderId="0" xfId="0"/>
    <xf numFmtId="0" fontId="12" fillId="0" borderId="0" xfId="2" applyFont="1"/>
    <xf numFmtId="0" fontId="14" fillId="0" borderId="0" xfId="2" applyFont="1" applyFill="1" applyAlignment="1">
      <alignment vertical="center"/>
    </xf>
    <xf numFmtId="0" fontId="12" fillId="28" borderId="0" xfId="2" applyFont="1" applyFill="1"/>
    <xf numFmtId="0" fontId="15" fillId="0" borderId="0" xfId="797" applyNumberFormat="1" applyFont="1" applyFill="1" applyBorder="1" applyAlignment="1">
      <alignment horizontal="left"/>
    </xf>
    <xf numFmtId="0" fontId="12" fillId="0" borderId="0" xfId="2" applyFont="1" applyFill="1"/>
    <xf numFmtId="164" fontId="12" fillId="0" borderId="0" xfId="2" applyNumberFormat="1" applyFont="1"/>
    <xf numFmtId="0" fontId="12" fillId="0" borderId="2" xfId="2" applyFont="1" applyBorder="1"/>
    <xf numFmtId="0" fontId="17" fillId="0" borderId="0" xfId="2" applyFont="1"/>
    <xf numFmtId="0" fontId="18" fillId="0" borderId="7" xfId="2" applyFont="1" applyBorder="1"/>
    <xf numFmtId="0" fontId="18" fillId="0" borderId="26" xfId="2" applyFont="1" applyBorder="1"/>
    <xf numFmtId="0" fontId="17" fillId="0" borderId="0" xfId="2" applyFont="1" applyFill="1"/>
    <xf numFmtId="0" fontId="19" fillId="0" borderId="1" xfId="2" applyFont="1" applyBorder="1"/>
    <xf numFmtId="0" fontId="19" fillId="0" borderId="27" xfId="2" applyFont="1" applyBorder="1"/>
    <xf numFmtId="0" fontId="17" fillId="0" borderId="0" xfId="2" applyFont="1" applyBorder="1"/>
    <xf numFmtId="0" fontId="17" fillId="0" borderId="28" xfId="2" applyFont="1" applyBorder="1"/>
    <xf numFmtId="0" fontId="17" fillId="0" borderId="29" xfId="2" applyFont="1" applyBorder="1"/>
    <xf numFmtId="1" fontId="20" fillId="28" borderId="30" xfId="796" applyNumberFormat="1" applyFont="1" applyFill="1" applyBorder="1" applyAlignment="1">
      <alignment horizontal="right"/>
    </xf>
    <xf numFmtId="1" fontId="20" fillId="28" borderId="6" xfId="796" applyNumberFormat="1" applyFont="1" applyFill="1" applyBorder="1" applyAlignment="1">
      <alignment horizontal="right"/>
    </xf>
    <xf numFmtId="1" fontId="20" fillId="28" borderId="31" xfId="796" applyNumberFormat="1" applyFont="1" applyFill="1" applyBorder="1" applyAlignment="1">
      <alignment horizontal="right"/>
    </xf>
    <xf numFmtId="0" fontId="17" fillId="0" borderId="32" xfId="2" applyFont="1" applyBorder="1"/>
    <xf numFmtId="1" fontId="20" fillId="28" borderId="26" xfId="796" applyNumberFormat="1" applyFont="1" applyFill="1" applyBorder="1" applyAlignment="1">
      <alignment horizontal="right"/>
    </xf>
    <xf numFmtId="0" fontId="17" fillId="0" borderId="1" xfId="2" applyFont="1" applyBorder="1"/>
    <xf numFmtId="0" fontId="17" fillId="0" borderId="1" xfId="2" applyFont="1" applyFill="1" applyBorder="1"/>
    <xf numFmtId="0" fontId="17" fillId="0" borderId="27" xfId="2" applyFont="1" applyFill="1" applyBorder="1"/>
    <xf numFmtId="167" fontId="17" fillId="0" borderId="0" xfId="2" applyNumberFormat="1" applyFont="1" applyFill="1" applyBorder="1" applyAlignment="1"/>
    <xf numFmtId="167" fontId="17" fillId="0" borderId="1" xfId="2" applyNumberFormat="1" applyFont="1" applyFill="1" applyBorder="1" applyAlignment="1"/>
    <xf numFmtId="0" fontId="17" fillId="0" borderId="1" xfId="2" applyFont="1" applyFill="1" applyBorder="1" applyAlignment="1">
      <alignment horizontal="left" indent="1"/>
    </xf>
    <xf numFmtId="0" fontId="17" fillId="0" borderId="27" xfId="2" applyFont="1" applyFill="1" applyBorder="1" applyAlignment="1">
      <alignment horizontal="left" indent="1"/>
    </xf>
    <xf numFmtId="164" fontId="22" fillId="0" borderId="0" xfId="2" applyNumberFormat="1" applyFont="1" applyFill="1" applyBorder="1" applyAlignment="1"/>
    <xf numFmtId="164" fontId="22" fillId="0" borderId="27" xfId="2" applyNumberFormat="1" applyFont="1" applyFill="1" applyBorder="1" applyAlignment="1"/>
    <xf numFmtId="164" fontId="17" fillId="0" borderId="0" xfId="2" applyNumberFormat="1" applyFont="1" applyFill="1" applyBorder="1" applyAlignment="1"/>
    <xf numFmtId="164" fontId="17" fillId="0" borderId="27" xfId="2" applyNumberFormat="1" applyFont="1" applyFill="1" applyBorder="1" applyAlignment="1"/>
    <xf numFmtId="164" fontId="17" fillId="0" borderId="1" xfId="2" applyNumberFormat="1" applyFont="1" applyFill="1" applyBorder="1" applyAlignment="1"/>
    <xf numFmtId="0" fontId="19" fillId="0" borderId="1" xfId="2" applyFont="1" applyFill="1" applyBorder="1" applyAlignment="1">
      <alignment horizontal="left" indent="1"/>
    </xf>
    <xf numFmtId="0" fontId="19" fillId="0" borderId="27" xfId="2" applyFont="1" applyFill="1" applyBorder="1" applyAlignment="1">
      <alignment horizontal="left" indent="1"/>
    </xf>
    <xf numFmtId="168" fontId="19" fillId="0" borderId="0" xfId="816" applyNumberFormat="1" applyFont="1" applyFill="1" applyBorder="1" applyAlignment="1"/>
    <xf numFmtId="168" fontId="23" fillId="0" borderId="0" xfId="816" applyNumberFormat="1" applyFont="1" applyFill="1" applyBorder="1" applyAlignment="1"/>
    <xf numFmtId="169" fontId="22" fillId="0" borderId="0" xfId="2" applyNumberFormat="1" applyFont="1" applyFill="1" applyBorder="1" applyAlignment="1"/>
    <xf numFmtId="169" fontId="22" fillId="0" borderId="27" xfId="2" applyNumberFormat="1" applyFont="1" applyFill="1" applyBorder="1" applyAlignment="1"/>
    <xf numFmtId="169" fontId="22" fillId="0" borderId="1" xfId="2" applyNumberFormat="1" applyFont="1" applyFill="1" applyBorder="1" applyAlignment="1"/>
    <xf numFmtId="169" fontId="22" fillId="0" borderId="0" xfId="2" applyNumberFormat="1" applyFont="1" applyFill="1" applyBorder="1"/>
    <xf numFmtId="169" fontId="22" fillId="0" borderId="27" xfId="2" applyNumberFormat="1" applyFont="1" applyFill="1" applyBorder="1"/>
    <xf numFmtId="170" fontId="22" fillId="0" borderId="0" xfId="2" applyNumberFormat="1" applyFont="1" applyFill="1" applyBorder="1" applyAlignment="1"/>
    <xf numFmtId="0" fontId="18" fillId="0" borderId="1" xfId="2" applyFont="1" applyFill="1" applyBorder="1"/>
    <xf numFmtId="0" fontId="18" fillId="0" borderId="27" xfId="2" applyFont="1" applyFill="1" applyBorder="1"/>
    <xf numFmtId="164" fontId="18" fillId="0" borderId="1" xfId="2" applyNumberFormat="1" applyFont="1" applyFill="1" applyBorder="1" applyAlignment="1"/>
    <xf numFmtId="164" fontId="18" fillId="0" borderId="0" xfId="2" applyNumberFormat="1" applyFont="1" applyFill="1" applyBorder="1" applyAlignment="1"/>
    <xf numFmtId="164" fontId="18" fillId="0" borderId="27" xfId="2" applyNumberFormat="1" applyFont="1" applyFill="1" applyBorder="1" applyAlignment="1"/>
    <xf numFmtId="0" fontId="17" fillId="0" borderId="1" xfId="2" applyFont="1" applyFill="1" applyBorder="1" applyAlignment="1">
      <alignment horizontal="left" indent="2"/>
    </xf>
    <xf numFmtId="0" fontId="17" fillId="0" borderId="27" xfId="2" applyFont="1" applyFill="1" applyBorder="1" applyAlignment="1">
      <alignment horizontal="left" indent="2"/>
    </xf>
    <xf numFmtId="169" fontId="22" fillId="0" borderId="1" xfId="2" applyNumberFormat="1" applyFont="1" applyFill="1" applyBorder="1"/>
    <xf numFmtId="9" fontId="22" fillId="0" borderId="0" xfId="816" applyFont="1" applyFill="1" applyBorder="1" applyAlignment="1"/>
    <xf numFmtId="9" fontId="22" fillId="0" borderId="27" xfId="816" applyFont="1" applyFill="1" applyBorder="1" applyAlignment="1"/>
    <xf numFmtId="168" fontId="19" fillId="0" borderId="0" xfId="816" applyNumberFormat="1" applyFont="1" applyFill="1" applyBorder="1" applyAlignment="1">
      <alignment horizontal="right"/>
    </xf>
    <xf numFmtId="172" fontId="17" fillId="0" borderId="0" xfId="2" applyNumberFormat="1" applyFont="1" applyFill="1" applyBorder="1" applyAlignment="1"/>
    <xf numFmtId="172" fontId="17" fillId="0" borderId="27" xfId="2" applyNumberFormat="1" applyFont="1" applyFill="1" applyBorder="1" applyAlignment="1"/>
    <xf numFmtId="170" fontId="22" fillId="0" borderId="0" xfId="2" applyNumberFormat="1" applyFont="1" applyFill="1" applyBorder="1"/>
    <xf numFmtId="170" fontId="22" fillId="0" borderId="27" xfId="816" applyNumberFormat="1" applyFont="1" applyFill="1" applyBorder="1" applyAlignment="1"/>
    <xf numFmtId="173" fontId="17" fillId="0" borderId="1" xfId="2" applyNumberFormat="1" applyFont="1" applyFill="1" applyBorder="1"/>
    <xf numFmtId="173" fontId="17" fillId="0" borderId="0" xfId="2" applyNumberFormat="1" applyFont="1" applyFill="1" applyBorder="1"/>
    <xf numFmtId="173" fontId="17" fillId="0" borderId="27" xfId="2" applyNumberFormat="1" applyFont="1" applyFill="1" applyBorder="1"/>
    <xf numFmtId="0" fontId="17" fillId="0" borderId="28" xfId="2" applyFont="1" applyFill="1" applyBorder="1"/>
    <xf numFmtId="0" fontId="17" fillId="0" borderId="29" xfId="2" applyFont="1" applyFill="1" applyBorder="1"/>
    <xf numFmtId="173" fontId="17" fillId="0" borderId="28" xfId="2" applyNumberFormat="1" applyFont="1" applyFill="1" applyBorder="1"/>
    <xf numFmtId="173" fontId="17" fillId="0" borderId="2" xfId="2" applyNumberFormat="1" applyFont="1" applyFill="1" applyBorder="1"/>
    <xf numFmtId="173" fontId="17" fillId="0" borderId="29" xfId="2" applyNumberFormat="1" applyFont="1" applyFill="1" applyBorder="1"/>
    <xf numFmtId="0" fontId="17" fillId="0" borderId="22" xfId="2" applyFont="1" applyFill="1" applyBorder="1"/>
    <xf numFmtId="0" fontId="17" fillId="0" borderId="0" xfId="2" applyFont="1" applyFill="1" applyBorder="1"/>
    <xf numFmtId="169" fontId="22" fillId="0" borderId="22" xfId="2" applyNumberFormat="1" applyFont="1" applyFill="1" applyBorder="1"/>
    <xf numFmtId="37" fontId="22" fillId="0" borderId="0" xfId="2" applyNumberFormat="1" applyFont="1" applyFill="1" applyBorder="1"/>
    <xf numFmtId="43" fontId="22" fillId="0" borderId="0" xfId="2" applyNumberFormat="1" applyFont="1" applyFill="1" applyBorder="1"/>
    <xf numFmtId="0" fontId="17" fillId="0" borderId="2" xfId="2" applyFont="1" applyFill="1" applyBorder="1"/>
    <xf numFmtId="0" fontId="17" fillId="0" borderId="7" xfId="2" applyFont="1" applyFill="1" applyBorder="1"/>
    <xf numFmtId="0" fontId="17" fillId="0" borderId="26" xfId="2" applyFont="1" applyFill="1" applyBorder="1"/>
    <xf numFmtId="164" fontId="22" fillId="0" borderId="7" xfId="2" applyNumberFormat="1" applyFont="1" applyFill="1" applyBorder="1"/>
    <xf numFmtId="164" fontId="22" fillId="0" borderId="22" xfId="2" applyNumberFormat="1" applyFont="1" applyFill="1" applyBorder="1"/>
    <xf numFmtId="164" fontId="22" fillId="0" borderId="26" xfId="2" applyNumberFormat="1" applyFont="1" applyFill="1" applyBorder="1"/>
    <xf numFmtId="174" fontId="17" fillId="0" borderId="22" xfId="2" applyNumberFormat="1" applyFont="1" applyFill="1" applyBorder="1"/>
    <xf numFmtId="174" fontId="17" fillId="0" borderId="26" xfId="2" applyNumberFormat="1" applyFont="1" applyFill="1" applyBorder="1"/>
    <xf numFmtId="164" fontId="17" fillId="0" borderId="1" xfId="2" applyNumberFormat="1" applyFont="1" applyFill="1" applyBorder="1"/>
    <xf numFmtId="164" fontId="17" fillId="0" borderId="0" xfId="2" applyNumberFormat="1" applyFont="1" applyFill="1" applyBorder="1"/>
    <xf numFmtId="164" fontId="17" fillId="0" borderId="27" xfId="2" applyNumberFormat="1" applyFont="1" applyFill="1" applyBorder="1"/>
    <xf numFmtId="164" fontId="22" fillId="0" borderId="1" xfId="2" applyNumberFormat="1" applyFont="1" applyFill="1" applyBorder="1"/>
    <xf numFmtId="164" fontId="22" fillId="0" borderId="0" xfId="2" applyNumberFormat="1" applyFont="1" applyFill="1" applyBorder="1"/>
    <xf numFmtId="164" fontId="22" fillId="0" borderId="27" xfId="2" applyNumberFormat="1" applyFont="1" applyFill="1" applyBorder="1"/>
    <xf numFmtId="174" fontId="17" fillId="0" borderId="0" xfId="2" applyNumberFormat="1" applyFont="1" applyFill="1" applyBorder="1"/>
    <xf numFmtId="174" fontId="17" fillId="0" borderId="27" xfId="2" applyNumberFormat="1" applyFont="1" applyFill="1" applyBorder="1"/>
    <xf numFmtId="174" fontId="22" fillId="0" borderId="0" xfId="2" applyNumberFormat="1" applyFont="1" applyFill="1" applyBorder="1"/>
    <xf numFmtId="174" fontId="22" fillId="0" borderId="1" xfId="2" applyNumberFormat="1" applyFont="1" applyFill="1" applyBorder="1"/>
    <xf numFmtId="168" fontId="19" fillId="0" borderId="0" xfId="816" applyNumberFormat="1" applyFont="1" applyFill="1" applyBorder="1"/>
    <xf numFmtId="168" fontId="19" fillId="0" borderId="27" xfId="816" applyNumberFormat="1" applyFont="1" applyFill="1" applyBorder="1"/>
    <xf numFmtId="168" fontId="23" fillId="0" borderId="0" xfId="816" applyNumberFormat="1" applyFont="1" applyFill="1" applyBorder="1"/>
    <xf numFmtId="168" fontId="23" fillId="0" borderId="27" xfId="816" applyNumberFormat="1" applyFont="1" applyFill="1" applyBorder="1"/>
    <xf numFmtId="0" fontId="17" fillId="0" borderId="27" xfId="2" applyFont="1" applyFill="1" applyBorder="1" applyAlignment="1">
      <alignment horizontal="left"/>
    </xf>
    <xf numFmtId="169" fontId="17" fillId="0" borderId="1" xfId="2" applyNumberFormat="1" applyFont="1" applyFill="1" applyBorder="1"/>
    <xf numFmtId="169" fontId="17" fillId="0" borderId="0" xfId="2" applyNumberFormat="1" applyFont="1" applyFill="1" applyBorder="1"/>
    <xf numFmtId="169" fontId="17" fillId="0" borderId="27" xfId="2" applyNumberFormat="1" applyFont="1" applyFill="1" applyBorder="1"/>
    <xf numFmtId="0" fontId="17" fillId="0" borderId="0" xfId="2" applyFont="1" applyFill="1" applyBorder="1" applyAlignment="1">
      <alignment horizontal="left" wrapText="1" indent="2"/>
    </xf>
    <xf numFmtId="37" fontId="17" fillId="0" borderId="0" xfId="2" applyNumberFormat="1" applyFont="1" applyFill="1" applyAlignment="1">
      <alignment horizontal="center"/>
    </xf>
    <xf numFmtId="0" fontId="29" fillId="0" borderId="0" xfId="2" applyFont="1"/>
    <xf numFmtId="0" fontId="30" fillId="0" borderId="0" xfId="2" applyFont="1"/>
    <xf numFmtId="166" fontId="18" fillId="0" borderId="27" xfId="796" applyFont="1" applyFill="1" applyBorder="1"/>
    <xf numFmtId="0" fontId="22" fillId="0" borderId="0" xfId="2" applyFont="1" applyFill="1" applyBorder="1"/>
    <xf numFmtId="0" fontId="22" fillId="0" borderId="27" xfId="2" applyFont="1" applyFill="1" applyBorder="1"/>
    <xf numFmtId="0" fontId="22" fillId="0" borderId="1" xfId="2" applyFont="1" applyFill="1" applyBorder="1"/>
    <xf numFmtId="0" fontId="22" fillId="0" borderId="22" xfId="2" applyFont="1" applyFill="1" applyBorder="1"/>
    <xf numFmtId="164" fontId="17" fillId="0" borderId="32" xfId="2" applyNumberFormat="1" applyFont="1" applyBorder="1"/>
    <xf numFmtId="0" fontId="17" fillId="0" borderId="29" xfId="2" applyFont="1" applyFill="1" applyBorder="1" applyAlignment="1">
      <alignment horizontal="left" indent="1"/>
    </xf>
    <xf numFmtId="164" fontId="17" fillId="0" borderId="2" xfId="2" applyNumberFormat="1" applyFont="1" applyFill="1" applyBorder="1"/>
    <xf numFmtId="164" fontId="17" fillId="0" borderId="29" xfId="2" applyNumberFormat="1" applyFont="1" applyFill="1" applyBorder="1"/>
    <xf numFmtId="166" fontId="18" fillId="0" borderId="27" xfId="796" applyNumberFormat="1" applyFont="1" applyFill="1" applyBorder="1" applyAlignment="1"/>
    <xf numFmtId="164" fontId="18" fillId="0" borderId="22" xfId="2" applyNumberFormat="1" applyFont="1" applyFill="1" applyBorder="1"/>
    <xf numFmtId="164" fontId="18" fillId="0" borderId="26" xfId="2" applyNumberFormat="1" applyFont="1" applyFill="1" applyBorder="1"/>
    <xf numFmtId="164" fontId="18" fillId="0" borderId="7" xfId="2" applyNumberFormat="1" applyFont="1" applyFill="1" applyBorder="1"/>
    <xf numFmtId="164" fontId="18" fillId="0" borderId="0" xfId="2" applyNumberFormat="1" applyFont="1" applyFill="1" applyBorder="1"/>
    <xf numFmtId="164" fontId="18" fillId="0" borderId="27" xfId="2" applyNumberFormat="1" applyFont="1" applyFill="1" applyBorder="1"/>
    <xf numFmtId="164" fontId="22" fillId="0" borderId="0" xfId="322" applyNumberFormat="1" applyFont="1" applyFill="1" applyBorder="1"/>
    <xf numFmtId="164" fontId="22" fillId="0" borderId="1" xfId="322" applyNumberFormat="1" applyFont="1" applyFill="1" applyBorder="1"/>
    <xf numFmtId="164" fontId="22" fillId="0" borderId="27" xfId="322" applyNumberFormat="1" applyFont="1" applyFill="1" applyBorder="1"/>
    <xf numFmtId="166" fontId="18" fillId="0" borderId="31" xfId="796" applyFont="1" applyFill="1" applyBorder="1"/>
    <xf numFmtId="164" fontId="18" fillId="0" borderId="6" xfId="2" applyNumberFormat="1" applyFont="1" applyFill="1" applyBorder="1"/>
    <xf numFmtId="164" fontId="18" fillId="0" borderId="31" xfId="2" applyNumberFormat="1" applyFont="1" applyFill="1" applyBorder="1"/>
    <xf numFmtId="164" fontId="18" fillId="0" borderId="30" xfId="2" applyNumberFormat="1" applyFont="1" applyFill="1" applyBorder="1"/>
    <xf numFmtId="37" fontId="18" fillId="0" borderId="27" xfId="796" applyNumberFormat="1" applyFont="1" applyFill="1" applyBorder="1"/>
    <xf numFmtId="164" fontId="27" fillId="0" borderId="0" xfId="2" applyNumberFormat="1" applyFont="1" applyFill="1" applyBorder="1"/>
    <xf numFmtId="164" fontId="27" fillId="0" borderId="27" xfId="2" applyNumberFormat="1" applyFont="1" applyFill="1" applyBorder="1"/>
    <xf numFmtId="164" fontId="27" fillId="0" borderId="1" xfId="2" applyNumberFormat="1" applyFont="1" applyFill="1" applyBorder="1"/>
    <xf numFmtId="164" fontId="18" fillId="0" borderId="1" xfId="2" applyNumberFormat="1" applyFont="1" applyFill="1" applyBorder="1"/>
    <xf numFmtId="37" fontId="18" fillId="0" borderId="31" xfId="796" applyNumberFormat="1" applyFont="1" applyFill="1" applyBorder="1"/>
    <xf numFmtId="37" fontId="22" fillId="0" borderId="6" xfId="2" applyNumberFormat="1" applyFont="1" applyFill="1" applyBorder="1"/>
    <xf numFmtId="0" fontId="31" fillId="0" borderId="30" xfId="2" applyFont="1" applyFill="1" applyBorder="1"/>
    <xf numFmtId="0" fontId="31" fillId="0" borderId="31" xfId="2" applyFont="1" applyFill="1" applyBorder="1"/>
    <xf numFmtId="176" fontId="31" fillId="0" borderId="6" xfId="322" applyNumberFormat="1" applyFont="1" applyFill="1" applyBorder="1"/>
    <xf numFmtId="176" fontId="31" fillId="0" borderId="31" xfId="322" applyNumberFormat="1" applyFont="1" applyFill="1" applyBorder="1"/>
    <xf numFmtId="176" fontId="31" fillId="0" borderId="30" xfId="322" applyNumberFormat="1" applyFont="1" applyFill="1" applyBorder="1"/>
    <xf numFmtId="177" fontId="22" fillId="0" borderId="0" xfId="2" applyNumberFormat="1" applyFont="1" applyFill="1" applyBorder="1"/>
    <xf numFmtId="177" fontId="22" fillId="0" borderId="22" xfId="2" applyNumberFormat="1" applyFont="1" applyFill="1" applyBorder="1"/>
    <xf numFmtId="43" fontId="22" fillId="0" borderId="22" xfId="2" applyNumberFormat="1" applyFont="1" applyFill="1" applyBorder="1"/>
    <xf numFmtId="37" fontId="22" fillId="0" borderId="2" xfId="2" applyNumberFormat="1" applyFont="1" applyFill="1" applyBorder="1"/>
    <xf numFmtId="0" fontId="22" fillId="0" borderId="2" xfId="2" applyFont="1" applyFill="1" applyBorder="1"/>
    <xf numFmtId="0" fontId="18" fillId="28" borderId="30" xfId="2" applyFont="1" applyFill="1" applyBorder="1" applyAlignment="1">
      <alignment horizontal="left"/>
    </xf>
    <xf numFmtId="0" fontId="18" fillId="28" borderId="31" xfId="2" applyFont="1" applyFill="1" applyBorder="1" applyAlignment="1">
      <alignment horizontal="left"/>
    </xf>
    <xf numFmtId="164" fontId="17" fillId="0" borderId="22" xfId="2" applyNumberFormat="1" applyFont="1" applyFill="1" applyBorder="1"/>
    <xf numFmtId="168" fontId="19" fillId="0" borderId="1" xfId="816" applyNumberFormat="1" applyFont="1" applyFill="1" applyBorder="1"/>
    <xf numFmtId="168" fontId="19" fillId="0" borderId="32" xfId="816" applyNumberFormat="1" applyFont="1" applyBorder="1"/>
    <xf numFmtId="0" fontId="17" fillId="0" borderId="26" xfId="2" applyFont="1" applyFill="1" applyBorder="1" applyAlignment="1">
      <alignment horizontal="left"/>
    </xf>
    <xf numFmtId="164" fontId="17" fillId="0" borderId="26" xfId="2" applyNumberFormat="1" applyFont="1" applyFill="1" applyBorder="1"/>
    <xf numFmtId="164" fontId="17" fillId="0" borderId="7" xfId="2" applyNumberFormat="1" applyFont="1" applyFill="1" applyBorder="1"/>
    <xf numFmtId="0" fontId="18" fillId="0" borderId="31" xfId="2" applyFont="1" applyFill="1" applyBorder="1" applyAlignment="1">
      <alignment horizontal="left" indent="1"/>
    </xf>
    <xf numFmtId="179" fontId="18" fillId="0" borderId="6" xfId="2" applyNumberFormat="1" applyFont="1" applyFill="1" applyBorder="1"/>
    <xf numFmtId="179" fontId="18" fillId="0" borderId="31" xfId="2" applyNumberFormat="1" applyFont="1" applyFill="1" applyBorder="1"/>
    <xf numFmtId="179" fontId="18" fillId="0" borderId="30" xfId="2" applyNumberFormat="1" applyFont="1" applyFill="1" applyBorder="1"/>
    <xf numFmtId="164" fontId="22" fillId="0" borderId="29" xfId="2" applyNumberFormat="1" applyFont="1" applyFill="1" applyBorder="1"/>
    <xf numFmtId="37" fontId="18" fillId="0" borderId="0" xfId="796" applyNumberFormat="1" applyFont="1" applyFill="1" applyBorder="1"/>
    <xf numFmtId="164" fontId="17" fillId="0" borderId="6" xfId="2" applyNumberFormat="1" applyFont="1" applyFill="1" applyBorder="1"/>
    <xf numFmtId="176" fontId="17" fillId="0" borderId="22" xfId="322" applyNumberFormat="1" applyFont="1" applyFill="1" applyBorder="1"/>
    <xf numFmtId="176" fontId="17" fillId="0" borderId="31" xfId="322" applyNumberFormat="1" applyFont="1" applyFill="1" applyBorder="1"/>
    <xf numFmtId="176" fontId="17" fillId="0" borderId="7" xfId="322" applyNumberFormat="1" applyFont="1" applyFill="1" applyBorder="1"/>
    <xf numFmtId="176" fontId="17" fillId="0" borderId="26" xfId="322" applyNumberFormat="1" applyFont="1" applyFill="1" applyBorder="1"/>
    <xf numFmtId="0" fontId="17" fillId="0" borderId="32" xfId="2" applyFont="1" applyFill="1" applyBorder="1"/>
    <xf numFmtId="176" fontId="31" fillId="0" borderId="6" xfId="322" applyNumberFormat="1" applyFont="1" applyFill="1" applyBorder="1" applyAlignment="1"/>
    <xf numFmtId="180" fontId="17" fillId="0" borderId="0" xfId="2" applyNumberFormat="1" applyFont="1" applyFill="1" applyBorder="1"/>
    <xf numFmtId="164" fontId="17" fillId="38" borderId="0" xfId="795" applyNumberFormat="1" applyFont="1" applyFill="1" applyBorder="1"/>
    <xf numFmtId="164" fontId="17" fillId="38" borderId="26" xfId="795" applyNumberFormat="1" applyFont="1" applyFill="1" applyBorder="1"/>
    <xf numFmtId="167" fontId="17" fillId="38" borderId="0" xfId="795" applyNumberFormat="1" applyFont="1" applyFill="1" applyBorder="1"/>
    <xf numFmtId="167" fontId="17" fillId="38" borderId="27" xfId="795" applyNumberFormat="1" applyFont="1" applyFill="1" applyBorder="1"/>
    <xf numFmtId="167" fontId="32" fillId="38" borderId="0" xfId="795" applyNumberFormat="1" applyFont="1" applyFill="1" applyBorder="1"/>
    <xf numFmtId="167" fontId="32" fillId="38" borderId="1" xfId="795" applyNumberFormat="1" applyFont="1" applyFill="1" applyBorder="1"/>
    <xf numFmtId="167" fontId="32" fillId="38" borderId="27" xfId="795" applyNumberFormat="1" applyFont="1" applyFill="1" applyBorder="1"/>
    <xf numFmtId="164" fontId="17" fillId="38" borderId="27" xfId="795" applyNumberFormat="1" applyFont="1" applyFill="1" applyBorder="1"/>
    <xf numFmtId="164" fontId="32" fillId="38" borderId="0" xfId="795" applyNumberFormat="1" applyFont="1" applyFill="1" applyBorder="1"/>
    <xf numFmtId="164" fontId="32" fillId="38" borderId="1" xfId="795" applyNumberFormat="1" applyFont="1" applyFill="1" applyBorder="1"/>
    <xf numFmtId="164" fontId="32" fillId="38" borderId="27" xfId="795" applyNumberFormat="1" applyFont="1" applyFill="1" applyBorder="1"/>
    <xf numFmtId="164" fontId="17" fillId="38" borderId="2" xfId="795" applyNumberFormat="1" applyFont="1" applyFill="1" applyBorder="1"/>
    <xf numFmtId="164" fontId="17" fillId="38" borderId="29" xfId="795" applyNumberFormat="1" applyFont="1" applyFill="1" applyBorder="1"/>
    <xf numFmtId="0" fontId="22" fillId="0" borderId="0" xfId="2" applyFont="1" applyAlignment="1">
      <alignment horizontal="center"/>
    </xf>
    <xf numFmtId="164" fontId="17" fillId="0" borderId="0" xfId="2" applyNumberFormat="1" applyFont="1" applyAlignment="1">
      <alignment horizontal="center"/>
    </xf>
    <xf numFmtId="0" fontId="12" fillId="0" borderId="0" xfId="2" applyFont="1" applyFill="1" applyBorder="1" applyAlignment="1">
      <alignment horizontal="left" wrapText="1" indent="2"/>
    </xf>
    <xf numFmtId="0" fontId="12" fillId="0" borderId="0" xfId="2" applyFont="1" applyBorder="1"/>
    <xf numFmtId="0" fontId="19" fillId="0" borderId="29" xfId="2" applyFont="1" applyBorder="1"/>
    <xf numFmtId="0" fontId="18" fillId="0" borderId="7" xfId="2" applyFont="1" applyFill="1" applyBorder="1"/>
    <xf numFmtId="37" fontId="17" fillId="0" borderId="0" xfId="2" applyNumberFormat="1" applyFont="1" applyFill="1" applyBorder="1"/>
    <xf numFmtId="37" fontId="17" fillId="0" borderId="27" xfId="2" applyNumberFormat="1" applyFont="1" applyFill="1" applyBorder="1"/>
    <xf numFmtId="37" fontId="17" fillId="0" borderId="1" xfId="2" applyNumberFormat="1" applyFont="1" applyFill="1" applyBorder="1"/>
    <xf numFmtId="37" fontId="17" fillId="0" borderId="22" xfId="2" applyNumberFormat="1" applyFont="1" applyFill="1" applyBorder="1"/>
    <xf numFmtId="0" fontId="17" fillId="0" borderId="1" xfId="2" applyFont="1" applyFill="1" applyBorder="1" applyAlignment="1">
      <alignment horizontal="left" wrapText="1" indent="1"/>
    </xf>
    <xf numFmtId="0" fontId="17" fillId="0" borderId="27" xfId="2" applyFont="1" applyFill="1" applyBorder="1" applyAlignment="1">
      <alignment horizontal="left" wrapText="1" indent="1"/>
    </xf>
    <xf numFmtId="41" fontId="22" fillId="0" borderId="0" xfId="2" applyNumberFormat="1" applyFont="1" applyFill="1" applyBorder="1"/>
    <xf numFmtId="41" fontId="22" fillId="0" borderId="27" xfId="2" applyNumberFormat="1" applyFont="1" applyFill="1" applyBorder="1"/>
    <xf numFmtId="41" fontId="22" fillId="0" borderId="1" xfId="2" applyNumberFormat="1" applyFont="1" applyFill="1" applyBorder="1"/>
    <xf numFmtId="179" fontId="17" fillId="0" borderId="0" xfId="2" applyNumberFormat="1" applyFont="1" applyFill="1" applyBorder="1"/>
    <xf numFmtId="179" fontId="17" fillId="0" borderId="27" xfId="2" applyNumberFormat="1" applyFont="1" applyFill="1" applyBorder="1"/>
    <xf numFmtId="179" fontId="17" fillId="0" borderId="1" xfId="2" applyNumberFormat="1" applyFont="1" applyFill="1" applyBorder="1"/>
    <xf numFmtId="179" fontId="22" fillId="0" borderId="0" xfId="2" applyNumberFormat="1" applyFont="1" applyFill="1" applyBorder="1"/>
    <xf numFmtId="179" fontId="22" fillId="0" borderId="27" xfId="2" applyNumberFormat="1" applyFont="1" applyFill="1" applyBorder="1"/>
    <xf numFmtId="179" fontId="22" fillId="0" borderId="1" xfId="2" applyNumberFormat="1" applyFont="1" applyFill="1" applyBorder="1"/>
    <xf numFmtId="0" fontId="18" fillId="0" borderId="33" xfId="2" applyFont="1" applyFill="1" applyBorder="1" applyAlignment="1">
      <alignment horizontal="left"/>
    </xf>
    <xf numFmtId="0" fontId="18" fillId="0" borderId="34" xfId="2" applyFont="1" applyFill="1" applyBorder="1" applyAlignment="1">
      <alignment horizontal="left"/>
    </xf>
    <xf numFmtId="179" fontId="18" fillId="0" borderId="35" xfId="2" applyNumberFormat="1" applyFont="1" applyFill="1" applyBorder="1"/>
    <xf numFmtId="179" fontId="18" fillId="0" borderId="33" xfId="2" applyNumberFormat="1" applyFont="1" applyFill="1" applyBorder="1"/>
    <xf numFmtId="179" fontId="18" fillId="0" borderId="34" xfId="2" applyNumberFormat="1" applyFont="1" applyFill="1" applyBorder="1"/>
    <xf numFmtId="0" fontId="18" fillId="0" borderId="1" xfId="2" applyFont="1" applyFill="1" applyBorder="1" applyAlignment="1">
      <alignment horizontal="left"/>
    </xf>
    <xf numFmtId="0" fontId="18" fillId="0" borderId="27" xfId="2" applyFont="1" applyFill="1" applyBorder="1" applyAlignment="1">
      <alignment horizontal="left"/>
    </xf>
    <xf numFmtId="179" fontId="24" fillId="0" borderId="0" xfId="2" applyNumberFormat="1" applyFont="1" applyFill="1" applyBorder="1"/>
    <xf numFmtId="179" fontId="18" fillId="0" borderId="0" xfId="2" applyNumberFormat="1" applyFont="1" applyFill="1" applyBorder="1"/>
    <xf numFmtId="179" fontId="18" fillId="0" borderId="1" xfId="2" applyNumberFormat="1" applyFont="1" applyFill="1" applyBorder="1"/>
    <xf numFmtId="179" fontId="18" fillId="0" borderId="27" xfId="2" applyNumberFormat="1" applyFont="1" applyFill="1" applyBorder="1"/>
    <xf numFmtId="179" fontId="27" fillId="0" borderId="0" xfId="2" applyNumberFormat="1" applyFont="1" applyFill="1" applyBorder="1"/>
    <xf numFmtId="179" fontId="27" fillId="0" borderId="27" xfId="2" applyNumberFormat="1" applyFont="1" applyFill="1" applyBorder="1"/>
    <xf numFmtId="179" fontId="27" fillId="0" borderId="1" xfId="2" applyNumberFormat="1" applyFont="1" applyFill="1" applyBorder="1"/>
    <xf numFmtId="0" fontId="18" fillId="0" borderId="29" xfId="2" applyFont="1" applyFill="1" applyBorder="1" applyAlignment="1">
      <alignment horizontal="left"/>
    </xf>
    <xf numFmtId="179" fontId="18" fillId="0" borderId="2" xfId="2" applyNumberFormat="1" applyFont="1" applyFill="1" applyBorder="1"/>
    <xf numFmtId="179" fontId="18" fillId="0" borderId="28" xfId="2" applyNumberFormat="1" applyFont="1" applyFill="1" applyBorder="1"/>
    <xf numFmtId="179" fontId="18" fillId="0" borderId="29" xfId="2" applyNumberFormat="1" applyFont="1" applyFill="1" applyBorder="1"/>
    <xf numFmtId="0" fontId="18" fillId="0" borderId="0" xfId="2" applyFont="1" applyFill="1" applyBorder="1" applyAlignment="1">
      <alignment horizontal="left"/>
    </xf>
    <xf numFmtId="179" fontId="18" fillId="0" borderId="22" xfId="2" applyNumberFormat="1" applyFont="1" applyFill="1" applyBorder="1"/>
    <xf numFmtId="0" fontId="17" fillId="0" borderId="31" xfId="2" applyFont="1" applyFill="1" applyBorder="1"/>
    <xf numFmtId="176" fontId="17" fillId="0" borderId="6" xfId="322" applyNumberFormat="1" applyFont="1" applyFill="1" applyBorder="1"/>
    <xf numFmtId="176" fontId="31" fillId="0" borderId="2" xfId="322" applyNumberFormat="1" applyFont="1" applyFill="1" applyBorder="1"/>
    <xf numFmtId="0" fontId="19" fillId="0" borderId="0" xfId="2" applyFont="1" applyFill="1" applyBorder="1"/>
    <xf numFmtId="37" fontId="27" fillId="0" borderId="0" xfId="2" applyNumberFormat="1" applyFont="1" applyFill="1" applyBorder="1"/>
    <xf numFmtId="0" fontId="22" fillId="0" borderId="0" xfId="2" applyFont="1"/>
    <xf numFmtId="0" fontId="17" fillId="0" borderId="2" xfId="2" applyFont="1" applyBorder="1"/>
    <xf numFmtId="1" fontId="18" fillId="28" borderId="6" xfId="796" applyNumberFormat="1" applyFont="1" applyFill="1" applyBorder="1" applyAlignment="1">
      <alignment horizontal="right"/>
    </xf>
    <xf numFmtId="1" fontId="18" fillId="28" borderId="31" xfId="796" applyNumberFormat="1" applyFont="1" applyFill="1" applyBorder="1" applyAlignment="1">
      <alignment horizontal="right"/>
    </xf>
    <xf numFmtId="0" fontId="17" fillId="0" borderId="26" xfId="2" applyFont="1" applyBorder="1"/>
    <xf numFmtId="176" fontId="17" fillId="0" borderId="0" xfId="322" applyNumberFormat="1" applyFont="1" applyFill="1"/>
    <xf numFmtId="176" fontId="17" fillId="0" borderId="27" xfId="322" applyNumberFormat="1" applyFont="1" applyFill="1" applyBorder="1"/>
    <xf numFmtId="176" fontId="17" fillId="0" borderId="0" xfId="322" applyNumberFormat="1" applyFont="1" applyBorder="1"/>
    <xf numFmtId="176" fontId="17" fillId="0" borderId="27" xfId="322" applyNumberFormat="1" applyFont="1" applyBorder="1"/>
    <xf numFmtId="176" fontId="32" fillId="0" borderId="22" xfId="322" applyNumberFormat="1" applyFont="1" applyFill="1" applyBorder="1"/>
    <xf numFmtId="0" fontId="17" fillId="0" borderId="27" xfId="2" applyFont="1" applyBorder="1"/>
    <xf numFmtId="176" fontId="22" fillId="0" borderId="0" xfId="322" applyNumberFormat="1" applyFont="1" applyFill="1"/>
    <xf numFmtId="176" fontId="22" fillId="0" borderId="27" xfId="322" applyNumberFormat="1" applyFont="1" applyFill="1" applyBorder="1"/>
    <xf numFmtId="176" fontId="22" fillId="0" borderId="0" xfId="322" applyNumberFormat="1" applyFont="1" applyBorder="1"/>
    <xf numFmtId="176" fontId="22" fillId="0" borderId="1" xfId="322" applyNumberFormat="1" applyFont="1" applyFill="1" applyBorder="1"/>
    <xf numFmtId="176" fontId="22" fillId="0" borderId="0" xfId="322" applyNumberFormat="1" applyFont="1" applyFill="1" applyBorder="1"/>
    <xf numFmtId="0" fontId="19" fillId="0" borderId="1" xfId="2" applyFont="1" applyBorder="1" applyAlignment="1">
      <alignment horizontal="left" indent="1"/>
    </xf>
    <xf numFmtId="0" fontId="19" fillId="0" borderId="27" xfId="2" applyFont="1" applyBorder="1" applyAlignment="1">
      <alignment horizontal="left" indent="1"/>
    </xf>
    <xf numFmtId="168" fontId="19" fillId="0" borderId="0" xfId="816" applyNumberFormat="1" applyFont="1" applyBorder="1"/>
    <xf numFmtId="168" fontId="19" fillId="0" borderId="2" xfId="816" applyNumberFormat="1" applyFont="1" applyFill="1" applyBorder="1"/>
    <xf numFmtId="168" fontId="19" fillId="0" borderId="29" xfId="816" applyNumberFormat="1" applyFont="1" applyFill="1" applyBorder="1"/>
    <xf numFmtId="176" fontId="32" fillId="0" borderId="2" xfId="322" applyNumberFormat="1" applyFont="1" applyFill="1" applyBorder="1"/>
    <xf numFmtId="176" fontId="17" fillId="0" borderId="29" xfId="322" applyNumberFormat="1" applyFont="1" applyFill="1" applyBorder="1"/>
    <xf numFmtId="176" fontId="17" fillId="0" borderId="2" xfId="322" applyNumberFormat="1" applyFont="1" applyFill="1" applyBorder="1"/>
    <xf numFmtId="176" fontId="17" fillId="0" borderId="28" xfId="322" applyNumberFormat="1" applyFont="1" applyFill="1" applyBorder="1"/>
    <xf numFmtId="176" fontId="17" fillId="0" borderId="0" xfId="322" applyNumberFormat="1" applyFont="1" applyFill="1" applyBorder="1"/>
    <xf numFmtId="176" fontId="17" fillId="0" borderId="1" xfId="322" applyNumberFormat="1" applyFont="1" applyFill="1" applyBorder="1"/>
    <xf numFmtId="0" fontId="18" fillId="0" borderId="28" xfId="2" applyFont="1" applyBorder="1"/>
    <xf numFmtId="0" fontId="18" fillId="0" borderId="29" xfId="2" applyFont="1" applyBorder="1"/>
    <xf numFmtId="176" fontId="18" fillId="0" borderId="6" xfId="322" applyNumberFormat="1" applyFont="1" applyBorder="1"/>
    <xf numFmtId="176" fontId="18" fillId="0" borderId="31" xfId="322" applyNumberFormat="1" applyFont="1" applyBorder="1"/>
    <xf numFmtId="176" fontId="18" fillId="0" borderId="30" xfId="322" applyNumberFormat="1" applyFont="1" applyBorder="1"/>
    <xf numFmtId="176" fontId="17" fillId="0" borderId="6" xfId="322" applyNumberFormat="1" applyFont="1" applyBorder="1"/>
    <xf numFmtId="168" fontId="19" fillId="0" borderId="0" xfId="816" applyNumberFormat="1" applyFont="1" applyFill="1"/>
    <xf numFmtId="176" fontId="22" fillId="0" borderId="0" xfId="2" applyNumberFormat="1" applyFont="1"/>
    <xf numFmtId="0" fontId="24" fillId="0" borderId="0" xfId="2" applyFont="1"/>
    <xf numFmtId="1" fontId="18" fillId="28" borderId="30" xfId="796" applyNumberFormat="1" applyFont="1" applyFill="1" applyBorder="1" applyAlignment="1">
      <alignment horizontal="right"/>
    </xf>
    <xf numFmtId="0" fontId="18" fillId="0" borderId="1" xfId="2" applyFont="1" applyBorder="1"/>
    <xf numFmtId="0" fontId="19" fillId="0" borderId="29" xfId="2" applyFont="1" applyBorder="1" applyAlignment="1">
      <alignment horizontal="left" indent="1"/>
    </xf>
    <xf numFmtId="168" fontId="19" fillId="0" borderId="2" xfId="816" applyNumberFormat="1" applyFont="1" applyBorder="1"/>
    <xf numFmtId="168" fontId="19" fillId="0" borderId="29" xfId="816" applyNumberFormat="1" applyFont="1" applyBorder="1"/>
    <xf numFmtId="179" fontId="17" fillId="0" borderId="0" xfId="2" applyNumberFormat="1" applyFont="1"/>
    <xf numFmtId="179" fontId="17" fillId="0" borderId="2" xfId="2" applyNumberFormat="1" applyFont="1" applyBorder="1"/>
    <xf numFmtId="179" fontId="17" fillId="0" borderId="29" xfId="2" applyNumberFormat="1" applyFont="1" applyBorder="1"/>
    <xf numFmtId="179" fontId="17" fillId="0" borderId="28" xfId="2" applyNumberFormat="1" applyFont="1" applyBorder="1"/>
    <xf numFmtId="183" fontId="17" fillId="0" borderId="2" xfId="2" applyNumberFormat="1" applyFont="1" applyBorder="1"/>
    <xf numFmtId="0" fontId="33" fillId="0" borderId="0" xfId="2" applyFont="1"/>
    <xf numFmtId="0" fontId="33" fillId="0" borderId="0" xfId="2" applyFont="1" applyBorder="1"/>
    <xf numFmtId="0" fontId="18" fillId="0" borderId="2" xfId="2" applyFont="1" applyFill="1" applyBorder="1" applyAlignment="1">
      <alignment horizontal="left"/>
    </xf>
    <xf numFmtId="0" fontId="18" fillId="0" borderId="31" xfId="2" applyFont="1" applyFill="1" applyBorder="1" applyAlignment="1">
      <alignment horizontal="left"/>
    </xf>
    <xf numFmtId="0" fontId="12" fillId="28" borderId="0" xfId="2" applyFont="1" applyFill="1" applyBorder="1"/>
    <xf numFmtId="37" fontId="12" fillId="0" borderId="0" xfId="2" applyNumberFormat="1" applyFont="1" applyFill="1" applyAlignment="1">
      <alignment horizontal="center"/>
    </xf>
    <xf numFmtId="0" fontId="35" fillId="0" borderId="0" xfId="2" applyFont="1"/>
    <xf numFmtId="168" fontId="25" fillId="38" borderId="0" xfId="816" applyNumberFormat="1" applyFont="1" applyFill="1" applyBorder="1"/>
    <xf numFmtId="168" fontId="25" fillId="38" borderId="27" xfId="816" applyNumberFormat="1" applyFont="1" applyFill="1" applyBorder="1"/>
    <xf numFmtId="49" fontId="0" fillId="0" borderId="0" xfId="2" applyNumberFormat="1" applyFont="1"/>
    <xf numFmtId="0" fontId="18" fillId="0" borderId="0" xfId="2" applyFont="1" applyBorder="1"/>
    <xf numFmtId="0" fontId="19" fillId="0" borderId="0" xfId="2" applyFont="1" applyBorder="1"/>
    <xf numFmtId="0" fontId="18" fillId="0" borderId="2" xfId="2" applyFont="1" applyBorder="1"/>
    <xf numFmtId="0" fontId="0" fillId="0" borderId="1" xfId="2" applyFont="1" applyBorder="1"/>
    <xf numFmtId="168" fontId="19" fillId="0" borderId="27" xfId="816" applyNumberFormat="1" applyFont="1" applyBorder="1"/>
    <xf numFmtId="164" fontId="18" fillId="0" borderId="1" xfId="2" applyNumberFormat="1" applyFont="1" applyBorder="1"/>
    <xf numFmtId="164" fontId="18" fillId="0" borderId="0" xfId="2" applyNumberFormat="1" applyFont="1" applyBorder="1"/>
    <xf numFmtId="164" fontId="18" fillId="0" borderId="27" xfId="2" applyNumberFormat="1" applyFont="1" applyBorder="1"/>
    <xf numFmtId="0" fontId="18" fillId="0" borderId="32" xfId="2" applyFont="1" applyBorder="1"/>
    <xf numFmtId="164" fontId="18" fillId="0" borderId="2" xfId="2" applyNumberFormat="1" applyFont="1" applyBorder="1"/>
    <xf numFmtId="164" fontId="18" fillId="0" borderId="29" xfId="2" applyNumberFormat="1" applyFont="1" applyBorder="1"/>
    <xf numFmtId="0" fontId="18" fillId="0" borderId="30" xfId="2" applyFont="1" applyBorder="1"/>
    <xf numFmtId="0" fontId="18" fillId="0" borderId="6" xfId="2" applyFont="1" applyBorder="1"/>
    <xf numFmtId="174" fontId="18" fillId="0" borderId="30" xfId="2" applyNumberFormat="1" applyFont="1" applyBorder="1" applyAlignment="1">
      <alignment horizontal="centerContinuous"/>
    </xf>
    <xf numFmtId="174" fontId="18" fillId="0" borderId="6" xfId="2" applyNumberFormat="1" applyFont="1" applyBorder="1" applyAlignment="1">
      <alignment horizontal="centerContinuous"/>
    </xf>
    <xf numFmtId="174" fontId="18" fillId="0" borderId="31" xfId="2" applyNumberFormat="1" applyFont="1" applyBorder="1" applyAlignment="1">
      <alignment horizontal="centerContinuous"/>
    </xf>
    <xf numFmtId="0" fontId="12" fillId="0" borderId="0" xfId="2" quotePrefix="1" applyFont="1" applyFill="1" applyBorder="1"/>
    <xf numFmtId="37" fontId="17" fillId="0" borderId="0" xfId="2" applyNumberFormat="1" applyFont="1"/>
    <xf numFmtId="174" fontId="17" fillId="0" borderId="1" xfId="2" applyNumberFormat="1" applyFont="1" applyFill="1" applyBorder="1"/>
    <xf numFmtId="164" fontId="17" fillId="0" borderId="28" xfId="2" applyNumberFormat="1" applyFont="1" applyFill="1" applyBorder="1"/>
    <xf numFmtId="37" fontId="17" fillId="0" borderId="7" xfId="2" applyNumberFormat="1" applyFont="1" applyFill="1" applyBorder="1"/>
    <xf numFmtId="176" fontId="17" fillId="0" borderId="30" xfId="322" applyNumberFormat="1" applyFont="1" applyFill="1" applyBorder="1"/>
    <xf numFmtId="176" fontId="31" fillId="0" borderId="28" xfId="322" applyNumberFormat="1" applyFont="1" applyFill="1" applyBorder="1"/>
    <xf numFmtId="176" fontId="32" fillId="0" borderId="7" xfId="322" applyNumberFormat="1" applyFont="1" applyFill="1" applyBorder="1"/>
    <xf numFmtId="176" fontId="32" fillId="0" borderId="28" xfId="322" applyNumberFormat="1" applyFont="1" applyFill="1" applyBorder="1"/>
    <xf numFmtId="179" fontId="18" fillId="0" borderId="38" xfId="2" applyNumberFormat="1" applyFont="1" applyFill="1" applyBorder="1"/>
    <xf numFmtId="0" fontId="19" fillId="0" borderId="28" xfId="2" applyFont="1" applyBorder="1"/>
    <xf numFmtId="0" fontId="12" fillId="0" borderId="1" xfId="2" applyFont="1" applyBorder="1"/>
    <xf numFmtId="43" fontId="22" fillId="0" borderId="0" xfId="2" applyNumberFormat="1" applyFont="1"/>
    <xf numFmtId="3" fontId="0" fillId="0" borderId="0" xfId="2" applyNumberFormat="1" applyFont="1"/>
    <xf numFmtId="164" fontId="17" fillId="0" borderId="0" xfId="2" applyNumberFormat="1" applyFont="1"/>
    <xf numFmtId="0" fontId="18" fillId="0" borderId="27" xfId="2" applyFont="1" applyBorder="1"/>
    <xf numFmtId="168" fontId="23" fillId="0" borderId="2" xfId="816" applyNumberFormat="1" applyFont="1" applyBorder="1"/>
    <xf numFmtId="168" fontId="23" fillId="0" borderId="29" xfId="816" applyNumberFormat="1" applyFont="1" applyBorder="1"/>
    <xf numFmtId="0" fontId="30" fillId="0" borderId="32" xfId="2" applyFont="1" applyBorder="1"/>
    <xf numFmtId="0" fontId="35" fillId="0" borderId="1" xfId="2" applyFont="1" applyBorder="1"/>
    <xf numFmtId="168" fontId="25" fillId="0" borderId="0" xfId="2" applyNumberFormat="1" applyFont="1" applyBorder="1"/>
    <xf numFmtId="168" fontId="25" fillId="0" borderId="27" xfId="2" applyNumberFormat="1" applyFont="1" applyBorder="1"/>
    <xf numFmtId="0" fontId="46" fillId="39" borderId="30" xfId="2" applyFont="1" applyFill="1" applyBorder="1"/>
    <xf numFmtId="0" fontId="62" fillId="39" borderId="6" xfId="2" applyFont="1" applyFill="1" applyBorder="1"/>
    <xf numFmtId="1" fontId="62" fillId="39" borderId="6" xfId="797" applyNumberFormat="1" applyFont="1" applyFill="1" applyBorder="1" applyAlignment="1">
      <alignment horizontal="right"/>
    </xf>
    <xf numFmtId="1" fontId="62" fillId="39" borderId="31" xfId="797" applyNumberFormat="1" applyFont="1" applyFill="1" applyBorder="1" applyAlignment="1">
      <alignment horizontal="right"/>
    </xf>
    <xf numFmtId="1" fontId="46" fillId="39" borderId="6" xfId="797" applyNumberFormat="1" applyFont="1" applyFill="1" applyBorder="1" applyAlignment="1">
      <alignment horizontal="right"/>
    </xf>
    <xf numFmtId="168" fontId="23" fillId="0" borderId="2" xfId="816" applyNumberFormat="1" applyFont="1" applyFill="1" applyBorder="1"/>
    <xf numFmtId="168" fontId="23" fillId="0" borderId="29" xfId="816" applyNumberFormat="1" applyFont="1" applyFill="1" applyBorder="1"/>
    <xf numFmtId="43" fontId="17" fillId="0" borderId="0" xfId="2" applyNumberFormat="1" applyFont="1"/>
    <xf numFmtId="169" fontId="12" fillId="0" borderId="0" xfId="2" applyNumberFormat="1" applyFont="1"/>
    <xf numFmtId="168" fontId="25" fillId="0" borderId="0" xfId="2" applyNumberFormat="1" applyFont="1" applyFill="1" applyBorder="1" applyAlignment="1"/>
    <xf numFmtId="168" fontId="25" fillId="0" borderId="27" xfId="2" applyNumberFormat="1" applyFont="1" applyFill="1" applyBorder="1" applyAlignment="1"/>
    <xf numFmtId="0" fontId="30" fillId="0" borderId="1" xfId="2" applyFont="1" applyFill="1" applyBorder="1"/>
    <xf numFmtId="0" fontId="19" fillId="0" borderId="28" xfId="2" applyFont="1" applyFill="1" applyBorder="1" applyAlignment="1">
      <alignment horizontal="left" indent="1"/>
    </xf>
    <xf numFmtId="0" fontId="35" fillId="0" borderId="7" xfId="2" applyFont="1" applyFill="1" applyBorder="1"/>
    <xf numFmtId="0" fontId="35" fillId="0" borderId="1" xfId="2" applyFont="1" applyFill="1" applyBorder="1"/>
    <xf numFmtId="0" fontId="0" fillId="0" borderId="0" xfId="2" applyFont="1" applyBorder="1"/>
    <xf numFmtId="0" fontId="0" fillId="0" borderId="27" xfId="2" applyFont="1" applyBorder="1"/>
    <xf numFmtId="0" fontId="29" fillId="0" borderId="1" xfId="2" applyFont="1" applyBorder="1"/>
    <xf numFmtId="0" fontId="0" fillId="0" borderId="29" xfId="2" applyFont="1" applyBorder="1"/>
    <xf numFmtId="164" fontId="35" fillId="0" borderId="0" xfId="2" applyNumberFormat="1" applyFont="1" applyFill="1" applyBorder="1" applyAlignment="1"/>
    <xf numFmtId="164" fontId="35" fillId="0" borderId="27" xfId="2" applyNumberFormat="1" applyFont="1" applyFill="1" applyBorder="1" applyAlignment="1"/>
    <xf numFmtId="164" fontId="35" fillId="0" borderId="1" xfId="2" applyNumberFormat="1" applyFont="1" applyFill="1" applyBorder="1" applyAlignment="1"/>
    <xf numFmtId="0" fontId="64" fillId="0" borderId="0" xfId="2" applyFont="1"/>
    <xf numFmtId="164" fontId="0" fillId="0" borderId="0" xfId="2" applyNumberFormat="1" applyFont="1"/>
    <xf numFmtId="164" fontId="67" fillId="0" borderId="1" xfId="2" applyNumberFormat="1" applyFont="1" applyFill="1" applyBorder="1"/>
    <xf numFmtId="41" fontId="67" fillId="0" borderId="1" xfId="2" applyNumberFormat="1" applyFont="1" applyFill="1" applyBorder="1"/>
    <xf numFmtId="179" fontId="67" fillId="0" borderId="1" xfId="2" applyNumberFormat="1" applyFont="1" applyFill="1" applyBorder="1"/>
    <xf numFmtId="2" fontId="22" fillId="0" borderId="0" xfId="2" applyNumberFormat="1" applyFont="1" applyFill="1" applyBorder="1"/>
    <xf numFmtId="173" fontId="22" fillId="0" borderId="0" xfId="2" applyNumberFormat="1" applyFont="1" applyFill="1" applyBorder="1"/>
    <xf numFmtId="2" fontId="17" fillId="0" borderId="0" xfId="2" applyNumberFormat="1" applyFont="1" applyBorder="1"/>
    <xf numFmtId="174" fontId="18" fillId="0" borderId="0" xfId="2" applyNumberFormat="1" applyFont="1" applyBorder="1" applyAlignment="1">
      <alignment horizontal="centerContinuous"/>
    </xf>
    <xf numFmtId="164" fontId="22" fillId="0" borderId="2" xfId="2" applyNumberFormat="1" applyFont="1" applyFill="1" applyBorder="1"/>
    <xf numFmtId="179" fontId="17" fillId="0" borderId="1" xfId="2" applyNumberFormat="1" applyFont="1" applyBorder="1"/>
    <xf numFmtId="179" fontId="17" fillId="0" borderId="0" xfId="2" applyNumberFormat="1" applyFont="1" applyBorder="1"/>
    <xf numFmtId="176" fontId="17" fillId="0" borderId="1" xfId="322" applyNumberFormat="1" applyFont="1" applyBorder="1"/>
    <xf numFmtId="168" fontId="19" fillId="0" borderId="28" xfId="816" applyNumberFormat="1" applyFont="1" applyFill="1" applyBorder="1"/>
    <xf numFmtId="176" fontId="22" fillId="0" borderId="1" xfId="322" applyNumberFormat="1" applyFont="1" applyBorder="1"/>
    <xf numFmtId="168" fontId="25" fillId="0" borderId="1" xfId="2" applyNumberFormat="1" applyFont="1" applyBorder="1"/>
    <xf numFmtId="169" fontId="17" fillId="0" borderId="0" xfId="2" applyNumberFormat="1" applyFont="1" applyFill="1" applyBorder="1" applyAlignment="1"/>
    <xf numFmtId="169" fontId="17" fillId="0" borderId="1" xfId="2" applyNumberFormat="1" applyFont="1" applyFill="1" applyBorder="1" applyAlignment="1"/>
    <xf numFmtId="2" fontId="17" fillId="0" borderId="0" xfId="2" applyNumberFormat="1" applyFont="1" applyFill="1" applyBorder="1"/>
    <xf numFmtId="174" fontId="17" fillId="0" borderId="7" xfId="2" applyNumberFormat="1" applyFont="1" applyFill="1" applyBorder="1"/>
    <xf numFmtId="41" fontId="17" fillId="0" borderId="1" xfId="2" applyNumberFormat="1" applyFont="1" applyFill="1" applyBorder="1"/>
    <xf numFmtId="41" fontId="17" fillId="0" borderId="0" xfId="2" applyNumberFormat="1" applyFont="1" applyFill="1" applyBorder="1"/>
    <xf numFmtId="41" fontId="17" fillId="0" borderId="27" xfId="2" applyNumberFormat="1" applyFont="1" applyFill="1" applyBorder="1"/>
    <xf numFmtId="0" fontId="18" fillId="0" borderId="28" xfId="2" applyFont="1" applyFill="1" applyBorder="1" applyAlignment="1">
      <alignment horizontal="left"/>
    </xf>
    <xf numFmtId="178" fontId="30" fillId="0" borderId="0" xfId="2" applyNumberFormat="1" applyFont="1" applyBorder="1"/>
    <xf numFmtId="178" fontId="30" fillId="0" borderId="27" xfId="2" applyNumberFormat="1" applyFont="1" applyBorder="1"/>
    <xf numFmtId="178" fontId="17" fillId="0" borderId="0" xfId="2" applyNumberFormat="1" applyFont="1" applyBorder="1"/>
    <xf numFmtId="178" fontId="17" fillId="0" borderId="27" xfId="2" applyNumberFormat="1" applyFont="1" applyBorder="1"/>
    <xf numFmtId="178" fontId="30" fillId="0" borderId="1" xfId="2" applyNumberFormat="1" applyFont="1" applyBorder="1"/>
    <xf numFmtId="168" fontId="25" fillId="0" borderId="27" xfId="816" applyNumberFormat="1" applyFont="1" applyFill="1" applyBorder="1"/>
    <xf numFmtId="168" fontId="25" fillId="0" borderId="27" xfId="816" applyNumberFormat="1" applyFont="1" applyBorder="1"/>
    <xf numFmtId="168" fontId="25" fillId="0" borderId="0" xfId="816" applyNumberFormat="1" applyFont="1" applyBorder="1"/>
    <xf numFmtId="178" fontId="18" fillId="0" borderId="0" xfId="2" applyNumberFormat="1" applyFont="1" applyFill="1" applyBorder="1"/>
    <xf numFmtId="178" fontId="18" fillId="0" borderId="27" xfId="2" applyNumberFormat="1" applyFont="1" applyFill="1" applyBorder="1"/>
    <xf numFmtId="0" fontId="0" fillId="0" borderId="26" xfId="2" applyFont="1" applyBorder="1"/>
    <xf numFmtId="178" fontId="22" fillId="0" borderId="7" xfId="2" applyNumberFormat="1" applyFont="1" applyBorder="1" applyAlignment="1">
      <alignment horizontal="right"/>
    </xf>
    <xf numFmtId="178" fontId="22" fillId="0" borderId="22" xfId="2" applyNumberFormat="1" applyFont="1" applyBorder="1" applyAlignment="1">
      <alignment horizontal="right"/>
    </xf>
    <xf numFmtId="6" fontId="0" fillId="0" borderId="22" xfId="2" applyNumberFormat="1" applyFont="1" applyBorder="1" applyAlignment="1">
      <alignment horizontal="center"/>
    </xf>
    <xf numFmtId="6" fontId="0" fillId="0" borderId="26" xfId="2" applyNumberFormat="1" applyFont="1" applyBorder="1" applyAlignment="1">
      <alignment horizontal="center"/>
    </xf>
    <xf numFmtId="6" fontId="0" fillId="0" borderId="7" xfId="2" applyNumberFormat="1" applyFont="1" applyBorder="1" applyAlignment="1">
      <alignment horizontal="center"/>
    </xf>
    <xf numFmtId="0" fontId="0" fillId="0" borderId="32" xfId="2" applyFont="1" applyBorder="1"/>
    <xf numFmtId="178" fontId="17" fillId="0" borderId="22" xfId="2" applyNumberFormat="1" applyFont="1" applyBorder="1"/>
    <xf numFmtId="178" fontId="22" fillId="0" borderId="1" xfId="2" applyNumberFormat="1" applyFont="1" applyBorder="1" applyAlignment="1">
      <alignment horizontal="right"/>
    </xf>
    <xf numFmtId="178" fontId="22" fillId="0" borderId="0" xfId="2" applyNumberFormat="1" applyFont="1" applyBorder="1" applyAlignment="1">
      <alignment horizontal="right"/>
    </xf>
    <xf numFmtId="6" fontId="0" fillId="0" borderId="0" xfId="2" applyNumberFormat="1" applyFont="1" applyBorder="1" applyAlignment="1">
      <alignment horizontal="center"/>
    </xf>
    <xf numFmtId="6" fontId="0" fillId="0" borderId="27" xfId="2" applyNumberFormat="1" applyFont="1" applyBorder="1" applyAlignment="1">
      <alignment horizontal="center"/>
    </xf>
    <xf numFmtId="6" fontId="0" fillId="0" borderId="1" xfId="2" applyNumberFormat="1" applyFont="1" applyBorder="1" applyAlignment="1">
      <alignment horizontal="center"/>
    </xf>
    <xf numFmtId="178" fontId="17" fillId="0" borderId="2" xfId="2" applyNumberFormat="1" applyFont="1" applyBorder="1"/>
    <xf numFmtId="178" fontId="17" fillId="0" borderId="29" xfId="2" applyNumberFormat="1" applyFont="1" applyBorder="1"/>
    <xf numFmtId="0" fontId="30" fillId="0" borderId="30" xfId="2" applyFont="1" applyFill="1" applyBorder="1" applyAlignment="1"/>
    <xf numFmtId="0" fontId="29" fillId="0" borderId="31" xfId="2" applyFont="1" applyBorder="1"/>
    <xf numFmtId="178" fontId="30" fillId="0" borderId="30" xfId="2" applyNumberFormat="1" applyFont="1" applyBorder="1" applyAlignment="1">
      <alignment horizontal="right"/>
    </xf>
    <xf numFmtId="178" fontId="30" fillId="0" borderId="6" xfId="2" applyNumberFormat="1" applyFont="1" applyBorder="1" applyAlignment="1">
      <alignment horizontal="right"/>
    </xf>
    <xf numFmtId="178" fontId="30" fillId="0" borderId="31" xfId="2" applyNumberFormat="1" applyFont="1" applyBorder="1" applyAlignment="1">
      <alignment horizontal="right"/>
    </xf>
    <xf numFmtId="6" fontId="29" fillId="0" borderId="6" xfId="2" applyNumberFormat="1" applyFont="1" applyBorder="1" applyAlignment="1">
      <alignment horizontal="center"/>
    </xf>
    <xf numFmtId="6" fontId="29" fillId="0" borderId="31" xfId="2" applyNumberFormat="1" applyFont="1" applyBorder="1" applyAlignment="1">
      <alignment horizontal="center"/>
    </xf>
    <xf numFmtId="6" fontId="29" fillId="0" borderId="30" xfId="2" applyNumberFormat="1" applyFont="1" applyBorder="1" applyAlignment="1">
      <alignment horizontal="center"/>
    </xf>
    <xf numFmtId="0" fontId="29" fillId="0" borderId="32" xfId="2" applyFont="1" applyBorder="1"/>
    <xf numFmtId="181" fontId="30" fillId="0" borderId="6" xfId="2" applyNumberFormat="1" applyFont="1" applyBorder="1"/>
    <xf numFmtId="164" fontId="30" fillId="0" borderId="6" xfId="2" applyNumberFormat="1" applyFont="1" applyBorder="1"/>
    <xf numFmtId="164" fontId="30" fillId="0" borderId="31" xfId="2" applyNumberFormat="1" applyFont="1" applyBorder="1"/>
    <xf numFmtId="174" fontId="18" fillId="0" borderId="30" xfId="2" applyNumberFormat="1" applyFont="1" applyBorder="1" applyAlignment="1">
      <alignment horizontal="center"/>
    </xf>
    <xf numFmtId="174" fontId="18" fillId="0" borderId="6" xfId="2" applyNumberFormat="1" applyFont="1" applyBorder="1" applyAlignment="1">
      <alignment horizontal="center"/>
    </xf>
    <xf numFmtId="0" fontId="0" fillId="0" borderId="0" xfId="2" applyFont="1" applyFill="1" applyBorder="1"/>
    <xf numFmtId="0" fontId="19" fillId="0" borderId="7" xfId="2" applyFont="1" applyFill="1" applyBorder="1"/>
    <xf numFmtId="168" fontId="25" fillId="0" borderId="7" xfId="816" applyNumberFormat="1" applyFont="1" applyBorder="1" applyAlignment="1">
      <alignment horizontal="right"/>
    </xf>
    <xf numFmtId="168" fontId="25" fillId="0" borderId="22" xfId="816" applyNumberFormat="1" applyFont="1" applyBorder="1" applyAlignment="1">
      <alignment horizontal="right"/>
    </xf>
    <xf numFmtId="168" fontId="25" fillId="0" borderId="26" xfId="816" applyNumberFormat="1" applyFont="1" applyBorder="1" applyAlignment="1">
      <alignment horizontal="right"/>
    </xf>
    <xf numFmtId="9" fontId="0" fillId="0" borderId="22" xfId="2" applyNumberFormat="1" applyFont="1" applyBorder="1" applyAlignment="1">
      <alignment horizontal="center"/>
    </xf>
    <xf numFmtId="9" fontId="0" fillId="0" borderId="26" xfId="2" applyNumberFormat="1" applyFont="1" applyBorder="1" applyAlignment="1">
      <alignment horizontal="center"/>
    </xf>
    <xf numFmtId="9" fontId="0" fillId="0" borderId="7" xfId="2" applyNumberFormat="1" applyFont="1" applyBorder="1" applyAlignment="1">
      <alignment horizontal="center"/>
    </xf>
    <xf numFmtId="168" fontId="19" fillId="0" borderId="22" xfId="816" applyNumberFormat="1" applyFont="1" applyBorder="1"/>
    <xf numFmtId="0" fontId="19" fillId="0" borderId="1" xfId="2" applyFont="1" applyFill="1" applyBorder="1"/>
    <xf numFmtId="168" fontId="25" fillId="0" borderId="1" xfId="816" applyNumberFormat="1" applyFont="1" applyBorder="1" applyAlignment="1">
      <alignment horizontal="right"/>
    </xf>
    <xf numFmtId="168" fontId="25" fillId="0" borderId="0" xfId="816" applyNumberFormat="1" applyFont="1" applyBorder="1" applyAlignment="1">
      <alignment horizontal="right"/>
    </xf>
    <xf numFmtId="168" fontId="25" fillId="0" borderId="27" xfId="816" applyNumberFormat="1" applyFont="1" applyBorder="1" applyAlignment="1">
      <alignment horizontal="right"/>
    </xf>
    <xf numFmtId="9" fontId="0" fillId="0" borderId="0" xfId="2" applyNumberFormat="1" applyFont="1" applyBorder="1" applyAlignment="1">
      <alignment horizontal="center"/>
    </xf>
    <xf numFmtId="9" fontId="0" fillId="0" borderId="27" xfId="2" applyNumberFormat="1" applyFont="1" applyBorder="1" applyAlignment="1">
      <alignment horizontal="center"/>
    </xf>
    <xf numFmtId="9" fontId="0" fillId="0" borderId="1" xfId="2" applyNumberFormat="1" applyFont="1" applyBorder="1" applyAlignment="1">
      <alignment horizontal="center"/>
    </xf>
    <xf numFmtId="168" fontId="19" fillId="0" borderId="0" xfId="816" applyNumberFormat="1" applyFont="1" applyBorder="1" applyAlignment="1">
      <alignment horizontal="right"/>
    </xf>
    <xf numFmtId="0" fontId="68" fillId="0" borderId="30" xfId="2" applyFont="1" applyBorder="1" applyAlignment="1"/>
    <xf numFmtId="168" fontId="68" fillId="0" borderId="30" xfId="816" applyNumberFormat="1" applyFont="1" applyBorder="1" applyAlignment="1">
      <alignment horizontal="right"/>
    </xf>
    <xf numFmtId="168" fontId="68" fillId="0" borderId="6" xfId="816" applyNumberFormat="1" applyFont="1" applyBorder="1" applyAlignment="1">
      <alignment horizontal="right"/>
    </xf>
    <xf numFmtId="168" fontId="68" fillId="0" borderId="31" xfId="816" applyNumberFormat="1" applyFont="1" applyBorder="1" applyAlignment="1">
      <alignment horizontal="right"/>
    </xf>
    <xf numFmtId="9" fontId="29" fillId="0" borderId="6" xfId="2" applyNumberFormat="1" applyFont="1" applyBorder="1" applyAlignment="1">
      <alignment horizontal="center"/>
    </xf>
    <xf numFmtId="9" fontId="29" fillId="0" borderId="31" xfId="2" applyNumberFormat="1" applyFont="1" applyBorder="1" applyAlignment="1">
      <alignment horizontal="center"/>
    </xf>
    <xf numFmtId="9" fontId="29" fillId="0" borderId="30" xfId="2" applyNumberFormat="1" applyFont="1" applyBorder="1" applyAlignment="1">
      <alignment horizontal="center"/>
    </xf>
    <xf numFmtId="168" fontId="68" fillId="0" borderId="6" xfId="816" applyNumberFormat="1" applyFont="1" applyBorder="1"/>
    <xf numFmtId="168" fontId="63" fillId="0" borderId="6" xfId="816" applyNumberFormat="1" applyFont="1" applyBorder="1"/>
    <xf numFmtId="168" fontId="68" fillId="0" borderId="31" xfId="816" applyNumberFormat="1" applyFont="1" applyBorder="1"/>
    <xf numFmtId="0" fontId="18" fillId="0" borderId="0" xfId="2" applyFont="1" applyFill="1" applyBorder="1"/>
    <xf numFmtId="168" fontId="25" fillId="0" borderId="0" xfId="816" applyNumberFormat="1" applyFont="1" applyFill="1" applyBorder="1"/>
    <xf numFmtId="178" fontId="30" fillId="0" borderId="27" xfId="2" applyNumberFormat="1" applyFont="1" applyFill="1" applyBorder="1"/>
    <xf numFmtId="178" fontId="30" fillId="0" borderId="0" xfId="2" applyNumberFormat="1" applyFont="1" applyFill="1" applyBorder="1"/>
    <xf numFmtId="167" fontId="17" fillId="0" borderId="0" xfId="2" applyNumberFormat="1" applyFont="1" applyFill="1"/>
    <xf numFmtId="178" fontId="18" fillId="0" borderId="1" xfId="2" applyNumberFormat="1" applyFont="1" applyFill="1" applyBorder="1"/>
    <xf numFmtId="178" fontId="30" fillId="0" borderId="22" xfId="2" applyNumberFormat="1" applyFont="1" applyBorder="1"/>
    <xf numFmtId="178" fontId="30" fillId="0" borderId="26" xfId="2" applyNumberFormat="1" applyFont="1" applyBorder="1"/>
    <xf numFmtId="164" fontId="18" fillId="0" borderId="2" xfId="2" applyNumberFormat="1" applyFont="1" applyFill="1" applyBorder="1"/>
    <xf numFmtId="0" fontId="35" fillId="0" borderId="27" xfId="2" applyFont="1" applyFill="1" applyBorder="1"/>
    <xf numFmtId="179" fontId="36" fillId="0" borderId="1" xfId="2" applyNumberFormat="1" applyFont="1" applyFill="1" applyBorder="1"/>
    <xf numFmtId="179" fontId="36" fillId="0" borderId="0" xfId="2" applyNumberFormat="1" applyFont="1" applyFill="1" applyBorder="1"/>
    <xf numFmtId="179" fontId="36" fillId="0" borderId="27" xfId="2" applyNumberFormat="1" applyFont="1" applyFill="1" applyBorder="1"/>
    <xf numFmtId="0" fontId="35" fillId="0" borderId="32" xfId="2" applyFont="1" applyFill="1" applyBorder="1"/>
    <xf numFmtId="0" fontId="35" fillId="0" borderId="32" xfId="2" applyFont="1" applyBorder="1"/>
    <xf numFmtId="179" fontId="35" fillId="0" borderId="1" xfId="2" applyNumberFormat="1" applyFont="1" applyFill="1" applyBorder="1"/>
    <xf numFmtId="179" fontId="35" fillId="0" borderId="0" xfId="2" applyNumberFormat="1" applyFont="1" applyFill="1" applyBorder="1"/>
    <xf numFmtId="179" fontId="35" fillId="0" borderId="27" xfId="2" applyNumberFormat="1" applyFont="1" applyFill="1" applyBorder="1"/>
    <xf numFmtId="164" fontId="18" fillId="0" borderId="29" xfId="2" applyNumberFormat="1" applyFont="1" applyFill="1" applyBorder="1"/>
    <xf numFmtId="178" fontId="30" fillId="0" borderId="22" xfId="2" applyNumberFormat="1" applyFont="1" applyFill="1" applyBorder="1"/>
    <xf numFmtId="0" fontId="66" fillId="0" borderId="0" xfId="2" applyFont="1"/>
    <xf numFmtId="164" fontId="22" fillId="0" borderId="28" xfId="2" applyNumberFormat="1" applyFont="1" applyFill="1" applyBorder="1"/>
    <xf numFmtId="176" fontId="22" fillId="0" borderId="29" xfId="322" applyNumberFormat="1" applyFont="1" applyBorder="1"/>
    <xf numFmtId="176" fontId="22" fillId="0" borderId="26" xfId="322" applyNumberFormat="1" applyFont="1" applyBorder="1"/>
    <xf numFmtId="0" fontId="0" fillId="0" borderId="1" xfId="2" applyFont="1" applyFill="1" applyBorder="1"/>
    <xf numFmtId="198" fontId="22" fillId="0" borderId="0" xfId="2" applyNumberFormat="1" applyFont="1" applyFill="1" applyBorder="1"/>
    <xf numFmtId="198" fontId="22" fillId="0" borderId="1" xfId="2" applyNumberFormat="1" applyFont="1" applyFill="1" applyBorder="1"/>
    <xf numFmtId="164" fontId="24" fillId="0" borderId="27" xfId="2" applyNumberFormat="1" applyFont="1" applyFill="1" applyBorder="1" applyAlignment="1"/>
    <xf numFmtId="173" fontId="35" fillId="0" borderId="0" xfId="2" applyNumberFormat="1" applyFont="1" applyFill="1" applyBorder="1"/>
    <xf numFmtId="173" fontId="35" fillId="0" borderId="27" xfId="2" applyNumberFormat="1" applyFont="1" applyFill="1" applyBorder="1"/>
    <xf numFmtId="173" fontId="69" fillId="0" borderId="0" xfId="2" applyNumberFormat="1" applyFont="1" applyFill="1" applyBorder="1"/>
    <xf numFmtId="173" fontId="69" fillId="0" borderId="0" xfId="2" applyNumberFormat="1" applyFont="1" applyFill="1" applyBorder="1" applyAlignment="1">
      <alignment horizontal="left"/>
    </xf>
    <xf numFmtId="14" fontId="0" fillId="0" borderId="0" xfId="2" applyNumberFormat="1" applyFont="1"/>
    <xf numFmtId="0" fontId="18" fillId="26" borderId="30" xfId="2" applyFont="1" applyFill="1" applyBorder="1"/>
    <xf numFmtId="0" fontId="18" fillId="26" borderId="6" xfId="2" applyFont="1" applyFill="1" applyBorder="1"/>
    <xf numFmtId="1" fontId="18" fillId="26" borderId="6" xfId="797" applyNumberFormat="1" applyFont="1" applyFill="1" applyBorder="1" applyAlignment="1">
      <alignment horizontal="right"/>
    </xf>
    <xf numFmtId="1" fontId="18" fillId="26" borderId="31" xfId="797" applyNumberFormat="1" applyFont="1" applyFill="1" applyBorder="1" applyAlignment="1">
      <alignment horizontal="right"/>
    </xf>
    <xf numFmtId="1" fontId="46" fillId="26" borderId="30" xfId="797" applyNumberFormat="1" applyFont="1" applyFill="1" applyBorder="1" applyAlignment="1">
      <alignment horizontal="right"/>
    </xf>
    <xf numFmtId="1" fontId="46" fillId="26" borderId="6" xfId="797" applyNumberFormat="1" applyFont="1" applyFill="1" applyBorder="1" applyAlignment="1">
      <alignment horizontal="right"/>
    </xf>
    <xf numFmtId="0" fontId="30" fillId="0" borderId="1" xfId="2" applyFont="1" applyBorder="1"/>
    <xf numFmtId="0" fontId="18" fillId="0" borderId="28" xfId="2" applyFont="1" applyFill="1" applyBorder="1"/>
    <xf numFmtId="178" fontId="30" fillId="0" borderId="2" xfId="2" applyNumberFormat="1" applyFont="1" applyBorder="1"/>
    <xf numFmtId="178" fontId="30" fillId="0" borderId="29" xfId="2" applyNumberFormat="1" applyFont="1" applyBorder="1"/>
    <xf numFmtId="0" fontId="30" fillId="0" borderId="27" xfId="2" applyFont="1" applyBorder="1"/>
    <xf numFmtId="1" fontId="62" fillId="39" borderId="27" xfId="797" applyNumberFormat="1" applyFont="1" applyFill="1" applyBorder="1" applyAlignment="1">
      <alignment horizontal="right"/>
    </xf>
    <xf numFmtId="1" fontId="17" fillId="0" borderId="32" xfId="2" applyNumberFormat="1" applyFont="1" applyBorder="1"/>
    <xf numFmtId="178" fontId="22" fillId="0" borderId="26" xfId="2" applyNumberFormat="1" applyFont="1" applyBorder="1" applyAlignment="1">
      <alignment horizontal="right"/>
    </xf>
    <xf numFmtId="178" fontId="22" fillId="0" borderId="27" xfId="2" applyNumberFormat="1" applyFont="1" applyBorder="1" applyAlignment="1">
      <alignment horizontal="right"/>
    </xf>
    <xf numFmtId="0" fontId="35" fillId="0" borderId="28" xfId="2" applyFont="1" applyFill="1" applyBorder="1"/>
    <xf numFmtId="6" fontId="0" fillId="0" borderId="2" xfId="2" applyNumberFormat="1" applyFont="1" applyBorder="1" applyAlignment="1">
      <alignment horizontal="center"/>
    </xf>
    <xf numFmtId="6" fontId="0" fillId="0" borderId="29" xfId="2" applyNumberFormat="1" applyFont="1" applyBorder="1" applyAlignment="1">
      <alignment horizontal="center"/>
    </xf>
    <xf numFmtId="6" fontId="0" fillId="0" borderId="28" xfId="2" applyNumberFormat="1" applyFont="1" applyBorder="1" applyAlignment="1">
      <alignment horizontal="center"/>
    </xf>
    <xf numFmtId="168" fontId="26" fillId="0" borderId="22" xfId="816" applyNumberFormat="1" applyFont="1" applyFill="1" applyBorder="1" applyAlignment="1">
      <alignment horizontal="right"/>
    </xf>
    <xf numFmtId="168" fontId="26" fillId="0" borderId="7" xfId="816" applyNumberFormat="1" applyFont="1" applyFill="1" applyBorder="1" applyAlignment="1">
      <alignment horizontal="right"/>
    </xf>
    <xf numFmtId="0" fontId="49" fillId="0" borderId="0" xfId="1040" applyFont="1" applyFill="1" applyAlignment="1">
      <alignment horizontal="center"/>
    </xf>
    <xf numFmtId="7" fontId="17" fillId="0" borderId="1" xfId="2" applyNumberFormat="1" applyFont="1" applyBorder="1" applyAlignment="1">
      <alignment horizontal="right"/>
    </xf>
    <xf numFmtId="6" fontId="12" fillId="0" borderId="0" xfId="2" applyNumberFormat="1" applyFont="1" applyBorder="1" applyAlignment="1">
      <alignment horizontal="center"/>
    </xf>
    <xf numFmtId="6" fontId="12" fillId="0" borderId="27" xfId="2" applyNumberFormat="1" applyFont="1" applyBorder="1" applyAlignment="1">
      <alignment horizontal="center"/>
    </xf>
    <xf numFmtId="7" fontId="17" fillId="0" borderId="1" xfId="2" applyNumberFormat="1" applyFont="1" applyFill="1" applyBorder="1"/>
    <xf numFmtId="7" fontId="30" fillId="0" borderId="30" xfId="2" applyNumberFormat="1" applyFont="1" applyBorder="1" applyAlignment="1">
      <alignment horizontal="right"/>
    </xf>
    <xf numFmtId="7" fontId="30" fillId="0" borderId="6" xfId="2" applyNumberFormat="1" applyFont="1" applyBorder="1" applyAlignment="1">
      <alignment horizontal="right"/>
    </xf>
    <xf numFmtId="7" fontId="30" fillId="0" borderId="31" xfId="2" applyNumberFormat="1" applyFont="1" applyBorder="1" applyAlignment="1">
      <alignment horizontal="right"/>
    </xf>
    <xf numFmtId="7" fontId="30" fillId="0" borderId="6" xfId="2" applyNumberFormat="1" applyFont="1" applyBorder="1"/>
    <xf numFmtId="178" fontId="36" fillId="0" borderId="1" xfId="2" applyNumberFormat="1" applyFont="1" applyBorder="1" applyAlignment="1">
      <alignment horizontal="right"/>
    </xf>
    <xf numFmtId="178" fontId="36" fillId="0" borderId="0" xfId="2" applyNumberFormat="1" applyFont="1" applyBorder="1" applyAlignment="1">
      <alignment horizontal="right"/>
    </xf>
    <xf numFmtId="178" fontId="36" fillId="0" borderId="27" xfId="2" applyNumberFormat="1" applyFont="1" applyBorder="1" applyAlignment="1">
      <alignment horizontal="right"/>
    </xf>
    <xf numFmtId="7" fontId="35" fillId="0" borderId="1" xfId="2" applyNumberFormat="1" applyFont="1" applyFill="1" applyBorder="1" applyAlignment="1">
      <alignment horizontal="right"/>
    </xf>
    <xf numFmtId="7" fontId="35" fillId="0" borderId="0" xfId="2" applyNumberFormat="1" applyFont="1" applyFill="1" applyBorder="1" applyAlignment="1">
      <alignment horizontal="right"/>
    </xf>
    <xf numFmtId="7" fontId="35" fillId="0" borderId="27" xfId="2" applyNumberFormat="1" applyFont="1" applyFill="1" applyBorder="1" applyAlignment="1">
      <alignment horizontal="right"/>
    </xf>
    <xf numFmtId="7" fontId="35" fillId="0" borderId="1" xfId="2" applyNumberFormat="1" applyFont="1" applyBorder="1" applyAlignment="1">
      <alignment horizontal="right"/>
    </xf>
    <xf numFmtId="7" fontId="35" fillId="0" borderId="0" xfId="2" applyNumberFormat="1" applyFont="1" applyBorder="1" applyAlignment="1">
      <alignment horizontal="right"/>
    </xf>
    <xf numFmtId="7" fontId="35" fillId="0" borderId="27" xfId="2" applyNumberFormat="1" applyFont="1" applyBorder="1" applyAlignment="1">
      <alignment horizontal="right"/>
    </xf>
    <xf numFmtId="178" fontId="30" fillId="0" borderId="6" xfId="2" applyNumberFormat="1" applyFont="1" applyBorder="1"/>
    <xf numFmtId="0" fontId="25" fillId="0" borderId="1" xfId="2" applyFont="1" applyBorder="1" applyAlignment="1">
      <alignment horizontal="left" indent="1"/>
    </xf>
    <xf numFmtId="7" fontId="17" fillId="0" borderId="0" xfId="2" applyNumberFormat="1" applyFont="1" applyFill="1" applyBorder="1"/>
    <xf numFmtId="7" fontId="17" fillId="0" borderId="27" xfId="2" applyNumberFormat="1" applyFont="1" applyFill="1" applyBorder="1"/>
    <xf numFmtId="7" fontId="17" fillId="0" borderId="32" xfId="2" applyNumberFormat="1" applyFont="1" applyBorder="1"/>
    <xf numFmtId="7" fontId="17" fillId="0" borderId="0" xfId="2" applyNumberFormat="1" applyFont="1" applyFill="1" applyBorder="1" applyAlignment="1"/>
    <xf numFmtId="173" fontId="47" fillId="0" borderId="0" xfId="2" applyNumberFormat="1" applyFont="1" applyFill="1" applyBorder="1"/>
    <xf numFmtId="173" fontId="35" fillId="0" borderId="1" xfId="2" applyNumberFormat="1" applyFont="1" applyFill="1" applyBorder="1"/>
    <xf numFmtId="178" fontId="35" fillId="0" borderId="0" xfId="2" applyNumberFormat="1" applyFont="1" applyBorder="1"/>
    <xf numFmtId="7" fontId="35" fillId="0" borderId="0" xfId="2" applyNumberFormat="1" applyFont="1" applyBorder="1"/>
    <xf numFmtId="178" fontId="71" fillId="0" borderId="2" xfId="2" applyNumberFormat="1" applyFont="1" applyBorder="1" applyAlignment="1">
      <alignment horizontal="center"/>
    </xf>
    <xf numFmtId="178" fontId="70" fillId="0" borderId="2" xfId="2" applyNumberFormat="1" applyFont="1" applyBorder="1" applyAlignment="1">
      <alignment horizontal="center"/>
    </xf>
    <xf numFmtId="178" fontId="22" fillId="0" borderId="27" xfId="2" applyNumberFormat="1" applyFont="1" applyFill="1" applyBorder="1" applyAlignment="1">
      <alignment horizontal="right"/>
    </xf>
    <xf numFmtId="0" fontId="73" fillId="0" borderId="0" xfId="2" applyFont="1" applyFill="1" applyAlignment="1">
      <alignment vertical="center"/>
    </xf>
    <xf numFmtId="178" fontId="30" fillId="0" borderId="1" xfId="2" applyNumberFormat="1" applyFont="1" applyFill="1" applyBorder="1"/>
    <xf numFmtId="168" fontId="25" fillId="0" borderId="1" xfId="816" applyNumberFormat="1" applyFont="1" applyFill="1" applyBorder="1"/>
    <xf numFmtId="164" fontId="30" fillId="0" borderId="0" xfId="2" applyNumberFormat="1" applyFont="1" applyFill="1" applyBorder="1"/>
    <xf numFmtId="174" fontId="30" fillId="0" borderId="30" xfId="2" applyNumberFormat="1" applyFont="1" applyBorder="1" applyAlignment="1">
      <alignment horizontal="center"/>
    </xf>
    <xf numFmtId="174" fontId="30" fillId="0" borderId="6" xfId="2" applyNumberFormat="1" applyFont="1" applyBorder="1" applyAlignment="1">
      <alignment horizontal="center"/>
    </xf>
    <xf numFmtId="37" fontId="33" fillId="0" borderId="0" xfId="2" applyNumberFormat="1" applyFont="1" applyFill="1" applyAlignment="1">
      <alignment horizontal="center"/>
    </xf>
    <xf numFmtId="178" fontId="36" fillId="0" borderId="0" xfId="2" applyNumberFormat="1" applyFont="1" applyFill="1" applyBorder="1" applyAlignment="1">
      <alignment horizontal="right"/>
    </xf>
    <xf numFmtId="174" fontId="18" fillId="40" borderId="30" xfId="2" applyNumberFormat="1" applyFont="1" applyFill="1" applyBorder="1" applyAlignment="1">
      <alignment horizontal="center"/>
    </xf>
    <xf numFmtId="174" fontId="18" fillId="40" borderId="6" xfId="2" applyNumberFormat="1" applyFont="1" applyFill="1" applyBorder="1" applyAlignment="1">
      <alignment horizontal="center"/>
    </xf>
    <xf numFmtId="1" fontId="20" fillId="28" borderId="7" xfId="796" applyNumberFormat="1" applyFont="1" applyFill="1" applyBorder="1" applyAlignment="1">
      <alignment horizontal="right"/>
    </xf>
    <xf numFmtId="1" fontId="20" fillId="28" borderId="22" xfId="796" applyNumberFormat="1" applyFont="1" applyFill="1" applyBorder="1" applyAlignment="1">
      <alignment horizontal="right"/>
    </xf>
    <xf numFmtId="1" fontId="20" fillId="0" borderId="28" xfId="796" applyNumberFormat="1" applyFont="1" applyFill="1" applyBorder="1" applyAlignment="1">
      <alignment horizontal="right"/>
    </xf>
    <xf numFmtId="1" fontId="20" fillId="0" borderId="2" xfId="796" applyNumberFormat="1" applyFont="1" applyFill="1" applyBorder="1" applyAlignment="1">
      <alignment horizontal="right"/>
    </xf>
    <xf numFmtId="167" fontId="17" fillId="0" borderId="27" xfId="2" applyNumberFormat="1" applyFont="1" applyFill="1" applyBorder="1" applyAlignment="1"/>
    <xf numFmtId="0" fontId="17" fillId="41" borderId="1" xfId="2" applyFont="1" applyFill="1" applyBorder="1"/>
    <xf numFmtId="0" fontId="17" fillId="41" borderId="27" xfId="2" applyFont="1" applyFill="1" applyBorder="1"/>
    <xf numFmtId="168" fontId="19" fillId="41" borderId="0" xfId="816" applyNumberFormat="1" applyFont="1" applyFill="1" applyBorder="1"/>
    <xf numFmtId="168" fontId="19" fillId="41" borderId="27" xfId="816" applyNumberFormat="1" applyFont="1" applyFill="1" applyBorder="1"/>
    <xf numFmtId="0" fontId="17" fillId="41" borderId="0" xfId="2" applyFont="1" applyFill="1" applyBorder="1"/>
    <xf numFmtId="0" fontId="61" fillId="41" borderId="1" xfId="2" applyFont="1" applyFill="1" applyBorder="1"/>
    <xf numFmtId="176" fontId="35" fillId="0" borderId="0" xfId="322" applyNumberFormat="1" applyFont="1" applyFill="1" applyBorder="1"/>
    <xf numFmtId="0" fontId="30" fillId="0" borderId="1" xfId="2" applyFont="1" applyFill="1" applyBorder="1" applyAlignment="1">
      <alignment horizontal="left"/>
    </xf>
    <xf numFmtId="176" fontId="35" fillId="0" borderId="27" xfId="322" applyNumberFormat="1" applyFont="1" applyBorder="1"/>
    <xf numFmtId="176" fontId="35" fillId="0" borderId="0" xfId="322" applyNumberFormat="1" applyFont="1" applyBorder="1"/>
    <xf numFmtId="176" fontId="30" fillId="0" borderId="27" xfId="322" applyNumberFormat="1" applyFont="1" applyBorder="1"/>
    <xf numFmtId="176" fontId="30" fillId="0" borderId="0" xfId="322" applyNumberFormat="1" applyFont="1" applyBorder="1"/>
    <xf numFmtId="181" fontId="35" fillId="0" borderId="1" xfId="2" applyNumberFormat="1" applyFont="1" applyFill="1" applyBorder="1" applyAlignment="1">
      <alignment horizontal="left" indent="1"/>
    </xf>
    <xf numFmtId="176" fontId="30" fillId="0" borderId="27" xfId="322" applyNumberFormat="1" applyFont="1" applyFill="1" applyBorder="1"/>
    <xf numFmtId="176" fontId="35" fillId="0" borderId="27" xfId="322" applyNumberFormat="1" applyFont="1" applyFill="1" applyBorder="1"/>
    <xf numFmtId="181" fontId="35" fillId="0" borderId="1" xfId="2" applyNumberFormat="1" applyFont="1" applyFill="1" applyBorder="1" applyAlignment="1">
      <alignment horizontal="left"/>
    </xf>
    <xf numFmtId="176" fontId="65" fillId="0" borderId="0" xfId="322" applyNumberFormat="1" applyFont="1" applyFill="1" applyBorder="1"/>
    <xf numFmtId="176" fontId="65" fillId="0" borderId="27" xfId="322" applyNumberFormat="1" applyFont="1" applyFill="1" applyBorder="1"/>
    <xf numFmtId="1" fontId="46" fillId="39" borderId="2" xfId="797" applyNumberFormat="1" applyFont="1" applyFill="1" applyBorder="1" applyAlignment="1">
      <alignment horizontal="right"/>
    </xf>
    <xf numFmtId="1" fontId="46" fillId="39" borderId="28" xfId="797" applyNumberFormat="1" applyFont="1" applyFill="1" applyBorder="1" applyAlignment="1">
      <alignment horizontal="right"/>
    </xf>
    <xf numFmtId="0" fontId="51" fillId="0" borderId="1" xfId="2" applyFont="1" applyFill="1" applyBorder="1"/>
    <xf numFmtId="0" fontId="51" fillId="0" borderId="27" xfId="2" applyFont="1" applyFill="1" applyBorder="1"/>
    <xf numFmtId="164" fontId="51" fillId="0" borderId="0" xfId="2" applyNumberFormat="1" applyFont="1" applyFill="1" applyBorder="1" applyAlignment="1"/>
    <xf numFmtId="164" fontId="51" fillId="0" borderId="27" xfId="2" applyNumberFormat="1" applyFont="1" applyFill="1" applyBorder="1" applyAlignment="1"/>
    <xf numFmtId="0" fontId="51" fillId="0" borderId="32" xfId="2" applyFont="1" applyBorder="1"/>
    <xf numFmtId="0" fontId="30" fillId="0" borderId="27" xfId="2" applyFont="1" applyFill="1" applyBorder="1"/>
    <xf numFmtId="0" fontId="51" fillId="0" borderId="0" xfId="2" applyFont="1"/>
    <xf numFmtId="164" fontId="51" fillId="0" borderId="1" xfId="2" applyNumberFormat="1" applyFont="1" applyFill="1" applyBorder="1" applyAlignment="1"/>
    <xf numFmtId="0" fontId="51" fillId="0" borderId="1" xfId="2" applyFont="1" applyBorder="1"/>
    <xf numFmtId="164" fontId="50" fillId="0" borderId="0" xfId="2" applyNumberFormat="1" applyFont="1" applyFill="1" applyBorder="1" applyAlignment="1"/>
    <xf numFmtId="164" fontId="50" fillId="0" borderId="27" xfId="2" applyNumberFormat="1" applyFont="1" applyFill="1" applyBorder="1" applyAlignment="1"/>
    <xf numFmtId="1" fontId="20" fillId="0" borderId="0" xfId="796" applyNumberFormat="1" applyFont="1" applyFill="1" applyBorder="1" applyAlignment="1">
      <alignment horizontal="right"/>
    </xf>
    <xf numFmtId="165" fontId="20" fillId="28" borderId="30" xfId="797" applyNumberFormat="1" applyFont="1" applyFill="1" applyBorder="1" applyAlignment="1">
      <alignment horizontal="right"/>
    </xf>
    <xf numFmtId="165" fontId="20" fillId="28" borderId="6" xfId="797" applyNumberFormat="1" applyFont="1" applyFill="1" applyBorder="1" applyAlignment="1">
      <alignment horizontal="right"/>
    </xf>
    <xf numFmtId="165" fontId="20" fillId="28" borderId="31" xfId="797" applyNumberFormat="1" applyFont="1" applyFill="1" applyBorder="1" applyAlignment="1">
      <alignment horizontal="right"/>
    </xf>
    <xf numFmtId="176" fontId="32" fillId="0" borderId="0" xfId="322" applyNumberFormat="1" applyFont="1" applyFill="1" applyBorder="1"/>
    <xf numFmtId="165" fontId="20" fillId="28" borderId="7" xfId="797" applyNumberFormat="1" applyFont="1" applyFill="1" applyBorder="1" applyAlignment="1">
      <alignment horizontal="right"/>
    </xf>
    <xf numFmtId="165" fontId="20" fillId="28" borderId="22" xfId="797" applyNumberFormat="1" applyFont="1" applyFill="1" applyBorder="1" applyAlignment="1">
      <alignment horizontal="right"/>
    </xf>
    <xf numFmtId="1" fontId="20" fillId="0" borderId="1" xfId="796" applyNumberFormat="1" applyFont="1" applyFill="1" applyBorder="1" applyAlignment="1">
      <alignment horizontal="right"/>
    </xf>
    <xf numFmtId="165" fontId="30" fillId="28" borderId="30" xfId="797" applyNumberFormat="1" applyFont="1" applyFill="1" applyBorder="1" applyAlignment="1">
      <alignment horizontal="right"/>
    </xf>
    <xf numFmtId="165" fontId="30" fillId="28" borderId="6" xfId="797" applyNumberFormat="1" applyFont="1" applyFill="1" applyBorder="1" applyAlignment="1">
      <alignment horizontal="right"/>
    </xf>
    <xf numFmtId="1" fontId="20" fillId="28" borderId="30" xfId="797" applyNumberFormat="1" applyFont="1" applyFill="1" applyBorder="1" applyAlignment="1">
      <alignment horizontal="right"/>
    </xf>
    <xf numFmtId="1" fontId="20" fillId="28" borderId="6" xfId="797" applyNumberFormat="1" applyFont="1" applyFill="1" applyBorder="1" applyAlignment="1">
      <alignment horizontal="right"/>
    </xf>
    <xf numFmtId="1" fontId="30" fillId="28" borderId="30" xfId="797" applyNumberFormat="1" applyFont="1" applyFill="1" applyBorder="1" applyAlignment="1">
      <alignment horizontal="right"/>
    </xf>
    <xf numFmtId="1" fontId="30" fillId="28" borderId="6" xfId="797" applyNumberFormat="1" applyFont="1" applyFill="1" applyBorder="1" applyAlignment="1">
      <alignment horizontal="right"/>
    </xf>
    <xf numFmtId="1" fontId="20" fillId="28" borderId="31" xfId="797" applyNumberFormat="1" applyFont="1" applyFill="1" applyBorder="1" applyAlignment="1">
      <alignment horizontal="right"/>
    </xf>
    <xf numFmtId="1" fontId="20" fillId="28" borderId="22" xfId="797" applyNumberFormat="1" applyFont="1" applyFill="1" applyBorder="1" applyAlignment="1">
      <alignment horizontal="right"/>
    </xf>
    <xf numFmtId="0" fontId="19" fillId="0" borderId="29" xfId="2" applyFont="1" applyFill="1" applyBorder="1" applyAlignment="1">
      <alignment horizontal="left" indent="1"/>
    </xf>
    <xf numFmtId="43" fontId="19" fillId="0" borderId="0" xfId="322" applyFont="1" applyBorder="1"/>
    <xf numFmtId="164" fontId="22" fillId="0" borderId="1" xfId="2" applyNumberFormat="1" applyFont="1" applyFill="1" applyBorder="1" applyAlignment="1"/>
    <xf numFmtId="168" fontId="25" fillId="0" borderId="1" xfId="2" applyNumberFormat="1" applyFont="1" applyFill="1" applyBorder="1" applyAlignment="1"/>
    <xf numFmtId="172" fontId="17" fillId="0" borderId="1" xfId="2" applyNumberFormat="1" applyFont="1" applyFill="1" applyBorder="1" applyAlignment="1"/>
    <xf numFmtId="173" fontId="69" fillId="0" borderId="1" xfId="2" applyNumberFormat="1" applyFont="1" applyFill="1" applyBorder="1" applyAlignment="1">
      <alignment horizontal="left"/>
    </xf>
    <xf numFmtId="170" fontId="22" fillId="0" borderId="0" xfId="816" applyNumberFormat="1" applyFont="1" applyFill="1" applyBorder="1" applyAlignment="1"/>
    <xf numFmtId="167" fontId="36" fillId="0" borderId="27" xfId="2" applyNumberFormat="1" applyFont="1" applyFill="1" applyBorder="1" applyAlignment="1"/>
    <xf numFmtId="9" fontId="22" fillId="0" borderId="1" xfId="816" applyFont="1" applyFill="1" applyBorder="1" applyAlignment="1"/>
    <xf numFmtId="168" fontId="19" fillId="0" borderId="1" xfId="816" applyNumberFormat="1" applyFont="1" applyFill="1" applyBorder="1" applyAlignment="1">
      <alignment horizontal="right"/>
    </xf>
    <xf numFmtId="170" fontId="22" fillId="0" borderId="1" xfId="2" applyNumberFormat="1" applyFont="1" applyFill="1" applyBorder="1" applyAlignment="1"/>
    <xf numFmtId="168" fontId="0" fillId="0" borderId="0" xfId="816" applyNumberFormat="1" applyFont="1"/>
    <xf numFmtId="44" fontId="0" fillId="0" borderId="0" xfId="497" applyFont="1"/>
    <xf numFmtId="0" fontId="75" fillId="0" borderId="27" xfId="2" applyFont="1" applyFill="1" applyBorder="1" applyAlignment="1">
      <alignment horizontal="left" indent="1"/>
    </xf>
    <xf numFmtId="0" fontId="18" fillId="28" borderId="6" xfId="2" applyFont="1" applyFill="1" applyBorder="1" applyAlignment="1">
      <alignment horizontal="left"/>
    </xf>
    <xf numFmtId="1" fontId="20" fillId="0" borderId="27" xfId="796" applyNumberFormat="1" applyFont="1" applyFill="1" applyBorder="1" applyAlignment="1">
      <alignment horizontal="right"/>
    </xf>
    <xf numFmtId="176" fontId="17" fillId="0" borderId="1" xfId="322" applyNumberFormat="1" applyFont="1" applyFill="1" applyBorder="1" applyAlignment="1"/>
    <xf numFmtId="176" fontId="17" fillId="0" borderId="0" xfId="322" applyNumberFormat="1" applyFont="1" applyFill="1" applyBorder="1" applyAlignment="1"/>
    <xf numFmtId="176" fontId="17" fillId="0" borderId="27" xfId="322" applyNumberFormat="1" applyFont="1" applyFill="1" applyBorder="1" applyAlignment="1"/>
    <xf numFmtId="176" fontId="17" fillId="0" borderId="32" xfId="322" applyNumberFormat="1" applyFont="1" applyBorder="1"/>
    <xf numFmtId="176" fontId="17" fillId="0" borderId="28" xfId="322" applyNumberFormat="1" applyFont="1" applyFill="1" applyBorder="1" applyAlignment="1"/>
    <xf numFmtId="176" fontId="17" fillId="0" borderId="2" xfId="322" applyNumberFormat="1" applyFont="1" applyFill="1" applyBorder="1" applyAlignment="1"/>
    <xf numFmtId="176" fontId="17" fillId="0" borderId="29" xfId="322" applyNumberFormat="1" applyFont="1" applyFill="1" applyBorder="1" applyAlignment="1"/>
    <xf numFmtId="0" fontId="17" fillId="28" borderId="6" xfId="2" applyFont="1" applyFill="1" applyBorder="1"/>
    <xf numFmtId="1" fontId="30" fillId="28" borderId="30" xfId="2" applyNumberFormat="1" applyFont="1" applyFill="1" applyBorder="1" applyAlignment="1">
      <alignment horizontal="right"/>
    </xf>
    <xf numFmtId="1" fontId="30" fillId="28" borderId="6" xfId="2" applyNumberFormat="1" applyFont="1" applyFill="1" applyBorder="1" applyAlignment="1">
      <alignment horizontal="right"/>
    </xf>
    <xf numFmtId="1" fontId="30" fillId="28" borderId="31" xfId="2" applyNumberFormat="1" applyFont="1" applyFill="1" applyBorder="1" applyAlignment="1">
      <alignment horizontal="right"/>
    </xf>
    <xf numFmtId="0" fontId="60" fillId="0" borderId="0" xfId="2" applyNumberFormat="1" applyFont="1" applyFill="1"/>
    <xf numFmtId="0" fontId="12" fillId="0" borderId="0" xfId="2" applyNumberFormat="1" applyFont="1"/>
    <xf numFmtId="0" fontId="18" fillId="0" borderId="7" xfId="2" applyNumberFormat="1" applyFont="1" applyBorder="1"/>
    <xf numFmtId="0" fontId="19" fillId="0" borderId="1" xfId="2" applyNumberFormat="1" applyFont="1" applyBorder="1"/>
    <xf numFmtId="0" fontId="17" fillId="0" borderId="28" xfId="2" applyNumberFormat="1" applyFont="1" applyBorder="1"/>
    <xf numFmtId="0" fontId="30" fillId="0" borderId="1" xfId="2" applyNumberFormat="1" applyFont="1" applyFill="1" applyBorder="1"/>
    <xf numFmtId="0" fontId="17" fillId="0" borderId="1" xfId="2" applyNumberFormat="1" applyFont="1" applyFill="1" applyBorder="1" applyAlignment="1">
      <alignment horizontal="left" indent="1"/>
    </xf>
    <xf numFmtId="0" fontId="19" fillId="0" borderId="1" xfId="2" applyNumberFormat="1" applyFont="1" applyFill="1" applyBorder="1" applyAlignment="1">
      <alignment horizontal="left" indent="1"/>
    </xf>
    <xf numFmtId="0" fontId="51" fillId="0" borderId="1" xfId="2" applyNumberFormat="1" applyFont="1" applyFill="1" applyBorder="1"/>
    <xf numFmtId="0" fontId="17" fillId="0" borderId="1" xfId="2" applyNumberFormat="1" applyFont="1" applyFill="1" applyBorder="1" applyAlignment="1">
      <alignment horizontal="left"/>
    </xf>
    <xf numFmtId="0" fontId="17" fillId="0" borderId="1" xfId="2" applyNumberFormat="1" applyFont="1" applyFill="1" applyBorder="1"/>
    <xf numFmtId="0" fontId="18" fillId="0" borderId="1" xfId="2" applyNumberFormat="1" applyFont="1" applyFill="1" applyBorder="1"/>
    <xf numFmtId="0" fontId="51" fillId="0" borderId="1" xfId="2" applyNumberFormat="1" applyFont="1" applyFill="1" applyBorder="1" applyAlignment="1">
      <alignment horizontal="left"/>
    </xf>
    <xf numFmtId="0" fontId="17" fillId="0" borderId="1" xfId="2" applyNumberFormat="1" applyFont="1" applyFill="1" applyBorder="1" applyAlignment="1">
      <alignment horizontal="left" indent="2"/>
    </xf>
    <xf numFmtId="0" fontId="35" fillId="0" borderId="1" xfId="2" applyNumberFormat="1" applyFont="1" applyFill="1" applyBorder="1"/>
    <xf numFmtId="0" fontId="17" fillId="0" borderId="28" xfId="2" applyNumberFormat="1" applyFont="1" applyFill="1" applyBorder="1"/>
    <xf numFmtId="0" fontId="17" fillId="0" borderId="0" xfId="2" applyNumberFormat="1" applyFont="1" applyFill="1" applyBorder="1"/>
    <xf numFmtId="0" fontId="17" fillId="0" borderId="2" xfId="2" applyNumberFormat="1" applyFont="1" applyFill="1" applyBorder="1"/>
    <xf numFmtId="0" fontId="17" fillId="0" borderId="7" xfId="2" applyNumberFormat="1" applyFont="1" applyFill="1" applyBorder="1"/>
    <xf numFmtId="0" fontId="17" fillId="0" borderId="0" xfId="2" applyNumberFormat="1" applyFont="1"/>
    <xf numFmtId="0" fontId="30" fillId="28" borderId="30" xfId="2" applyNumberFormat="1" applyFont="1" applyFill="1" applyBorder="1"/>
    <xf numFmtId="0" fontId="17" fillId="0" borderId="0" xfId="2" applyNumberFormat="1" applyFont="1" applyFill="1" applyBorder="1" applyAlignment="1">
      <alignment horizontal="left" wrapText="1" indent="2"/>
    </xf>
    <xf numFmtId="0" fontId="0" fillId="0" borderId="0" xfId="2" applyNumberFormat="1" applyFont="1"/>
    <xf numFmtId="176" fontId="51" fillId="0" borderId="0" xfId="322" applyNumberFormat="1" applyFont="1"/>
    <xf numFmtId="176" fontId="51" fillId="0" borderId="0" xfId="322" applyNumberFormat="1" applyFont="1" applyBorder="1"/>
    <xf numFmtId="176" fontId="51" fillId="0" borderId="1" xfId="322" applyNumberFormat="1" applyFont="1" applyFill="1" applyBorder="1" applyAlignment="1"/>
    <xf numFmtId="176" fontId="51" fillId="0" borderId="0" xfId="322" applyNumberFormat="1" applyFont="1" applyFill="1" applyBorder="1" applyAlignment="1"/>
    <xf numFmtId="176" fontId="51" fillId="0" borderId="27" xfId="322" applyNumberFormat="1" applyFont="1" applyFill="1" applyBorder="1" applyAlignment="1"/>
    <xf numFmtId="164" fontId="30" fillId="38" borderId="0" xfId="795" applyNumberFormat="1" applyFont="1" applyFill="1" applyBorder="1"/>
    <xf numFmtId="164" fontId="30" fillId="38" borderId="27" xfId="795" applyNumberFormat="1" applyFont="1" applyFill="1" applyBorder="1"/>
    <xf numFmtId="164" fontId="38" fillId="38" borderId="0" xfId="795" applyNumberFormat="1" applyFont="1" applyFill="1" applyBorder="1"/>
    <xf numFmtId="164" fontId="38" fillId="38" borderId="1" xfId="795" applyNumberFormat="1" applyFont="1" applyFill="1" applyBorder="1"/>
    <xf numFmtId="164" fontId="38" fillId="38" borderId="27" xfId="795" applyNumberFormat="1" applyFont="1" applyFill="1" applyBorder="1"/>
    <xf numFmtId="164" fontId="17" fillId="38" borderId="1" xfId="795" applyNumberFormat="1" applyFont="1" applyFill="1" applyBorder="1"/>
    <xf numFmtId="167" fontId="17" fillId="38" borderId="1" xfId="795" applyNumberFormat="1" applyFont="1" applyFill="1" applyBorder="1"/>
    <xf numFmtId="164" fontId="30" fillId="38" borderId="1" xfId="795" applyNumberFormat="1" applyFont="1" applyFill="1" applyBorder="1"/>
    <xf numFmtId="164" fontId="30" fillId="38" borderId="2" xfId="795" applyNumberFormat="1" applyFont="1" applyFill="1" applyBorder="1"/>
    <xf numFmtId="164" fontId="30" fillId="38" borderId="29" xfId="795" applyNumberFormat="1" applyFont="1" applyFill="1" applyBorder="1"/>
    <xf numFmtId="164" fontId="30" fillId="38" borderId="28" xfId="795" applyNumberFormat="1" applyFont="1" applyFill="1" applyBorder="1"/>
    <xf numFmtId="164" fontId="38" fillId="38" borderId="28" xfId="795" applyNumberFormat="1" applyFont="1" applyFill="1" applyBorder="1"/>
    <xf numFmtId="164" fontId="38" fillId="38" borderId="2" xfId="795" applyNumberFormat="1" applyFont="1" applyFill="1" applyBorder="1"/>
    <xf numFmtId="164" fontId="38" fillId="38" borderId="29" xfId="795" applyNumberFormat="1" applyFont="1" applyFill="1" applyBorder="1"/>
    <xf numFmtId="176" fontId="51" fillId="0" borderId="27" xfId="322" applyNumberFormat="1" applyFont="1" applyFill="1" applyBorder="1"/>
    <xf numFmtId="176" fontId="51" fillId="38" borderId="0" xfId="322" applyNumberFormat="1" applyFont="1" applyFill="1" applyBorder="1"/>
    <xf numFmtId="176" fontId="51" fillId="38" borderId="27" xfId="322" applyNumberFormat="1" applyFont="1" applyFill="1" applyBorder="1"/>
    <xf numFmtId="176" fontId="51" fillId="0" borderId="32" xfId="322" applyNumberFormat="1" applyFont="1" applyBorder="1"/>
    <xf numFmtId="176" fontId="77" fillId="38" borderId="0" xfId="322" applyNumberFormat="1" applyFont="1" applyFill="1" applyBorder="1"/>
    <xf numFmtId="176" fontId="77" fillId="38" borderId="1" xfId="322" applyNumberFormat="1" applyFont="1" applyFill="1" applyBorder="1"/>
    <xf numFmtId="176" fontId="77" fillId="38" borderId="27" xfId="322" applyNumberFormat="1" applyFont="1" applyFill="1" applyBorder="1"/>
    <xf numFmtId="176" fontId="51" fillId="0" borderId="1" xfId="322" applyNumberFormat="1" applyFont="1" applyBorder="1"/>
    <xf numFmtId="176" fontId="30" fillId="38" borderId="0" xfId="322" applyNumberFormat="1" applyFont="1" applyFill="1" applyBorder="1"/>
    <xf numFmtId="176" fontId="30" fillId="38" borderId="27" xfId="322" applyNumberFormat="1" applyFont="1" applyFill="1" applyBorder="1"/>
    <xf numFmtId="176" fontId="30" fillId="0" borderId="32" xfId="322" applyNumberFormat="1" applyFont="1" applyBorder="1"/>
    <xf numFmtId="176" fontId="38" fillId="38" borderId="0" xfId="322" applyNumberFormat="1" applyFont="1" applyFill="1" applyBorder="1"/>
    <xf numFmtId="176" fontId="38" fillId="38" borderId="1" xfId="322" applyNumberFormat="1" applyFont="1" applyFill="1" applyBorder="1"/>
    <xf numFmtId="176" fontId="38" fillId="38" borderId="27" xfId="322" applyNumberFormat="1" applyFont="1" applyFill="1" applyBorder="1"/>
    <xf numFmtId="176" fontId="30" fillId="0" borderId="1" xfId="322" applyNumberFormat="1" applyFont="1" applyBorder="1"/>
    <xf numFmtId="176" fontId="50" fillId="38" borderId="0" xfId="322" applyNumberFormat="1" applyFont="1" applyFill="1" applyBorder="1"/>
    <xf numFmtId="0" fontId="19" fillId="0" borderId="28" xfId="2" applyNumberFormat="1" applyFont="1" applyBorder="1"/>
    <xf numFmtId="0" fontId="18" fillId="0" borderId="1" xfId="796" applyNumberFormat="1" applyFont="1" applyFill="1" applyBorder="1"/>
    <xf numFmtId="0" fontId="17" fillId="0" borderId="28" xfId="2" applyNumberFormat="1" applyFont="1" applyFill="1" applyBorder="1" applyAlignment="1">
      <alignment horizontal="left" indent="1"/>
    </xf>
    <xf numFmtId="0" fontId="18" fillId="0" borderId="1" xfId="796" applyNumberFormat="1" applyFont="1" applyFill="1" applyBorder="1" applyAlignment="1"/>
    <xf numFmtId="0" fontId="18" fillId="0" borderId="30" xfId="796" applyNumberFormat="1" applyFont="1" applyFill="1" applyBorder="1"/>
    <xf numFmtId="0" fontId="17" fillId="0" borderId="6" xfId="2" applyNumberFormat="1" applyFont="1" applyFill="1" applyBorder="1"/>
    <xf numFmtId="0" fontId="31" fillId="0" borderId="30" xfId="2" applyNumberFormat="1" applyFont="1" applyFill="1" applyBorder="1"/>
    <xf numFmtId="0" fontId="17" fillId="0" borderId="22" xfId="2" applyNumberFormat="1" applyFont="1" applyFill="1" applyBorder="1"/>
    <xf numFmtId="0" fontId="18" fillId="28" borderId="30" xfId="2" applyNumberFormat="1" applyFont="1" applyFill="1" applyBorder="1" applyAlignment="1">
      <alignment horizontal="left"/>
    </xf>
    <xf numFmtId="0" fontId="17" fillId="0" borderId="7" xfId="2" applyNumberFormat="1" applyFont="1" applyFill="1" applyBorder="1" applyAlignment="1">
      <alignment horizontal="left"/>
    </xf>
    <xf numFmtId="0" fontId="18" fillId="0" borderId="30" xfId="2" applyNumberFormat="1" applyFont="1" applyFill="1" applyBorder="1" applyAlignment="1">
      <alignment horizontal="left" indent="1"/>
    </xf>
    <xf numFmtId="0" fontId="18" fillId="0" borderId="0" xfId="796" applyNumberFormat="1" applyFont="1" applyFill="1" applyBorder="1"/>
    <xf numFmtId="0" fontId="17" fillId="0" borderId="0" xfId="2" applyNumberFormat="1" applyFont="1" applyBorder="1"/>
    <xf numFmtId="0" fontId="30" fillId="0" borderId="7" xfId="2" applyNumberFormat="1" applyFont="1" applyFill="1" applyBorder="1"/>
    <xf numFmtId="0" fontId="51" fillId="0" borderId="1" xfId="322" applyNumberFormat="1" applyFont="1" applyFill="1" applyBorder="1"/>
    <xf numFmtId="0" fontId="30" fillId="0" borderId="1" xfId="322" applyNumberFormat="1" applyFont="1" applyFill="1" applyBorder="1"/>
    <xf numFmtId="0" fontId="18" fillId="0" borderId="1" xfId="2" applyNumberFormat="1" applyFont="1" applyFill="1" applyBorder="1" applyAlignment="1">
      <alignment horizontal="left"/>
    </xf>
    <xf numFmtId="0" fontId="30" fillId="0" borderId="28" xfId="2" applyNumberFormat="1" applyFont="1" applyFill="1" applyBorder="1"/>
    <xf numFmtId="0" fontId="18" fillId="0" borderId="0" xfId="2" applyNumberFormat="1" applyFont="1" applyFill="1" applyBorder="1" applyAlignment="1">
      <alignment horizontal="left"/>
    </xf>
    <xf numFmtId="9" fontId="17" fillId="0" borderId="0" xfId="816" applyFont="1"/>
    <xf numFmtId="9" fontId="17" fillId="0" borderId="27" xfId="816" applyFont="1" applyFill="1" applyBorder="1"/>
    <xf numFmtId="9" fontId="17" fillId="38" borderId="0" xfId="816" applyFont="1" applyFill="1" applyBorder="1"/>
    <xf numFmtId="9" fontId="17" fillId="38" borderId="27" xfId="816" applyFont="1" applyFill="1" applyBorder="1"/>
    <xf numFmtId="9" fontId="17" fillId="0" borderId="32" xfId="816" applyFont="1" applyBorder="1"/>
    <xf numFmtId="9" fontId="32" fillId="38" borderId="0" xfId="816" applyFont="1" applyFill="1" applyBorder="1"/>
    <xf numFmtId="9" fontId="32" fillId="38" borderId="1" xfId="816" applyFont="1" applyFill="1" applyBorder="1"/>
    <xf numFmtId="9" fontId="32" fillId="38" borderId="27" xfId="816" applyFont="1" applyFill="1" applyBorder="1"/>
    <xf numFmtId="9" fontId="17" fillId="0" borderId="1" xfId="816" applyFont="1" applyBorder="1"/>
    <xf numFmtId="9" fontId="0" fillId="0" borderId="0" xfId="816" applyFont="1"/>
    <xf numFmtId="168" fontId="17" fillId="0" borderId="0" xfId="816" applyNumberFormat="1" applyFont="1"/>
    <xf numFmtId="168" fontId="17" fillId="38" borderId="0" xfId="816" applyNumberFormat="1" applyFont="1" applyFill="1" applyBorder="1"/>
    <xf numFmtId="168" fontId="17" fillId="38" borderId="27" xfId="816" applyNumberFormat="1" applyFont="1" applyFill="1" applyBorder="1"/>
    <xf numFmtId="168" fontId="32" fillId="38" borderId="0" xfId="816" applyNumberFormat="1" applyFont="1" applyFill="1" applyBorder="1"/>
    <xf numFmtId="168" fontId="32" fillId="38" borderId="1" xfId="816" applyNumberFormat="1" applyFont="1" applyFill="1" applyBorder="1"/>
    <xf numFmtId="168" fontId="32" fillId="38" borderId="27" xfId="816" applyNumberFormat="1" applyFont="1" applyFill="1" applyBorder="1"/>
    <xf numFmtId="176" fontId="17" fillId="38" borderId="2" xfId="322" applyNumberFormat="1" applyFont="1" applyFill="1" applyBorder="1"/>
    <xf numFmtId="176" fontId="17" fillId="38" borderId="29" xfId="322" applyNumberFormat="1" applyFont="1" applyFill="1" applyBorder="1"/>
    <xf numFmtId="176" fontId="51" fillId="38" borderId="1" xfId="322" applyNumberFormat="1" applyFont="1" applyFill="1" applyBorder="1"/>
    <xf numFmtId="176" fontId="30" fillId="38" borderId="1" xfId="322" applyNumberFormat="1" applyFont="1" applyFill="1" applyBorder="1"/>
    <xf numFmtId="9" fontId="17" fillId="38" borderId="1" xfId="816" applyFont="1" applyFill="1" applyBorder="1"/>
    <xf numFmtId="176" fontId="17" fillId="38" borderId="28" xfId="322" applyNumberFormat="1" applyFont="1" applyFill="1" applyBorder="1"/>
    <xf numFmtId="176" fontId="32" fillId="38" borderId="28" xfId="322" applyNumberFormat="1" applyFont="1" applyFill="1" applyBorder="1"/>
    <xf numFmtId="176" fontId="32" fillId="38" borderId="2" xfId="322" applyNumberFormat="1" applyFont="1" applyFill="1" applyBorder="1"/>
    <xf numFmtId="176" fontId="32" fillId="38" borderId="29" xfId="322" applyNumberFormat="1" applyFont="1" applyFill="1" applyBorder="1"/>
    <xf numFmtId="164" fontId="51" fillId="38" borderId="27" xfId="795" applyNumberFormat="1" applyFont="1" applyFill="1" applyBorder="1"/>
    <xf numFmtId="164" fontId="51" fillId="38" borderId="0" xfId="795" applyNumberFormat="1" applyFont="1" applyFill="1" applyBorder="1"/>
    <xf numFmtId="164" fontId="51" fillId="38" borderId="1" xfId="795" applyNumberFormat="1" applyFont="1" applyFill="1" applyBorder="1"/>
    <xf numFmtId="164" fontId="77" fillId="38" borderId="1" xfId="795" applyNumberFormat="1" applyFont="1" applyFill="1" applyBorder="1"/>
    <xf numFmtId="164" fontId="77" fillId="38" borderId="0" xfId="795" applyNumberFormat="1" applyFont="1" applyFill="1" applyBorder="1"/>
    <xf numFmtId="164" fontId="77" fillId="38" borderId="27" xfId="795" applyNumberFormat="1" applyFont="1" applyFill="1" applyBorder="1"/>
    <xf numFmtId="168" fontId="17" fillId="38" borderId="1" xfId="816" applyNumberFormat="1" applyFont="1" applyFill="1" applyBorder="1"/>
    <xf numFmtId="168" fontId="22" fillId="38" borderId="0" xfId="816" applyNumberFormat="1" applyFont="1" applyFill="1" applyBorder="1"/>
    <xf numFmtId="164" fontId="78" fillId="0" borderId="1" xfId="2" applyNumberFormat="1" applyFont="1" applyFill="1" applyBorder="1" applyAlignment="1"/>
    <xf numFmtId="164" fontId="78" fillId="0" borderId="0" xfId="2" applyNumberFormat="1" applyFont="1" applyFill="1" applyBorder="1" applyAlignment="1"/>
    <xf numFmtId="164" fontId="78" fillId="0" borderId="27" xfId="2" applyNumberFormat="1" applyFont="1" applyFill="1" applyBorder="1" applyAlignment="1"/>
    <xf numFmtId="176" fontId="35" fillId="38" borderId="0" xfId="322" applyNumberFormat="1" applyFont="1" applyFill="1" applyBorder="1"/>
    <xf numFmtId="176" fontId="35" fillId="38" borderId="1" xfId="322" applyNumberFormat="1" applyFont="1" applyFill="1" applyBorder="1"/>
    <xf numFmtId="176" fontId="36" fillId="38" borderId="27" xfId="322" applyNumberFormat="1" applyFont="1" applyFill="1" applyBorder="1"/>
    <xf numFmtId="176" fontId="79" fillId="0" borderId="27" xfId="322" applyNumberFormat="1" applyFont="1" applyFill="1" applyBorder="1"/>
    <xf numFmtId="176" fontId="79" fillId="38" borderId="0" xfId="322" applyNumberFormat="1" applyFont="1" applyFill="1" applyBorder="1"/>
    <xf numFmtId="176" fontId="79" fillId="38" borderId="27" xfId="322" applyNumberFormat="1" applyFont="1" applyFill="1" applyBorder="1"/>
    <xf numFmtId="176" fontId="79" fillId="38" borderId="1" xfId="322" applyNumberFormat="1" applyFont="1" applyFill="1" applyBorder="1"/>
    <xf numFmtId="176" fontId="79" fillId="0" borderId="32" xfId="322" applyNumberFormat="1" applyFont="1" applyBorder="1"/>
    <xf numFmtId="176" fontId="81" fillId="38" borderId="1" xfId="322" applyNumberFormat="1" applyFont="1" applyFill="1" applyBorder="1"/>
    <xf numFmtId="176" fontId="81" fillId="38" borderId="0" xfId="322" applyNumberFormat="1" applyFont="1" applyFill="1" applyBorder="1"/>
    <xf numFmtId="176" fontId="81" fillId="38" borderId="27" xfId="322" applyNumberFormat="1" applyFont="1" applyFill="1" applyBorder="1"/>
    <xf numFmtId="176" fontId="79" fillId="0" borderId="1" xfId="322" applyNumberFormat="1" applyFont="1" applyBorder="1"/>
    <xf numFmtId="0" fontId="51" fillId="0" borderId="1" xfId="816" applyNumberFormat="1" applyFont="1" applyFill="1" applyBorder="1"/>
    <xf numFmtId="0" fontId="79" fillId="0" borderId="1" xfId="816" applyNumberFormat="1" applyFont="1" applyFill="1" applyBorder="1"/>
    <xf numFmtId="0" fontId="30" fillId="0" borderId="1" xfId="816" applyNumberFormat="1" applyFont="1" applyFill="1" applyBorder="1"/>
    <xf numFmtId="0" fontId="17" fillId="0" borderId="1" xfId="816" applyNumberFormat="1" applyFont="1" applyFill="1" applyBorder="1"/>
    <xf numFmtId="0" fontId="17" fillId="0" borderId="28" xfId="322" applyNumberFormat="1" applyFont="1" applyFill="1" applyBorder="1"/>
    <xf numFmtId="179" fontId="28" fillId="0" borderId="0" xfId="2" applyNumberFormat="1" applyFont="1" applyFill="1" applyBorder="1"/>
    <xf numFmtId="179" fontId="28" fillId="0" borderId="27" xfId="2" applyNumberFormat="1" applyFont="1" applyFill="1" applyBorder="1"/>
    <xf numFmtId="0" fontId="51" fillId="0" borderId="0" xfId="2" applyFont="1" applyFill="1"/>
    <xf numFmtId="0" fontId="51" fillId="0" borderId="32" xfId="2" applyFont="1" applyFill="1" applyBorder="1"/>
    <xf numFmtId="0" fontId="17" fillId="0" borderId="1" xfId="322" applyNumberFormat="1" applyFont="1" applyFill="1" applyBorder="1"/>
    <xf numFmtId="176" fontId="51" fillId="0" borderId="0" xfId="322" applyNumberFormat="1" applyFont="1" applyFill="1"/>
    <xf numFmtId="176" fontId="51" fillId="0" borderId="0" xfId="322" applyNumberFormat="1" applyFont="1" applyFill="1" applyBorder="1"/>
    <xf numFmtId="176" fontId="17" fillId="0" borderId="2" xfId="322" applyNumberFormat="1" applyFont="1" applyFill="1" applyBorder="1" applyAlignment="1">
      <alignment horizontal="left" indent="1"/>
    </xf>
    <xf numFmtId="164" fontId="51" fillId="0" borderId="0" xfId="2" applyNumberFormat="1" applyFont="1" applyFill="1" applyBorder="1"/>
    <xf numFmtId="164" fontId="35" fillId="38" borderId="0" xfId="795" applyNumberFormat="1" applyFont="1" applyFill="1" applyBorder="1"/>
    <xf numFmtId="164" fontId="35" fillId="38" borderId="27" xfId="795" applyNumberFormat="1" applyFont="1" applyFill="1" applyBorder="1"/>
    <xf numFmtId="164" fontId="35" fillId="38" borderId="1" xfId="795" applyNumberFormat="1" applyFont="1" applyFill="1" applyBorder="1"/>
    <xf numFmtId="164" fontId="39" fillId="38" borderId="1" xfId="795" applyNumberFormat="1" applyFont="1" applyFill="1" applyBorder="1"/>
    <xf numFmtId="164" fontId="39" fillId="38" borderId="0" xfId="795" applyNumberFormat="1" applyFont="1" applyFill="1" applyBorder="1"/>
    <xf numFmtId="164" fontId="39" fillId="38" borderId="27" xfId="795" applyNumberFormat="1" applyFont="1" applyFill="1" applyBorder="1"/>
    <xf numFmtId="176" fontId="36" fillId="0" borderId="27" xfId="322" applyNumberFormat="1" applyFont="1" applyFill="1" applyBorder="1"/>
    <xf numFmtId="176" fontId="36" fillId="38" borderId="0" xfId="322" applyNumberFormat="1" applyFont="1" applyFill="1" applyBorder="1"/>
    <xf numFmtId="176" fontId="36" fillId="38" borderId="1" xfId="322" applyNumberFormat="1" applyFont="1" applyFill="1" applyBorder="1"/>
    <xf numFmtId="176" fontId="36" fillId="0" borderId="32" xfId="322" applyNumberFormat="1" applyFont="1" applyBorder="1"/>
    <xf numFmtId="176" fontId="36" fillId="0" borderId="1" xfId="322" applyNumberFormat="1" applyFont="1" applyBorder="1"/>
    <xf numFmtId="176" fontId="80" fillId="38" borderId="1" xfId="322" applyNumberFormat="1" applyFont="1" applyFill="1" applyBorder="1"/>
    <xf numFmtId="176" fontId="80" fillId="38" borderId="0" xfId="322" applyNumberFormat="1" applyFont="1" applyFill="1" applyBorder="1"/>
    <xf numFmtId="164" fontId="81" fillId="38" borderId="0" xfId="795" applyNumberFormat="1" applyFont="1" applyFill="1" applyBorder="1"/>
    <xf numFmtId="164" fontId="81" fillId="38" borderId="27" xfId="795" applyNumberFormat="1" applyFont="1" applyFill="1" applyBorder="1"/>
    <xf numFmtId="0" fontId="79" fillId="0" borderId="1" xfId="322" applyNumberFormat="1" applyFont="1" applyFill="1" applyBorder="1"/>
    <xf numFmtId="164" fontId="17" fillId="0" borderId="32" xfId="2" applyNumberFormat="1" applyFont="1" applyFill="1" applyBorder="1"/>
    <xf numFmtId="0" fontId="79" fillId="0" borderId="0" xfId="2" applyFont="1"/>
    <xf numFmtId="0" fontId="79" fillId="0" borderId="1" xfId="2" applyNumberFormat="1" applyFont="1" applyFill="1" applyBorder="1"/>
    <xf numFmtId="0" fontId="79" fillId="0" borderId="27" xfId="2" applyFont="1" applyFill="1" applyBorder="1"/>
    <xf numFmtId="164" fontId="79" fillId="0" borderId="0" xfId="2" applyNumberFormat="1" applyFont="1" applyFill="1" applyBorder="1" applyAlignment="1"/>
    <xf numFmtId="164" fontId="79" fillId="0" borderId="27" xfId="2" applyNumberFormat="1" applyFont="1" applyFill="1" applyBorder="1" applyAlignment="1"/>
    <xf numFmtId="164" fontId="79" fillId="0" borderId="1" xfId="2" applyNumberFormat="1" applyFont="1" applyFill="1" applyBorder="1" applyAlignment="1"/>
    <xf numFmtId="0" fontId="79" fillId="0" borderId="32" xfId="2" applyFont="1" applyBorder="1"/>
    <xf numFmtId="0" fontId="79" fillId="0" borderId="1" xfId="2" applyFont="1" applyBorder="1"/>
    <xf numFmtId="0" fontId="51" fillId="0" borderId="27" xfId="2" applyFont="1" applyFill="1" applyBorder="1" applyAlignment="1">
      <alignment horizontal="left" indent="1"/>
    </xf>
    <xf numFmtId="167" fontId="36" fillId="0" borderId="0" xfId="2" applyNumberFormat="1" applyFont="1" applyFill="1" applyBorder="1" applyAlignment="1"/>
    <xf numFmtId="167" fontId="36" fillId="0" borderId="1" xfId="2" applyNumberFormat="1" applyFont="1" applyFill="1" applyBorder="1" applyAlignment="1"/>
    <xf numFmtId="167" fontId="82" fillId="0" borderId="1" xfId="2" applyNumberFormat="1" applyFont="1" applyFill="1" applyBorder="1" applyAlignment="1"/>
    <xf numFmtId="167" fontId="82" fillId="0" borderId="0" xfId="2" applyNumberFormat="1" applyFont="1" applyFill="1" applyBorder="1" applyAlignment="1"/>
    <xf numFmtId="9" fontId="51" fillId="0" borderId="27" xfId="816" applyFont="1" applyFill="1" applyBorder="1"/>
    <xf numFmtId="9" fontId="51" fillId="38" borderId="0" xfId="816" applyFont="1" applyFill="1" applyBorder="1"/>
    <xf numFmtId="9" fontId="51" fillId="38" borderId="27" xfId="816" applyFont="1" applyFill="1" applyBorder="1"/>
    <xf numFmtId="9" fontId="51" fillId="38" borderId="1" xfId="816" applyFont="1" applyFill="1" applyBorder="1"/>
    <xf numFmtId="9" fontId="51" fillId="0" borderId="32" xfId="816" applyFont="1" applyBorder="1"/>
    <xf numFmtId="9" fontId="77" fillId="38" borderId="1" xfId="816" applyFont="1" applyFill="1" applyBorder="1"/>
    <xf numFmtId="9" fontId="77" fillId="38" borderId="0" xfId="816" applyFont="1" applyFill="1" applyBorder="1"/>
    <xf numFmtId="9" fontId="77" fillId="38" borderId="27" xfId="816" applyFont="1" applyFill="1" applyBorder="1"/>
    <xf numFmtId="9" fontId="51" fillId="0" borderId="1" xfId="816" applyFont="1" applyBorder="1"/>
    <xf numFmtId="168" fontId="23" fillId="0" borderId="28" xfId="816" applyNumberFormat="1" applyFont="1" applyFill="1" applyBorder="1"/>
    <xf numFmtId="7" fontId="17" fillId="0" borderId="1" xfId="2" applyNumberFormat="1" applyFont="1" applyFill="1" applyBorder="1" applyAlignment="1"/>
    <xf numFmtId="169" fontId="17" fillId="0" borderId="27" xfId="2" applyNumberFormat="1" applyFont="1" applyFill="1" applyBorder="1" applyAlignment="1"/>
    <xf numFmtId="173" fontId="47" fillId="0" borderId="27" xfId="2" applyNumberFormat="1" applyFont="1" applyFill="1" applyBorder="1"/>
    <xf numFmtId="200" fontId="17" fillId="0" borderId="0" xfId="2" applyNumberFormat="1" applyFont="1"/>
    <xf numFmtId="1" fontId="83" fillId="39" borderId="27" xfId="797" applyNumberFormat="1" applyFont="1" applyFill="1" applyBorder="1" applyAlignment="1">
      <alignment horizontal="right"/>
    </xf>
    <xf numFmtId="178" fontId="84" fillId="0" borderId="1" xfId="2" applyNumberFormat="1" applyFont="1" applyFill="1" applyBorder="1"/>
    <xf numFmtId="178" fontId="84" fillId="0" borderId="0" xfId="2" applyNumberFormat="1" applyFont="1" applyFill="1" applyBorder="1"/>
    <xf numFmtId="178" fontId="84" fillId="0" borderId="27" xfId="2" applyNumberFormat="1" applyFont="1" applyFill="1" applyBorder="1"/>
    <xf numFmtId="178" fontId="84" fillId="0" borderId="22" xfId="2" applyNumberFormat="1" applyFont="1" applyFill="1" applyBorder="1"/>
    <xf numFmtId="1" fontId="85" fillId="39" borderId="27" xfId="797" applyNumberFormat="1" applyFont="1" applyFill="1" applyBorder="1" applyAlignment="1">
      <alignment horizontal="right"/>
    </xf>
    <xf numFmtId="0" fontId="25" fillId="0" borderId="1" xfId="2" applyFont="1" applyFill="1" applyBorder="1" applyAlignment="1">
      <alignment horizontal="left" indent="1"/>
    </xf>
    <xf numFmtId="0" fontId="25" fillId="0" borderId="27" xfId="2" applyFont="1" applyFill="1" applyBorder="1" applyAlignment="1">
      <alignment horizontal="left" indent="1"/>
    </xf>
    <xf numFmtId="0" fontId="25" fillId="0" borderId="32" xfId="2" applyFont="1" applyBorder="1"/>
    <xf numFmtId="0" fontId="25" fillId="0" borderId="1" xfId="2" applyFont="1" applyBorder="1"/>
    <xf numFmtId="176" fontId="28" fillId="0" borderId="0" xfId="322" applyNumberFormat="1" applyFont="1" applyFill="1" applyBorder="1"/>
    <xf numFmtId="176" fontId="28" fillId="0" borderId="27" xfId="322" applyNumberFormat="1" applyFont="1" applyBorder="1"/>
    <xf numFmtId="176" fontId="28" fillId="0" borderId="0" xfId="322" applyNumberFormat="1" applyFont="1" applyBorder="1"/>
    <xf numFmtId="176" fontId="28" fillId="0" borderId="7" xfId="322" applyNumberFormat="1" applyFont="1" applyBorder="1"/>
    <xf numFmtId="176" fontId="28" fillId="0" borderId="22" xfId="322" applyNumberFormat="1" applyFont="1" applyBorder="1"/>
    <xf numFmtId="176" fontId="28" fillId="0" borderId="26" xfId="322" applyNumberFormat="1" applyFont="1" applyFill="1" applyBorder="1"/>
    <xf numFmtId="1" fontId="62" fillId="39" borderId="0" xfId="797" applyNumberFormat="1" applyFont="1" applyFill="1" applyBorder="1" applyAlignment="1">
      <alignment horizontal="right"/>
    </xf>
    <xf numFmtId="176" fontId="84" fillId="0" borderId="0" xfId="322" applyNumberFormat="1" applyFont="1" applyFill="1" applyBorder="1"/>
    <xf numFmtId="176" fontId="84" fillId="0" borderId="27" xfId="322" applyNumberFormat="1" applyFont="1" applyFill="1" applyBorder="1"/>
    <xf numFmtId="176" fontId="84" fillId="0" borderId="27" xfId="322" applyNumberFormat="1" applyFont="1" applyBorder="1"/>
    <xf numFmtId="176" fontId="84" fillId="0" borderId="0" xfId="322" applyNumberFormat="1" applyFont="1" applyBorder="1"/>
    <xf numFmtId="44" fontId="17" fillId="0" borderId="0" xfId="497" applyFont="1"/>
    <xf numFmtId="44" fontId="17" fillId="0" borderId="27" xfId="497" applyFont="1" applyFill="1" applyBorder="1"/>
    <xf numFmtId="44" fontId="17" fillId="38" borderId="0" xfId="497" applyFont="1" applyFill="1" applyBorder="1"/>
    <xf numFmtId="44" fontId="17" fillId="38" borderId="27" xfId="497" applyFont="1" applyFill="1" applyBorder="1"/>
    <xf numFmtId="44" fontId="17" fillId="38" borderId="1" xfId="497" applyFont="1" applyFill="1" applyBorder="1"/>
    <xf numFmtId="44" fontId="17" fillId="0" borderId="32" xfId="497" applyFont="1" applyBorder="1"/>
    <xf numFmtId="44" fontId="32" fillId="38" borderId="0" xfId="497" applyFont="1" applyFill="1" applyBorder="1"/>
    <xf numFmtId="44" fontId="32" fillId="38" borderId="1" xfId="497" applyFont="1" applyFill="1" applyBorder="1"/>
    <xf numFmtId="44" fontId="17" fillId="0" borderId="1" xfId="497" applyFont="1" applyBorder="1"/>
    <xf numFmtId="200" fontId="17" fillId="0" borderId="29" xfId="2" applyNumberFormat="1" applyFont="1" applyFill="1" applyBorder="1"/>
    <xf numFmtId="200" fontId="17" fillId="38" borderId="2" xfId="795" applyNumberFormat="1" applyFont="1" applyFill="1" applyBorder="1"/>
    <xf numFmtId="200" fontId="17" fillId="38" borderId="29" xfId="795" applyNumberFormat="1" applyFont="1" applyFill="1" applyBorder="1"/>
    <xf numFmtId="200" fontId="17" fillId="38" borderId="28" xfId="795" applyNumberFormat="1" applyFont="1" applyFill="1" applyBorder="1"/>
    <xf numFmtId="200" fontId="17" fillId="0" borderId="32" xfId="2" applyNumberFormat="1" applyFont="1" applyBorder="1"/>
    <xf numFmtId="200" fontId="32" fillId="38" borderId="2" xfId="795" applyNumberFormat="1" applyFont="1" applyFill="1" applyBorder="1"/>
    <xf numFmtId="200" fontId="32" fillId="38" borderId="28" xfId="795" applyNumberFormat="1" applyFont="1" applyFill="1" applyBorder="1"/>
    <xf numFmtId="200" fontId="17" fillId="0" borderId="1" xfId="2" applyNumberFormat="1" applyFont="1" applyBorder="1"/>
    <xf numFmtId="202" fontId="17" fillId="0" borderId="0" xfId="2" applyNumberFormat="1" applyFont="1"/>
    <xf numFmtId="202" fontId="17" fillId="0" borderId="27" xfId="2" applyNumberFormat="1" applyFont="1" applyFill="1" applyBorder="1"/>
    <xf numFmtId="202" fontId="17" fillId="38" borderId="0" xfId="795" applyNumberFormat="1" applyFont="1" applyFill="1" applyBorder="1"/>
    <xf numFmtId="202" fontId="17" fillId="38" borderId="27" xfId="795" applyNumberFormat="1" applyFont="1" applyFill="1" applyBorder="1"/>
    <xf numFmtId="202" fontId="17" fillId="38" borderId="1" xfId="795" applyNumberFormat="1" applyFont="1" applyFill="1" applyBorder="1"/>
    <xf numFmtId="202" fontId="17" fillId="0" borderId="32" xfId="2" applyNumberFormat="1" applyFont="1" applyBorder="1"/>
    <xf numFmtId="202" fontId="32" fillId="38" borderId="0" xfId="795" applyNumberFormat="1" applyFont="1" applyFill="1" applyBorder="1"/>
    <xf numFmtId="202" fontId="32" fillId="38" borderId="1" xfId="795" applyNumberFormat="1" applyFont="1" applyFill="1" applyBorder="1"/>
    <xf numFmtId="202" fontId="17" fillId="0" borderId="1" xfId="2" applyNumberFormat="1" applyFont="1" applyBorder="1"/>
    <xf numFmtId="200" fontId="17" fillId="0" borderId="27" xfId="2" applyNumberFormat="1" applyFont="1" applyFill="1" applyBorder="1"/>
    <xf numFmtId="200" fontId="17" fillId="38" borderId="0" xfId="795" applyNumberFormat="1" applyFont="1" applyFill="1" applyBorder="1"/>
    <xf numFmtId="200" fontId="17" fillId="38" borderId="27" xfId="795" applyNumberFormat="1" applyFont="1" applyFill="1" applyBorder="1"/>
    <xf numFmtId="200" fontId="17" fillId="38" borderId="1" xfId="795" applyNumberFormat="1" applyFont="1" applyFill="1" applyBorder="1"/>
    <xf numFmtId="200" fontId="32" fillId="38" borderId="0" xfId="795" applyNumberFormat="1" applyFont="1" applyFill="1" applyBorder="1"/>
    <xf numFmtId="200" fontId="32" fillId="38" borderId="1" xfId="795" applyNumberFormat="1" applyFont="1" applyFill="1" applyBorder="1"/>
    <xf numFmtId="44" fontId="30" fillId="0" borderId="0" xfId="497" applyFont="1"/>
    <xf numFmtId="44" fontId="30" fillId="0" borderId="27" xfId="497" applyFont="1" applyFill="1" applyBorder="1"/>
    <xf numFmtId="44" fontId="30" fillId="38" borderId="0" xfId="497" applyFont="1" applyFill="1" applyBorder="1"/>
    <xf numFmtId="44" fontId="30" fillId="38" borderId="27" xfId="497" applyFont="1" applyFill="1" applyBorder="1"/>
    <xf numFmtId="44" fontId="30" fillId="38" borderId="1" xfId="497" applyFont="1" applyFill="1" applyBorder="1"/>
    <xf numFmtId="44" fontId="30" fillId="0" borderId="32" xfId="497" applyFont="1" applyBorder="1"/>
    <xf numFmtId="44" fontId="38" fillId="38" borderId="0" xfId="497" applyFont="1" applyFill="1" applyBorder="1"/>
    <xf numFmtId="44" fontId="30" fillId="0" borderId="1" xfId="497" applyFont="1" applyBorder="1"/>
    <xf numFmtId="200" fontId="51" fillId="0" borderId="0" xfId="2" applyNumberFormat="1" applyFont="1"/>
    <xf numFmtId="200" fontId="51" fillId="0" borderId="27" xfId="2" applyNumberFormat="1" applyFont="1" applyFill="1" applyBorder="1"/>
    <xf numFmtId="200" fontId="51" fillId="38" borderId="0" xfId="795" applyNumberFormat="1" applyFont="1" applyFill="1" applyBorder="1"/>
    <xf numFmtId="200" fontId="51" fillId="38" borderId="27" xfId="795" applyNumberFormat="1" applyFont="1" applyFill="1" applyBorder="1"/>
    <xf numFmtId="200" fontId="51" fillId="38" borderId="1" xfId="795" applyNumberFormat="1" applyFont="1" applyFill="1" applyBorder="1"/>
    <xf numFmtId="200" fontId="51" fillId="0" borderId="32" xfId="2" applyNumberFormat="1" applyFont="1" applyBorder="1"/>
    <xf numFmtId="200" fontId="51" fillId="0" borderId="1" xfId="2" applyNumberFormat="1" applyFont="1" applyBorder="1"/>
    <xf numFmtId="0" fontId="17" fillId="0" borderId="1" xfId="497" applyNumberFormat="1" applyFont="1" applyFill="1" applyBorder="1"/>
    <xf numFmtId="176" fontId="79" fillId="0" borderId="0" xfId="322" applyNumberFormat="1" applyFont="1" applyFill="1" applyBorder="1"/>
    <xf numFmtId="176" fontId="79" fillId="0" borderId="1" xfId="322" applyNumberFormat="1" applyFont="1" applyFill="1" applyBorder="1"/>
    <xf numFmtId="176" fontId="35" fillId="0" borderId="0" xfId="322" applyNumberFormat="1" applyFont="1" applyFill="1"/>
    <xf numFmtId="176" fontId="35" fillId="0" borderId="26" xfId="322" applyNumberFormat="1" applyFont="1" applyFill="1" applyBorder="1" applyAlignment="1">
      <alignment horizontal="left"/>
    </xf>
    <xf numFmtId="176" fontId="35" fillId="0" borderId="0" xfId="322" applyNumberFormat="1" applyFont="1" applyFill="1" applyBorder="1" applyAlignment="1">
      <alignment horizontal="right"/>
    </xf>
    <xf numFmtId="176" fontId="35" fillId="0" borderId="32" xfId="322" applyNumberFormat="1" applyFont="1" applyFill="1" applyBorder="1"/>
    <xf numFmtId="176" fontId="39" fillId="0" borderId="22" xfId="322" applyNumberFormat="1" applyFont="1" applyFill="1" applyBorder="1" applyAlignment="1">
      <alignment horizontal="right"/>
    </xf>
    <xf numFmtId="176" fontId="39" fillId="0" borderId="0" xfId="322" applyNumberFormat="1" applyFont="1" applyFill="1" applyBorder="1" applyAlignment="1">
      <alignment horizontal="right"/>
    </xf>
    <xf numFmtId="176" fontId="39" fillId="0" borderId="26" xfId="322" applyNumberFormat="1" applyFont="1" applyFill="1" applyBorder="1" applyAlignment="1">
      <alignment horizontal="right"/>
    </xf>
    <xf numFmtId="176" fontId="39" fillId="0" borderId="7" xfId="322" applyNumberFormat="1" applyFont="1" applyFill="1" applyBorder="1" applyAlignment="1">
      <alignment horizontal="right"/>
    </xf>
    <xf numFmtId="176" fontId="35" fillId="0" borderId="1" xfId="322" applyNumberFormat="1" applyFont="1" applyFill="1" applyBorder="1"/>
    <xf numFmtId="176" fontId="79" fillId="0" borderId="0" xfId="322" applyNumberFormat="1" applyFont="1" applyFill="1"/>
    <xf numFmtId="176" fontId="79" fillId="0" borderId="27" xfId="322" applyNumberFormat="1" applyFont="1" applyFill="1" applyBorder="1" applyAlignment="1">
      <alignment horizontal="right"/>
    </xf>
    <xf numFmtId="176" fontId="79" fillId="0" borderId="1" xfId="322" applyNumberFormat="1" applyFont="1" applyFill="1" applyBorder="1" applyAlignment="1">
      <alignment horizontal="right"/>
    </xf>
    <xf numFmtId="176" fontId="79" fillId="0" borderId="0" xfId="322" applyNumberFormat="1" applyFont="1" applyFill="1" applyBorder="1" applyAlignment="1">
      <alignment horizontal="right"/>
    </xf>
    <xf numFmtId="176" fontId="79" fillId="0" borderId="32" xfId="322" applyNumberFormat="1" applyFont="1" applyFill="1" applyBorder="1"/>
    <xf numFmtId="176" fontId="36" fillId="0" borderId="0" xfId="322" applyNumberFormat="1" applyFont="1" applyFill="1" applyBorder="1" applyAlignment="1">
      <alignment horizontal="right"/>
    </xf>
    <xf numFmtId="176" fontId="36" fillId="0" borderId="1" xfId="322" applyNumberFormat="1" applyFont="1" applyFill="1" applyBorder="1" applyAlignment="1">
      <alignment horizontal="right"/>
    </xf>
    <xf numFmtId="176" fontId="36" fillId="0" borderId="27" xfId="322" applyNumberFormat="1" applyFont="1" applyFill="1" applyBorder="1" applyAlignment="1">
      <alignment horizontal="right"/>
    </xf>
    <xf numFmtId="176" fontId="35" fillId="0" borderId="26" xfId="322" applyNumberFormat="1" applyFont="1" applyFill="1" applyBorder="1" applyAlignment="1">
      <alignment horizontal="right"/>
    </xf>
    <xf numFmtId="176" fontId="65" fillId="0" borderId="27" xfId="322" applyNumberFormat="1" applyFont="1" applyBorder="1"/>
    <xf numFmtId="176" fontId="65" fillId="0" borderId="0" xfId="322" applyNumberFormat="1" applyFont="1" applyBorder="1"/>
    <xf numFmtId="176" fontId="62" fillId="39" borderId="27" xfId="322" applyNumberFormat="1" applyFont="1" applyFill="1" applyBorder="1" applyAlignment="1">
      <alignment horizontal="right"/>
    </xf>
    <xf numFmtId="176" fontId="19" fillId="0" borderId="0" xfId="322" applyNumberFormat="1" applyFont="1" applyFill="1" applyBorder="1"/>
    <xf numFmtId="176" fontId="19" fillId="0" borderId="27" xfId="322" applyNumberFormat="1" applyFont="1" applyFill="1" applyBorder="1"/>
    <xf numFmtId="176" fontId="65" fillId="0" borderId="27" xfId="322" applyNumberFormat="1" applyFont="1" applyFill="1" applyBorder="1" applyAlignment="1"/>
    <xf numFmtId="178" fontId="30" fillId="0" borderId="26" xfId="2" applyNumberFormat="1" applyFont="1" applyFill="1" applyBorder="1"/>
    <xf numFmtId="165" fontId="18" fillId="28" borderId="0" xfId="797" applyNumberFormat="1" applyFont="1" applyFill="1" applyBorder="1" applyAlignment="1">
      <alignment horizontal="right"/>
    </xf>
    <xf numFmtId="168" fontId="25" fillId="0" borderId="7" xfId="816" applyNumberFormat="1" applyFont="1" applyFill="1" applyBorder="1" applyAlignment="1">
      <alignment horizontal="right"/>
    </xf>
    <xf numFmtId="168" fontId="25" fillId="0" borderId="22" xfId="816" applyNumberFormat="1" applyFont="1" applyFill="1" applyBorder="1" applyAlignment="1">
      <alignment horizontal="right"/>
    </xf>
    <xf numFmtId="168" fontId="25" fillId="0" borderId="26" xfId="816" applyNumberFormat="1" applyFont="1" applyFill="1" applyBorder="1" applyAlignment="1">
      <alignment horizontal="right"/>
    </xf>
    <xf numFmtId="167" fontId="17" fillId="0" borderId="22" xfId="2" applyNumberFormat="1" applyFont="1" applyFill="1" applyBorder="1" applyAlignment="1"/>
    <xf numFmtId="170" fontId="22" fillId="0" borderId="1" xfId="816" applyNumberFormat="1" applyFont="1" applyFill="1" applyBorder="1" applyAlignment="1"/>
    <xf numFmtId="0" fontId="22" fillId="0" borderId="0" xfId="2" applyFont="1" applyBorder="1"/>
    <xf numFmtId="179" fontId="17" fillId="0" borderId="27" xfId="2" applyNumberFormat="1" applyFont="1" applyBorder="1"/>
    <xf numFmtId="176" fontId="81" fillId="0" borderId="27" xfId="322" applyNumberFormat="1" applyFont="1" applyFill="1" applyBorder="1" applyAlignment="1">
      <alignment horizontal="right"/>
    </xf>
    <xf numFmtId="164" fontId="17" fillId="0" borderId="0" xfId="322" applyNumberFormat="1" applyFont="1" applyFill="1" applyBorder="1"/>
    <xf numFmtId="176" fontId="18" fillId="0" borderId="0" xfId="2" applyNumberFormat="1" applyFont="1" applyFill="1" applyBorder="1" applyAlignment="1"/>
    <xf numFmtId="176" fontId="18" fillId="0" borderId="1" xfId="2" applyNumberFormat="1" applyFont="1" applyFill="1" applyBorder="1" applyAlignment="1"/>
    <xf numFmtId="176" fontId="18" fillId="0" borderId="27" xfId="2" applyNumberFormat="1" applyFont="1" applyFill="1" applyBorder="1" applyAlignment="1"/>
    <xf numFmtId="176" fontId="25" fillId="0" borderId="0" xfId="322" applyNumberFormat="1" applyFont="1" applyFill="1"/>
    <xf numFmtId="0" fontId="25" fillId="0" borderId="1" xfId="322" applyNumberFormat="1" applyFont="1" applyFill="1" applyBorder="1" applyAlignment="1">
      <alignment horizontal="left" indent="1"/>
    </xf>
    <xf numFmtId="176" fontId="25" fillId="0" borderId="0" xfId="322" applyNumberFormat="1" applyFont="1" applyFill="1" applyBorder="1"/>
    <xf numFmtId="168" fontId="25" fillId="0" borderId="1" xfId="816" applyNumberFormat="1" applyFont="1" applyFill="1" applyBorder="1" applyAlignment="1"/>
    <xf numFmtId="168" fontId="25" fillId="0" borderId="0" xfId="816" applyNumberFormat="1" applyFont="1" applyFill="1" applyBorder="1" applyAlignment="1"/>
    <xf numFmtId="168" fontId="25" fillId="0" borderId="27" xfId="816" applyNumberFormat="1" applyFont="1" applyFill="1" applyBorder="1" applyAlignment="1"/>
    <xf numFmtId="176" fontId="30" fillId="0" borderId="0" xfId="322" applyNumberFormat="1" applyFont="1" applyFill="1"/>
    <xf numFmtId="176" fontId="30" fillId="0" borderId="2" xfId="322" applyNumberFormat="1" applyFont="1" applyFill="1" applyBorder="1" applyAlignment="1">
      <alignment horizontal="left" indent="1"/>
    </xf>
    <xf numFmtId="43" fontId="30" fillId="0" borderId="28" xfId="322" applyNumberFormat="1" applyFont="1" applyFill="1" applyBorder="1" applyAlignment="1"/>
    <xf numFmtId="43" fontId="30" fillId="0" borderId="2" xfId="322" applyNumberFormat="1" applyFont="1" applyFill="1" applyBorder="1" applyAlignment="1"/>
    <xf numFmtId="43" fontId="30" fillId="0" borderId="29" xfId="322" applyNumberFormat="1" applyFont="1" applyFill="1" applyBorder="1" applyAlignment="1"/>
    <xf numFmtId="173" fontId="30" fillId="0" borderId="1" xfId="2" applyNumberFormat="1" applyFont="1" applyFill="1" applyBorder="1" applyAlignment="1">
      <alignment horizontal="left"/>
    </xf>
    <xf numFmtId="173" fontId="30" fillId="0" borderId="0" xfId="2" applyNumberFormat="1" applyFont="1" applyFill="1" applyBorder="1" applyAlignment="1">
      <alignment horizontal="left"/>
    </xf>
    <xf numFmtId="173" fontId="30" fillId="0" borderId="27" xfId="2" applyNumberFormat="1" applyFont="1" applyFill="1" applyBorder="1"/>
    <xf numFmtId="173" fontId="30" fillId="0" borderId="1" xfId="2" applyNumberFormat="1" applyFont="1" applyFill="1" applyBorder="1"/>
    <xf numFmtId="173" fontId="30" fillId="0" borderId="0" xfId="2" applyNumberFormat="1" applyFont="1" applyFill="1" applyBorder="1"/>
    <xf numFmtId="37" fontId="17" fillId="0" borderId="0" xfId="2" applyNumberFormat="1" applyFont="1" applyFill="1" applyBorder="1" applyAlignment="1">
      <alignment horizontal="center"/>
    </xf>
    <xf numFmtId="178" fontId="24" fillId="0" borderId="26" xfId="2" applyNumberFormat="1" applyFont="1" applyBorder="1" applyAlignment="1">
      <alignment horizontal="right"/>
    </xf>
    <xf numFmtId="178" fontId="24" fillId="0" borderId="27" xfId="2" applyNumberFormat="1" applyFont="1" applyBorder="1" applyAlignment="1">
      <alignment horizontal="right"/>
    </xf>
    <xf numFmtId="1" fontId="0" fillId="0" borderId="1" xfId="2" applyNumberFormat="1" applyFont="1" applyBorder="1"/>
    <xf numFmtId="168" fontId="25" fillId="0" borderId="1" xfId="816" applyNumberFormat="1" applyFont="1" applyFill="1" applyBorder="1" applyAlignment="1">
      <alignment horizontal="right"/>
    </xf>
    <xf numFmtId="168" fontId="68" fillId="0" borderId="30" xfId="816" applyNumberFormat="1" applyFont="1" applyFill="1" applyBorder="1" applyAlignment="1">
      <alignment horizontal="right"/>
    </xf>
    <xf numFmtId="178" fontId="22" fillId="0" borderId="1" xfId="2" applyNumberFormat="1" applyFont="1" applyFill="1" applyBorder="1" applyAlignment="1">
      <alignment horizontal="right"/>
    </xf>
    <xf numFmtId="178" fontId="22" fillId="0" borderId="0" xfId="2" applyNumberFormat="1" applyFont="1" applyFill="1" applyBorder="1" applyAlignment="1">
      <alignment horizontal="right"/>
    </xf>
    <xf numFmtId="178" fontId="36" fillId="0" borderId="27" xfId="2" applyNumberFormat="1" applyFont="1" applyFill="1" applyBorder="1" applyAlignment="1">
      <alignment horizontal="right"/>
    </xf>
    <xf numFmtId="178" fontId="36" fillId="0" borderId="1" xfId="2" applyNumberFormat="1" applyFont="1" applyFill="1" applyBorder="1" applyAlignment="1">
      <alignment horizontal="right"/>
    </xf>
    <xf numFmtId="168" fontId="22" fillId="0" borderId="1" xfId="2" applyNumberFormat="1" applyFont="1" applyFill="1" applyBorder="1" applyAlignment="1">
      <alignment horizontal="right"/>
    </xf>
    <xf numFmtId="168" fontId="22" fillId="0" borderId="0" xfId="2" applyNumberFormat="1" applyFont="1" applyFill="1" applyBorder="1" applyAlignment="1">
      <alignment horizontal="right"/>
    </xf>
    <xf numFmtId="6" fontId="0" fillId="0" borderId="0" xfId="2" applyNumberFormat="1" applyFont="1" applyFill="1" applyBorder="1" applyAlignment="1">
      <alignment horizontal="center"/>
    </xf>
    <xf numFmtId="178" fontId="71" fillId="0" borderId="2" xfId="2" applyNumberFormat="1" applyFont="1" applyFill="1" applyBorder="1" applyAlignment="1">
      <alignment horizontal="center"/>
    </xf>
    <xf numFmtId="178" fontId="71" fillId="0" borderId="29" xfId="2" applyNumberFormat="1" applyFont="1" applyFill="1" applyBorder="1" applyAlignment="1">
      <alignment horizontal="center"/>
    </xf>
    <xf numFmtId="178" fontId="70" fillId="0" borderId="2" xfId="2" applyNumberFormat="1" applyFont="1" applyFill="1" applyBorder="1" applyAlignment="1">
      <alignment horizontal="center"/>
    </xf>
    <xf numFmtId="178" fontId="72" fillId="0" borderId="2" xfId="2" applyNumberFormat="1" applyFont="1" applyFill="1" applyBorder="1" applyAlignment="1">
      <alignment horizontal="center"/>
    </xf>
    <xf numFmtId="178" fontId="70" fillId="0" borderId="29" xfId="2" applyNumberFormat="1" applyFont="1" applyFill="1" applyBorder="1" applyAlignment="1">
      <alignment horizontal="center"/>
    </xf>
    <xf numFmtId="174" fontId="18" fillId="0" borderId="6" xfId="2" applyNumberFormat="1" applyFont="1" applyFill="1" applyBorder="1" applyAlignment="1">
      <alignment horizontal="centerContinuous"/>
    </xf>
    <xf numFmtId="0" fontId="30" fillId="0" borderId="28" xfId="322" applyNumberFormat="1" applyFont="1" applyFill="1" applyBorder="1" applyAlignment="1">
      <alignment horizontal="left"/>
    </xf>
    <xf numFmtId="176" fontId="30" fillId="0" borderId="1" xfId="322" applyNumberFormat="1" applyFont="1" applyFill="1" applyBorder="1"/>
    <xf numFmtId="176" fontId="51" fillId="0" borderId="1" xfId="322" applyNumberFormat="1" applyFont="1" applyFill="1" applyBorder="1"/>
    <xf numFmtId="0" fontId="51" fillId="0" borderId="1" xfId="2" applyNumberFormat="1" applyFont="1" applyFill="1" applyBorder="1" applyAlignment="1">
      <alignment horizontal="left" indent="1"/>
    </xf>
    <xf numFmtId="176" fontId="22" fillId="0" borderId="27" xfId="322" applyNumberFormat="1" applyFont="1" applyFill="1" applyBorder="1" applyAlignment="1"/>
    <xf numFmtId="176" fontId="22" fillId="0" borderId="1" xfId="322" applyNumberFormat="1" applyFont="1" applyFill="1" applyBorder="1" applyAlignment="1"/>
    <xf numFmtId="176" fontId="22" fillId="0" borderId="0" xfId="322" applyNumberFormat="1" applyFont="1" applyFill="1" applyBorder="1" applyAlignment="1"/>
    <xf numFmtId="176" fontId="50" fillId="0" borderId="27" xfId="322" applyNumberFormat="1" applyFont="1" applyFill="1" applyBorder="1" applyAlignment="1"/>
    <xf numFmtId="176" fontId="50" fillId="0" borderId="1" xfId="322" applyNumberFormat="1" applyFont="1" applyFill="1" applyBorder="1" applyAlignment="1"/>
    <xf numFmtId="176" fontId="50" fillId="0" borderId="0" xfId="322" applyNumberFormat="1" applyFont="1" applyFill="1" applyBorder="1" applyAlignment="1"/>
    <xf numFmtId="176" fontId="22" fillId="0" borderId="29" xfId="322" applyNumberFormat="1" applyFont="1" applyFill="1" applyBorder="1" applyAlignment="1"/>
    <xf numFmtId="176" fontId="22" fillId="0" borderId="28" xfId="322" applyNumberFormat="1" applyFont="1" applyFill="1" applyBorder="1" applyAlignment="1"/>
    <xf numFmtId="176" fontId="22" fillId="0" borderId="2" xfId="322" applyNumberFormat="1" applyFont="1" applyFill="1" applyBorder="1" applyAlignment="1"/>
    <xf numFmtId="164" fontId="22" fillId="0" borderId="2" xfId="322" applyNumberFormat="1" applyFont="1" applyFill="1" applyBorder="1" applyAlignment="1"/>
    <xf numFmtId="164" fontId="50" fillId="0" borderId="1" xfId="2" applyNumberFormat="1" applyFont="1" applyFill="1" applyBorder="1" applyAlignment="1"/>
    <xf numFmtId="167" fontId="22" fillId="0" borderId="22" xfId="2" applyNumberFormat="1" applyFont="1" applyFill="1" applyBorder="1" applyAlignment="1"/>
    <xf numFmtId="167" fontId="22" fillId="0" borderId="7" xfId="2" applyNumberFormat="1" applyFont="1" applyFill="1" applyBorder="1" applyAlignment="1"/>
    <xf numFmtId="167" fontId="22" fillId="0" borderId="26" xfId="2" applyNumberFormat="1" applyFont="1" applyFill="1" applyBorder="1" applyAlignment="1"/>
    <xf numFmtId="167" fontId="22" fillId="0" borderId="0" xfId="2" applyNumberFormat="1" applyFont="1" applyFill="1" applyBorder="1" applyAlignment="1"/>
    <xf numFmtId="164" fontId="88" fillId="0" borderId="27" xfId="2" applyNumberFormat="1" applyFont="1" applyFill="1" applyBorder="1" applyAlignment="1"/>
    <xf numFmtId="164" fontId="87" fillId="0" borderId="27" xfId="2" applyNumberFormat="1" applyFont="1" applyFill="1" applyBorder="1" applyAlignment="1"/>
    <xf numFmtId="0" fontId="30" fillId="0" borderId="0" xfId="2" applyFont="1" applyFill="1" applyBorder="1"/>
    <xf numFmtId="0" fontId="51" fillId="0" borderId="0" xfId="2" applyFont="1" applyFill="1" applyBorder="1"/>
    <xf numFmtId="168" fontId="17" fillId="0" borderId="0" xfId="816" applyNumberFormat="1" applyFont="1" applyFill="1" applyBorder="1"/>
    <xf numFmtId="0" fontId="30" fillId="0" borderId="2" xfId="2" applyFont="1" applyFill="1" applyBorder="1"/>
    <xf numFmtId="168" fontId="23" fillId="0" borderId="1" xfId="816" applyNumberFormat="1" applyFont="1" applyFill="1" applyBorder="1"/>
    <xf numFmtId="164" fontId="17" fillId="0" borderId="27" xfId="322" applyNumberFormat="1" applyFont="1" applyFill="1" applyBorder="1"/>
    <xf numFmtId="164" fontId="17" fillId="0" borderId="1" xfId="322" applyNumberFormat="1" applyFont="1" applyFill="1" applyBorder="1"/>
    <xf numFmtId="176" fontId="50" fillId="38" borderId="27" xfId="322" applyNumberFormat="1" applyFont="1" applyFill="1" applyBorder="1"/>
    <xf numFmtId="0" fontId="17" fillId="0" borderId="28" xfId="322" applyNumberFormat="1" applyFont="1" applyFill="1" applyBorder="1" applyAlignment="1">
      <alignment horizontal="left" indent="1"/>
    </xf>
    <xf numFmtId="168" fontId="26" fillId="0" borderId="1" xfId="816" applyNumberFormat="1" applyFont="1" applyFill="1" applyBorder="1" applyAlignment="1">
      <alignment horizontal="right"/>
    </xf>
    <xf numFmtId="168" fontId="26" fillId="0" borderId="1" xfId="816" applyNumberFormat="1" applyFont="1" applyBorder="1" applyAlignment="1">
      <alignment horizontal="right"/>
    </xf>
    <xf numFmtId="168" fontId="26" fillId="0" borderId="0" xfId="816" applyNumberFormat="1" applyFont="1" applyBorder="1" applyAlignment="1">
      <alignment horizontal="right"/>
    </xf>
    <xf numFmtId="168" fontId="26" fillId="0" borderId="7" xfId="816" applyNumberFormat="1" applyFont="1" applyBorder="1" applyAlignment="1">
      <alignment horizontal="right"/>
    </xf>
    <xf numFmtId="168" fontId="26" fillId="0" borderId="22" xfId="816" applyNumberFormat="1" applyFont="1" applyBorder="1" applyAlignment="1">
      <alignment horizontal="right"/>
    </xf>
    <xf numFmtId="168" fontId="26" fillId="0" borderId="26" xfId="816" applyNumberFormat="1" applyFont="1" applyBorder="1" applyAlignment="1">
      <alignment horizontal="right"/>
    </xf>
    <xf numFmtId="168" fontId="26" fillId="0" borderId="0" xfId="816" applyNumberFormat="1" applyFont="1" applyBorder="1"/>
    <xf numFmtId="178" fontId="36" fillId="0" borderId="0" xfId="2" applyNumberFormat="1" applyFont="1" applyFill="1" applyBorder="1"/>
    <xf numFmtId="178" fontId="36" fillId="0" borderId="0" xfId="2" applyNumberFormat="1" applyFont="1" applyBorder="1"/>
    <xf numFmtId="0" fontId="17" fillId="0" borderId="0" xfId="2" applyFont="1" applyFill="1" applyBorder="1" applyAlignment="1">
      <alignment horizontal="center"/>
    </xf>
    <xf numFmtId="0" fontId="17" fillId="0" borderId="1" xfId="2" applyFont="1" applyFill="1" applyBorder="1" applyAlignment="1">
      <alignment horizontal="center"/>
    </xf>
    <xf numFmtId="0" fontId="17" fillId="0" borderId="27" xfId="2" applyFont="1" applyFill="1" applyBorder="1" applyAlignment="1">
      <alignment horizontal="center"/>
    </xf>
    <xf numFmtId="0" fontId="30" fillId="0" borderId="1" xfId="2" applyNumberFormat="1" applyFont="1" applyFill="1" applyBorder="1" applyAlignment="1"/>
    <xf numFmtId="0" fontId="35" fillId="0" borderId="1" xfId="322" applyNumberFormat="1" applyFont="1" applyFill="1" applyBorder="1" applyAlignment="1"/>
    <xf numFmtId="0" fontId="17" fillId="0" borderId="1" xfId="322" applyNumberFormat="1" applyFont="1" applyFill="1" applyBorder="1" applyAlignment="1"/>
    <xf numFmtId="0" fontId="51" fillId="0" borderId="1" xfId="322" applyNumberFormat="1" applyFont="1" applyFill="1" applyBorder="1" applyAlignment="1"/>
    <xf numFmtId="0" fontId="30" fillId="0" borderId="1" xfId="322" applyNumberFormat="1" applyFont="1" applyFill="1" applyBorder="1" applyAlignment="1"/>
    <xf numFmtId="176" fontId="30" fillId="0" borderId="0" xfId="322" applyNumberFormat="1" applyFont="1" applyFill="1" applyBorder="1"/>
    <xf numFmtId="0" fontId="35" fillId="0" borderId="1" xfId="322" applyNumberFormat="1" applyFont="1" applyFill="1" applyBorder="1" applyAlignment="1">
      <alignment horizontal="left" indent="1"/>
    </xf>
    <xf numFmtId="0" fontId="89" fillId="0" borderId="1" xfId="2" applyNumberFormat="1" applyFont="1" applyFill="1" applyBorder="1" applyAlignment="1"/>
    <xf numFmtId="176" fontId="17" fillId="0" borderId="1" xfId="2" applyNumberFormat="1" applyFont="1" applyFill="1" applyBorder="1"/>
    <xf numFmtId="176" fontId="17" fillId="0" borderId="0" xfId="2" applyNumberFormat="1" applyFont="1" applyFill="1" applyBorder="1"/>
    <xf numFmtId="176" fontId="17" fillId="0" borderId="27" xfId="2" applyNumberFormat="1" applyFont="1" applyFill="1" applyBorder="1"/>
    <xf numFmtId="176" fontId="17" fillId="0" borderId="0" xfId="2" applyNumberFormat="1" applyFont="1" applyFill="1" applyBorder="1" applyAlignment="1">
      <alignment horizontal="center"/>
    </xf>
    <xf numFmtId="176" fontId="17" fillId="0" borderId="1" xfId="2" applyNumberFormat="1" applyFont="1" applyFill="1" applyBorder="1" applyAlignment="1">
      <alignment horizontal="center"/>
    </xf>
    <xf numFmtId="176" fontId="17" fillId="0" borderId="27" xfId="2" applyNumberFormat="1" applyFont="1" applyFill="1" applyBorder="1" applyAlignment="1">
      <alignment horizontal="center"/>
    </xf>
    <xf numFmtId="176" fontId="17" fillId="0" borderId="1" xfId="2" applyNumberFormat="1" applyFont="1" applyBorder="1"/>
    <xf numFmtId="176" fontId="17" fillId="0" borderId="0" xfId="2" applyNumberFormat="1" applyFont="1" applyBorder="1"/>
    <xf numFmtId="176" fontId="17" fillId="0" borderId="27" xfId="2" applyNumberFormat="1" applyFont="1" applyBorder="1"/>
    <xf numFmtId="0" fontId="51" fillId="0" borderId="1" xfId="322" applyNumberFormat="1" applyFont="1" applyFill="1" applyBorder="1" applyAlignment="1">
      <alignment horizontal="left"/>
    </xf>
    <xf numFmtId="176" fontId="51" fillId="0" borderId="27" xfId="322" applyNumberFormat="1" applyFont="1" applyFill="1" applyBorder="1" applyAlignment="1">
      <alignment horizontal="left" indent="1"/>
    </xf>
    <xf numFmtId="0" fontId="17" fillId="0" borderId="1" xfId="2" applyNumberFormat="1" applyFont="1" applyBorder="1"/>
    <xf numFmtId="0" fontId="30" fillId="0" borderId="1" xfId="2" applyNumberFormat="1" applyFont="1" applyBorder="1"/>
    <xf numFmtId="0" fontId="35" fillId="0" borderId="1" xfId="322" applyNumberFormat="1" applyFont="1" applyBorder="1"/>
    <xf numFmtId="0" fontId="51" fillId="0" borderId="1" xfId="322" applyNumberFormat="1" applyFont="1" applyBorder="1"/>
    <xf numFmtId="0" fontId="30" fillId="0" borderId="28" xfId="322" applyNumberFormat="1" applyFont="1" applyBorder="1"/>
    <xf numFmtId="176" fontId="30" fillId="0" borderId="2" xfId="322" applyNumberFormat="1" applyFont="1" applyBorder="1"/>
    <xf numFmtId="176" fontId="30" fillId="0" borderId="28" xfId="322" applyNumberFormat="1" applyFont="1" applyFill="1" applyBorder="1"/>
    <xf numFmtId="176" fontId="30" fillId="0" borderId="2" xfId="322" applyNumberFormat="1" applyFont="1" applyFill="1" applyBorder="1"/>
    <xf numFmtId="176" fontId="30" fillId="0" borderId="29" xfId="322" applyNumberFormat="1" applyFont="1" applyFill="1" applyBorder="1"/>
    <xf numFmtId="176" fontId="18" fillId="0" borderId="1" xfId="322" applyNumberFormat="1" applyFont="1" applyFill="1" applyBorder="1"/>
    <xf numFmtId="176" fontId="18" fillId="0" borderId="0" xfId="322" applyNumberFormat="1" applyFont="1" applyFill="1" applyBorder="1"/>
    <xf numFmtId="176" fontId="18" fillId="0" borderId="27" xfId="322" applyNumberFormat="1" applyFont="1" applyFill="1" applyBorder="1"/>
    <xf numFmtId="176" fontId="18" fillId="0" borderId="0" xfId="322" applyNumberFormat="1" applyFont="1" applyFill="1" applyBorder="1" applyAlignment="1">
      <alignment horizontal="center"/>
    </xf>
    <xf numFmtId="176" fontId="18" fillId="0" borderId="1" xfId="322" applyNumberFormat="1" applyFont="1" applyFill="1" applyBorder="1" applyAlignment="1">
      <alignment horizontal="center"/>
    </xf>
    <xf numFmtId="176" fontId="18" fillId="0" borderId="27" xfId="322" applyNumberFormat="1" applyFont="1" applyFill="1" applyBorder="1" applyAlignment="1">
      <alignment horizontal="center"/>
    </xf>
    <xf numFmtId="176" fontId="18" fillId="0" borderId="1" xfId="322" applyNumberFormat="1" applyFont="1" applyBorder="1"/>
    <xf numFmtId="176" fontId="18" fillId="0" borderId="0" xfId="322" applyNumberFormat="1" applyFont="1" applyBorder="1"/>
    <xf numFmtId="176" fontId="18" fillId="0" borderId="27" xfId="322" applyNumberFormat="1" applyFont="1" applyBorder="1"/>
    <xf numFmtId="176" fontId="18" fillId="0" borderId="28" xfId="322" applyNumberFormat="1" applyFont="1" applyFill="1" applyBorder="1"/>
    <xf numFmtId="176" fontId="18" fillId="0" borderId="2" xfId="322" applyNumberFormat="1" applyFont="1" applyFill="1" applyBorder="1"/>
    <xf numFmtId="176" fontId="18" fillId="0" borderId="29" xfId="322" applyNumberFormat="1" applyFont="1" applyFill="1" applyBorder="1"/>
    <xf numFmtId="178" fontId="35" fillId="0" borderId="27" xfId="2" applyNumberFormat="1" applyFont="1" applyBorder="1"/>
    <xf numFmtId="0" fontId="35" fillId="0" borderId="0" xfId="2" applyFont="1" applyBorder="1"/>
    <xf numFmtId="0" fontId="35" fillId="0" borderId="27" xfId="2" applyFont="1" applyBorder="1"/>
    <xf numFmtId="178" fontId="30" fillId="0" borderId="7" xfId="2" applyNumberFormat="1" applyFont="1" applyFill="1" applyBorder="1"/>
    <xf numFmtId="178" fontId="35" fillId="0" borderId="1" xfId="2" applyNumberFormat="1" applyFont="1" applyBorder="1"/>
    <xf numFmtId="178" fontId="30" fillId="0" borderId="30" xfId="2" applyNumberFormat="1" applyFont="1" applyBorder="1"/>
    <xf numFmtId="178" fontId="30" fillId="0" borderId="31" xfId="2" applyNumberFormat="1" applyFont="1" applyBorder="1"/>
    <xf numFmtId="7" fontId="35" fillId="0" borderId="1" xfId="2" applyNumberFormat="1" applyFont="1" applyBorder="1"/>
    <xf numFmtId="7" fontId="35" fillId="0" borderId="27" xfId="2" applyNumberFormat="1" applyFont="1" applyBorder="1"/>
    <xf numFmtId="7" fontId="30" fillId="0" borderId="30" xfId="2" applyNumberFormat="1" applyFont="1" applyBorder="1"/>
    <xf numFmtId="7" fontId="30" fillId="0" borderId="31" xfId="2" applyNumberFormat="1" applyFont="1" applyBorder="1"/>
    <xf numFmtId="168" fontId="19" fillId="0" borderId="7" xfId="816" applyNumberFormat="1" applyFont="1" applyBorder="1"/>
    <xf numFmtId="168" fontId="19" fillId="0" borderId="26" xfId="816" applyNumberFormat="1" applyFont="1" applyBorder="1"/>
    <xf numFmtId="178" fontId="36" fillId="0" borderId="1" xfId="2" applyNumberFormat="1" applyFont="1" applyBorder="1"/>
    <xf numFmtId="178" fontId="36" fillId="0" borderId="27" xfId="2" applyNumberFormat="1" applyFont="1" applyBorder="1"/>
    <xf numFmtId="178" fontId="70" fillId="0" borderId="28" xfId="2" applyNumberFormat="1" applyFont="1" applyBorder="1" applyAlignment="1">
      <alignment horizontal="center"/>
    </xf>
    <xf numFmtId="178" fontId="70" fillId="0" borderId="29" xfId="2" applyNumberFormat="1" applyFont="1" applyBorder="1" applyAlignment="1">
      <alignment horizontal="center"/>
    </xf>
    <xf numFmtId="168" fontId="19" fillId="0" borderId="1" xfId="816" applyNumberFormat="1" applyFont="1" applyBorder="1"/>
    <xf numFmtId="168" fontId="63" fillId="0" borderId="30" xfId="816" applyNumberFormat="1" applyFont="1" applyBorder="1"/>
    <xf numFmtId="168" fontId="63" fillId="0" borderId="31" xfId="816" applyNumberFormat="1" applyFont="1" applyBorder="1"/>
    <xf numFmtId="174" fontId="18" fillId="0" borderId="31" xfId="2" applyNumberFormat="1" applyFont="1" applyBorder="1" applyAlignment="1">
      <alignment horizontal="center"/>
    </xf>
    <xf numFmtId="178" fontId="17" fillId="0" borderId="7" xfId="2" applyNumberFormat="1" applyFont="1" applyBorder="1"/>
    <xf numFmtId="178" fontId="17" fillId="0" borderId="26" xfId="2" applyNumberFormat="1" applyFont="1" applyBorder="1"/>
    <xf numFmtId="178" fontId="17" fillId="0" borderId="1" xfId="2" applyNumberFormat="1" applyFont="1" applyBorder="1"/>
    <xf numFmtId="178" fontId="17" fillId="0" borderId="28" xfId="2" applyNumberFormat="1" applyFont="1" applyBorder="1"/>
    <xf numFmtId="164" fontId="30" fillId="0" borderId="30" xfId="2" applyNumberFormat="1" applyFont="1" applyBorder="1"/>
    <xf numFmtId="0" fontId="66" fillId="0" borderId="26" xfId="2" applyFont="1" applyBorder="1"/>
    <xf numFmtId="178" fontId="17" fillId="0" borderId="7" xfId="2" applyNumberFormat="1" applyFont="1" applyBorder="1" applyAlignment="1">
      <alignment horizontal="right"/>
    </xf>
    <xf numFmtId="178" fontId="17" fillId="0" borderId="22" xfId="2" applyNumberFormat="1" applyFont="1" applyBorder="1" applyAlignment="1">
      <alignment horizontal="right"/>
    </xf>
    <xf numFmtId="178" fontId="17" fillId="0" borderId="26" xfId="2" applyNumberFormat="1" applyFont="1" applyBorder="1" applyAlignment="1">
      <alignment horizontal="right"/>
    </xf>
    <xf numFmtId="6" fontId="66" fillId="0" borderId="26" xfId="2" applyNumberFormat="1" applyFont="1" applyBorder="1" applyAlignment="1">
      <alignment horizontal="center"/>
    </xf>
    <xf numFmtId="6" fontId="66" fillId="0" borderId="7" xfId="2" applyNumberFormat="1" applyFont="1" applyBorder="1" applyAlignment="1">
      <alignment horizontal="center"/>
    </xf>
    <xf numFmtId="6" fontId="66" fillId="0" borderId="22" xfId="2" applyNumberFormat="1" applyFont="1" applyBorder="1" applyAlignment="1">
      <alignment horizontal="center"/>
    </xf>
    <xf numFmtId="0" fontId="66" fillId="0" borderId="32" xfId="2" applyFont="1" applyBorder="1"/>
    <xf numFmtId="0" fontId="66" fillId="0" borderId="1" xfId="2" applyFont="1" applyBorder="1"/>
    <xf numFmtId="0" fontId="66" fillId="0" borderId="27" xfId="2" applyFont="1" applyBorder="1"/>
    <xf numFmtId="178" fontId="17" fillId="0" borderId="1" xfId="2" applyNumberFormat="1" applyFont="1" applyBorder="1" applyAlignment="1">
      <alignment horizontal="right"/>
    </xf>
    <xf numFmtId="178" fontId="17" fillId="0" borderId="0" xfId="2" applyNumberFormat="1" applyFont="1" applyBorder="1" applyAlignment="1">
      <alignment horizontal="right"/>
    </xf>
    <xf numFmtId="178" fontId="17" fillId="0" borderId="27" xfId="2" applyNumberFormat="1" applyFont="1" applyBorder="1" applyAlignment="1">
      <alignment horizontal="right"/>
    </xf>
    <xf numFmtId="6" fontId="66" fillId="0" borderId="27" xfId="2" applyNumberFormat="1" applyFont="1" applyBorder="1" applyAlignment="1">
      <alignment horizontal="center"/>
    </xf>
    <xf numFmtId="6" fontId="66" fillId="0" borderId="1" xfId="2" applyNumberFormat="1" applyFont="1" applyBorder="1" applyAlignment="1">
      <alignment horizontal="center"/>
    </xf>
    <xf numFmtId="6" fontId="66" fillId="0" borderId="0" xfId="2" applyNumberFormat="1" applyFont="1" applyBorder="1" applyAlignment="1">
      <alignment horizontal="center"/>
    </xf>
    <xf numFmtId="168" fontId="26" fillId="0" borderId="22" xfId="816" applyNumberFormat="1" applyFont="1" applyBorder="1"/>
    <xf numFmtId="168" fontId="25" fillId="0" borderId="1" xfId="816" applyNumberFormat="1" applyFont="1" applyBorder="1"/>
    <xf numFmtId="9" fontId="36" fillId="42" borderId="0" xfId="816" applyFont="1" applyFill="1" applyBorder="1"/>
    <xf numFmtId="9" fontId="35" fillId="0" borderId="0" xfId="816" applyFont="1" applyFill="1" applyBorder="1"/>
    <xf numFmtId="9" fontId="35" fillId="0" borderId="27" xfId="816" applyFont="1" applyFill="1" applyBorder="1"/>
    <xf numFmtId="176" fontId="22" fillId="38" borderId="27" xfId="322" applyNumberFormat="1" applyFont="1" applyFill="1" applyBorder="1"/>
    <xf numFmtId="0" fontId="35" fillId="0" borderId="0" xfId="2" applyFont="1" applyFill="1"/>
    <xf numFmtId="9" fontId="17" fillId="0" borderId="0" xfId="816" applyFont="1" applyFill="1"/>
    <xf numFmtId="9" fontId="51" fillId="0" borderId="0" xfId="816" applyFont="1" applyFill="1"/>
    <xf numFmtId="176" fontId="36" fillId="0" borderId="0" xfId="322" applyNumberFormat="1" applyFont="1" applyFill="1"/>
    <xf numFmtId="176" fontId="17" fillId="38" borderId="0" xfId="816" applyNumberFormat="1" applyFont="1" applyFill="1" applyBorder="1"/>
    <xf numFmtId="176" fontId="17" fillId="38" borderId="27" xfId="322" applyNumberFormat="1" applyFont="1" applyFill="1" applyBorder="1"/>
    <xf numFmtId="176" fontId="17" fillId="38" borderId="0" xfId="322" applyNumberFormat="1" applyFont="1" applyFill="1" applyBorder="1"/>
    <xf numFmtId="168" fontId="25" fillId="0" borderId="0" xfId="816" applyNumberFormat="1" applyFont="1" applyFill="1"/>
    <xf numFmtId="168" fontId="25" fillId="38" borderId="1" xfId="816" applyNumberFormat="1" applyFont="1" applyFill="1" applyBorder="1"/>
    <xf numFmtId="168" fontId="25" fillId="0" borderId="32" xfId="816" applyNumberFormat="1" applyFont="1" applyBorder="1"/>
    <xf numFmtId="168" fontId="37" fillId="38" borderId="1" xfId="816" applyNumberFormat="1" applyFont="1" applyFill="1" applyBorder="1"/>
    <xf numFmtId="168" fontId="37" fillId="38" borderId="0" xfId="816" applyNumberFormat="1" applyFont="1" applyFill="1" applyBorder="1"/>
    <xf numFmtId="168" fontId="37" fillId="38" borderId="27" xfId="816" applyNumberFormat="1" applyFont="1" applyFill="1" applyBorder="1"/>
    <xf numFmtId="0" fontId="25" fillId="0" borderId="1" xfId="816" applyNumberFormat="1" applyFont="1" applyFill="1" applyBorder="1"/>
    <xf numFmtId="168" fontId="26" fillId="38" borderId="27" xfId="816" applyNumberFormat="1" applyFont="1" applyFill="1" applyBorder="1"/>
    <xf numFmtId="168" fontId="26" fillId="38" borderId="0" xfId="816" applyNumberFormat="1" applyFont="1" applyFill="1" applyBorder="1"/>
    <xf numFmtId="168" fontId="26" fillId="38" borderId="1" xfId="816" applyNumberFormat="1" applyFont="1" applyFill="1" applyBorder="1"/>
    <xf numFmtId="168" fontId="26" fillId="42" borderId="27" xfId="816" applyNumberFormat="1" applyFont="1" applyFill="1" applyBorder="1"/>
    <xf numFmtId="0" fontId="35" fillId="0" borderId="1" xfId="322" applyNumberFormat="1" applyFont="1" applyFill="1" applyBorder="1"/>
    <xf numFmtId="0" fontId="79" fillId="0" borderId="1" xfId="322" applyNumberFormat="1" applyFont="1" applyFill="1" applyBorder="1" applyAlignment="1"/>
    <xf numFmtId="176" fontId="24" fillId="0" borderId="27" xfId="322" applyNumberFormat="1" applyFont="1" applyFill="1" applyBorder="1" applyAlignment="1"/>
    <xf numFmtId="176" fontId="90" fillId="0" borderId="27" xfId="322" applyNumberFormat="1" applyFont="1" applyFill="1" applyBorder="1" applyAlignment="1"/>
    <xf numFmtId="164" fontId="18" fillId="43" borderId="27" xfId="2" applyNumberFormat="1" applyFont="1" applyFill="1" applyBorder="1" applyAlignment="1"/>
    <xf numFmtId="204" fontId="12" fillId="0" borderId="0" xfId="2" applyNumberFormat="1" applyFont="1"/>
    <xf numFmtId="10" fontId="0" fillId="0" borderId="0" xfId="816" applyNumberFormat="1" applyFont="1"/>
    <xf numFmtId="168" fontId="22" fillId="0" borderId="1" xfId="816" applyNumberFormat="1" applyFont="1" applyFill="1" applyBorder="1" applyAlignment="1"/>
    <xf numFmtId="9" fontId="17" fillId="0" borderId="1" xfId="816" applyFont="1" applyFill="1" applyBorder="1" applyAlignment="1"/>
    <xf numFmtId="204" fontId="0" fillId="0" borderId="0" xfId="2" applyNumberFormat="1" applyFont="1"/>
    <xf numFmtId="178" fontId="30" fillId="0" borderId="30" xfId="2" applyNumberFormat="1" applyFont="1" applyFill="1" applyBorder="1" applyAlignment="1">
      <alignment horizontal="right"/>
    </xf>
    <xf numFmtId="178" fontId="30" fillId="0" borderId="6" xfId="2" applyNumberFormat="1" applyFont="1" applyFill="1" applyBorder="1" applyAlignment="1">
      <alignment horizontal="right"/>
    </xf>
    <xf numFmtId="178" fontId="30" fillId="0" borderId="31" xfId="2" applyNumberFormat="1" applyFont="1" applyFill="1" applyBorder="1" applyAlignment="1">
      <alignment horizontal="right"/>
    </xf>
    <xf numFmtId="168" fontId="26" fillId="0" borderId="0" xfId="816" applyNumberFormat="1" applyFont="1" applyFill="1" applyBorder="1" applyAlignment="1">
      <alignment horizontal="right"/>
    </xf>
    <xf numFmtId="168" fontId="25" fillId="0" borderId="27" xfId="816" applyNumberFormat="1" applyFont="1" applyFill="1" applyBorder="1" applyAlignment="1">
      <alignment horizontal="right"/>
    </xf>
    <xf numFmtId="168" fontId="25" fillId="0" borderId="0" xfId="816" applyNumberFormat="1" applyFont="1" applyFill="1" applyBorder="1" applyAlignment="1">
      <alignment horizontal="right"/>
    </xf>
    <xf numFmtId="168" fontId="68" fillId="0" borderId="6" xfId="816" applyNumberFormat="1" applyFont="1" applyFill="1" applyBorder="1" applyAlignment="1">
      <alignment horizontal="right"/>
    </xf>
    <xf numFmtId="168" fontId="68" fillId="0" borderId="31" xfId="816" applyNumberFormat="1" applyFont="1" applyFill="1" applyBorder="1" applyAlignment="1">
      <alignment horizontal="right"/>
    </xf>
    <xf numFmtId="168" fontId="22" fillId="42" borderId="0" xfId="816" applyNumberFormat="1" applyFont="1" applyFill="1" applyBorder="1"/>
    <xf numFmtId="164" fontId="90" fillId="0" borderId="27" xfId="2" applyNumberFormat="1" applyFont="1" applyFill="1" applyBorder="1" applyAlignment="1"/>
    <xf numFmtId="176" fontId="91" fillId="0" borderId="27" xfId="322" applyNumberFormat="1" applyFont="1" applyFill="1" applyBorder="1" applyAlignment="1"/>
    <xf numFmtId="176" fontId="92" fillId="0" borderId="27" xfId="322" applyNumberFormat="1" applyFont="1" applyFill="1" applyBorder="1" applyAlignment="1"/>
    <xf numFmtId="1" fontId="30" fillId="0" borderId="32" xfId="2" applyNumberFormat="1" applyFont="1" applyFill="1" applyBorder="1" applyAlignment="1">
      <alignment horizontal="right"/>
    </xf>
    <xf numFmtId="176" fontId="17" fillId="0" borderId="32" xfId="322" applyNumberFormat="1" applyFont="1" applyFill="1" applyBorder="1"/>
    <xf numFmtId="176" fontId="51" fillId="0" borderId="32" xfId="322" applyNumberFormat="1" applyFont="1" applyFill="1" applyBorder="1"/>
    <xf numFmtId="168" fontId="25" fillId="0" borderId="32" xfId="816" applyNumberFormat="1" applyFont="1" applyFill="1" applyBorder="1"/>
    <xf numFmtId="43" fontId="30" fillId="0" borderId="32" xfId="322" applyNumberFormat="1" applyFont="1" applyFill="1" applyBorder="1"/>
    <xf numFmtId="168" fontId="17" fillId="0" borderId="32" xfId="816" applyNumberFormat="1" applyFont="1" applyBorder="1"/>
    <xf numFmtId="168" fontId="17" fillId="0" borderId="1" xfId="816" applyNumberFormat="1" applyFont="1" applyBorder="1"/>
    <xf numFmtId="176" fontId="22" fillId="0" borderId="26" xfId="322" applyNumberFormat="1" applyFont="1" applyFill="1" applyBorder="1"/>
    <xf numFmtId="176" fontId="22" fillId="0" borderId="29" xfId="322" applyNumberFormat="1" applyFont="1" applyFill="1" applyBorder="1"/>
    <xf numFmtId="176" fontId="28" fillId="0" borderId="1" xfId="322" applyNumberFormat="1" applyFont="1" applyFill="1" applyBorder="1"/>
    <xf numFmtId="0" fontId="12" fillId="0" borderId="27" xfId="2" applyFont="1" applyBorder="1"/>
    <xf numFmtId="178" fontId="22" fillId="0" borderId="7" xfId="2" applyNumberFormat="1" applyFont="1" applyFill="1" applyBorder="1" applyAlignment="1">
      <alignment horizontal="right"/>
    </xf>
    <xf numFmtId="178" fontId="22" fillId="0" borderId="22" xfId="2" applyNumberFormat="1" applyFont="1" applyFill="1" applyBorder="1" applyAlignment="1">
      <alignment horizontal="right"/>
    </xf>
    <xf numFmtId="178" fontId="24" fillId="0" borderId="27" xfId="2" applyNumberFormat="1" applyFont="1" applyFill="1" applyBorder="1" applyAlignment="1">
      <alignment horizontal="right"/>
    </xf>
    <xf numFmtId="178" fontId="24" fillId="0" borderId="26" xfId="2" applyNumberFormat="1" applyFont="1" applyFill="1" applyBorder="1" applyAlignment="1">
      <alignment horizontal="right"/>
    </xf>
    <xf numFmtId="174" fontId="22" fillId="0" borderId="22" xfId="2" applyNumberFormat="1" applyFont="1" applyFill="1" applyBorder="1"/>
    <xf numFmtId="176" fontId="25" fillId="0" borderId="1" xfId="322" applyNumberFormat="1" applyFont="1" applyFill="1" applyBorder="1" applyAlignment="1"/>
    <xf numFmtId="176" fontId="25" fillId="0" borderId="0" xfId="322" applyNumberFormat="1" applyFont="1" applyFill="1" applyBorder="1" applyAlignment="1"/>
    <xf numFmtId="176" fontId="25" fillId="0" borderId="27" xfId="322" applyNumberFormat="1" applyFont="1" applyFill="1" applyBorder="1" applyAlignment="1"/>
    <xf numFmtId="176" fontId="25" fillId="0" borderId="32" xfId="322" applyNumberFormat="1" applyFont="1" applyFill="1" applyBorder="1"/>
    <xf numFmtId="176" fontId="25" fillId="0" borderId="1" xfId="322" applyNumberFormat="1" applyFont="1" applyFill="1" applyBorder="1"/>
    <xf numFmtId="168" fontId="22" fillId="0" borderId="0" xfId="2" applyNumberFormat="1" applyFont="1"/>
    <xf numFmtId="168" fontId="22" fillId="0" borderId="0" xfId="816" applyNumberFormat="1" applyFont="1" applyFill="1" applyBorder="1"/>
    <xf numFmtId="168" fontId="22" fillId="0" borderId="27" xfId="816" applyNumberFormat="1" applyFont="1" applyFill="1" applyBorder="1"/>
    <xf numFmtId="168" fontId="17" fillId="38" borderId="2" xfId="816" applyNumberFormat="1" applyFont="1" applyFill="1" applyBorder="1"/>
    <xf numFmtId="168" fontId="93" fillId="38" borderId="2" xfId="816" applyNumberFormat="1" applyFont="1" applyFill="1" applyBorder="1"/>
    <xf numFmtId="168" fontId="93" fillId="38" borderId="29" xfId="816" applyNumberFormat="1" applyFont="1" applyFill="1" applyBorder="1"/>
    <xf numFmtId="168" fontId="17" fillId="38" borderId="28" xfId="816" applyNumberFormat="1" applyFont="1" applyFill="1" applyBorder="1"/>
    <xf numFmtId="164" fontId="32" fillId="38" borderId="26" xfId="795" applyNumberFormat="1" applyFont="1" applyFill="1" applyBorder="1"/>
    <xf numFmtId="168" fontId="17" fillId="38" borderId="29" xfId="816" applyNumberFormat="1" applyFont="1" applyFill="1" applyBorder="1"/>
    <xf numFmtId="0" fontId="51" fillId="0" borderId="0" xfId="2" applyFont="1" applyBorder="1"/>
    <xf numFmtId="1" fontId="18" fillId="0" borderId="0" xfId="796" applyNumberFormat="1" applyFont="1" applyFill="1" applyBorder="1" applyAlignment="1">
      <alignment horizontal="right"/>
    </xf>
    <xf numFmtId="0" fontId="35" fillId="0" borderId="1" xfId="2" applyFont="1" applyFill="1" applyBorder="1" applyAlignment="1">
      <alignment horizontal="left"/>
    </xf>
    <xf numFmtId="0" fontId="79" fillId="0" borderId="1" xfId="2" applyFont="1" applyFill="1" applyBorder="1" applyAlignment="1">
      <alignment horizontal="left"/>
    </xf>
    <xf numFmtId="0" fontId="35" fillId="0" borderId="0" xfId="2" applyFont="1" applyFill="1" applyBorder="1"/>
    <xf numFmtId="0" fontId="35" fillId="0" borderId="0" xfId="2" applyFont="1" applyFill="1" applyBorder="1" applyAlignment="1">
      <alignment horizontal="left"/>
    </xf>
    <xf numFmtId="0" fontId="79" fillId="0" borderId="0" xfId="2" applyFont="1" applyFill="1" applyBorder="1"/>
    <xf numFmtId="0" fontId="79" fillId="0" borderId="0" xfId="2" applyFont="1" applyFill="1" applyBorder="1" applyAlignment="1">
      <alignment horizontal="left"/>
    </xf>
    <xf numFmtId="0" fontId="30" fillId="0" borderId="0" xfId="2" applyFont="1" applyFill="1" applyBorder="1" applyAlignment="1">
      <alignment horizontal="left"/>
    </xf>
    <xf numFmtId="0" fontId="51" fillId="0" borderId="1" xfId="2" applyNumberFormat="1" applyFont="1" applyBorder="1"/>
    <xf numFmtId="0" fontId="30" fillId="0" borderId="28" xfId="2" applyNumberFormat="1" applyFont="1" applyBorder="1"/>
    <xf numFmtId="0" fontId="30" fillId="0" borderId="2" xfId="2" applyFont="1" applyBorder="1"/>
    <xf numFmtId="0" fontId="17" fillId="0" borderId="7" xfId="2" applyFont="1" applyBorder="1"/>
    <xf numFmtId="0" fontId="18" fillId="0" borderId="7" xfId="2" applyFont="1" applyFill="1" applyBorder="1" applyAlignment="1">
      <alignment horizontal="left"/>
    </xf>
    <xf numFmtId="1" fontId="18" fillId="0" borderId="26" xfId="796" applyNumberFormat="1" applyFont="1" applyFill="1" applyBorder="1" applyAlignment="1">
      <alignment horizontal="right"/>
    </xf>
    <xf numFmtId="1" fontId="18" fillId="0" borderId="27" xfId="796" applyNumberFormat="1" applyFont="1" applyFill="1" applyBorder="1" applyAlignment="1">
      <alignment horizontal="right"/>
    </xf>
    <xf numFmtId="1" fontId="20" fillId="0" borderId="7" xfId="796" applyNumberFormat="1" applyFont="1" applyFill="1" applyBorder="1" applyAlignment="1">
      <alignment horizontal="right"/>
    </xf>
    <xf numFmtId="1" fontId="20" fillId="0" borderId="26" xfId="796" applyNumberFormat="1" applyFont="1" applyFill="1" applyBorder="1" applyAlignment="1">
      <alignment horizontal="right"/>
    </xf>
    <xf numFmtId="176" fontId="35" fillId="0" borderId="27" xfId="322" applyNumberFormat="1" applyFont="1" applyFill="1" applyBorder="1" applyAlignment="1">
      <alignment horizontal="right"/>
    </xf>
    <xf numFmtId="176" fontId="35" fillId="0" borderId="1" xfId="322" applyNumberFormat="1" applyFont="1" applyFill="1" applyBorder="1" applyAlignment="1">
      <alignment horizontal="right"/>
    </xf>
    <xf numFmtId="176" fontId="30" fillId="0" borderId="0" xfId="322" applyNumberFormat="1" applyFont="1" applyFill="1" applyBorder="1" applyAlignment="1">
      <alignment horizontal="right"/>
    </xf>
    <xf numFmtId="176" fontId="30" fillId="0" borderId="27" xfId="322" applyNumberFormat="1" applyFont="1" applyFill="1" applyBorder="1" applyAlignment="1">
      <alignment horizontal="right"/>
    </xf>
    <xf numFmtId="176" fontId="38" fillId="0" borderId="1" xfId="322" applyNumberFormat="1" applyFont="1" applyFill="1" applyBorder="1" applyAlignment="1">
      <alignment horizontal="right"/>
    </xf>
    <xf numFmtId="176" fontId="38" fillId="0" borderId="0" xfId="322" applyNumberFormat="1" applyFont="1" applyFill="1" applyBorder="1" applyAlignment="1">
      <alignment horizontal="right"/>
    </xf>
    <xf numFmtId="176" fontId="38" fillId="0" borderId="27" xfId="322" applyNumberFormat="1" applyFont="1" applyFill="1" applyBorder="1" applyAlignment="1">
      <alignment horizontal="right"/>
    </xf>
    <xf numFmtId="176" fontId="30" fillId="0" borderId="32" xfId="322" applyNumberFormat="1" applyFont="1" applyFill="1" applyBorder="1"/>
    <xf numFmtId="178" fontId="30" fillId="0" borderId="28" xfId="2" applyNumberFormat="1" applyFont="1" applyBorder="1" applyAlignment="1">
      <alignment horizontal="right"/>
    </xf>
    <xf numFmtId="178" fontId="22" fillId="0" borderId="28" xfId="2" applyNumberFormat="1" applyFont="1" applyBorder="1" applyAlignment="1">
      <alignment horizontal="right"/>
    </xf>
    <xf numFmtId="0" fontId="68" fillId="0" borderId="26" xfId="2" applyFont="1" applyBorder="1" applyAlignment="1">
      <alignment horizontal="left" indent="1"/>
    </xf>
    <xf numFmtId="178" fontId="84" fillId="0" borderId="7" xfId="2" applyNumberFormat="1" applyFont="1" applyFill="1" applyBorder="1"/>
    <xf numFmtId="178" fontId="84" fillId="0" borderId="26" xfId="2" applyNumberFormat="1" applyFont="1" applyFill="1" applyBorder="1"/>
    <xf numFmtId="10" fontId="22" fillId="0" borderId="0" xfId="816" applyNumberFormat="1" applyFont="1" applyFill="1" applyBorder="1" applyAlignment="1"/>
    <xf numFmtId="0" fontId="17" fillId="41" borderId="7" xfId="2" applyFont="1" applyFill="1" applyBorder="1"/>
    <xf numFmtId="0" fontId="17" fillId="41" borderId="22" xfId="2" applyFont="1" applyFill="1" applyBorder="1"/>
    <xf numFmtId="0" fontId="17" fillId="41" borderId="26" xfId="2" applyFont="1" applyFill="1" applyBorder="1"/>
    <xf numFmtId="168" fontId="17" fillId="0" borderId="1" xfId="816" applyNumberFormat="1" applyFont="1" applyFill="1" applyBorder="1" applyAlignment="1"/>
    <xf numFmtId="168" fontId="17" fillId="0" borderId="27" xfId="816" applyNumberFormat="1" applyFont="1" applyFill="1" applyBorder="1" applyAlignment="1"/>
    <xf numFmtId="173" fontId="18" fillId="0" borderId="0" xfId="2" applyNumberFormat="1" applyFont="1" applyFill="1" applyBorder="1"/>
    <xf numFmtId="1" fontId="18" fillId="28" borderId="6" xfId="2" applyNumberFormat="1" applyFont="1" applyFill="1" applyBorder="1" applyAlignment="1">
      <alignment horizontal="right"/>
    </xf>
    <xf numFmtId="176" fontId="17" fillId="0" borderId="26" xfId="322" applyNumberFormat="1" applyFont="1" applyFill="1" applyBorder="1" applyAlignment="1"/>
    <xf numFmtId="168" fontId="12" fillId="0" borderId="0" xfId="816" applyNumberFormat="1" applyFont="1"/>
    <xf numFmtId="1" fontId="18" fillId="26" borderId="30" xfId="797" applyNumberFormat="1" applyFont="1" applyFill="1" applyBorder="1" applyAlignment="1">
      <alignment horizontal="right"/>
    </xf>
    <xf numFmtId="176" fontId="81" fillId="0" borderId="0" xfId="322" applyNumberFormat="1" applyFont="1" applyFill="1" applyBorder="1" applyAlignment="1">
      <alignment horizontal="right"/>
    </xf>
    <xf numFmtId="0" fontId="17" fillId="0" borderId="22" xfId="2" applyFont="1" applyBorder="1"/>
    <xf numFmtId="1" fontId="20" fillId="0" borderId="6" xfId="796" applyNumberFormat="1" applyFont="1" applyFill="1" applyBorder="1" applyAlignment="1">
      <alignment horizontal="right"/>
    </xf>
    <xf numFmtId="0" fontId="0" fillId="0" borderId="0" xfId="0" applyBorder="1"/>
    <xf numFmtId="178" fontId="22" fillId="0" borderId="2" xfId="2" applyNumberFormat="1" applyFont="1" applyBorder="1" applyAlignment="1">
      <alignment horizontal="right"/>
    </xf>
    <xf numFmtId="174" fontId="18" fillId="38" borderId="6" xfId="2" applyNumberFormat="1" applyFont="1" applyFill="1" applyBorder="1" applyAlignment="1">
      <alignment horizontal="center"/>
    </xf>
    <xf numFmtId="168" fontId="22" fillId="0" borderId="1" xfId="816" applyNumberFormat="1" applyFont="1" applyFill="1" applyBorder="1"/>
    <xf numFmtId="168" fontId="19" fillId="41" borderId="1" xfId="816" applyNumberFormat="1" applyFont="1" applyFill="1" applyBorder="1"/>
    <xf numFmtId="176" fontId="35" fillId="0" borderId="1" xfId="322" applyNumberFormat="1" applyFont="1" applyBorder="1"/>
    <xf numFmtId="9" fontId="35" fillId="0" borderId="1" xfId="816" applyFont="1" applyFill="1" applyBorder="1"/>
    <xf numFmtId="176" fontId="65" fillId="0" borderId="1" xfId="322" applyNumberFormat="1" applyFont="1" applyBorder="1"/>
    <xf numFmtId="164" fontId="18" fillId="0" borderId="28" xfId="2" applyNumberFormat="1" applyFont="1" applyBorder="1"/>
    <xf numFmtId="174" fontId="18" fillId="0" borderId="6" xfId="2" applyNumberFormat="1" applyFont="1" applyFill="1" applyBorder="1" applyAlignment="1">
      <alignment horizontal="center"/>
    </xf>
    <xf numFmtId="43" fontId="22" fillId="0" borderId="1" xfId="322" applyFont="1" applyFill="1" applyBorder="1" applyAlignment="1"/>
    <xf numFmtId="43" fontId="0" fillId="0" borderId="0" xfId="322" applyFont="1"/>
    <xf numFmtId="0" fontId="0" fillId="0" borderId="30" xfId="0" applyBorder="1"/>
    <xf numFmtId="176" fontId="35" fillId="38" borderId="27" xfId="322" applyNumberFormat="1" applyFont="1" applyFill="1" applyBorder="1"/>
    <xf numFmtId="168" fontId="0" fillId="0" borderId="0" xfId="0" applyNumberFormat="1"/>
    <xf numFmtId="43" fontId="0" fillId="0" borderId="0" xfId="0" applyNumberFormat="1"/>
    <xf numFmtId="1" fontId="0" fillId="0" borderId="0" xfId="0" applyNumberFormat="1"/>
    <xf numFmtId="0" fontId="18" fillId="0" borderId="22" xfId="2" applyFont="1" applyFill="1" applyBorder="1" applyAlignment="1">
      <alignment horizontal="left"/>
    </xf>
    <xf numFmtId="1" fontId="20" fillId="0" borderId="22" xfId="796" applyNumberFormat="1" applyFont="1" applyFill="1" applyBorder="1" applyAlignment="1">
      <alignment horizontal="right"/>
    </xf>
    <xf numFmtId="2" fontId="12" fillId="0" borderId="0" xfId="2" applyNumberFormat="1" applyFont="1"/>
    <xf numFmtId="2" fontId="12" fillId="0" borderId="0" xfId="2" applyNumberFormat="1" applyFont="1" applyFill="1"/>
    <xf numFmtId="176" fontId="31" fillId="0" borderId="0" xfId="322" applyNumberFormat="1" applyFont="1" applyFill="1" applyBorder="1"/>
    <xf numFmtId="0" fontId="51" fillId="0" borderId="27" xfId="2" applyFont="1" applyBorder="1"/>
    <xf numFmtId="173" fontId="101" fillId="0" borderId="27" xfId="2" applyNumberFormat="1" applyFont="1" applyFill="1" applyBorder="1"/>
    <xf numFmtId="173" fontId="101" fillId="0" borderId="1" xfId="2" applyNumberFormat="1" applyFont="1" applyFill="1" applyBorder="1"/>
    <xf numFmtId="173" fontId="101" fillId="0" borderId="0" xfId="2" applyNumberFormat="1" applyFont="1" applyFill="1" applyBorder="1"/>
    <xf numFmtId="167" fontId="102" fillId="0" borderId="0" xfId="2" applyNumberFormat="1" applyFont="1" applyFill="1" applyBorder="1" applyAlignment="1"/>
    <xf numFmtId="167" fontId="102" fillId="0" borderId="27" xfId="2" applyNumberFormat="1" applyFont="1" applyFill="1" applyBorder="1" applyAlignment="1"/>
    <xf numFmtId="167" fontId="102" fillId="0" borderId="1" xfId="2" applyNumberFormat="1" applyFont="1" applyFill="1" applyBorder="1" applyAlignment="1"/>
    <xf numFmtId="164" fontId="78" fillId="0" borderId="7" xfId="2" applyNumberFormat="1" applyFont="1" applyFill="1" applyBorder="1" applyAlignment="1"/>
    <xf numFmtId="164" fontId="78" fillId="0" borderId="22" xfId="2" applyNumberFormat="1" applyFont="1" applyFill="1" applyBorder="1" applyAlignment="1"/>
    <xf numFmtId="164" fontId="78" fillId="0" borderId="26" xfId="2" applyNumberFormat="1" applyFont="1" applyFill="1" applyBorder="1" applyAlignment="1"/>
    <xf numFmtId="164" fontId="78" fillId="0" borderId="28" xfId="2" applyNumberFormat="1" applyFont="1" applyFill="1" applyBorder="1" applyAlignment="1"/>
    <xf numFmtId="164" fontId="78" fillId="0" borderId="2" xfId="2" applyNumberFormat="1" applyFont="1" applyFill="1" applyBorder="1" applyAlignment="1"/>
    <xf numFmtId="164" fontId="78" fillId="0" borderId="29" xfId="2" applyNumberFormat="1" applyFont="1" applyFill="1" applyBorder="1" applyAlignment="1"/>
    <xf numFmtId="184" fontId="28" fillId="0" borderId="27" xfId="497" applyNumberFormat="1" applyFont="1" applyFill="1" applyBorder="1"/>
    <xf numFmtId="184" fontId="28" fillId="0" borderId="0" xfId="497" applyNumberFormat="1" applyFont="1" applyFill="1" applyBorder="1"/>
    <xf numFmtId="168" fontId="103" fillId="34" borderId="1" xfId="0" applyNumberFormat="1" applyFont="1" applyFill="1" applyBorder="1"/>
    <xf numFmtId="168" fontId="103" fillId="34" borderId="0" xfId="0" applyNumberFormat="1" applyFont="1" applyFill="1" applyBorder="1"/>
    <xf numFmtId="168" fontId="103" fillId="34" borderId="27" xfId="0" applyNumberFormat="1" applyFont="1" applyFill="1" applyBorder="1"/>
    <xf numFmtId="168" fontId="103" fillId="34" borderId="2" xfId="0" applyNumberFormat="1" applyFont="1" applyFill="1" applyBorder="1"/>
    <xf numFmtId="168" fontId="103" fillId="34" borderId="29" xfId="0" applyNumberFormat="1" applyFont="1" applyFill="1" applyBorder="1"/>
    <xf numFmtId="174" fontId="22" fillId="0" borderId="7" xfId="2" applyNumberFormat="1" applyFont="1" applyFill="1" applyBorder="1"/>
    <xf numFmtId="176" fontId="103" fillId="34" borderId="0" xfId="365" applyNumberFormat="1" applyFont="1" applyFill="1" applyBorder="1"/>
    <xf numFmtId="164" fontId="17" fillId="0" borderId="0" xfId="3" applyNumberFormat="1" applyFont="1" applyFill="1" applyBorder="1"/>
    <xf numFmtId="168" fontId="103" fillId="34" borderId="0" xfId="365" applyNumberFormat="1" applyFont="1" applyFill="1" applyBorder="1"/>
    <xf numFmtId="176" fontId="103" fillId="34" borderId="7" xfId="365" applyNumberFormat="1" applyFont="1" applyFill="1" applyBorder="1"/>
    <xf numFmtId="176" fontId="103" fillId="34" borderId="22" xfId="365" applyNumberFormat="1" applyFont="1" applyFill="1" applyBorder="1"/>
    <xf numFmtId="176" fontId="103" fillId="34" borderId="26" xfId="365" applyNumberFormat="1" applyFont="1" applyFill="1" applyBorder="1"/>
    <xf numFmtId="164" fontId="17" fillId="0" borderId="1" xfId="3" applyNumberFormat="1" applyFont="1" applyFill="1" applyBorder="1"/>
    <xf numFmtId="164" fontId="17" fillId="0" borderId="27" xfId="3" applyNumberFormat="1" applyFont="1" applyFill="1" applyBorder="1"/>
    <xf numFmtId="176" fontId="103" fillId="34" borderId="1" xfId="365" applyNumberFormat="1" applyFont="1" applyFill="1" applyBorder="1"/>
    <xf numFmtId="176" fontId="103" fillId="34" borderId="27" xfId="365" applyNumberFormat="1" applyFont="1" applyFill="1" applyBorder="1"/>
    <xf numFmtId="168" fontId="103" fillId="34" borderId="1" xfId="365" applyNumberFormat="1" applyFont="1" applyFill="1" applyBorder="1"/>
    <xf numFmtId="168" fontId="103" fillId="34" borderId="27" xfId="365" applyNumberFormat="1" applyFont="1" applyFill="1" applyBorder="1"/>
    <xf numFmtId="44" fontId="38" fillId="38" borderId="1" xfId="497" applyFont="1" applyFill="1" applyBorder="1"/>
    <xf numFmtId="164" fontId="32" fillId="38" borderId="22" xfId="795" applyNumberFormat="1" applyFont="1" applyFill="1" applyBorder="1"/>
    <xf numFmtId="0" fontId="22" fillId="0" borderId="0" xfId="2" applyFont="1" applyBorder="1" applyAlignment="1">
      <alignment horizontal="center"/>
    </xf>
    <xf numFmtId="164" fontId="17" fillId="0" borderId="0" xfId="2" applyNumberFormat="1" applyFont="1" applyBorder="1" applyAlignment="1">
      <alignment horizontal="center"/>
    </xf>
    <xf numFmtId="184" fontId="78" fillId="0" borderId="27" xfId="497" applyNumberFormat="1" applyFont="1" applyFill="1" applyBorder="1" applyAlignment="1"/>
    <xf numFmtId="184" fontId="78" fillId="0" borderId="1" xfId="497" applyNumberFormat="1" applyFont="1" applyFill="1" applyBorder="1" applyAlignment="1"/>
    <xf numFmtId="184" fontId="78" fillId="0" borderId="0" xfId="497" applyNumberFormat="1" applyFont="1" applyFill="1" applyBorder="1" applyAlignment="1"/>
    <xf numFmtId="168" fontId="86" fillId="0" borderId="0" xfId="2" applyNumberFormat="1" applyFont="1" applyFill="1" applyBorder="1"/>
    <xf numFmtId="168" fontId="86" fillId="0" borderId="27" xfId="2" applyNumberFormat="1" applyFont="1" applyFill="1" applyBorder="1"/>
    <xf numFmtId="168" fontId="17" fillId="0" borderId="32" xfId="2" applyNumberFormat="1" applyFont="1" applyFill="1" applyBorder="1"/>
    <xf numFmtId="168" fontId="17" fillId="0" borderId="32" xfId="2" applyNumberFormat="1" applyFont="1" applyBorder="1"/>
    <xf numFmtId="43" fontId="19" fillId="0" borderId="27" xfId="322" applyFont="1" applyFill="1" applyBorder="1" applyAlignment="1"/>
    <xf numFmtId="176" fontId="22" fillId="0" borderId="0" xfId="2" applyNumberFormat="1" applyFont="1" applyBorder="1"/>
    <xf numFmtId="178" fontId="0" fillId="0" borderId="0" xfId="0" applyNumberFormat="1"/>
    <xf numFmtId="0" fontId="29" fillId="0" borderId="8" xfId="0" applyFont="1" applyBorder="1"/>
    <xf numFmtId="168" fontId="12" fillId="0" borderId="0" xfId="816" applyNumberFormat="1" applyFont="1" applyFill="1"/>
    <xf numFmtId="190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29" fillId="0" borderId="0" xfId="0" applyFont="1"/>
    <xf numFmtId="206" fontId="17" fillId="0" borderId="0" xfId="2" applyNumberFormat="1" applyFont="1"/>
    <xf numFmtId="176" fontId="22" fillId="0" borderId="27" xfId="2" applyNumberFormat="1" applyFont="1" applyFill="1" applyBorder="1"/>
    <xf numFmtId="176" fontId="17" fillId="0" borderId="27" xfId="2" applyNumberFormat="1" applyFont="1" applyFill="1" applyBorder="1" applyAlignment="1"/>
    <xf numFmtId="168" fontId="0" fillId="0" borderId="0" xfId="816" applyNumberFormat="1" applyFont="1" applyBorder="1" applyAlignment="1">
      <alignment horizontal="center"/>
    </xf>
    <xf numFmtId="173" fontId="18" fillId="0" borderId="0" xfId="3" applyNumberFormat="1" applyFont="1" applyFill="1" applyBorder="1"/>
    <xf numFmtId="1" fontId="20" fillId="28" borderId="7" xfId="797" applyNumberFormat="1" applyFont="1" applyFill="1" applyBorder="1" applyAlignment="1">
      <alignment horizontal="right"/>
    </xf>
    <xf numFmtId="1" fontId="20" fillId="28" borderId="26" xfId="797" applyNumberFormat="1" applyFont="1" applyFill="1" applyBorder="1" applyAlignment="1">
      <alignment horizontal="right"/>
    </xf>
    <xf numFmtId="178" fontId="30" fillId="0" borderId="7" xfId="2" applyNumberFormat="1" applyFont="1" applyBorder="1"/>
    <xf numFmtId="168" fontId="19" fillId="0" borderId="28" xfId="816" applyNumberFormat="1" applyFont="1" applyBorder="1"/>
    <xf numFmtId="184" fontId="0" fillId="0" borderId="0" xfId="497" applyNumberFormat="1" applyFont="1"/>
    <xf numFmtId="173" fontId="47" fillId="0" borderId="1" xfId="2" applyNumberFormat="1" applyFont="1" applyFill="1" applyBorder="1"/>
    <xf numFmtId="164" fontId="116" fillId="0" borderId="1" xfId="3" applyNumberFormat="1" applyFont="1" applyFill="1" applyBorder="1" applyAlignment="1"/>
    <xf numFmtId="176" fontId="17" fillId="0" borderId="1" xfId="2" applyNumberFormat="1" applyFont="1" applyFill="1" applyBorder="1" applyAlignment="1"/>
    <xf numFmtId="176" fontId="17" fillId="0" borderId="0" xfId="2" applyNumberFormat="1" applyFont="1" applyFill="1" applyBorder="1" applyAlignment="1"/>
    <xf numFmtId="168" fontId="97" fillId="34" borderId="0" xfId="0" applyNumberFormat="1" applyFont="1" applyFill="1" applyBorder="1"/>
    <xf numFmtId="164" fontId="116" fillId="0" borderId="27" xfId="3" applyNumberFormat="1" applyFont="1" applyFill="1" applyBorder="1" applyAlignment="1"/>
    <xf numFmtId="164" fontId="116" fillId="0" borderId="0" xfId="3" applyNumberFormat="1" applyFont="1" applyFill="1" applyBorder="1" applyAlignment="1"/>
    <xf numFmtId="176" fontId="116" fillId="0" borderId="27" xfId="379" applyNumberFormat="1" applyFont="1" applyFill="1" applyBorder="1" applyAlignment="1"/>
    <xf numFmtId="176" fontId="116" fillId="0" borderId="0" xfId="379" applyNumberFormat="1" applyFont="1" applyFill="1" applyBorder="1" applyAlignment="1"/>
    <xf numFmtId="168" fontId="97" fillId="34" borderId="1" xfId="0" applyNumberFormat="1" applyFont="1" applyFill="1" applyBorder="1"/>
    <xf numFmtId="168" fontId="97" fillId="34" borderId="27" xfId="0" applyNumberFormat="1" applyFont="1" applyFill="1" applyBorder="1"/>
    <xf numFmtId="1" fontId="30" fillId="28" borderId="28" xfId="2" applyNumberFormat="1" applyFont="1" applyFill="1" applyBorder="1" applyAlignment="1">
      <alignment horizontal="right"/>
    </xf>
    <xf numFmtId="1" fontId="30" fillId="28" borderId="2" xfId="2" applyNumberFormat="1" applyFont="1" applyFill="1" applyBorder="1" applyAlignment="1">
      <alignment horizontal="right"/>
    </xf>
    <xf numFmtId="0" fontId="25" fillId="38" borderId="1" xfId="816" applyNumberFormat="1" applyFont="1" applyFill="1" applyBorder="1"/>
    <xf numFmtId="181" fontId="35" fillId="38" borderId="1" xfId="2" applyNumberFormat="1" applyFont="1" applyFill="1" applyBorder="1" applyAlignment="1">
      <alignment horizontal="left" indent="1"/>
    </xf>
    <xf numFmtId="37" fontId="17" fillId="0" borderId="0" xfId="2" applyNumberFormat="1" applyFont="1" applyBorder="1"/>
    <xf numFmtId="7" fontId="17" fillId="0" borderId="27" xfId="2" applyNumberFormat="1" applyFont="1" applyFill="1" applyBorder="1" applyAlignment="1"/>
    <xf numFmtId="178" fontId="30" fillId="0" borderId="28" xfId="2" applyNumberFormat="1" applyFont="1" applyBorder="1"/>
    <xf numFmtId="1" fontId="46" fillId="39" borderId="0" xfId="797" applyNumberFormat="1" applyFont="1" applyFill="1" applyBorder="1" applyAlignment="1">
      <alignment horizontal="right"/>
    </xf>
    <xf numFmtId="1" fontId="46" fillId="39" borderId="27" xfId="797" applyNumberFormat="1" applyFont="1" applyFill="1" applyBorder="1" applyAlignment="1">
      <alignment horizontal="right"/>
    </xf>
    <xf numFmtId="1" fontId="46" fillId="39" borderId="7" xfId="797" applyNumberFormat="1" applyFont="1" applyFill="1" applyBorder="1" applyAlignment="1">
      <alignment horizontal="right"/>
    </xf>
    <xf numFmtId="1" fontId="46" fillId="39" borderId="22" xfId="797" applyNumberFormat="1" applyFont="1" applyFill="1" applyBorder="1" applyAlignment="1">
      <alignment horizontal="right"/>
    </xf>
    <xf numFmtId="0" fontId="17" fillId="41" borderId="28" xfId="2" applyFont="1" applyFill="1" applyBorder="1"/>
    <xf numFmtId="0" fontId="17" fillId="41" borderId="2" xfId="2" applyFont="1" applyFill="1" applyBorder="1"/>
    <xf numFmtId="0" fontId="17" fillId="41" borderId="29" xfId="2" applyFont="1" applyFill="1" applyBorder="1"/>
    <xf numFmtId="168" fontId="17" fillId="0" borderId="0" xfId="2" applyNumberFormat="1" applyFont="1"/>
    <xf numFmtId="0" fontId="114" fillId="0" borderId="8" xfId="651" applyFont="1" applyBorder="1" applyAlignment="1">
      <alignment wrapText="1" shrinkToFit="1"/>
    </xf>
    <xf numFmtId="0" fontId="113" fillId="0" borderId="32" xfId="651" applyFont="1" applyBorder="1" applyAlignment="1">
      <alignment wrapText="1" shrinkToFit="1"/>
    </xf>
    <xf numFmtId="0" fontId="115" fillId="0" borderId="32" xfId="651" applyFont="1" applyBorder="1" applyAlignment="1">
      <alignment wrapText="1" shrinkToFit="1"/>
    </xf>
    <xf numFmtId="0" fontId="114" fillId="0" borderId="8" xfId="651" applyFont="1" applyBorder="1" applyAlignment="1">
      <alignment horizontal="left" vertical="center" wrapText="1" shrinkToFit="1"/>
    </xf>
    <xf numFmtId="204" fontId="78" fillId="0" borderId="1" xfId="2" applyNumberFormat="1" applyFont="1" applyFill="1" applyBorder="1" applyAlignment="1"/>
    <xf numFmtId="204" fontId="78" fillId="0" borderId="0" xfId="2" applyNumberFormat="1" applyFont="1" applyFill="1" applyBorder="1" applyAlignment="1"/>
    <xf numFmtId="204" fontId="78" fillId="0" borderId="27" xfId="2" applyNumberFormat="1" applyFont="1" applyFill="1" applyBorder="1" applyAlignment="1"/>
    <xf numFmtId="173" fontId="17" fillId="0" borderId="1" xfId="2" applyNumberFormat="1" applyFont="1" applyBorder="1"/>
    <xf numFmtId="167" fontId="24" fillId="0" borderId="26" xfId="2" applyNumberFormat="1" applyFont="1" applyFill="1" applyBorder="1" applyAlignment="1"/>
    <xf numFmtId="167" fontId="87" fillId="0" borderId="26" xfId="2" applyNumberFormat="1" applyFont="1" applyFill="1" applyBorder="1" applyAlignment="1"/>
    <xf numFmtId="167" fontId="126" fillId="0" borderId="22" xfId="2" applyNumberFormat="1" applyFont="1" applyFill="1" applyBorder="1" applyAlignment="1"/>
    <xf numFmtId="167" fontId="126" fillId="0" borderId="26" xfId="2" applyNumberFormat="1" applyFont="1" applyFill="1" applyBorder="1" applyAlignment="1"/>
    <xf numFmtId="167" fontId="126" fillId="0" borderId="7" xfId="2" applyNumberFormat="1" applyFont="1" applyFill="1" applyBorder="1" applyAlignment="1"/>
    <xf numFmtId="176" fontId="127" fillId="0" borderId="0" xfId="2" applyNumberFormat="1" applyFont="1" applyFill="1" applyBorder="1" applyAlignment="1"/>
    <xf numFmtId="0" fontId="0" fillId="0" borderId="27" xfId="0" applyBorder="1"/>
    <xf numFmtId="1" fontId="20" fillId="28" borderId="26" xfId="796" applyNumberFormat="1" applyFont="1" applyFill="1" applyBorder="1" applyAlignment="1">
      <alignment horizontal="right"/>
    </xf>
    <xf numFmtId="1" fontId="20" fillId="28" borderId="7" xfId="796" applyNumberFormat="1" applyFont="1" applyFill="1" applyBorder="1" applyAlignment="1">
      <alignment horizontal="right"/>
    </xf>
    <xf numFmtId="1" fontId="20" fillId="28" borderId="22" xfId="796" applyNumberFormat="1" applyFont="1" applyFill="1" applyBorder="1" applyAlignment="1">
      <alignment horizontal="right"/>
    </xf>
    <xf numFmtId="165" fontId="20" fillId="28" borderId="30" xfId="797" applyNumberFormat="1" applyFont="1" applyFill="1" applyBorder="1" applyAlignment="1">
      <alignment horizontal="right"/>
    </xf>
    <xf numFmtId="165" fontId="20" fillId="28" borderId="6" xfId="797" applyNumberFormat="1" applyFont="1" applyFill="1" applyBorder="1" applyAlignment="1">
      <alignment horizontal="right"/>
    </xf>
    <xf numFmtId="165" fontId="20" fillId="28" borderId="31" xfId="797" applyNumberFormat="1" applyFont="1" applyFill="1" applyBorder="1" applyAlignment="1">
      <alignment horizontal="right"/>
    </xf>
    <xf numFmtId="0" fontId="0" fillId="0" borderId="1" xfId="0" applyBorder="1"/>
    <xf numFmtId="176" fontId="127" fillId="0" borderId="27" xfId="2" applyNumberFormat="1" applyFont="1" applyFill="1" applyBorder="1" applyAlignment="1"/>
    <xf numFmtId="176" fontId="127" fillId="0" borderId="1" xfId="2" applyNumberFormat="1" applyFont="1" applyFill="1" applyBorder="1" applyAlignment="1"/>
    <xf numFmtId="1" fontId="20" fillId="28" borderId="30" xfId="796" applyNumberFormat="1" applyFont="1" applyFill="1" applyBorder="1" applyAlignment="1">
      <alignment horizontal="right"/>
    </xf>
    <xf numFmtId="1" fontId="46" fillId="39" borderId="6" xfId="797" applyNumberFormat="1" applyFont="1" applyFill="1" applyBorder="1" applyAlignment="1">
      <alignment horizontal="right"/>
    </xf>
    <xf numFmtId="1" fontId="18" fillId="26" borderId="6" xfId="797" applyNumberFormat="1" applyFont="1" applyFill="1" applyBorder="1" applyAlignment="1">
      <alignment horizontal="right"/>
    </xf>
    <xf numFmtId="1" fontId="18" fillId="26" borderId="31" xfId="797" applyNumberFormat="1" applyFont="1" applyFill="1" applyBorder="1" applyAlignment="1">
      <alignment horizontal="right"/>
    </xf>
    <xf numFmtId="1" fontId="46" fillId="26" borderId="30" xfId="797" applyNumberFormat="1" applyFont="1" applyFill="1" applyBorder="1" applyAlignment="1">
      <alignment horizontal="right"/>
    </xf>
    <xf numFmtId="1" fontId="46" fillId="26" borderId="6" xfId="797" applyNumberFormat="1" applyFont="1" applyFill="1" applyBorder="1" applyAlignment="1">
      <alignment horizontal="right"/>
    </xf>
    <xf numFmtId="1" fontId="46" fillId="26" borderId="31" xfId="797" applyNumberFormat="1" applyFont="1" applyFill="1" applyBorder="1" applyAlignment="1">
      <alignment horizontal="right"/>
    </xf>
    <xf numFmtId="1" fontId="20" fillId="28" borderId="22" xfId="796" applyNumberFormat="1" applyFont="1" applyFill="1" applyBorder="1" applyAlignment="1">
      <alignment horizontal="right"/>
    </xf>
    <xf numFmtId="1" fontId="46" fillId="39" borderId="2" xfId="797" applyNumberFormat="1" applyFont="1" applyFill="1" applyBorder="1" applyAlignment="1">
      <alignment horizontal="right"/>
    </xf>
    <xf numFmtId="1" fontId="46" fillId="39" borderId="29" xfId="797" applyNumberFormat="1" applyFont="1" applyFill="1" applyBorder="1" applyAlignment="1">
      <alignment horizontal="right"/>
    </xf>
    <xf numFmtId="1" fontId="46" fillId="39" borderId="28" xfId="797" applyNumberFormat="1" applyFont="1" applyFill="1" applyBorder="1" applyAlignment="1">
      <alignment horizontal="right"/>
    </xf>
    <xf numFmtId="1" fontId="20" fillId="28" borderId="6" xfId="797" applyNumberFormat="1" applyFont="1" applyFill="1" applyBorder="1" applyAlignment="1">
      <alignment horizontal="right"/>
    </xf>
    <xf numFmtId="1" fontId="18" fillId="26" borderId="30" xfId="797" applyNumberFormat="1" applyFont="1" applyFill="1" applyBorder="1" applyAlignment="1">
      <alignment horizontal="right"/>
    </xf>
    <xf numFmtId="0" fontId="12" fillId="0" borderId="0" xfId="1163"/>
    <xf numFmtId="165" fontId="20" fillId="28" borderId="29" xfId="797" applyNumberFormat="1" applyFont="1" applyFill="1" applyBorder="1" applyAlignment="1">
      <alignment horizontal="right"/>
    </xf>
    <xf numFmtId="165" fontId="20" fillId="28" borderId="2" xfId="797" applyNumberFormat="1" applyFont="1" applyFill="1" applyBorder="1" applyAlignment="1">
      <alignment horizontal="right"/>
    </xf>
    <xf numFmtId="165" fontId="20" fillId="28" borderId="28" xfId="797" applyNumberFormat="1" applyFont="1" applyFill="1" applyBorder="1" applyAlignment="1">
      <alignment horizontal="right"/>
    </xf>
    <xf numFmtId="1" fontId="20" fillId="28" borderId="6" xfId="796" applyNumberFormat="1" applyFont="1" applyFill="1" applyBorder="1" applyAlignment="1">
      <alignment horizontal="right"/>
    </xf>
    <xf numFmtId="165" fontId="20" fillId="28" borderId="30" xfId="797" applyNumberFormat="1" applyFont="1" applyFill="1" applyBorder="1" applyAlignment="1">
      <alignment horizontal="right"/>
    </xf>
    <xf numFmtId="165" fontId="20" fillId="28" borderId="6" xfId="797" applyNumberFormat="1" applyFont="1" applyFill="1" applyBorder="1" applyAlignment="1">
      <alignment horizontal="right"/>
    </xf>
    <xf numFmtId="165" fontId="20" fillId="28" borderId="31" xfId="797" applyNumberFormat="1" applyFont="1" applyFill="1" applyBorder="1" applyAlignment="1">
      <alignment horizontal="right"/>
    </xf>
    <xf numFmtId="165" fontId="20" fillId="28" borderId="7" xfId="797" applyNumberFormat="1" applyFont="1" applyFill="1" applyBorder="1" applyAlignment="1">
      <alignment horizontal="right"/>
    </xf>
    <xf numFmtId="165" fontId="20" fillId="28" borderId="22" xfId="797" applyNumberFormat="1" applyFont="1" applyFill="1" applyBorder="1" applyAlignment="1">
      <alignment horizontal="right"/>
    </xf>
    <xf numFmtId="165" fontId="20" fillId="28" borderId="26" xfId="797" applyNumberFormat="1" applyFont="1" applyFill="1" applyBorder="1" applyAlignment="1">
      <alignment horizontal="right"/>
    </xf>
    <xf numFmtId="43" fontId="17" fillId="0" borderId="0" xfId="322" applyNumberFormat="1" applyFont="1" applyFill="1" applyBorder="1" applyAlignment="1"/>
    <xf numFmtId="0" fontId="0" fillId="0" borderId="0" xfId="0"/>
    <xf numFmtId="0" fontId="0" fillId="0" borderId="0" xfId="0"/>
    <xf numFmtId="1" fontId="62" fillId="39" borderId="2" xfId="797" applyNumberFormat="1" applyFont="1" applyFill="1" applyBorder="1" applyAlignment="1">
      <alignment horizontal="right"/>
    </xf>
    <xf numFmtId="1" fontId="62" fillId="39" borderId="29" xfId="797" applyNumberFormat="1" applyFont="1" applyFill="1" applyBorder="1" applyAlignment="1">
      <alignment horizontal="right"/>
    </xf>
    <xf numFmtId="1" fontId="62" fillId="39" borderId="28" xfId="797" applyNumberFormat="1" applyFont="1" applyFill="1" applyBorder="1" applyAlignment="1">
      <alignment horizontal="right"/>
    </xf>
    <xf numFmtId="9" fontId="19" fillId="0" borderId="0" xfId="816" applyNumberFormat="1" applyFont="1" applyFill="1" applyBorder="1" applyAlignment="1"/>
    <xf numFmtId="168" fontId="22" fillId="0" borderId="0" xfId="816" applyNumberFormat="1" applyFont="1" applyFill="1" applyBorder="1" applyAlignment="1"/>
    <xf numFmtId="43" fontId="22" fillId="0" borderId="0" xfId="322" applyFont="1" applyFill="1" applyBorder="1" applyAlignment="1"/>
    <xf numFmtId="1" fontId="30" fillId="28" borderId="8" xfId="2" applyNumberFormat="1" applyFont="1" applyFill="1" applyBorder="1" applyAlignment="1">
      <alignment horizontal="right"/>
    </xf>
    <xf numFmtId="2" fontId="0" fillId="0" borderId="0" xfId="0" applyNumberFormat="1" applyBorder="1"/>
    <xf numFmtId="1" fontId="20" fillId="28" borderId="26" xfId="796" applyNumberFormat="1" applyFont="1" applyFill="1" applyBorder="1" applyAlignment="1">
      <alignment horizontal="right"/>
    </xf>
    <xf numFmtId="168" fontId="23" fillId="0" borderId="0" xfId="816" applyNumberFormat="1" applyFont="1" applyFill="1" applyBorder="1" applyAlignment="1"/>
    <xf numFmtId="168" fontId="19" fillId="0" borderId="0" xfId="816" applyNumberFormat="1" applyFont="1" applyFill="1" applyBorder="1"/>
    <xf numFmtId="168" fontId="19" fillId="0" borderId="27" xfId="816" applyNumberFormat="1" applyFont="1" applyFill="1" applyBorder="1"/>
    <xf numFmtId="168" fontId="23" fillId="0" borderId="0" xfId="816" applyNumberFormat="1" applyFont="1" applyFill="1" applyBorder="1"/>
    <xf numFmtId="168" fontId="23" fillId="0" borderId="27" xfId="816" applyNumberFormat="1" applyFont="1" applyFill="1" applyBorder="1"/>
    <xf numFmtId="168" fontId="19" fillId="0" borderId="1" xfId="816" applyNumberFormat="1" applyFont="1" applyFill="1" applyBorder="1"/>
    <xf numFmtId="1" fontId="20" fillId="28" borderId="7" xfId="796" applyNumberFormat="1" applyFont="1" applyFill="1" applyBorder="1" applyAlignment="1">
      <alignment horizontal="right"/>
    </xf>
    <xf numFmtId="1" fontId="20" fillId="28" borderId="22" xfId="796" applyNumberFormat="1" applyFont="1" applyFill="1" applyBorder="1" applyAlignment="1">
      <alignment horizontal="right"/>
    </xf>
    <xf numFmtId="165" fontId="20" fillId="28" borderId="30" xfId="797" applyNumberFormat="1" applyFont="1" applyFill="1" applyBorder="1" applyAlignment="1">
      <alignment horizontal="right"/>
    </xf>
    <xf numFmtId="165" fontId="20" fillId="28" borderId="6" xfId="797" applyNumberFormat="1" applyFont="1" applyFill="1" applyBorder="1" applyAlignment="1">
      <alignment horizontal="right"/>
    </xf>
    <xf numFmtId="165" fontId="20" fillId="28" borderId="31" xfId="797" applyNumberFormat="1" applyFont="1" applyFill="1" applyBorder="1" applyAlignment="1">
      <alignment horizontal="right"/>
    </xf>
    <xf numFmtId="168" fontId="17" fillId="0" borderId="0" xfId="816" applyNumberFormat="1" applyFont="1" applyFill="1" applyBorder="1"/>
    <xf numFmtId="168" fontId="23" fillId="0" borderId="27" xfId="816" applyNumberFormat="1" applyFont="1" applyFill="1" applyBorder="1" applyAlignment="1"/>
    <xf numFmtId="164" fontId="57" fillId="0" borderId="0" xfId="2" applyNumberFormat="1" applyFont="1" applyFill="1" applyBorder="1" applyAlignment="1"/>
    <xf numFmtId="0" fontId="12" fillId="0" borderId="1" xfId="0" applyFont="1" applyBorder="1"/>
    <xf numFmtId="0" fontId="12" fillId="0" borderId="0" xfId="0" applyFont="1" applyBorder="1"/>
    <xf numFmtId="0" fontId="12" fillId="0" borderId="27" xfId="0" applyFont="1" applyBorder="1"/>
    <xf numFmtId="164" fontId="12" fillId="0" borderId="0" xfId="2" applyNumberFormat="1" applyFont="1" applyFill="1" applyBorder="1" applyAlignment="1"/>
    <xf numFmtId="164" fontId="12" fillId="0" borderId="27" xfId="2" applyNumberFormat="1" applyFont="1" applyFill="1" applyBorder="1" applyAlignment="1"/>
    <xf numFmtId="1" fontId="0" fillId="0" borderId="0" xfId="0" applyNumberFormat="1" applyAlignment="1">
      <alignment horizontal="center"/>
    </xf>
    <xf numFmtId="0" fontId="0" fillId="0" borderId="0" xfId="0"/>
    <xf numFmtId="179" fontId="28" fillId="0" borderId="1" xfId="2" applyNumberFormat="1" applyFont="1" applyFill="1" applyBorder="1"/>
    <xf numFmtId="9" fontId="17" fillId="0" borderId="0" xfId="2" applyNumberFormat="1" applyFont="1"/>
    <xf numFmtId="176" fontId="51" fillId="0" borderId="1" xfId="322" applyNumberFormat="1" applyFont="1" applyFill="1" applyBorder="1" applyAlignment="1"/>
    <xf numFmtId="181" fontId="12" fillId="0" borderId="27" xfId="2151" applyNumberFormat="1" applyFont="1" applyBorder="1"/>
    <xf numFmtId="181" fontId="12" fillId="0" borderId="1" xfId="2151" applyNumberFormat="1" applyFont="1" applyBorder="1"/>
    <xf numFmtId="181" fontId="12" fillId="0" borderId="0" xfId="2151" applyNumberFormat="1" applyFont="1" applyBorder="1"/>
    <xf numFmtId="1" fontId="20" fillId="28" borderId="30" xfId="796" applyNumberFormat="1" applyFont="1" applyFill="1" applyBorder="1" applyAlignment="1">
      <alignment horizontal="right"/>
    </xf>
    <xf numFmtId="1" fontId="20" fillId="28" borderId="6" xfId="796" applyNumberFormat="1" applyFont="1" applyFill="1" applyBorder="1" applyAlignment="1">
      <alignment horizontal="right"/>
    </xf>
    <xf numFmtId="1" fontId="20" fillId="28" borderId="31" xfId="796" applyNumberFormat="1" applyFont="1" applyFill="1" applyBorder="1" applyAlignment="1">
      <alignment horizontal="right"/>
    </xf>
    <xf numFmtId="168" fontId="19" fillId="0" borderId="0" xfId="816" applyNumberFormat="1" applyFont="1" applyFill="1" applyBorder="1" applyAlignment="1"/>
    <xf numFmtId="168" fontId="19" fillId="0" borderId="27" xfId="816" applyNumberFormat="1" applyFont="1" applyFill="1" applyBorder="1" applyAlignment="1"/>
    <xf numFmtId="168" fontId="19" fillId="0" borderId="1" xfId="816" applyNumberFormat="1" applyFont="1" applyFill="1" applyBorder="1" applyAlignment="1"/>
    <xf numFmtId="169" fontId="22" fillId="0" borderId="0" xfId="816" applyNumberFormat="1" applyFont="1" applyFill="1" applyBorder="1" applyAlignment="1"/>
    <xf numFmtId="171" fontId="22" fillId="0" borderId="27" xfId="816" applyNumberFormat="1" applyFont="1" applyFill="1" applyBorder="1" applyAlignment="1"/>
    <xf numFmtId="173" fontId="17" fillId="0" borderId="2" xfId="1166" applyNumberFormat="1" applyFont="1" applyFill="1" applyBorder="1"/>
    <xf numFmtId="1" fontId="18" fillId="28" borderId="6" xfId="796" applyNumberFormat="1" applyFont="1" applyFill="1" applyBorder="1" applyAlignment="1">
      <alignment horizontal="right"/>
    </xf>
    <xf numFmtId="1" fontId="18" fillId="28" borderId="31" xfId="796" applyNumberFormat="1" applyFont="1" applyFill="1" applyBorder="1" applyAlignment="1">
      <alignment horizontal="right"/>
    </xf>
    <xf numFmtId="176" fontId="17" fillId="0" borderId="27" xfId="322" applyNumberFormat="1" applyFont="1" applyFill="1" applyBorder="1"/>
    <xf numFmtId="176" fontId="17" fillId="0" borderId="0" xfId="322" applyNumberFormat="1" applyFont="1" applyBorder="1"/>
    <xf numFmtId="176" fontId="17" fillId="0" borderId="27" xfId="322" applyNumberFormat="1" applyFont="1" applyBorder="1"/>
    <xf numFmtId="176" fontId="22" fillId="0" borderId="0" xfId="322" applyNumberFormat="1" applyFont="1" applyBorder="1"/>
    <xf numFmtId="176" fontId="22" fillId="0" borderId="27" xfId="322" applyNumberFormat="1" applyFont="1" applyBorder="1"/>
    <xf numFmtId="176" fontId="17" fillId="0" borderId="29" xfId="322" applyNumberFormat="1" applyFont="1" applyFill="1" applyBorder="1"/>
    <xf numFmtId="176" fontId="17" fillId="0" borderId="2" xfId="322" applyNumberFormat="1" applyFont="1" applyFill="1" applyBorder="1"/>
    <xf numFmtId="176" fontId="17" fillId="0" borderId="0" xfId="322" applyNumberFormat="1" applyFont="1" applyFill="1" applyBorder="1"/>
    <xf numFmtId="176" fontId="17" fillId="0" borderId="1" xfId="322" applyNumberFormat="1" applyFont="1" applyFill="1" applyBorder="1"/>
    <xf numFmtId="176" fontId="18" fillId="0" borderId="6" xfId="322" applyNumberFormat="1" applyFont="1" applyBorder="1"/>
    <xf numFmtId="176" fontId="18" fillId="0" borderId="31" xfId="322" applyNumberFormat="1" applyFont="1" applyBorder="1"/>
    <xf numFmtId="1" fontId="18" fillId="28" borderId="30" xfId="796" applyNumberFormat="1" applyFont="1" applyFill="1" applyBorder="1" applyAlignment="1">
      <alignment horizontal="right"/>
    </xf>
    <xf numFmtId="165" fontId="20" fillId="28" borderId="0" xfId="797" applyNumberFormat="1" applyFont="1" applyFill="1" applyBorder="1" applyAlignment="1">
      <alignment horizontal="right"/>
    </xf>
    <xf numFmtId="165" fontId="20" fillId="28" borderId="27" xfId="797" applyNumberFormat="1" applyFont="1" applyFill="1" applyBorder="1" applyAlignment="1">
      <alignment horizontal="right"/>
    </xf>
    <xf numFmtId="165" fontId="20" fillId="28" borderId="1" xfId="797" applyNumberFormat="1" applyFont="1" applyFill="1" applyBorder="1" applyAlignment="1">
      <alignment horizontal="right"/>
    </xf>
    <xf numFmtId="169" fontId="22" fillId="0" borderId="1" xfId="816" applyNumberFormat="1" applyFont="1" applyFill="1" applyBorder="1" applyAlignment="1"/>
    <xf numFmtId="176" fontId="76" fillId="0" borderId="0" xfId="322" applyNumberFormat="1" applyFont="1" applyFill="1" applyBorder="1" applyAlignment="1"/>
    <xf numFmtId="176" fontId="76" fillId="0" borderId="27" xfId="322" applyNumberFormat="1" applyFont="1" applyFill="1" applyBorder="1" applyAlignment="1"/>
    <xf numFmtId="176" fontId="76" fillId="0" borderId="1" xfId="322" applyNumberFormat="1" applyFont="1" applyFill="1" applyBorder="1" applyAlignment="1"/>
    <xf numFmtId="176" fontId="23" fillId="0" borderId="0" xfId="322" applyNumberFormat="1" applyFont="1" applyFill="1" applyBorder="1" applyAlignment="1"/>
    <xf numFmtId="176" fontId="23" fillId="0" borderId="27" xfId="322" applyNumberFormat="1" applyFont="1" applyFill="1" applyBorder="1" applyAlignment="1"/>
    <xf numFmtId="176" fontId="23" fillId="0" borderId="1" xfId="322" applyNumberFormat="1" applyFont="1" applyFill="1" applyBorder="1" applyAlignment="1"/>
    <xf numFmtId="176" fontId="17" fillId="0" borderId="0" xfId="322" applyNumberFormat="1" applyFont="1" applyFill="1" applyBorder="1" applyAlignment="1"/>
    <xf numFmtId="176" fontId="51" fillId="0" borderId="0" xfId="322" applyNumberFormat="1" applyFont="1" applyFill="1" applyBorder="1" applyAlignment="1"/>
    <xf numFmtId="168" fontId="17" fillId="0" borderId="0" xfId="816" applyNumberFormat="1" applyFont="1"/>
    <xf numFmtId="168" fontId="17" fillId="0" borderId="0" xfId="816" applyNumberFormat="1" applyFont="1" applyFill="1" applyBorder="1" applyAlignment="1"/>
    <xf numFmtId="168" fontId="17" fillId="0" borderId="27" xfId="816" applyNumberFormat="1" applyFont="1" applyFill="1" applyBorder="1" applyAlignment="1"/>
    <xf numFmtId="167" fontId="17" fillId="0" borderId="0" xfId="1166" applyNumberFormat="1" applyFont="1" applyFill="1" applyBorder="1" applyAlignment="1"/>
    <xf numFmtId="168" fontId="17" fillId="0" borderId="0" xfId="816" applyNumberFormat="1" applyFont="1"/>
    <xf numFmtId="173" fontId="17" fillId="0" borderId="0" xfId="1166" applyNumberFormat="1" applyFont="1" applyFill="1" applyBorder="1"/>
    <xf numFmtId="167" fontId="17" fillId="0" borderId="7" xfId="2" applyNumberFormat="1" applyFont="1" applyFill="1" applyBorder="1" applyAlignment="1"/>
    <xf numFmtId="167" fontId="17" fillId="0" borderId="26" xfId="2" applyNumberFormat="1" applyFont="1" applyFill="1" applyBorder="1" applyAlignment="1"/>
    <xf numFmtId="44" fontId="12" fillId="0" borderId="0" xfId="2" applyNumberFormat="1" applyFont="1"/>
    <xf numFmtId="164" fontId="24" fillId="0" borderId="0" xfId="2" applyNumberFormat="1" applyFont="1" applyFill="1" applyBorder="1" applyAlignment="1"/>
    <xf numFmtId="43" fontId="19" fillId="0" borderId="0" xfId="322" applyFont="1" applyFill="1" applyBorder="1" applyAlignment="1"/>
    <xf numFmtId="171" fontId="22" fillId="0" borderId="0" xfId="816" applyNumberFormat="1" applyFont="1" applyFill="1" applyBorder="1" applyAlignment="1"/>
    <xf numFmtId="43" fontId="17" fillId="0" borderId="0" xfId="1040" applyNumberFormat="1" applyFont="1" applyFill="1" applyAlignment="1">
      <alignment horizontal="center"/>
    </xf>
    <xf numFmtId="206" fontId="17" fillId="0" borderId="0" xfId="1040" applyNumberFormat="1" applyFont="1" applyFill="1" applyAlignment="1">
      <alignment horizontal="center"/>
    </xf>
    <xf numFmtId="0" fontId="0" fillId="0" borderId="0" xfId="0"/>
    <xf numFmtId="9" fontId="22" fillId="0" borderId="0" xfId="816" applyFont="1" applyFill="1" applyBorder="1"/>
    <xf numFmtId="168" fontId="17" fillId="0" borderId="0" xfId="816" applyNumberFormat="1" applyFont="1" applyFill="1" applyBorder="1" applyAlignment="1"/>
    <xf numFmtId="167" fontId="17" fillId="0" borderId="0" xfId="1166" applyNumberFormat="1" applyFont="1" applyFill="1" applyBorder="1" applyAlignment="1"/>
    <xf numFmtId="168" fontId="23" fillId="0" borderId="0" xfId="816" applyNumberFormat="1" applyFont="1" applyFill="1" applyBorder="1"/>
    <xf numFmtId="176" fontId="51" fillId="0" borderId="27" xfId="322" applyNumberFormat="1" applyFont="1" applyFill="1" applyBorder="1"/>
    <xf numFmtId="173" fontId="18" fillId="0" borderId="0" xfId="1166" applyNumberFormat="1" applyFont="1" applyFill="1" applyBorder="1"/>
    <xf numFmtId="167" fontId="17" fillId="0" borderId="0" xfId="1166" applyNumberFormat="1" applyFont="1" applyFill="1" applyBorder="1" applyAlignment="1"/>
    <xf numFmtId="0" fontId="0" fillId="0" borderId="0" xfId="0"/>
    <xf numFmtId="0" fontId="0" fillId="0" borderId="0" xfId="0"/>
    <xf numFmtId="179" fontId="236" fillId="0" borderId="0" xfId="2" applyNumberFormat="1" applyFont="1" applyFill="1" applyBorder="1"/>
    <xf numFmtId="174" fontId="18" fillId="0" borderId="6" xfId="2" applyNumberFormat="1" applyFont="1" applyBorder="1" applyAlignment="1">
      <alignment horizontal="left"/>
    </xf>
    <xf numFmtId="0" fontId="12" fillId="0" borderId="1" xfId="0" applyFont="1" applyFill="1" applyBorder="1"/>
    <xf numFmtId="0" fontId="0" fillId="0" borderId="1" xfId="0" applyFill="1" applyBorder="1"/>
    <xf numFmtId="168" fontId="103" fillId="34" borderId="28" xfId="0" applyNumberFormat="1" applyFont="1" applyFill="1" applyBorder="1"/>
    <xf numFmtId="206" fontId="18" fillId="0" borderId="0" xfId="2" applyNumberFormat="1" applyFont="1" applyFill="1" applyBorder="1" applyAlignment="1"/>
    <xf numFmtId="1" fontId="20" fillId="28" borderId="30" xfId="796" applyNumberFormat="1" applyFont="1" applyFill="1" applyBorder="1" applyAlignment="1">
      <alignment horizontal="right"/>
    </xf>
    <xf numFmtId="1" fontId="20" fillId="28" borderId="6" xfId="796" applyNumberFormat="1" applyFont="1" applyFill="1" applyBorder="1" applyAlignment="1">
      <alignment horizontal="right"/>
    </xf>
    <xf numFmtId="1" fontId="20" fillId="28" borderId="31" xfId="796" applyNumberFormat="1" applyFont="1" applyFill="1" applyBorder="1" applyAlignment="1">
      <alignment horizontal="right"/>
    </xf>
    <xf numFmtId="168" fontId="19" fillId="0" borderId="0" xfId="816" applyNumberFormat="1" applyFont="1" applyFill="1" applyBorder="1" applyAlignment="1"/>
    <xf numFmtId="168" fontId="19" fillId="0" borderId="1" xfId="816" applyNumberFormat="1" applyFont="1" applyFill="1" applyBorder="1" applyAlignment="1"/>
    <xf numFmtId="1" fontId="18" fillId="28" borderId="6" xfId="796" applyNumberFormat="1" applyFont="1" applyFill="1" applyBorder="1" applyAlignment="1">
      <alignment horizontal="right"/>
    </xf>
    <xf numFmtId="1" fontId="18" fillId="28" borderId="31" xfId="796" applyNumberFormat="1" applyFont="1" applyFill="1" applyBorder="1" applyAlignment="1">
      <alignment horizontal="right"/>
    </xf>
    <xf numFmtId="176" fontId="22" fillId="0" borderId="0" xfId="322" applyNumberFormat="1" applyFont="1" applyBorder="1"/>
    <xf numFmtId="176" fontId="22" fillId="0" borderId="27" xfId="322" applyNumberFormat="1" applyFont="1" applyBorder="1"/>
    <xf numFmtId="176" fontId="17" fillId="0" borderId="29" xfId="322" applyNumberFormat="1" applyFont="1" applyFill="1" applyBorder="1"/>
    <xf numFmtId="176" fontId="17" fillId="0" borderId="2" xfId="322" applyNumberFormat="1" applyFont="1" applyFill="1" applyBorder="1"/>
    <xf numFmtId="176" fontId="17" fillId="0" borderId="28" xfId="322" applyNumberFormat="1" applyFont="1" applyFill="1" applyBorder="1"/>
    <xf numFmtId="1" fontId="18" fillId="28" borderId="30" xfId="796" applyNumberFormat="1" applyFont="1" applyFill="1" applyBorder="1" applyAlignment="1">
      <alignment horizontal="right"/>
    </xf>
    <xf numFmtId="176" fontId="22" fillId="0" borderId="1" xfId="322" applyNumberFormat="1" applyFont="1" applyBorder="1"/>
    <xf numFmtId="168" fontId="19" fillId="0" borderId="1" xfId="816" applyNumberFormat="1" applyFont="1" applyFill="1" applyBorder="1" applyAlignment="1">
      <alignment horizontal="right"/>
    </xf>
    <xf numFmtId="168" fontId="19" fillId="0" borderId="27" xfId="816" applyNumberFormat="1" applyFont="1" applyFill="1" applyBorder="1" applyAlignment="1"/>
    <xf numFmtId="168" fontId="22" fillId="0" borderId="1" xfId="816" applyNumberFormat="1" applyFont="1" applyFill="1" applyBorder="1" applyAlignment="1"/>
    <xf numFmtId="43" fontId="22" fillId="0" borderId="1" xfId="322" applyFont="1" applyFill="1" applyBorder="1" applyAlignment="1"/>
    <xf numFmtId="181" fontId="12" fillId="0" borderId="27" xfId="2151" applyNumberFormat="1" applyFont="1" applyBorder="1"/>
    <xf numFmtId="171" fontId="22" fillId="0" borderId="27" xfId="816" applyNumberFormat="1" applyFont="1" applyFill="1" applyBorder="1" applyAlignment="1"/>
    <xf numFmtId="165" fontId="20" fillId="28" borderId="0" xfId="797" applyNumberFormat="1" applyFont="1" applyFill="1" applyBorder="1" applyAlignment="1">
      <alignment horizontal="right"/>
    </xf>
    <xf numFmtId="165" fontId="20" fillId="28" borderId="27" xfId="797" applyNumberFormat="1" applyFont="1" applyFill="1" applyBorder="1" applyAlignment="1">
      <alignment horizontal="right"/>
    </xf>
    <xf numFmtId="165" fontId="20" fillId="28" borderId="1" xfId="797" applyNumberFormat="1" applyFont="1" applyFill="1" applyBorder="1" applyAlignment="1">
      <alignment horizontal="right"/>
    </xf>
    <xf numFmtId="176" fontId="76" fillId="0" borderId="0" xfId="322" applyNumberFormat="1" applyFont="1" applyFill="1" applyBorder="1" applyAlignment="1"/>
    <xf numFmtId="176" fontId="76" fillId="0" borderId="27" xfId="322" applyNumberFormat="1" applyFont="1" applyFill="1" applyBorder="1" applyAlignment="1"/>
    <xf numFmtId="176" fontId="76" fillId="0" borderId="1" xfId="322" applyNumberFormat="1" applyFont="1" applyFill="1" applyBorder="1" applyAlignment="1"/>
    <xf numFmtId="176" fontId="23" fillId="0" borderId="0" xfId="322" applyNumberFormat="1" applyFont="1" applyFill="1" applyBorder="1" applyAlignment="1"/>
    <xf numFmtId="176" fontId="23" fillId="0" borderId="27" xfId="322" applyNumberFormat="1" applyFont="1" applyFill="1" applyBorder="1" applyAlignment="1"/>
    <xf numFmtId="176" fontId="23" fillId="0" borderId="1" xfId="322" applyNumberFormat="1" applyFont="1" applyFill="1" applyBorder="1" applyAlignment="1"/>
    <xf numFmtId="43" fontId="19" fillId="0" borderId="0" xfId="322" applyFont="1" applyFill="1" applyBorder="1" applyAlignment="1"/>
    <xf numFmtId="171" fontId="22" fillId="0" borderId="0" xfId="816" applyNumberFormat="1" applyFont="1" applyFill="1" applyBorder="1" applyAlignment="1"/>
    <xf numFmtId="173" fontId="18" fillId="0" borderId="0" xfId="1166" applyNumberFormat="1" applyFont="1" applyFill="1" applyBorder="1"/>
    <xf numFmtId="173" fontId="17" fillId="0" borderId="0" xfId="1166" applyNumberFormat="1" applyFont="1" applyFill="1" applyBorder="1"/>
    <xf numFmtId="179" fontId="17" fillId="0" borderId="28" xfId="2" applyNumberFormat="1" applyFont="1" applyFill="1" applyBorder="1"/>
    <xf numFmtId="179" fontId="17" fillId="0" borderId="2" xfId="2" applyNumberFormat="1" applyFont="1" applyFill="1" applyBorder="1"/>
    <xf numFmtId="179" fontId="17" fillId="0" borderId="29" xfId="2" applyNumberFormat="1" applyFont="1" applyFill="1" applyBorder="1"/>
    <xf numFmtId="0" fontId="0" fillId="0" borderId="0" xfId="0"/>
    <xf numFmtId="164" fontId="32" fillId="38" borderId="7" xfId="795" applyNumberFormat="1" applyFont="1" applyFill="1" applyBorder="1"/>
    <xf numFmtId="164" fontId="32" fillId="38" borderId="28" xfId="795" applyNumberFormat="1" applyFont="1" applyFill="1" applyBorder="1"/>
    <xf numFmtId="164" fontId="32" fillId="38" borderId="2" xfId="795" applyNumberFormat="1" applyFont="1" applyFill="1" applyBorder="1"/>
    <xf numFmtId="164" fontId="32" fillId="38" borderId="29" xfId="795" applyNumberFormat="1" applyFont="1" applyFill="1" applyBorder="1"/>
    <xf numFmtId="204" fontId="17" fillId="0" borderId="0" xfId="2" applyNumberFormat="1" applyFont="1" applyFill="1" applyBorder="1" applyAlignment="1"/>
    <xf numFmtId="0" fontId="12" fillId="0" borderId="0" xfId="816" applyNumberFormat="1" applyFont="1"/>
    <xf numFmtId="176" fontId="237" fillId="0" borderId="0" xfId="322" applyNumberFormat="1" applyFont="1" applyFill="1" applyBorder="1" applyAlignment="1"/>
    <xf numFmtId="176" fontId="238" fillId="0" borderId="0" xfId="322" applyNumberFormat="1" applyFont="1" applyFill="1" applyBorder="1" applyAlignment="1"/>
    <xf numFmtId="176" fontId="237" fillId="0" borderId="2" xfId="322" applyNumberFormat="1" applyFont="1" applyFill="1" applyBorder="1" applyAlignment="1"/>
    <xf numFmtId="164" fontId="12" fillId="0" borderId="1" xfId="2" applyNumberFormat="1" applyFont="1" applyFill="1" applyBorder="1" applyAlignment="1"/>
    <xf numFmtId="0" fontId="12" fillId="0" borderId="0" xfId="0" applyFont="1" applyFill="1" applyBorder="1"/>
    <xf numFmtId="181" fontId="12" fillId="0" borderId="0" xfId="2151" applyNumberFormat="1" applyFont="1" applyFill="1" applyBorder="1"/>
    <xf numFmtId="0" fontId="0" fillId="0" borderId="0" xfId="0" applyFill="1" applyBorder="1"/>
    <xf numFmtId="0" fontId="0" fillId="0" borderId="0" xfId="0"/>
    <xf numFmtId="0" fontId="12" fillId="0" borderId="0" xfId="1534"/>
    <xf numFmtId="168" fontId="23" fillId="0" borderId="0" xfId="816" applyNumberFormat="1" applyFont="1" applyFill="1" applyBorder="1"/>
    <xf numFmtId="1" fontId="20" fillId="28" borderId="30" xfId="796" applyNumberFormat="1" applyFont="1" applyFill="1" applyBorder="1" applyAlignment="1">
      <alignment horizontal="right"/>
    </xf>
    <xf numFmtId="1" fontId="20" fillId="28" borderId="6" xfId="796" applyNumberFormat="1" applyFont="1" applyFill="1" applyBorder="1" applyAlignment="1">
      <alignment horizontal="right"/>
    </xf>
    <xf numFmtId="1" fontId="20" fillId="28" borderId="31" xfId="796" applyNumberFormat="1" applyFont="1" applyFill="1" applyBorder="1" applyAlignment="1">
      <alignment horizontal="right"/>
    </xf>
    <xf numFmtId="168" fontId="19" fillId="0" borderId="0" xfId="816" applyNumberFormat="1" applyFont="1" applyFill="1" applyBorder="1" applyAlignment="1"/>
    <xf numFmtId="168" fontId="19" fillId="0" borderId="1" xfId="816" applyNumberFormat="1" applyFont="1" applyFill="1" applyBorder="1" applyAlignment="1"/>
    <xf numFmtId="168" fontId="19" fillId="0" borderId="27" xfId="816" applyNumberFormat="1" applyFont="1" applyFill="1" applyBorder="1" applyAlignment="1"/>
    <xf numFmtId="168" fontId="12" fillId="0" borderId="0" xfId="816" applyNumberFormat="1" applyFont="1" applyFill="1"/>
    <xf numFmtId="181" fontId="12" fillId="0" borderId="27" xfId="2151" applyNumberFormat="1" applyFont="1" applyBorder="1"/>
    <xf numFmtId="181" fontId="12" fillId="0" borderId="1" xfId="2151" applyNumberFormat="1" applyFont="1" applyBorder="1"/>
    <xf numFmtId="181" fontId="12" fillId="0" borderId="0" xfId="2151" applyNumberFormat="1" applyFont="1" applyBorder="1"/>
    <xf numFmtId="169" fontId="22" fillId="0" borderId="0" xfId="816" applyNumberFormat="1" applyFont="1" applyFill="1" applyBorder="1" applyAlignment="1"/>
    <xf numFmtId="171" fontId="22" fillId="0" borderId="27" xfId="816" applyNumberFormat="1" applyFont="1" applyFill="1" applyBorder="1" applyAlignment="1"/>
    <xf numFmtId="165" fontId="20" fillId="28" borderId="0" xfId="797" applyNumberFormat="1" applyFont="1" applyFill="1" applyBorder="1" applyAlignment="1">
      <alignment horizontal="right"/>
    </xf>
    <xf numFmtId="165" fontId="20" fillId="28" borderId="27" xfId="797" applyNumberFormat="1" applyFont="1" applyFill="1" applyBorder="1" applyAlignment="1">
      <alignment horizontal="right"/>
    </xf>
    <xf numFmtId="165" fontId="20" fillId="28" borderId="1" xfId="797" applyNumberFormat="1" applyFont="1" applyFill="1" applyBorder="1" applyAlignment="1">
      <alignment horizontal="right"/>
    </xf>
    <xf numFmtId="169" fontId="22" fillId="0" borderId="1" xfId="816" applyNumberFormat="1" applyFont="1" applyFill="1" applyBorder="1" applyAlignment="1"/>
    <xf numFmtId="176" fontId="76" fillId="0" borderId="0" xfId="322" applyNumberFormat="1" applyFont="1" applyFill="1" applyBorder="1" applyAlignment="1"/>
    <xf numFmtId="176" fontId="76" fillId="0" borderId="27" xfId="322" applyNumberFormat="1" applyFont="1" applyFill="1" applyBorder="1" applyAlignment="1"/>
    <xf numFmtId="176" fontId="76" fillId="0" borderId="1" xfId="322" applyNumberFormat="1" applyFont="1" applyFill="1" applyBorder="1" applyAlignment="1"/>
    <xf numFmtId="176" fontId="23" fillId="0" borderId="0" xfId="322" applyNumberFormat="1" applyFont="1" applyFill="1" applyBorder="1" applyAlignment="1"/>
    <xf numFmtId="176" fontId="23" fillId="0" borderId="27" xfId="322" applyNumberFormat="1" applyFont="1" applyFill="1" applyBorder="1" applyAlignment="1"/>
    <xf numFmtId="176" fontId="23" fillId="0" borderId="1" xfId="322" applyNumberFormat="1" applyFont="1" applyFill="1" applyBorder="1" applyAlignment="1"/>
    <xf numFmtId="173" fontId="18" fillId="0" borderId="0" xfId="1166" applyNumberFormat="1" applyFont="1" applyFill="1" applyBorder="1"/>
    <xf numFmtId="9" fontId="22" fillId="0" borderId="0" xfId="816" applyFont="1" applyFill="1" applyBorder="1"/>
    <xf numFmtId="0" fontId="17" fillId="0" borderId="30" xfId="2" applyFont="1" applyFill="1" applyBorder="1"/>
    <xf numFmtId="0" fontId="0" fillId="0" borderId="0" xfId="0"/>
    <xf numFmtId="9" fontId="19" fillId="0" borderId="22" xfId="2" applyNumberFormat="1" applyFont="1" applyBorder="1" applyAlignment="1">
      <alignment horizontal="center"/>
    </xf>
    <xf numFmtId="9" fontId="19" fillId="0" borderId="0" xfId="2" applyNumberFormat="1" applyFont="1" applyBorder="1" applyAlignment="1">
      <alignment horizontal="center"/>
    </xf>
    <xf numFmtId="9" fontId="63" fillId="0" borderId="6" xfId="2" applyNumberFormat="1" applyFont="1" applyBorder="1" applyAlignment="1">
      <alignment horizontal="center"/>
    </xf>
    <xf numFmtId="178" fontId="30" fillId="0" borderId="2" xfId="2" applyNumberFormat="1" applyFont="1" applyBorder="1" applyAlignment="1">
      <alignment horizontal="right"/>
    </xf>
    <xf numFmtId="0" fontId="17" fillId="0" borderId="37" xfId="2" applyFont="1" applyBorder="1"/>
    <xf numFmtId="4" fontId="17" fillId="0" borderId="32" xfId="2" applyNumberFormat="1" applyFont="1" applyBorder="1"/>
    <xf numFmtId="0" fontId="25" fillId="0" borderId="27" xfId="2" applyFont="1" applyBorder="1"/>
    <xf numFmtId="0" fontId="29" fillId="0" borderId="27" xfId="2" applyFont="1" applyBorder="1"/>
    <xf numFmtId="0" fontId="0" fillId="0" borderId="27" xfId="2" applyFont="1" applyFill="1" applyBorder="1"/>
    <xf numFmtId="1" fontId="0" fillId="0" borderId="27" xfId="2" applyNumberFormat="1" applyFont="1" applyBorder="1"/>
    <xf numFmtId="0" fontId="0" fillId="0" borderId="0" xfId="0"/>
    <xf numFmtId="168" fontId="103" fillId="0" borderId="0" xfId="0" applyNumberFormat="1" applyFont="1" applyFill="1" applyBorder="1"/>
    <xf numFmtId="0" fontId="22" fillId="0" borderId="0" xfId="816" applyNumberFormat="1" applyFont="1" applyFill="1" applyBorder="1" applyAlignment="1"/>
    <xf numFmtId="0" fontId="239" fillId="0" borderId="0" xfId="1040" applyFont="1" applyFill="1" applyAlignment="1">
      <alignment horizontal="center"/>
    </xf>
    <xf numFmtId="168" fontId="240" fillId="0" borderId="0" xfId="816" applyNumberFormat="1" applyFont="1"/>
    <xf numFmtId="43" fontId="12" fillId="0" borderId="0" xfId="2" applyNumberFormat="1" applyFont="1"/>
    <xf numFmtId="167" fontId="17" fillId="0" borderId="0" xfId="1166" applyNumberFormat="1" applyFont="1" applyFill="1" applyBorder="1" applyAlignment="1"/>
    <xf numFmtId="179" fontId="22" fillId="0" borderId="0" xfId="2" applyNumberFormat="1" applyFont="1"/>
    <xf numFmtId="176" fontId="116" fillId="0" borderId="1" xfId="379" applyNumberFormat="1" applyFont="1" applyFill="1" applyBorder="1" applyAlignment="1"/>
    <xf numFmtId="176" fontId="17" fillId="0" borderId="1" xfId="322" applyNumberFormat="1" applyFont="1" applyFill="1" applyBorder="1" applyAlignment="1"/>
    <xf numFmtId="176" fontId="17" fillId="0" borderId="0" xfId="322" applyNumberFormat="1" applyFont="1" applyFill="1" applyBorder="1" applyAlignment="1"/>
    <xf numFmtId="176" fontId="17" fillId="0" borderId="27" xfId="322" applyNumberFormat="1" applyFont="1" applyFill="1" applyBorder="1" applyAlignment="1"/>
    <xf numFmtId="173" fontId="18" fillId="0" borderId="0" xfId="1166" applyNumberFormat="1" applyFont="1" applyFill="1" applyBorder="1"/>
    <xf numFmtId="168" fontId="17" fillId="0" borderId="27" xfId="816" applyNumberFormat="1" applyFont="1" applyFill="1" applyBorder="1" applyAlignment="1"/>
    <xf numFmtId="168" fontId="17" fillId="0" borderId="0" xfId="816" applyNumberFormat="1" applyFont="1" applyFill="1" applyBorder="1" applyAlignment="1"/>
    <xf numFmtId="0" fontId="0" fillId="0" borderId="0" xfId="0"/>
    <xf numFmtId="0" fontId="0" fillId="0" borderId="0" xfId="0"/>
    <xf numFmtId="0" fontId="241" fillId="0" borderId="0" xfId="0" applyFont="1"/>
    <xf numFmtId="37" fontId="0" fillId="0" borderId="0" xfId="322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29" fillId="0" borderId="8" xfId="0" applyFont="1" applyBorder="1" applyAlignment="1">
      <alignment horizontal="center"/>
    </xf>
    <xf numFmtId="37" fontId="0" fillId="0" borderId="32" xfId="322" applyNumberFormat="1" applyFont="1" applyBorder="1" applyAlignment="1">
      <alignment horizontal="center"/>
    </xf>
    <xf numFmtId="168" fontId="0" fillId="0" borderId="32" xfId="816" applyNumberFormat="1" applyFont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0" borderId="32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12" fillId="0" borderId="28" xfId="0" applyFont="1" applyBorder="1"/>
    <xf numFmtId="1" fontId="0" fillId="0" borderId="29" xfId="0" applyNumberFormat="1" applyBorder="1" applyAlignment="1">
      <alignment horizontal="center"/>
    </xf>
    <xf numFmtId="0" fontId="29" fillId="0" borderId="30" xfId="0" applyFont="1" applyBorder="1"/>
    <xf numFmtId="0" fontId="0" fillId="0" borderId="31" xfId="0" applyBorder="1" applyAlignment="1">
      <alignment horizontal="center"/>
    </xf>
    <xf numFmtId="0" fontId="241" fillId="0" borderId="7" xfId="0" applyFont="1" applyBorder="1"/>
    <xf numFmtId="1" fontId="0" fillId="0" borderId="36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29" fillId="0" borderId="8" xfId="0" applyNumberFormat="1" applyFont="1" applyBorder="1" applyAlignment="1">
      <alignment horizontal="center"/>
    </xf>
    <xf numFmtId="9" fontId="29" fillId="0" borderId="8" xfId="816" applyFont="1" applyBorder="1" applyAlignment="1">
      <alignment horizontal="center"/>
    </xf>
    <xf numFmtId="208" fontId="29" fillId="0" borderId="37" xfId="0" applyNumberFormat="1" applyFont="1" applyBorder="1" applyAlignment="1">
      <alignment horizontal="center"/>
    </xf>
    <xf numFmtId="208" fontId="29" fillId="0" borderId="36" xfId="0" applyNumberFormat="1" applyFont="1" applyBorder="1" applyAlignment="1">
      <alignment horizontal="center"/>
    </xf>
    <xf numFmtId="0" fontId="12" fillId="0" borderId="1" xfId="0" applyFont="1" applyBorder="1" applyAlignment="1">
      <alignment wrapText="1" shrinkToFit="1"/>
    </xf>
    <xf numFmtId="0" fontId="12" fillId="0" borderId="28" xfId="0" applyFont="1" applyBorder="1" applyAlignment="1">
      <alignment wrapText="1" shrinkToFit="1"/>
    </xf>
    <xf numFmtId="0" fontId="12" fillId="0" borderId="7" xfId="0" applyFont="1" applyBorder="1" applyAlignment="1">
      <alignment wrapText="1" shrinkToFit="1"/>
    </xf>
    <xf numFmtId="9" fontId="0" fillId="0" borderId="32" xfId="0" applyNumberFormat="1" applyBorder="1" applyAlignment="1">
      <alignment horizontal="center"/>
    </xf>
    <xf numFmtId="9" fontId="0" fillId="0" borderId="36" xfId="0" applyNumberFormat="1" applyBorder="1" applyAlignment="1">
      <alignment horizontal="center"/>
    </xf>
    <xf numFmtId="227" fontId="0" fillId="0" borderId="32" xfId="0" applyNumberFormat="1" applyBorder="1" applyAlignment="1">
      <alignment horizontal="center"/>
    </xf>
    <xf numFmtId="0" fontId="0" fillId="0" borderId="8" xfId="0" applyBorder="1"/>
    <xf numFmtId="168" fontId="29" fillId="0" borderId="8" xfId="816" applyNumberFormat="1" applyFont="1" applyBorder="1" applyAlignment="1">
      <alignment horizontal="center"/>
    </xf>
    <xf numFmtId="0" fontId="241" fillId="0" borderId="8" xfId="0" applyFont="1" applyBorder="1" applyAlignment="1">
      <alignment horizontal="center" wrapText="1" shrinkToFit="1"/>
    </xf>
    <xf numFmtId="0" fontId="241" fillId="0" borderId="31" xfId="0" applyFont="1" applyBorder="1" applyAlignment="1">
      <alignment horizontal="center" wrapText="1" shrinkToFit="1"/>
    </xf>
    <xf numFmtId="44" fontId="0" fillId="0" borderId="0" xfId="0" applyNumberFormat="1"/>
    <xf numFmtId="192" fontId="0" fillId="0" borderId="0" xfId="0" applyNumberFormat="1" applyBorder="1" applyAlignment="1">
      <alignment horizontal="center"/>
    </xf>
    <xf numFmtId="192" fontId="0" fillId="0" borderId="32" xfId="0" applyNumberForma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1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208" fontId="29" fillId="0" borderId="0" xfId="0" applyNumberFormat="1" applyFont="1" applyBorder="1" applyAlignment="1">
      <alignment horizontal="center"/>
    </xf>
    <xf numFmtId="0" fontId="241" fillId="0" borderId="32" xfId="0" applyFont="1" applyBorder="1"/>
    <xf numFmtId="0" fontId="12" fillId="0" borderId="32" xfId="0" applyFont="1" applyBorder="1"/>
    <xf numFmtId="0" fontId="12" fillId="0" borderId="36" xfId="0" applyFont="1" applyBorder="1"/>
    <xf numFmtId="168" fontId="0" fillId="0" borderId="0" xfId="0" applyNumberFormat="1" applyBorder="1"/>
    <xf numFmtId="0" fontId="29" fillId="0" borderId="31" xfId="0" applyFont="1" applyBorder="1"/>
    <xf numFmtId="0" fontId="113" fillId="0" borderId="22" xfId="651" applyFont="1" applyFill="1" applyBorder="1" applyAlignment="1">
      <alignment horizontal="left" wrapText="1" shrinkToFit="1"/>
    </xf>
    <xf numFmtId="0" fontId="113" fillId="0" borderId="0" xfId="651" applyFont="1" applyFill="1" applyBorder="1" applyAlignment="1">
      <alignment horizontal="left" wrapText="1" shrinkToFit="1"/>
    </xf>
    <xf numFmtId="0" fontId="12" fillId="75" borderId="0" xfId="10312" applyFont="1" applyFill="1" applyAlignment="1">
      <alignment vertical="top"/>
    </xf>
    <xf numFmtId="0" fontId="12" fillId="75" borderId="0" xfId="1534" applyFill="1" applyAlignment="1">
      <alignment vertical="top"/>
    </xf>
    <xf numFmtId="0" fontId="12" fillId="75" borderId="0" xfId="1534" applyFill="1"/>
    <xf numFmtId="0" fontId="17" fillId="75" borderId="0" xfId="10312" applyFont="1" applyFill="1" applyAlignment="1">
      <alignment horizontal="left" vertical="top"/>
    </xf>
    <xf numFmtId="0" fontId="12" fillId="75" borderId="0" xfId="1534" applyFont="1" applyFill="1" applyAlignment="1">
      <alignment vertical="top"/>
    </xf>
    <xf numFmtId="0" fontId="74" fillId="75" borderId="0" xfId="10312" applyFont="1" applyFill="1" applyAlignment="1">
      <alignment vertical="top"/>
    </xf>
    <xf numFmtId="0" fontId="0" fillId="75" borderId="0" xfId="0" applyFill="1" applyAlignment="1">
      <alignment vertical="top"/>
    </xf>
    <xf numFmtId="0" fontId="242" fillId="75" borderId="0" xfId="0" applyFont="1" applyFill="1" applyAlignment="1">
      <alignment vertical="top"/>
    </xf>
    <xf numFmtId="0" fontId="243" fillId="75" borderId="0" xfId="0" applyFont="1" applyFill="1" applyAlignment="1">
      <alignment vertical="top"/>
    </xf>
    <xf numFmtId="0" fontId="243" fillId="75" borderId="0" xfId="0" applyFont="1" applyFill="1" applyAlignment="1">
      <alignment vertical="top"/>
    </xf>
    <xf numFmtId="0" fontId="242" fillId="75" borderId="0" xfId="0" applyFont="1" applyFill="1" applyAlignment="1">
      <alignment vertical="top"/>
    </xf>
    <xf numFmtId="0" fontId="0" fillId="75" borderId="0" xfId="0" applyFill="1" applyAlignment="1">
      <alignment vertical="top"/>
    </xf>
    <xf numFmtId="0" fontId="0" fillId="75" borderId="52" xfId="0" applyFill="1" applyBorder="1" applyAlignment="1">
      <alignment vertical="top"/>
    </xf>
    <xf numFmtId="0" fontId="242" fillId="75" borderId="48" xfId="0" applyFont="1" applyFill="1" applyBorder="1" applyAlignment="1">
      <alignment vertical="top"/>
    </xf>
    <xf numFmtId="0" fontId="242" fillId="75" borderId="49" xfId="0" applyFont="1" applyFill="1" applyBorder="1" applyAlignment="1">
      <alignment vertical="top"/>
    </xf>
    <xf numFmtId="0" fontId="242" fillId="75" borderId="50" xfId="0" applyFont="1" applyFill="1" applyBorder="1" applyAlignment="1">
      <alignment vertical="top"/>
    </xf>
    <xf numFmtId="0" fontId="242" fillId="75" borderId="51" xfId="0" applyFont="1" applyFill="1" applyBorder="1" applyAlignment="1">
      <alignment vertical="top"/>
    </xf>
    <xf numFmtId="9" fontId="242" fillId="75" borderId="48" xfId="0" applyNumberFormat="1" applyFont="1" applyFill="1" applyBorder="1" applyAlignment="1">
      <alignment vertical="top"/>
    </xf>
    <xf numFmtId="3" fontId="242" fillId="75" borderId="48" xfId="0" applyNumberFormat="1" applyFont="1" applyFill="1" applyBorder="1" applyAlignment="1">
      <alignment vertical="top"/>
    </xf>
    <xf numFmtId="0" fontId="0" fillId="75" borderId="53" xfId="0" applyFill="1" applyBorder="1" applyAlignment="1">
      <alignment vertical="top"/>
    </xf>
    <xf numFmtId="2" fontId="12" fillId="0" borderId="0" xfId="1534" applyNumberFormat="1" applyAlignment="1">
      <alignment horizontal="left"/>
    </xf>
    <xf numFmtId="0" fontId="12" fillId="0" borderId="0" xfId="1534" applyNumberFormat="1" applyAlignment="1">
      <alignment horizontal="left"/>
    </xf>
    <xf numFmtId="1" fontId="12" fillId="0" borderId="0" xfId="1534" applyNumberFormat="1" applyAlignment="1">
      <alignment horizontal="left"/>
    </xf>
    <xf numFmtId="0" fontId="12" fillId="0" borderId="0" xfId="1534" applyFont="1"/>
    <xf numFmtId="233" fontId="12" fillId="0" borderId="0" xfId="1534" applyNumberFormat="1" applyAlignment="1">
      <alignment horizontal="left"/>
    </xf>
    <xf numFmtId="49" fontId="12" fillId="0" borderId="0" xfId="1534" applyNumberFormat="1"/>
  </cellXfs>
  <cellStyles count="10313">
    <cellStyle name="-" xfId="1"/>
    <cellStyle name="_x000a_386grabber=M" xfId="2"/>
    <cellStyle name="_x000a_386grabber=M 2" xfId="3"/>
    <cellStyle name="_x000a_386grabber=M 2 2" xfId="4"/>
    <cellStyle name="_x000a_386grabber=M 2 2 2" xfId="1166"/>
    <cellStyle name="_x000a_386grabber=M 2 3" xfId="1165"/>
    <cellStyle name="_x000a_386grabber=M 3" xfId="5"/>
    <cellStyle name="_x000a_386grabber=M 3 2" xfId="1167"/>
    <cellStyle name="_x000a_386grabber=M 4" xfId="1164"/>
    <cellStyle name="$ 1 decimal" xfId="6"/>
    <cellStyle name="%" xfId="7"/>
    <cellStyle name="% 2" xfId="8"/>
    <cellStyle name="% 2 2" xfId="9"/>
    <cellStyle name="% 2 2 2" xfId="10"/>
    <cellStyle name="% 2 2 2 2" xfId="1171"/>
    <cellStyle name="% 2 2 3" xfId="1170"/>
    <cellStyle name="% 2 3" xfId="11"/>
    <cellStyle name="% 2 3 2" xfId="1172"/>
    <cellStyle name="% 2 4" xfId="1169"/>
    <cellStyle name="% 3" xfId="12"/>
    <cellStyle name="% 3 2" xfId="13"/>
    <cellStyle name="% 3 2 2" xfId="1174"/>
    <cellStyle name="% 3 3" xfId="1173"/>
    <cellStyle name="% 4" xfId="14"/>
    <cellStyle name="% 4 2" xfId="1175"/>
    <cellStyle name="% 5" xfId="15"/>
    <cellStyle name="% 5 2" xfId="1176"/>
    <cellStyle name="% 6" xfId="1168"/>
    <cellStyle name="?Q\?1@" xfId="16"/>
    <cellStyle name="?Q\?1@ 2" xfId="17"/>
    <cellStyle name="?Q\?1@ 2 2" xfId="1178"/>
    <cellStyle name="?Q\?1@ 3" xfId="1177"/>
    <cellStyle name="_2003AIMInformation for Reports" xfId="18"/>
    <cellStyle name="_AIMP Europe Stats May 2004" xfId="19"/>
    <cellStyle name="_AIMP Europe Stats May 2004 2" xfId="1179"/>
    <cellStyle name="_AMCCmodelware" xfId="20"/>
    <cellStyle name="_AMCCmodelware 2" xfId="21"/>
    <cellStyle name="_AMCCmodelware 2 2" xfId="22"/>
    <cellStyle name="_AMCCmodelware 2 2 2" xfId="23"/>
    <cellStyle name="_AMCCmodelware 2 2 2 2" xfId="1183"/>
    <cellStyle name="_AMCCmodelware 2 2 3" xfId="1182"/>
    <cellStyle name="_AMCCmodelware 2 3" xfId="24"/>
    <cellStyle name="_AMCCmodelware 2 3 2" xfId="1184"/>
    <cellStyle name="_AMCCmodelware 2 4" xfId="1181"/>
    <cellStyle name="_AMCCmodelware 3" xfId="25"/>
    <cellStyle name="_AMCCmodelware 3 2" xfId="26"/>
    <cellStyle name="_AMCCmodelware 3 2 2" xfId="1186"/>
    <cellStyle name="_AMCCmodelware 3 3" xfId="1185"/>
    <cellStyle name="_AMCCmodelware 4" xfId="27"/>
    <cellStyle name="_AMCCmodelware 4 2" xfId="1187"/>
    <cellStyle name="_AMCCmodelware 5" xfId="1180"/>
    <cellStyle name="_ARX Modelware (12)" xfId="28"/>
    <cellStyle name="_ARX QoQ Chart" xfId="29"/>
    <cellStyle name="_Book1" xfId="30"/>
    <cellStyle name="_CAVM Modelware" xfId="31"/>
    <cellStyle name="_CAVM_122910 v.2" xfId="32"/>
    <cellStyle name="_exchange rates" xfId="33"/>
    <cellStyle name="_exchange rates 2" xfId="1188"/>
    <cellStyle name="_Fall 2002 IT Services Forecast Supplement" xfId="34"/>
    <cellStyle name="_Fall 2002 IT Services Forecast Supplement 2" xfId="1189"/>
    <cellStyle name="_Forecast Review -Fall 2002 IT Services Nov 13" xfId="35"/>
    <cellStyle name="_Forecast Review -Fall 2002 IT Services Nov 13 2" xfId="1190"/>
    <cellStyle name="_Info" xfId="36"/>
    <cellStyle name="_Internal--Forecast Accuracy" xfId="37"/>
    <cellStyle name="_Internal--Market Share and Service Line Forecast" xfId="38"/>
    <cellStyle name="_Internal--Market Share and Vertical Forecast" xfId="39"/>
    <cellStyle name="_LSI Modelware_021111" xfId="40"/>
    <cellStyle name="_LSI Modelware_021111 2" xfId="41"/>
    <cellStyle name="_LSI Modelware_021111 2 2" xfId="42"/>
    <cellStyle name="_LSI Modelware_021111 2 2 2" xfId="43"/>
    <cellStyle name="_LSI Modelware_021111 2 2 2 2" xfId="1194"/>
    <cellStyle name="_LSI Modelware_021111 2 2 3" xfId="1193"/>
    <cellStyle name="_LSI Modelware_021111 2 3" xfId="44"/>
    <cellStyle name="_LSI Modelware_021111 2 3 2" xfId="1195"/>
    <cellStyle name="_LSI Modelware_021111 2 4" xfId="1192"/>
    <cellStyle name="_LSI Modelware_021111 3" xfId="45"/>
    <cellStyle name="_LSI Modelware_021111 3 2" xfId="46"/>
    <cellStyle name="_LSI Modelware_021111 3 2 2" xfId="1197"/>
    <cellStyle name="_LSI Modelware_021111 3 3" xfId="1196"/>
    <cellStyle name="_LSI Modelware_021111 4" xfId="47"/>
    <cellStyle name="_LSI Modelware_021111 4 2" xfId="1198"/>
    <cellStyle name="_LSI Modelware_021111 5" xfId="1191"/>
    <cellStyle name="_LSI Modelware_021611" xfId="48"/>
    <cellStyle name="_LSI Modelware_021611 2" xfId="49"/>
    <cellStyle name="_LSI Modelware_021611 2 2" xfId="50"/>
    <cellStyle name="_LSI Modelware_021611 2 2 2" xfId="51"/>
    <cellStyle name="_LSI Modelware_021611 2 2 2 2" xfId="1202"/>
    <cellStyle name="_LSI Modelware_021611 2 2 3" xfId="1201"/>
    <cellStyle name="_LSI Modelware_021611 2 3" xfId="52"/>
    <cellStyle name="_LSI Modelware_021611 2 3 2" xfId="1203"/>
    <cellStyle name="_LSI Modelware_021611 2 4" xfId="1200"/>
    <cellStyle name="_LSI Modelware_021611 3" xfId="53"/>
    <cellStyle name="_LSI Modelware_021611 3 2" xfId="54"/>
    <cellStyle name="_LSI Modelware_021611 3 2 2" xfId="1205"/>
    <cellStyle name="_LSI Modelware_021611 3 3" xfId="1204"/>
    <cellStyle name="_LSI Modelware_021611 4" xfId="55"/>
    <cellStyle name="_LSI Modelware_021611 4 2" xfId="1206"/>
    <cellStyle name="_LSI Modelware_021611 5" xfId="1199"/>
    <cellStyle name="_LSI_012511 (5)" xfId="56"/>
    <cellStyle name="_LSI_012511 (5) 2" xfId="57"/>
    <cellStyle name="_LSI_012511 (5) 2 2" xfId="58"/>
    <cellStyle name="_LSI_012511 (5) 2 2 2" xfId="59"/>
    <cellStyle name="_LSI_012511 (5) 2 2 2 2" xfId="1210"/>
    <cellStyle name="_LSI_012511 (5) 2 2 3" xfId="1209"/>
    <cellStyle name="_LSI_012511 (5) 2 3" xfId="60"/>
    <cellStyle name="_LSI_012511 (5) 2 3 2" xfId="1211"/>
    <cellStyle name="_LSI_012511 (5) 2 4" xfId="1208"/>
    <cellStyle name="_LSI_012511 (5) 3" xfId="61"/>
    <cellStyle name="_LSI_012511 (5) 3 2" xfId="62"/>
    <cellStyle name="_LSI_012511 (5) 3 2 2" xfId="1213"/>
    <cellStyle name="_LSI_012511 (5) 3 3" xfId="1212"/>
    <cellStyle name="_LSI_012511 (5) 4" xfId="63"/>
    <cellStyle name="_LSI_012511 (5) 4 2" xfId="1214"/>
    <cellStyle name="_LSI_012511 (5) 5" xfId="1207"/>
    <cellStyle name="_Market sizing Generic" xfId="64"/>
    <cellStyle name="_Mkt Seg SRS Shell" xfId="65"/>
    <cellStyle name="_Mkt Seg SRS Shell 2" xfId="1215"/>
    <cellStyle name="_Pivot AIMP 2003 2 June 2004 for publication" xfId="66"/>
    <cellStyle name="_Pivot AIMP 2003 2 June 2004 for publication 2" xfId="1216"/>
    <cellStyle name="_prelim vs final" xfId="67"/>
    <cellStyle name="_Print Generic Charts Library" xfId="68"/>
    <cellStyle name="_Print Generic Charts Library 2" xfId="1217"/>
    <cellStyle name="_Rama Other Companies" xfId="69"/>
    <cellStyle name="_Rama Other Companies 2" xfId="1218"/>
    <cellStyle name="_RRS1" xfId="70"/>
    <cellStyle name="_RRS1 2" xfId="71"/>
    <cellStyle name="_RRS1 2 2" xfId="72"/>
    <cellStyle name="_RRS1 2 2 2" xfId="73"/>
    <cellStyle name="_RRS1 2 2 2 2" xfId="1222"/>
    <cellStyle name="_RRS1 2 2 3" xfId="1221"/>
    <cellStyle name="_RRS1 2 3" xfId="74"/>
    <cellStyle name="_RRS1 2 3 2" xfId="1223"/>
    <cellStyle name="_RRS1 2 4" xfId="1220"/>
    <cellStyle name="_RRS1 3" xfId="75"/>
    <cellStyle name="_RRS1 3 2" xfId="76"/>
    <cellStyle name="_RRS1 3 2 2" xfId="1225"/>
    <cellStyle name="_RRS1 3 3" xfId="1224"/>
    <cellStyle name="_RRS1 4" xfId="77"/>
    <cellStyle name="_RRS1 4 2" xfId="1226"/>
    <cellStyle name="_RRS1 5" xfId="78"/>
    <cellStyle name="_RRS1 5 2" xfId="1227"/>
    <cellStyle name="_RRS1 6" xfId="1219"/>
    <cellStyle name="_RRS10" xfId="79"/>
    <cellStyle name="_RRS10 2" xfId="80"/>
    <cellStyle name="_RRS10 2 2" xfId="81"/>
    <cellStyle name="_RRS10 2 2 2" xfId="82"/>
    <cellStyle name="_RRS10 2 2 2 2" xfId="1231"/>
    <cellStyle name="_RRS10 2 2 3" xfId="1230"/>
    <cellStyle name="_RRS10 2 3" xfId="83"/>
    <cellStyle name="_RRS10 2 3 2" xfId="1232"/>
    <cellStyle name="_RRS10 2 4" xfId="1229"/>
    <cellStyle name="_RRS10 3" xfId="84"/>
    <cellStyle name="_RRS10 3 2" xfId="85"/>
    <cellStyle name="_RRS10 3 2 2" xfId="1234"/>
    <cellStyle name="_RRS10 3 3" xfId="1233"/>
    <cellStyle name="_RRS10 4" xfId="86"/>
    <cellStyle name="_RRS10 4 2" xfId="1235"/>
    <cellStyle name="_RRS10 5" xfId="1228"/>
    <cellStyle name="_RRS3" xfId="87"/>
    <cellStyle name="_RRS3 2" xfId="88"/>
    <cellStyle name="_RRS3 2 2" xfId="89"/>
    <cellStyle name="_RRS3 2 2 2" xfId="90"/>
    <cellStyle name="_RRS3 2 2 2 2" xfId="1239"/>
    <cellStyle name="_RRS3 2 2 3" xfId="1238"/>
    <cellStyle name="_RRS3 2 3" xfId="91"/>
    <cellStyle name="_RRS3 2 3 2" xfId="1240"/>
    <cellStyle name="_RRS3 2 4" xfId="1237"/>
    <cellStyle name="_RRS3 3" xfId="92"/>
    <cellStyle name="_RRS3 3 2" xfId="93"/>
    <cellStyle name="_RRS3 3 2 2" xfId="1242"/>
    <cellStyle name="_RRS3 3 3" xfId="1241"/>
    <cellStyle name="_RRS3 4" xfId="94"/>
    <cellStyle name="_RRS3 4 2" xfId="1243"/>
    <cellStyle name="_RRS3 5" xfId="95"/>
    <cellStyle name="_RRS3 5 2" xfId="1244"/>
    <cellStyle name="_RRS3 6" xfId="1236"/>
    <cellStyle name="_RRS4" xfId="96"/>
    <cellStyle name="_RRS4 2" xfId="97"/>
    <cellStyle name="_RRS4 2 2" xfId="98"/>
    <cellStyle name="_RRS4 2 2 2" xfId="99"/>
    <cellStyle name="_RRS4 2 2 2 2" xfId="1248"/>
    <cellStyle name="_RRS4 2 2 3" xfId="1247"/>
    <cellStyle name="_RRS4 2 3" xfId="100"/>
    <cellStyle name="_RRS4 2 3 2" xfId="1249"/>
    <cellStyle name="_RRS4 2 4" xfId="1246"/>
    <cellStyle name="_RRS4 3" xfId="101"/>
    <cellStyle name="_RRS4 3 2" xfId="102"/>
    <cellStyle name="_RRS4 3 2 2" xfId="1251"/>
    <cellStyle name="_RRS4 3 3" xfId="1250"/>
    <cellStyle name="_RRS4 4" xfId="103"/>
    <cellStyle name="_RRS4 4 2" xfId="1252"/>
    <cellStyle name="_RRS4 5" xfId="104"/>
    <cellStyle name="_RRS4 5 2" xfId="1253"/>
    <cellStyle name="_RRS4 6" xfId="1245"/>
    <cellStyle name="_SUMMARY " xfId="105"/>
    <cellStyle name="_SUMMARY  10" xfId="106"/>
    <cellStyle name="_SUMMARY  10 2" xfId="1254"/>
    <cellStyle name="_SUMMARY  11" xfId="107"/>
    <cellStyle name="_SUMMARY  11 2" xfId="1255"/>
    <cellStyle name="_SUMMARY  12" xfId="108"/>
    <cellStyle name="_SUMMARY  12 2" xfId="1987"/>
    <cellStyle name="_SUMMARY  12 3" xfId="1886"/>
    <cellStyle name="_SUMMARY  13" xfId="109"/>
    <cellStyle name="_SUMMARY  13 2" xfId="1988"/>
    <cellStyle name="_SUMMARY  13 3" xfId="1887"/>
    <cellStyle name="_SUMMARY  2" xfId="110"/>
    <cellStyle name="_SUMMARY  2 2" xfId="111"/>
    <cellStyle name="_SUMMARY  2 2 2" xfId="112"/>
    <cellStyle name="_SUMMARY  2 2 2 2" xfId="1258"/>
    <cellStyle name="_SUMMARY  2 2 3" xfId="1257"/>
    <cellStyle name="_SUMMARY  2 3" xfId="113"/>
    <cellStyle name="_SUMMARY  2 3 2" xfId="1259"/>
    <cellStyle name="_SUMMARY  2 4" xfId="1256"/>
    <cellStyle name="_SUMMARY  3" xfId="114"/>
    <cellStyle name="_SUMMARY  3 2" xfId="115"/>
    <cellStyle name="_SUMMARY  3 2 2" xfId="1261"/>
    <cellStyle name="_SUMMARY  3 3" xfId="1260"/>
    <cellStyle name="_SUMMARY  4" xfId="116"/>
    <cellStyle name="_SUMMARY  4 2" xfId="117"/>
    <cellStyle name="_SUMMARY  4 2 2" xfId="118"/>
    <cellStyle name="_SUMMARY  4 2 2 2" xfId="1264"/>
    <cellStyle name="_SUMMARY  4 2 3" xfId="1263"/>
    <cellStyle name="_SUMMARY  4 3" xfId="119"/>
    <cellStyle name="_SUMMARY  4 3 2" xfId="120"/>
    <cellStyle name="_SUMMARY  4 3 2 2" xfId="1266"/>
    <cellStyle name="_SUMMARY  4 3 3" xfId="1265"/>
    <cellStyle name="_SUMMARY  4 4" xfId="121"/>
    <cellStyle name="_SUMMARY  4 4 2" xfId="1267"/>
    <cellStyle name="_SUMMARY  4 5" xfId="122"/>
    <cellStyle name="_SUMMARY  4 5 2" xfId="1268"/>
    <cellStyle name="_SUMMARY  4 6" xfId="1262"/>
    <cellStyle name="_SUMMARY  5" xfId="123"/>
    <cellStyle name="_SUMMARY  5 2" xfId="124"/>
    <cellStyle name="_SUMMARY  5 2 2" xfId="125"/>
    <cellStyle name="_SUMMARY  5 2 2 2" xfId="1271"/>
    <cellStyle name="_SUMMARY  5 2 3" xfId="1270"/>
    <cellStyle name="_SUMMARY  5 3" xfId="126"/>
    <cellStyle name="_SUMMARY  5 3 2" xfId="1272"/>
    <cellStyle name="_SUMMARY  5 4" xfId="1269"/>
    <cellStyle name="_SUMMARY  6" xfId="127"/>
    <cellStyle name="_SUMMARY  6 2" xfId="128"/>
    <cellStyle name="_SUMMARY  6 2 2" xfId="1274"/>
    <cellStyle name="_SUMMARY  6 3" xfId="1273"/>
    <cellStyle name="_SUMMARY  7" xfId="129"/>
    <cellStyle name="_SUMMARY  7 2" xfId="1275"/>
    <cellStyle name="_SUMMARY  8" xfId="130"/>
    <cellStyle name="_SUMMARY  8 2" xfId="1276"/>
    <cellStyle name="_SUMMARY  9" xfId="131"/>
    <cellStyle name="_SUMMARY  9 2" xfId="132"/>
    <cellStyle name="_SUMMARY  9 2 2" xfId="1278"/>
    <cellStyle name="_SUMMARY  9 3" xfId="1277"/>
    <cellStyle name="_SWKS_113010" xfId="133"/>
    <cellStyle name="_SWKS_113010 2" xfId="134"/>
    <cellStyle name="_SWKS_113010 2 2" xfId="135"/>
    <cellStyle name="_SWKS_113010 2 2 2" xfId="136"/>
    <cellStyle name="_SWKS_113010 2 2 2 2" xfId="1282"/>
    <cellStyle name="_SWKS_113010 2 2 3" xfId="1281"/>
    <cellStyle name="_SWKS_113010 2 3" xfId="137"/>
    <cellStyle name="_SWKS_113010 2 3 2" xfId="1283"/>
    <cellStyle name="_SWKS_113010 2 4" xfId="1280"/>
    <cellStyle name="_SWKS_113010 3" xfId="138"/>
    <cellStyle name="_SWKS_113010 3 2" xfId="139"/>
    <cellStyle name="_SWKS_113010 3 2 2" xfId="1285"/>
    <cellStyle name="_SWKS_113010 3 3" xfId="1284"/>
    <cellStyle name="_SWKS_113010 4" xfId="140"/>
    <cellStyle name="_SWKS_113010 4 2" xfId="1286"/>
    <cellStyle name="_SWKS_113010 5" xfId="1279"/>
    <cellStyle name="_SWKS_122210" xfId="141"/>
    <cellStyle name="_SWKS_122210 2" xfId="142"/>
    <cellStyle name="_SWKS_122210 2 2" xfId="143"/>
    <cellStyle name="_SWKS_122210 2 2 2" xfId="144"/>
    <cellStyle name="_SWKS_122210 2 2 2 2" xfId="1290"/>
    <cellStyle name="_SWKS_122210 2 2 3" xfId="1289"/>
    <cellStyle name="_SWKS_122210 2 3" xfId="145"/>
    <cellStyle name="_SWKS_122210 2 3 2" xfId="1291"/>
    <cellStyle name="_SWKS_122210 2 4" xfId="1288"/>
    <cellStyle name="_SWKS_122210 3" xfId="146"/>
    <cellStyle name="_SWKS_122210 3 2" xfId="147"/>
    <cellStyle name="_SWKS_122210 3 2 2" xfId="1293"/>
    <cellStyle name="_SWKS_122210 3 3" xfId="1292"/>
    <cellStyle name="_SWKS_122210 4" xfId="148"/>
    <cellStyle name="_SWKS_122210 4 2" xfId="1294"/>
    <cellStyle name="_SWKS_122210 5" xfId="1287"/>
    <cellStyle name="_Template Stats" xfId="149"/>
    <cellStyle name="_TXN modelware NEW" xfId="150"/>
    <cellStyle name="_Wireline Tel Forecast " xfId="151"/>
    <cellStyle name="_Wireline Tel Forecast  2" xfId="152"/>
    <cellStyle name="_Wireline Tel Forecast  2 2" xfId="1296"/>
    <cellStyle name="_Wireline Tel Forecast  3" xfId="1295"/>
    <cellStyle name="_Word Charts" xfId="153"/>
    <cellStyle name="_Word Charts 2" xfId="1297"/>
    <cellStyle name="_Zip Stats_2004" xfId="154"/>
    <cellStyle name="’Ê‰Ý [0.00]_GE 3 MINIMUM" xfId="155"/>
    <cellStyle name="’Ê‰Ý_GE 3 MINIMUM" xfId="156"/>
    <cellStyle name="£ BP" xfId="157"/>
    <cellStyle name="¥ JY" xfId="158"/>
    <cellStyle name="=C:\WINNT35\SYSTEM32\COMMAND.COM" xfId="159"/>
    <cellStyle name="=C:\WINNT35\SYSTEM32\COMMAND.COM 2" xfId="160"/>
    <cellStyle name="=C:\WINNT35\SYSTEM32\COMMAND.COM 2 2" xfId="161"/>
    <cellStyle name="=C:\WINNT35\SYSTEM32\COMMAND.COM 2 2 2" xfId="162"/>
    <cellStyle name="=C:\WINNT35\SYSTEM32\COMMAND.COM 2 2 2 2" xfId="1301"/>
    <cellStyle name="=C:\WINNT35\SYSTEM32\COMMAND.COM 2 2 3" xfId="1300"/>
    <cellStyle name="=C:\WINNT35\SYSTEM32\COMMAND.COM 2 3" xfId="163"/>
    <cellStyle name="=C:\WINNT35\SYSTEM32\COMMAND.COM 2 3 2" xfId="1302"/>
    <cellStyle name="=C:\WINNT35\SYSTEM32\COMMAND.COM 2 4" xfId="1299"/>
    <cellStyle name="=C:\WINNT35\SYSTEM32\COMMAND.COM 3" xfId="164"/>
    <cellStyle name="=C:\WINNT35\SYSTEM32\COMMAND.COM 3 2" xfId="165"/>
    <cellStyle name="=C:\WINNT35\SYSTEM32\COMMAND.COM 3 2 2" xfId="1304"/>
    <cellStyle name="=C:\WINNT35\SYSTEM32\COMMAND.COM 3 3" xfId="1303"/>
    <cellStyle name="=C:\WINNT35\SYSTEM32\COMMAND.COM 4" xfId="166"/>
    <cellStyle name="=C:\WINNT35\SYSTEM32\COMMAND.COM 4 2" xfId="1305"/>
    <cellStyle name="=C:\WINNT35\SYSTEM32\COMMAND.COM 5" xfId="167"/>
    <cellStyle name="=C:\WINNT35\SYSTEM32\COMMAND.COM 5 2" xfId="1306"/>
    <cellStyle name="=C:\WINNT35\SYSTEM32\COMMAND.COM 6" xfId="1298"/>
    <cellStyle name="•W€_Comparables" xfId="168"/>
    <cellStyle name="•W_GE 3 MINIMUM" xfId="169"/>
    <cellStyle name="0" xfId="170"/>
    <cellStyle name="0 2" xfId="171"/>
    <cellStyle name="0%" xfId="172"/>
    <cellStyle name="0% 2" xfId="173"/>
    <cellStyle name="0% 2 2" xfId="174"/>
    <cellStyle name="0% 2 2 2" xfId="175"/>
    <cellStyle name="0% 2 2 2 2" xfId="1310"/>
    <cellStyle name="0% 2 2 3" xfId="1309"/>
    <cellStyle name="0% 2 3" xfId="176"/>
    <cellStyle name="0% 2 3 2" xfId="1311"/>
    <cellStyle name="0% 2 4" xfId="1308"/>
    <cellStyle name="0% 3" xfId="177"/>
    <cellStyle name="0% 3 2" xfId="178"/>
    <cellStyle name="0% 3 2 2" xfId="1313"/>
    <cellStyle name="0% 3 3" xfId="1312"/>
    <cellStyle name="0% 4" xfId="179"/>
    <cellStyle name="0% 4 2" xfId="1314"/>
    <cellStyle name="0% 5" xfId="180"/>
    <cellStyle name="0% 5 2" xfId="1315"/>
    <cellStyle name="0% 6" xfId="1307"/>
    <cellStyle name="0,0_x000d__x000a_NA_x000d__x000a_" xfId="181"/>
    <cellStyle name="0,0_x000d__x000a_NA_x000d__x000a_ 2" xfId="1316"/>
    <cellStyle name="0.0" xfId="182"/>
    <cellStyle name="0.0 2" xfId="183"/>
    <cellStyle name="0.0%" xfId="184"/>
    <cellStyle name="0.0% 2" xfId="185"/>
    <cellStyle name="0.0_Diageo FRS 17 and Capacity" xfId="186"/>
    <cellStyle name="0.00" xfId="187"/>
    <cellStyle name="0.00 2" xfId="188"/>
    <cellStyle name="0.00%" xfId="189"/>
    <cellStyle name="0.00% 2" xfId="190"/>
    <cellStyle name="0_Capex &amp; Depreciation " xfId="191"/>
    <cellStyle name="0_Capex &amp; Depreciation  2" xfId="192"/>
    <cellStyle name="0_Capex &amp; Depreciation  2 2" xfId="193"/>
    <cellStyle name="0_Capex &amp; Depreciation _RRST1" xfId="194"/>
    <cellStyle name="0_Capex &amp; Depreciation _RRST1 2" xfId="195"/>
    <cellStyle name="0_Capex &amp; Depreciation _RRST19" xfId="196"/>
    <cellStyle name="0_Capex &amp; Depreciation _RRST19 2" xfId="197"/>
    <cellStyle name="0_Capex &amp; Depreciation _RRST20" xfId="198"/>
    <cellStyle name="0_Capex &amp; Depreciation _RRST20 2" xfId="199"/>
    <cellStyle name="0_Capex &amp; Depreciation _RRST6" xfId="200"/>
    <cellStyle name="0_Capex &amp; Depreciation _RRST6 2" xfId="201"/>
    <cellStyle name="0_Valuing BP " xfId="202"/>
    <cellStyle name="0_Valuing BP  2" xfId="203"/>
    <cellStyle name="0_Valuing BP  2 2" xfId="204"/>
    <cellStyle name="0_Valuing BP _RRST1" xfId="205"/>
    <cellStyle name="0_Valuing BP _RRST1 2" xfId="206"/>
    <cellStyle name="0_Valuing BP _RRST19" xfId="207"/>
    <cellStyle name="0_Valuing BP _RRST19 2" xfId="208"/>
    <cellStyle name="0_Valuing BP _RRST20" xfId="209"/>
    <cellStyle name="0_Valuing BP _RRST20 2" xfId="210"/>
    <cellStyle name="0_Valuing BP _RRST6" xfId="211"/>
    <cellStyle name="0_Valuing BP _RRST6 2" xfId="212"/>
    <cellStyle name="0_Wireline Tel Forecast " xfId="213"/>
    <cellStyle name="0_Wireline Tel Forecast  2" xfId="214"/>
    <cellStyle name="0_Wireline Tel Forecast  2 2" xfId="215"/>
    <cellStyle name="1,comma" xfId="216"/>
    <cellStyle name="1,comma 2" xfId="217"/>
    <cellStyle name="1,comma 2 2" xfId="218"/>
    <cellStyle name="1,comma 2 2 2" xfId="219"/>
    <cellStyle name="1,comma 2 2 2 2" xfId="1320"/>
    <cellStyle name="1,comma 2 2 3" xfId="1319"/>
    <cellStyle name="1,comma 2 3" xfId="220"/>
    <cellStyle name="1,comma 2 3 2" xfId="1321"/>
    <cellStyle name="1,comma 2 4" xfId="1318"/>
    <cellStyle name="1,comma 3" xfId="221"/>
    <cellStyle name="1,comma 3 2" xfId="222"/>
    <cellStyle name="1,comma 3 2 2" xfId="1323"/>
    <cellStyle name="1,comma 3 3" xfId="1322"/>
    <cellStyle name="1,comma 4" xfId="223"/>
    <cellStyle name="1,comma 4 2" xfId="1324"/>
    <cellStyle name="1,comma 5" xfId="224"/>
    <cellStyle name="1,comma 5 2" xfId="1325"/>
    <cellStyle name="1,comma 6" xfId="1317"/>
    <cellStyle name="20% - Accent1" xfId="2656" builtinId="30" customBuiltin="1"/>
    <cellStyle name="20% - Accent1 2" xfId="225"/>
    <cellStyle name="20% - Accent1 2 2" xfId="226"/>
    <cellStyle name="20% - Accent1 3" xfId="227"/>
    <cellStyle name="20% - Accent1 3 10" xfId="4081"/>
    <cellStyle name="20% - Accent1 3 10 2" xfId="8239"/>
    <cellStyle name="20% - Accent1 3 11" xfId="6166"/>
    <cellStyle name="20% - Accent1 3 2" xfId="1326"/>
    <cellStyle name="20% - Accent1 3 2 10" xfId="6187"/>
    <cellStyle name="20% - Accent1 3 2 2" xfId="2064"/>
    <cellStyle name="20% - Accent1 3 2 2 2" xfId="2238"/>
    <cellStyle name="20% - Accent1 3 2 2 2 2" xfId="2579"/>
    <cellStyle name="20% - Accent1 3 2 2 2 2 2" xfId="3304"/>
    <cellStyle name="20% - Accent1 3 2 2 2 2 2 2" xfId="5390"/>
    <cellStyle name="20% - Accent1 3 2 2 2 2 2 2 2" xfId="9541"/>
    <cellStyle name="20% - Accent1 3 2 2 2 2 2 3" xfId="7468"/>
    <cellStyle name="20% - Accent1 3 2 2 2 2 3" xfId="3977"/>
    <cellStyle name="20% - Accent1 3 2 2 2 2 3 2" xfId="6062"/>
    <cellStyle name="20% - Accent1 3 2 2 2 2 3 2 2" xfId="10213"/>
    <cellStyle name="20% - Accent1 3 2 2 2 2 3 3" xfId="8140"/>
    <cellStyle name="20% - Accent1 3 2 2 2 2 4" xfId="4696"/>
    <cellStyle name="20% - Accent1 3 2 2 2 2 4 2" xfId="8848"/>
    <cellStyle name="20% - Accent1 3 2 2 2 2 5" xfId="6775"/>
    <cellStyle name="20% - Accent1 3 2 2 2 3" xfId="2968"/>
    <cellStyle name="20% - Accent1 3 2 2 2 3 2" xfId="5054"/>
    <cellStyle name="20% - Accent1 3 2 2 2 3 2 2" xfId="9205"/>
    <cellStyle name="20% - Accent1 3 2 2 2 3 3" xfId="7132"/>
    <cellStyle name="20% - Accent1 3 2 2 2 4" xfId="3641"/>
    <cellStyle name="20% - Accent1 3 2 2 2 4 2" xfId="5726"/>
    <cellStyle name="20% - Accent1 3 2 2 2 4 2 2" xfId="9877"/>
    <cellStyle name="20% - Accent1 3 2 2 2 4 3" xfId="7804"/>
    <cellStyle name="20% - Accent1 3 2 2 2 5" xfId="4360"/>
    <cellStyle name="20% - Accent1 3 2 2 2 5 2" xfId="8512"/>
    <cellStyle name="20% - Accent1 3 2 2 2 6" xfId="6439"/>
    <cellStyle name="20% - Accent1 3 2 2 3" xfId="2411"/>
    <cellStyle name="20% - Accent1 3 2 2 3 2" xfId="3136"/>
    <cellStyle name="20% - Accent1 3 2 2 3 2 2" xfId="5222"/>
    <cellStyle name="20% - Accent1 3 2 2 3 2 2 2" xfId="9373"/>
    <cellStyle name="20% - Accent1 3 2 2 3 2 3" xfId="7300"/>
    <cellStyle name="20% - Accent1 3 2 2 3 3" xfId="3809"/>
    <cellStyle name="20% - Accent1 3 2 2 3 3 2" xfId="5894"/>
    <cellStyle name="20% - Accent1 3 2 2 3 3 2 2" xfId="10045"/>
    <cellStyle name="20% - Accent1 3 2 2 3 3 3" xfId="7972"/>
    <cellStyle name="20% - Accent1 3 2 2 3 4" xfId="4528"/>
    <cellStyle name="20% - Accent1 3 2 2 3 4 2" xfId="8680"/>
    <cellStyle name="20% - Accent1 3 2 2 3 5" xfId="6607"/>
    <cellStyle name="20% - Accent1 3 2 2 4" xfId="2800"/>
    <cellStyle name="20% - Accent1 3 2 2 4 2" xfId="4886"/>
    <cellStyle name="20% - Accent1 3 2 2 4 2 2" xfId="9037"/>
    <cellStyle name="20% - Accent1 3 2 2 4 3" xfId="6964"/>
    <cellStyle name="20% - Accent1 3 2 2 5" xfId="3473"/>
    <cellStyle name="20% - Accent1 3 2 2 5 2" xfId="5558"/>
    <cellStyle name="20% - Accent1 3 2 2 5 2 2" xfId="9709"/>
    <cellStyle name="20% - Accent1 3 2 2 5 3" xfId="7636"/>
    <cellStyle name="20% - Accent1 3 2 2 6" xfId="4192"/>
    <cellStyle name="20% - Accent1 3 2 2 6 2" xfId="8344"/>
    <cellStyle name="20% - Accent1 3 2 2 7" xfId="6271"/>
    <cellStyle name="20% - Accent1 3 2 3" xfId="1964"/>
    <cellStyle name="20% - Accent1 3 2 3 2" xfId="2196"/>
    <cellStyle name="20% - Accent1 3 2 3 2 2" xfId="2537"/>
    <cellStyle name="20% - Accent1 3 2 3 2 2 2" xfId="3262"/>
    <cellStyle name="20% - Accent1 3 2 3 2 2 2 2" xfId="5348"/>
    <cellStyle name="20% - Accent1 3 2 3 2 2 2 2 2" xfId="9499"/>
    <cellStyle name="20% - Accent1 3 2 3 2 2 2 3" xfId="7426"/>
    <cellStyle name="20% - Accent1 3 2 3 2 2 3" xfId="3935"/>
    <cellStyle name="20% - Accent1 3 2 3 2 2 3 2" xfId="6020"/>
    <cellStyle name="20% - Accent1 3 2 3 2 2 3 2 2" xfId="10171"/>
    <cellStyle name="20% - Accent1 3 2 3 2 2 3 3" xfId="8098"/>
    <cellStyle name="20% - Accent1 3 2 3 2 2 4" xfId="4654"/>
    <cellStyle name="20% - Accent1 3 2 3 2 2 4 2" xfId="8806"/>
    <cellStyle name="20% - Accent1 3 2 3 2 2 5" xfId="6733"/>
    <cellStyle name="20% - Accent1 3 2 3 2 3" xfId="2926"/>
    <cellStyle name="20% - Accent1 3 2 3 2 3 2" xfId="5012"/>
    <cellStyle name="20% - Accent1 3 2 3 2 3 2 2" xfId="9163"/>
    <cellStyle name="20% - Accent1 3 2 3 2 3 3" xfId="7090"/>
    <cellStyle name="20% - Accent1 3 2 3 2 4" xfId="3599"/>
    <cellStyle name="20% - Accent1 3 2 3 2 4 2" xfId="5684"/>
    <cellStyle name="20% - Accent1 3 2 3 2 4 2 2" xfId="9835"/>
    <cellStyle name="20% - Accent1 3 2 3 2 4 3" xfId="7762"/>
    <cellStyle name="20% - Accent1 3 2 3 2 5" xfId="4318"/>
    <cellStyle name="20% - Accent1 3 2 3 2 5 2" xfId="8470"/>
    <cellStyle name="20% - Accent1 3 2 3 2 6" xfId="6397"/>
    <cellStyle name="20% - Accent1 3 2 3 3" xfId="2368"/>
    <cellStyle name="20% - Accent1 3 2 3 3 2" xfId="3094"/>
    <cellStyle name="20% - Accent1 3 2 3 3 2 2" xfId="5180"/>
    <cellStyle name="20% - Accent1 3 2 3 3 2 2 2" xfId="9331"/>
    <cellStyle name="20% - Accent1 3 2 3 3 2 3" xfId="7258"/>
    <cellStyle name="20% - Accent1 3 2 3 3 3" xfId="3767"/>
    <cellStyle name="20% - Accent1 3 2 3 3 3 2" xfId="5852"/>
    <cellStyle name="20% - Accent1 3 2 3 3 3 2 2" xfId="10003"/>
    <cellStyle name="20% - Accent1 3 2 3 3 3 3" xfId="7930"/>
    <cellStyle name="20% - Accent1 3 2 3 3 4" xfId="4486"/>
    <cellStyle name="20% - Accent1 3 2 3 3 4 2" xfId="8638"/>
    <cellStyle name="20% - Accent1 3 2 3 3 5" xfId="6565"/>
    <cellStyle name="20% - Accent1 3 2 3 4" xfId="2758"/>
    <cellStyle name="20% - Accent1 3 2 3 4 2" xfId="4844"/>
    <cellStyle name="20% - Accent1 3 2 3 4 2 2" xfId="8995"/>
    <cellStyle name="20% - Accent1 3 2 3 4 3" xfId="6922"/>
    <cellStyle name="20% - Accent1 3 2 3 5" xfId="3431"/>
    <cellStyle name="20% - Accent1 3 2 3 5 2" xfId="5516"/>
    <cellStyle name="20% - Accent1 3 2 3 5 2 2" xfId="9667"/>
    <cellStyle name="20% - Accent1 3 2 3 5 3" xfId="7594"/>
    <cellStyle name="20% - Accent1 3 2 3 6" xfId="4150"/>
    <cellStyle name="20% - Accent1 3 2 3 6 2" xfId="8302"/>
    <cellStyle name="20% - Accent1 3 2 3 7" xfId="6229"/>
    <cellStyle name="20% - Accent1 3 2 4" xfId="2107"/>
    <cellStyle name="20% - Accent1 3 2 4 2" xfId="2280"/>
    <cellStyle name="20% - Accent1 3 2 4 2 2" xfId="2621"/>
    <cellStyle name="20% - Accent1 3 2 4 2 2 2" xfId="3346"/>
    <cellStyle name="20% - Accent1 3 2 4 2 2 2 2" xfId="5432"/>
    <cellStyle name="20% - Accent1 3 2 4 2 2 2 2 2" xfId="9583"/>
    <cellStyle name="20% - Accent1 3 2 4 2 2 2 3" xfId="7510"/>
    <cellStyle name="20% - Accent1 3 2 4 2 2 3" xfId="4019"/>
    <cellStyle name="20% - Accent1 3 2 4 2 2 3 2" xfId="6104"/>
    <cellStyle name="20% - Accent1 3 2 4 2 2 3 2 2" xfId="10255"/>
    <cellStyle name="20% - Accent1 3 2 4 2 2 3 3" xfId="8182"/>
    <cellStyle name="20% - Accent1 3 2 4 2 2 4" xfId="4738"/>
    <cellStyle name="20% - Accent1 3 2 4 2 2 4 2" xfId="8890"/>
    <cellStyle name="20% - Accent1 3 2 4 2 2 5" xfId="6817"/>
    <cellStyle name="20% - Accent1 3 2 4 2 3" xfId="3010"/>
    <cellStyle name="20% - Accent1 3 2 4 2 3 2" xfId="5096"/>
    <cellStyle name="20% - Accent1 3 2 4 2 3 2 2" xfId="9247"/>
    <cellStyle name="20% - Accent1 3 2 4 2 3 3" xfId="7174"/>
    <cellStyle name="20% - Accent1 3 2 4 2 4" xfId="3683"/>
    <cellStyle name="20% - Accent1 3 2 4 2 4 2" xfId="5768"/>
    <cellStyle name="20% - Accent1 3 2 4 2 4 2 2" xfId="9919"/>
    <cellStyle name="20% - Accent1 3 2 4 2 4 3" xfId="7846"/>
    <cellStyle name="20% - Accent1 3 2 4 2 5" xfId="4402"/>
    <cellStyle name="20% - Accent1 3 2 4 2 5 2" xfId="8554"/>
    <cellStyle name="20% - Accent1 3 2 4 2 6" xfId="6481"/>
    <cellStyle name="20% - Accent1 3 2 4 3" xfId="2453"/>
    <cellStyle name="20% - Accent1 3 2 4 3 2" xfId="3178"/>
    <cellStyle name="20% - Accent1 3 2 4 3 2 2" xfId="5264"/>
    <cellStyle name="20% - Accent1 3 2 4 3 2 2 2" xfId="9415"/>
    <cellStyle name="20% - Accent1 3 2 4 3 2 3" xfId="7342"/>
    <cellStyle name="20% - Accent1 3 2 4 3 3" xfId="3851"/>
    <cellStyle name="20% - Accent1 3 2 4 3 3 2" xfId="5936"/>
    <cellStyle name="20% - Accent1 3 2 4 3 3 2 2" xfId="10087"/>
    <cellStyle name="20% - Accent1 3 2 4 3 3 3" xfId="8014"/>
    <cellStyle name="20% - Accent1 3 2 4 3 4" xfId="4570"/>
    <cellStyle name="20% - Accent1 3 2 4 3 4 2" xfId="8722"/>
    <cellStyle name="20% - Accent1 3 2 4 3 5" xfId="6649"/>
    <cellStyle name="20% - Accent1 3 2 4 4" xfId="2842"/>
    <cellStyle name="20% - Accent1 3 2 4 4 2" xfId="4928"/>
    <cellStyle name="20% - Accent1 3 2 4 4 2 2" xfId="9079"/>
    <cellStyle name="20% - Accent1 3 2 4 4 3" xfId="7006"/>
    <cellStyle name="20% - Accent1 3 2 4 5" xfId="3515"/>
    <cellStyle name="20% - Accent1 3 2 4 5 2" xfId="5600"/>
    <cellStyle name="20% - Accent1 3 2 4 5 2 2" xfId="9751"/>
    <cellStyle name="20% - Accent1 3 2 4 5 3" xfId="7678"/>
    <cellStyle name="20% - Accent1 3 2 4 6" xfId="4234"/>
    <cellStyle name="20% - Accent1 3 2 4 6 2" xfId="8386"/>
    <cellStyle name="20% - Accent1 3 2 4 7" xfId="6313"/>
    <cellStyle name="20% - Accent1 3 2 5" xfId="2153"/>
    <cellStyle name="20% - Accent1 3 2 5 2" xfId="2495"/>
    <cellStyle name="20% - Accent1 3 2 5 2 2" xfId="3220"/>
    <cellStyle name="20% - Accent1 3 2 5 2 2 2" xfId="5306"/>
    <cellStyle name="20% - Accent1 3 2 5 2 2 2 2" xfId="9457"/>
    <cellStyle name="20% - Accent1 3 2 5 2 2 3" xfId="7384"/>
    <cellStyle name="20% - Accent1 3 2 5 2 3" xfId="3893"/>
    <cellStyle name="20% - Accent1 3 2 5 2 3 2" xfId="5978"/>
    <cellStyle name="20% - Accent1 3 2 5 2 3 2 2" xfId="10129"/>
    <cellStyle name="20% - Accent1 3 2 5 2 3 3" xfId="8056"/>
    <cellStyle name="20% - Accent1 3 2 5 2 4" xfId="4612"/>
    <cellStyle name="20% - Accent1 3 2 5 2 4 2" xfId="8764"/>
    <cellStyle name="20% - Accent1 3 2 5 2 5" xfId="6691"/>
    <cellStyle name="20% - Accent1 3 2 5 3" xfId="2884"/>
    <cellStyle name="20% - Accent1 3 2 5 3 2" xfId="4970"/>
    <cellStyle name="20% - Accent1 3 2 5 3 2 2" xfId="9121"/>
    <cellStyle name="20% - Accent1 3 2 5 3 3" xfId="7048"/>
    <cellStyle name="20% - Accent1 3 2 5 4" xfId="3557"/>
    <cellStyle name="20% - Accent1 3 2 5 4 2" xfId="5642"/>
    <cellStyle name="20% - Accent1 3 2 5 4 2 2" xfId="9793"/>
    <cellStyle name="20% - Accent1 3 2 5 4 3" xfId="7720"/>
    <cellStyle name="20% - Accent1 3 2 5 5" xfId="4276"/>
    <cellStyle name="20% - Accent1 3 2 5 5 2" xfId="8428"/>
    <cellStyle name="20% - Accent1 3 2 5 6" xfId="6355"/>
    <cellStyle name="20% - Accent1 3 2 6" xfId="2326"/>
    <cellStyle name="20% - Accent1 3 2 6 2" xfId="3052"/>
    <cellStyle name="20% - Accent1 3 2 6 2 2" xfId="5138"/>
    <cellStyle name="20% - Accent1 3 2 6 2 2 2" xfId="9289"/>
    <cellStyle name="20% - Accent1 3 2 6 2 3" xfId="7216"/>
    <cellStyle name="20% - Accent1 3 2 6 3" xfId="3725"/>
    <cellStyle name="20% - Accent1 3 2 6 3 2" xfId="5810"/>
    <cellStyle name="20% - Accent1 3 2 6 3 2 2" xfId="9961"/>
    <cellStyle name="20% - Accent1 3 2 6 3 3" xfId="7888"/>
    <cellStyle name="20% - Accent1 3 2 6 4" xfId="4444"/>
    <cellStyle name="20% - Accent1 3 2 6 4 2" xfId="8596"/>
    <cellStyle name="20% - Accent1 3 2 6 5" xfId="6523"/>
    <cellStyle name="20% - Accent1 3 2 7" xfId="2716"/>
    <cellStyle name="20% - Accent1 3 2 7 2" xfId="4802"/>
    <cellStyle name="20% - Accent1 3 2 7 2 2" xfId="8953"/>
    <cellStyle name="20% - Accent1 3 2 7 3" xfId="6880"/>
    <cellStyle name="20% - Accent1 3 2 8" xfId="3389"/>
    <cellStyle name="20% - Accent1 3 2 8 2" xfId="5474"/>
    <cellStyle name="20% - Accent1 3 2 8 2 2" xfId="9625"/>
    <cellStyle name="20% - Accent1 3 2 8 3" xfId="7552"/>
    <cellStyle name="20% - Accent1 3 2 9" xfId="4106"/>
    <cellStyle name="20% - Accent1 3 2 9 2" xfId="8260"/>
    <cellStyle name="20% - Accent1 3 3" xfId="1989"/>
    <cellStyle name="20% - Accent1 3 3 2" xfId="2217"/>
    <cellStyle name="20% - Accent1 3 3 2 2" xfId="2558"/>
    <cellStyle name="20% - Accent1 3 3 2 2 2" xfId="3283"/>
    <cellStyle name="20% - Accent1 3 3 2 2 2 2" xfId="5369"/>
    <cellStyle name="20% - Accent1 3 3 2 2 2 2 2" xfId="9520"/>
    <cellStyle name="20% - Accent1 3 3 2 2 2 3" xfId="7447"/>
    <cellStyle name="20% - Accent1 3 3 2 2 3" xfId="3956"/>
    <cellStyle name="20% - Accent1 3 3 2 2 3 2" xfId="6041"/>
    <cellStyle name="20% - Accent1 3 3 2 2 3 2 2" xfId="10192"/>
    <cellStyle name="20% - Accent1 3 3 2 2 3 3" xfId="8119"/>
    <cellStyle name="20% - Accent1 3 3 2 2 4" xfId="4675"/>
    <cellStyle name="20% - Accent1 3 3 2 2 4 2" xfId="8827"/>
    <cellStyle name="20% - Accent1 3 3 2 2 5" xfId="6754"/>
    <cellStyle name="20% - Accent1 3 3 2 3" xfId="2947"/>
    <cellStyle name="20% - Accent1 3 3 2 3 2" xfId="5033"/>
    <cellStyle name="20% - Accent1 3 3 2 3 2 2" xfId="9184"/>
    <cellStyle name="20% - Accent1 3 3 2 3 3" xfId="7111"/>
    <cellStyle name="20% - Accent1 3 3 2 4" xfId="3620"/>
    <cellStyle name="20% - Accent1 3 3 2 4 2" xfId="5705"/>
    <cellStyle name="20% - Accent1 3 3 2 4 2 2" xfId="9856"/>
    <cellStyle name="20% - Accent1 3 3 2 4 3" xfId="7783"/>
    <cellStyle name="20% - Accent1 3 3 2 5" xfId="4339"/>
    <cellStyle name="20% - Accent1 3 3 2 5 2" xfId="8491"/>
    <cellStyle name="20% - Accent1 3 3 2 6" xfId="6418"/>
    <cellStyle name="20% - Accent1 3 3 3" xfId="2389"/>
    <cellStyle name="20% - Accent1 3 3 3 2" xfId="3115"/>
    <cellStyle name="20% - Accent1 3 3 3 2 2" xfId="5201"/>
    <cellStyle name="20% - Accent1 3 3 3 2 2 2" xfId="9352"/>
    <cellStyle name="20% - Accent1 3 3 3 2 3" xfId="7279"/>
    <cellStyle name="20% - Accent1 3 3 3 3" xfId="3788"/>
    <cellStyle name="20% - Accent1 3 3 3 3 2" xfId="5873"/>
    <cellStyle name="20% - Accent1 3 3 3 3 2 2" xfId="10024"/>
    <cellStyle name="20% - Accent1 3 3 3 3 3" xfId="7951"/>
    <cellStyle name="20% - Accent1 3 3 3 4" xfId="4507"/>
    <cellStyle name="20% - Accent1 3 3 3 4 2" xfId="8659"/>
    <cellStyle name="20% - Accent1 3 3 3 5" xfId="6586"/>
    <cellStyle name="20% - Accent1 3 3 4" xfId="2779"/>
    <cellStyle name="20% - Accent1 3 3 4 2" xfId="4865"/>
    <cellStyle name="20% - Accent1 3 3 4 2 2" xfId="9016"/>
    <cellStyle name="20% - Accent1 3 3 4 3" xfId="6943"/>
    <cellStyle name="20% - Accent1 3 3 5" xfId="3452"/>
    <cellStyle name="20% - Accent1 3 3 5 2" xfId="5537"/>
    <cellStyle name="20% - Accent1 3 3 5 2 2" xfId="9688"/>
    <cellStyle name="20% - Accent1 3 3 5 3" xfId="7615"/>
    <cellStyle name="20% - Accent1 3 3 6" xfId="4171"/>
    <cellStyle name="20% - Accent1 3 3 6 2" xfId="8323"/>
    <cellStyle name="20% - Accent1 3 3 7" xfId="6250"/>
    <cellStyle name="20% - Accent1 3 4" xfId="1888"/>
    <cellStyle name="20% - Accent1 3 4 2" xfId="2174"/>
    <cellStyle name="20% - Accent1 3 4 2 2" xfId="2516"/>
    <cellStyle name="20% - Accent1 3 4 2 2 2" xfId="3241"/>
    <cellStyle name="20% - Accent1 3 4 2 2 2 2" xfId="5327"/>
    <cellStyle name="20% - Accent1 3 4 2 2 2 2 2" xfId="9478"/>
    <cellStyle name="20% - Accent1 3 4 2 2 2 3" xfId="7405"/>
    <cellStyle name="20% - Accent1 3 4 2 2 3" xfId="3914"/>
    <cellStyle name="20% - Accent1 3 4 2 2 3 2" xfId="5999"/>
    <cellStyle name="20% - Accent1 3 4 2 2 3 2 2" xfId="10150"/>
    <cellStyle name="20% - Accent1 3 4 2 2 3 3" xfId="8077"/>
    <cellStyle name="20% - Accent1 3 4 2 2 4" xfId="4633"/>
    <cellStyle name="20% - Accent1 3 4 2 2 4 2" xfId="8785"/>
    <cellStyle name="20% - Accent1 3 4 2 2 5" xfId="6712"/>
    <cellStyle name="20% - Accent1 3 4 2 3" xfId="2905"/>
    <cellStyle name="20% - Accent1 3 4 2 3 2" xfId="4991"/>
    <cellStyle name="20% - Accent1 3 4 2 3 2 2" xfId="9142"/>
    <cellStyle name="20% - Accent1 3 4 2 3 3" xfId="7069"/>
    <cellStyle name="20% - Accent1 3 4 2 4" xfId="3578"/>
    <cellStyle name="20% - Accent1 3 4 2 4 2" xfId="5663"/>
    <cellStyle name="20% - Accent1 3 4 2 4 2 2" xfId="9814"/>
    <cellStyle name="20% - Accent1 3 4 2 4 3" xfId="7741"/>
    <cellStyle name="20% - Accent1 3 4 2 5" xfId="4297"/>
    <cellStyle name="20% - Accent1 3 4 2 5 2" xfId="8449"/>
    <cellStyle name="20% - Accent1 3 4 2 6" xfId="6376"/>
    <cellStyle name="20% - Accent1 3 4 3" xfId="2347"/>
    <cellStyle name="20% - Accent1 3 4 3 2" xfId="3073"/>
    <cellStyle name="20% - Accent1 3 4 3 2 2" xfId="5159"/>
    <cellStyle name="20% - Accent1 3 4 3 2 2 2" xfId="9310"/>
    <cellStyle name="20% - Accent1 3 4 3 2 3" xfId="7237"/>
    <cellStyle name="20% - Accent1 3 4 3 3" xfId="3746"/>
    <cellStyle name="20% - Accent1 3 4 3 3 2" xfId="5831"/>
    <cellStyle name="20% - Accent1 3 4 3 3 2 2" xfId="9982"/>
    <cellStyle name="20% - Accent1 3 4 3 3 3" xfId="7909"/>
    <cellStyle name="20% - Accent1 3 4 3 4" xfId="4465"/>
    <cellStyle name="20% - Accent1 3 4 3 4 2" xfId="8617"/>
    <cellStyle name="20% - Accent1 3 4 3 5" xfId="6544"/>
    <cellStyle name="20% - Accent1 3 4 4" xfId="2737"/>
    <cellStyle name="20% - Accent1 3 4 4 2" xfId="4823"/>
    <cellStyle name="20% - Accent1 3 4 4 2 2" xfId="8974"/>
    <cellStyle name="20% - Accent1 3 4 4 3" xfId="6901"/>
    <cellStyle name="20% - Accent1 3 4 5" xfId="3410"/>
    <cellStyle name="20% - Accent1 3 4 5 2" xfId="5495"/>
    <cellStyle name="20% - Accent1 3 4 5 2 2" xfId="9646"/>
    <cellStyle name="20% - Accent1 3 4 5 3" xfId="7573"/>
    <cellStyle name="20% - Accent1 3 4 6" xfId="4129"/>
    <cellStyle name="20% - Accent1 3 4 6 2" xfId="8281"/>
    <cellStyle name="20% - Accent1 3 4 7" xfId="6208"/>
    <cellStyle name="20% - Accent1 3 5" xfId="2086"/>
    <cellStyle name="20% - Accent1 3 5 2" xfId="2259"/>
    <cellStyle name="20% - Accent1 3 5 2 2" xfId="2600"/>
    <cellStyle name="20% - Accent1 3 5 2 2 2" xfId="3325"/>
    <cellStyle name="20% - Accent1 3 5 2 2 2 2" xfId="5411"/>
    <cellStyle name="20% - Accent1 3 5 2 2 2 2 2" xfId="9562"/>
    <cellStyle name="20% - Accent1 3 5 2 2 2 3" xfId="7489"/>
    <cellStyle name="20% - Accent1 3 5 2 2 3" xfId="3998"/>
    <cellStyle name="20% - Accent1 3 5 2 2 3 2" xfId="6083"/>
    <cellStyle name="20% - Accent1 3 5 2 2 3 2 2" xfId="10234"/>
    <cellStyle name="20% - Accent1 3 5 2 2 3 3" xfId="8161"/>
    <cellStyle name="20% - Accent1 3 5 2 2 4" xfId="4717"/>
    <cellStyle name="20% - Accent1 3 5 2 2 4 2" xfId="8869"/>
    <cellStyle name="20% - Accent1 3 5 2 2 5" xfId="6796"/>
    <cellStyle name="20% - Accent1 3 5 2 3" xfId="2989"/>
    <cellStyle name="20% - Accent1 3 5 2 3 2" xfId="5075"/>
    <cellStyle name="20% - Accent1 3 5 2 3 2 2" xfId="9226"/>
    <cellStyle name="20% - Accent1 3 5 2 3 3" xfId="7153"/>
    <cellStyle name="20% - Accent1 3 5 2 4" xfId="3662"/>
    <cellStyle name="20% - Accent1 3 5 2 4 2" xfId="5747"/>
    <cellStyle name="20% - Accent1 3 5 2 4 2 2" xfId="9898"/>
    <cellStyle name="20% - Accent1 3 5 2 4 3" xfId="7825"/>
    <cellStyle name="20% - Accent1 3 5 2 5" xfId="4381"/>
    <cellStyle name="20% - Accent1 3 5 2 5 2" xfId="8533"/>
    <cellStyle name="20% - Accent1 3 5 2 6" xfId="6460"/>
    <cellStyle name="20% - Accent1 3 5 3" xfId="2432"/>
    <cellStyle name="20% - Accent1 3 5 3 2" xfId="3157"/>
    <cellStyle name="20% - Accent1 3 5 3 2 2" xfId="5243"/>
    <cellStyle name="20% - Accent1 3 5 3 2 2 2" xfId="9394"/>
    <cellStyle name="20% - Accent1 3 5 3 2 3" xfId="7321"/>
    <cellStyle name="20% - Accent1 3 5 3 3" xfId="3830"/>
    <cellStyle name="20% - Accent1 3 5 3 3 2" xfId="5915"/>
    <cellStyle name="20% - Accent1 3 5 3 3 2 2" xfId="10066"/>
    <cellStyle name="20% - Accent1 3 5 3 3 3" xfId="7993"/>
    <cellStyle name="20% - Accent1 3 5 3 4" xfId="4549"/>
    <cellStyle name="20% - Accent1 3 5 3 4 2" xfId="8701"/>
    <cellStyle name="20% - Accent1 3 5 3 5" xfId="6628"/>
    <cellStyle name="20% - Accent1 3 5 4" xfId="2821"/>
    <cellStyle name="20% - Accent1 3 5 4 2" xfId="4907"/>
    <cellStyle name="20% - Accent1 3 5 4 2 2" xfId="9058"/>
    <cellStyle name="20% - Accent1 3 5 4 3" xfId="6985"/>
    <cellStyle name="20% - Accent1 3 5 5" xfId="3494"/>
    <cellStyle name="20% - Accent1 3 5 5 2" xfId="5579"/>
    <cellStyle name="20% - Accent1 3 5 5 2 2" xfId="9730"/>
    <cellStyle name="20% - Accent1 3 5 5 3" xfId="7657"/>
    <cellStyle name="20% - Accent1 3 5 6" xfId="4213"/>
    <cellStyle name="20% - Accent1 3 5 6 2" xfId="8365"/>
    <cellStyle name="20% - Accent1 3 5 7" xfId="6292"/>
    <cellStyle name="20% - Accent1 3 6" xfId="2129"/>
    <cellStyle name="20% - Accent1 3 6 2" xfId="2474"/>
    <cellStyle name="20% - Accent1 3 6 2 2" xfId="3199"/>
    <cellStyle name="20% - Accent1 3 6 2 2 2" xfId="5285"/>
    <cellStyle name="20% - Accent1 3 6 2 2 2 2" xfId="9436"/>
    <cellStyle name="20% - Accent1 3 6 2 2 3" xfId="7363"/>
    <cellStyle name="20% - Accent1 3 6 2 3" xfId="3872"/>
    <cellStyle name="20% - Accent1 3 6 2 3 2" xfId="5957"/>
    <cellStyle name="20% - Accent1 3 6 2 3 2 2" xfId="10108"/>
    <cellStyle name="20% - Accent1 3 6 2 3 3" xfId="8035"/>
    <cellStyle name="20% - Accent1 3 6 2 4" xfId="4591"/>
    <cellStyle name="20% - Accent1 3 6 2 4 2" xfId="8743"/>
    <cellStyle name="20% - Accent1 3 6 2 5" xfId="6670"/>
    <cellStyle name="20% - Accent1 3 6 3" xfId="2863"/>
    <cellStyle name="20% - Accent1 3 6 3 2" xfId="4949"/>
    <cellStyle name="20% - Accent1 3 6 3 2 2" xfId="9100"/>
    <cellStyle name="20% - Accent1 3 6 3 3" xfId="7027"/>
    <cellStyle name="20% - Accent1 3 6 4" xfId="3536"/>
    <cellStyle name="20% - Accent1 3 6 4 2" xfId="5621"/>
    <cellStyle name="20% - Accent1 3 6 4 2 2" xfId="9772"/>
    <cellStyle name="20% - Accent1 3 6 4 3" xfId="7699"/>
    <cellStyle name="20% - Accent1 3 6 5" xfId="4255"/>
    <cellStyle name="20% - Accent1 3 6 5 2" xfId="8407"/>
    <cellStyle name="20% - Accent1 3 6 6" xfId="6334"/>
    <cellStyle name="20% - Accent1 3 7" xfId="2302"/>
    <cellStyle name="20% - Accent1 3 7 2" xfId="3031"/>
    <cellStyle name="20% - Accent1 3 7 2 2" xfId="5117"/>
    <cellStyle name="20% - Accent1 3 7 2 2 2" xfId="9268"/>
    <cellStyle name="20% - Accent1 3 7 2 3" xfId="7195"/>
    <cellStyle name="20% - Accent1 3 7 3" xfId="3704"/>
    <cellStyle name="20% - Accent1 3 7 3 2" xfId="5789"/>
    <cellStyle name="20% - Accent1 3 7 3 2 2" xfId="9940"/>
    <cellStyle name="20% - Accent1 3 7 3 3" xfId="7867"/>
    <cellStyle name="20% - Accent1 3 7 4" xfId="4423"/>
    <cellStyle name="20% - Accent1 3 7 4 2" xfId="8575"/>
    <cellStyle name="20% - Accent1 3 7 5" xfId="6502"/>
    <cellStyle name="20% - Accent1 3 8" xfId="2693"/>
    <cellStyle name="20% - Accent1 3 8 2" xfId="4781"/>
    <cellStyle name="20% - Accent1 3 8 2 2" xfId="8932"/>
    <cellStyle name="20% - Accent1 3 8 3" xfId="6859"/>
    <cellStyle name="20% - Accent1 3 9" xfId="3368"/>
    <cellStyle name="20% - Accent1 3 9 2" xfId="5453"/>
    <cellStyle name="20% - Accent1 3 9 2 2" xfId="9604"/>
    <cellStyle name="20% - Accent1 3 9 3" xfId="7531"/>
    <cellStyle name="20% - Accent1 4" xfId="4045"/>
    <cellStyle name="20% - Accent1 4 2" xfId="6130"/>
    <cellStyle name="20% - Accent1 4 2 2" xfId="10281"/>
    <cellStyle name="20% - Accent1 4 3" xfId="8208"/>
    <cellStyle name="20% - Accent1 5" xfId="4759"/>
    <cellStyle name="20% - Accent1 5 2" xfId="8911"/>
    <cellStyle name="20% - Accent1 6" xfId="6838"/>
    <cellStyle name="20% - Accent2" xfId="2660" builtinId="34" customBuiltin="1"/>
    <cellStyle name="20% - Accent2 2" xfId="228"/>
    <cellStyle name="20% - Accent2 2 2" xfId="229"/>
    <cellStyle name="20% - Accent2 3" xfId="230"/>
    <cellStyle name="20% - Accent2 3 10" xfId="4082"/>
    <cellStyle name="20% - Accent2 3 10 2" xfId="8240"/>
    <cellStyle name="20% - Accent2 3 11" xfId="6167"/>
    <cellStyle name="20% - Accent2 3 2" xfId="1327"/>
    <cellStyle name="20% - Accent2 3 2 10" xfId="6188"/>
    <cellStyle name="20% - Accent2 3 2 2" xfId="2065"/>
    <cellStyle name="20% - Accent2 3 2 2 2" xfId="2239"/>
    <cellStyle name="20% - Accent2 3 2 2 2 2" xfId="2580"/>
    <cellStyle name="20% - Accent2 3 2 2 2 2 2" xfId="3305"/>
    <cellStyle name="20% - Accent2 3 2 2 2 2 2 2" xfId="5391"/>
    <cellStyle name="20% - Accent2 3 2 2 2 2 2 2 2" xfId="9542"/>
    <cellStyle name="20% - Accent2 3 2 2 2 2 2 3" xfId="7469"/>
    <cellStyle name="20% - Accent2 3 2 2 2 2 3" xfId="3978"/>
    <cellStyle name="20% - Accent2 3 2 2 2 2 3 2" xfId="6063"/>
    <cellStyle name="20% - Accent2 3 2 2 2 2 3 2 2" xfId="10214"/>
    <cellStyle name="20% - Accent2 3 2 2 2 2 3 3" xfId="8141"/>
    <cellStyle name="20% - Accent2 3 2 2 2 2 4" xfId="4697"/>
    <cellStyle name="20% - Accent2 3 2 2 2 2 4 2" xfId="8849"/>
    <cellStyle name="20% - Accent2 3 2 2 2 2 5" xfId="6776"/>
    <cellStyle name="20% - Accent2 3 2 2 2 3" xfId="2969"/>
    <cellStyle name="20% - Accent2 3 2 2 2 3 2" xfId="5055"/>
    <cellStyle name="20% - Accent2 3 2 2 2 3 2 2" xfId="9206"/>
    <cellStyle name="20% - Accent2 3 2 2 2 3 3" xfId="7133"/>
    <cellStyle name="20% - Accent2 3 2 2 2 4" xfId="3642"/>
    <cellStyle name="20% - Accent2 3 2 2 2 4 2" xfId="5727"/>
    <cellStyle name="20% - Accent2 3 2 2 2 4 2 2" xfId="9878"/>
    <cellStyle name="20% - Accent2 3 2 2 2 4 3" xfId="7805"/>
    <cellStyle name="20% - Accent2 3 2 2 2 5" xfId="4361"/>
    <cellStyle name="20% - Accent2 3 2 2 2 5 2" xfId="8513"/>
    <cellStyle name="20% - Accent2 3 2 2 2 6" xfId="6440"/>
    <cellStyle name="20% - Accent2 3 2 2 3" xfId="2412"/>
    <cellStyle name="20% - Accent2 3 2 2 3 2" xfId="3137"/>
    <cellStyle name="20% - Accent2 3 2 2 3 2 2" xfId="5223"/>
    <cellStyle name="20% - Accent2 3 2 2 3 2 2 2" xfId="9374"/>
    <cellStyle name="20% - Accent2 3 2 2 3 2 3" xfId="7301"/>
    <cellStyle name="20% - Accent2 3 2 2 3 3" xfId="3810"/>
    <cellStyle name="20% - Accent2 3 2 2 3 3 2" xfId="5895"/>
    <cellStyle name="20% - Accent2 3 2 2 3 3 2 2" xfId="10046"/>
    <cellStyle name="20% - Accent2 3 2 2 3 3 3" xfId="7973"/>
    <cellStyle name="20% - Accent2 3 2 2 3 4" xfId="4529"/>
    <cellStyle name="20% - Accent2 3 2 2 3 4 2" xfId="8681"/>
    <cellStyle name="20% - Accent2 3 2 2 3 5" xfId="6608"/>
    <cellStyle name="20% - Accent2 3 2 2 4" xfId="2801"/>
    <cellStyle name="20% - Accent2 3 2 2 4 2" xfId="4887"/>
    <cellStyle name="20% - Accent2 3 2 2 4 2 2" xfId="9038"/>
    <cellStyle name="20% - Accent2 3 2 2 4 3" xfId="6965"/>
    <cellStyle name="20% - Accent2 3 2 2 5" xfId="3474"/>
    <cellStyle name="20% - Accent2 3 2 2 5 2" xfId="5559"/>
    <cellStyle name="20% - Accent2 3 2 2 5 2 2" xfId="9710"/>
    <cellStyle name="20% - Accent2 3 2 2 5 3" xfId="7637"/>
    <cellStyle name="20% - Accent2 3 2 2 6" xfId="4193"/>
    <cellStyle name="20% - Accent2 3 2 2 6 2" xfId="8345"/>
    <cellStyle name="20% - Accent2 3 2 2 7" xfId="6272"/>
    <cellStyle name="20% - Accent2 3 2 3" xfId="1965"/>
    <cellStyle name="20% - Accent2 3 2 3 2" xfId="2197"/>
    <cellStyle name="20% - Accent2 3 2 3 2 2" xfId="2538"/>
    <cellStyle name="20% - Accent2 3 2 3 2 2 2" xfId="3263"/>
    <cellStyle name="20% - Accent2 3 2 3 2 2 2 2" xfId="5349"/>
    <cellStyle name="20% - Accent2 3 2 3 2 2 2 2 2" xfId="9500"/>
    <cellStyle name="20% - Accent2 3 2 3 2 2 2 3" xfId="7427"/>
    <cellStyle name="20% - Accent2 3 2 3 2 2 3" xfId="3936"/>
    <cellStyle name="20% - Accent2 3 2 3 2 2 3 2" xfId="6021"/>
    <cellStyle name="20% - Accent2 3 2 3 2 2 3 2 2" xfId="10172"/>
    <cellStyle name="20% - Accent2 3 2 3 2 2 3 3" xfId="8099"/>
    <cellStyle name="20% - Accent2 3 2 3 2 2 4" xfId="4655"/>
    <cellStyle name="20% - Accent2 3 2 3 2 2 4 2" xfId="8807"/>
    <cellStyle name="20% - Accent2 3 2 3 2 2 5" xfId="6734"/>
    <cellStyle name="20% - Accent2 3 2 3 2 3" xfId="2927"/>
    <cellStyle name="20% - Accent2 3 2 3 2 3 2" xfId="5013"/>
    <cellStyle name="20% - Accent2 3 2 3 2 3 2 2" xfId="9164"/>
    <cellStyle name="20% - Accent2 3 2 3 2 3 3" xfId="7091"/>
    <cellStyle name="20% - Accent2 3 2 3 2 4" xfId="3600"/>
    <cellStyle name="20% - Accent2 3 2 3 2 4 2" xfId="5685"/>
    <cellStyle name="20% - Accent2 3 2 3 2 4 2 2" xfId="9836"/>
    <cellStyle name="20% - Accent2 3 2 3 2 4 3" xfId="7763"/>
    <cellStyle name="20% - Accent2 3 2 3 2 5" xfId="4319"/>
    <cellStyle name="20% - Accent2 3 2 3 2 5 2" xfId="8471"/>
    <cellStyle name="20% - Accent2 3 2 3 2 6" xfId="6398"/>
    <cellStyle name="20% - Accent2 3 2 3 3" xfId="2369"/>
    <cellStyle name="20% - Accent2 3 2 3 3 2" xfId="3095"/>
    <cellStyle name="20% - Accent2 3 2 3 3 2 2" xfId="5181"/>
    <cellStyle name="20% - Accent2 3 2 3 3 2 2 2" xfId="9332"/>
    <cellStyle name="20% - Accent2 3 2 3 3 2 3" xfId="7259"/>
    <cellStyle name="20% - Accent2 3 2 3 3 3" xfId="3768"/>
    <cellStyle name="20% - Accent2 3 2 3 3 3 2" xfId="5853"/>
    <cellStyle name="20% - Accent2 3 2 3 3 3 2 2" xfId="10004"/>
    <cellStyle name="20% - Accent2 3 2 3 3 3 3" xfId="7931"/>
    <cellStyle name="20% - Accent2 3 2 3 3 4" xfId="4487"/>
    <cellStyle name="20% - Accent2 3 2 3 3 4 2" xfId="8639"/>
    <cellStyle name="20% - Accent2 3 2 3 3 5" xfId="6566"/>
    <cellStyle name="20% - Accent2 3 2 3 4" xfId="2759"/>
    <cellStyle name="20% - Accent2 3 2 3 4 2" xfId="4845"/>
    <cellStyle name="20% - Accent2 3 2 3 4 2 2" xfId="8996"/>
    <cellStyle name="20% - Accent2 3 2 3 4 3" xfId="6923"/>
    <cellStyle name="20% - Accent2 3 2 3 5" xfId="3432"/>
    <cellStyle name="20% - Accent2 3 2 3 5 2" xfId="5517"/>
    <cellStyle name="20% - Accent2 3 2 3 5 2 2" xfId="9668"/>
    <cellStyle name="20% - Accent2 3 2 3 5 3" xfId="7595"/>
    <cellStyle name="20% - Accent2 3 2 3 6" xfId="4151"/>
    <cellStyle name="20% - Accent2 3 2 3 6 2" xfId="8303"/>
    <cellStyle name="20% - Accent2 3 2 3 7" xfId="6230"/>
    <cellStyle name="20% - Accent2 3 2 4" xfId="2108"/>
    <cellStyle name="20% - Accent2 3 2 4 2" xfId="2281"/>
    <cellStyle name="20% - Accent2 3 2 4 2 2" xfId="2622"/>
    <cellStyle name="20% - Accent2 3 2 4 2 2 2" xfId="3347"/>
    <cellStyle name="20% - Accent2 3 2 4 2 2 2 2" xfId="5433"/>
    <cellStyle name="20% - Accent2 3 2 4 2 2 2 2 2" xfId="9584"/>
    <cellStyle name="20% - Accent2 3 2 4 2 2 2 3" xfId="7511"/>
    <cellStyle name="20% - Accent2 3 2 4 2 2 3" xfId="4020"/>
    <cellStyle name="20% - Accent2 3 2 4 2 2 3 2" xfId="6105"/>
    <cellStyle name="20% - Accent2 3 2 4 2 2 3 2 2" xfId="10256"/>
    <cellStyle name="20% - Accent2 3 2 4 2 2 3 3" xfId="8183"/>
    <cellStyle name="20% - Accent2 3 2 4 2 2 4" xfId="4739"/>
    <cellStyle name="20% - Accent2 3 2 4 2 2 4 2" xfId="8891"/>
    <cellStyle name="20% - Accent2 3 2 4 2 2 5" xfId="6818"/>
    <cellStyle name="20% - Accent2 3 2 4 2 3" xfId="3011"/>
    <cellStyle name="20% - Accent2 3 2 4 2 3 2" xfId="5097"/>
    <cellStyle name="20% - Accent2 3 2 4 2 3 2 2" xfId="9248"/>
    <cellStyle name="20% - Accent2 3 2 4 2 3 3" xfId="7175"/>
    <cellStyle name="20% - Accent2 3 2 4 2 4" xfId="3684"/>
    <cellStyle name="20% - Accent2 3 2 4 2 4 2" xfId="5769"/>
    <cellStyle name="20% - Accent2 3 2 4 2 4 2 2" xfId="9920"/>
    <cellStyle name="20% - Accent2 3 2 4 2 4 3" xfId="7847"/>
    <cellStyle name="20% - Accent2 3 2 4 2 5" xfId="4403"/>
    <cellStyle name="20% - Accent2 3 2 4 2 5 2" xfId="8555"/>
    <cellStyle name="20% - Accent2 3 2 4 2 6" xfId="6482"/>
    <cellStyle name="20% - Accent2 3 2 4 3" xfId="2454"/>
    <cellStyle name="20% - Accent2 3 2 4 3 2" xfId="3179"/>
    <cellStyle name="20% - Accent2 3 2 4 3 2 2" xfId="5265"/>
    <cellStyle name="20% - Accent2 3 2 4 3 2 2 2" xfId="9416"/>
    <cellStyle name="20% - Accent2 3 2 4 3 2 3" xfId="7343"/>
    <cellStyle name="20% - Accent2 3 2 4 3 3" xfId="3852"/>
    <cellStyle name="20% - Accent2 3 2 4 3 3 2" xfId="5937"/>
    <cellStyle name="20% - Accent2 3 2 4 3 3 2 2" xfId="10088"/>
    <cellStyle name="20% - Accent2 3 2 4 3 3 3" xfId="8015"/>
    <cellStyle name="20% - Accent2 3 2 4 3 4" xfId="4571"/>
    <cellStyle name="20% - Accent2 3 2 4 3 4 2" xfId="8723"/>
    <cellStyle name="20% - Accent2 3 2 4 3 5" xfId="6650"/>
    <cellStyle name="20% - Accent2 3 2 4 4" xfId="2843"/>
    <cellStyle name="20% - Accent2 3 2 4 4 2" xfId="4929"/>
    <cellStyle name="20% - Accent2 3 2 4 4 2 2" xfId="9080"/>
    <cellStyle name="20% - Accent2 3 2 4 4 3" xfId="7007"/>
    <cellStyle name="20% - Accent2 3 2 4 5" xfId="3516"/>
    <cellStyle name="20% - Accent2 3 2 4 5 2" xfId="5601"/>
    <cellStyle name="20% - Accent2 3 2 4 5 2 2" xfId="9752"/>
    <cellStyle name="20% - Accent2 3 2 4 5 3" xfId="7679"/>
    <cellStyle name="20% - Accent2 3 2 4 6" xfId="4235"/>
    <cellStyle name="20% - Accent2 3 2 4 6 2" xfId="8387"/>
    <cellStyle name="20% - Accent2 3 2 4 7" xfId="6314"/>
    <cellStyle name="20% - Accent2 3 2 5" xfId="2154"/>
    <cellStyle name="20% - Accent2 3 2 5 2" xfId="2496"/>
    <cellStyle name="20% - Accent2 3 2 5 2 2" xfId="3221"/>
    <cellStyle name="20% - Accent2 3 2 5 2 2 2" xfId="5307"/>
    <cellStyle name="20% - Accent2 3 2 5 2 2 2 2" xfId="9458"/>
    <cellStyle name="20% - Accent2 3 2 5 2 2 3" xfId="7385"/>
    <cellStyle name="20% - Accent2 3 2 5 2 3" xfId="3894"/>
    <cellStyle name="20% - Accent2 3 2 5 2 3 2" xfId="5979"/>
    <cellStyle name="20% - Accent2 3 2 5 2 3 2 2" xfId="10130"/>
    <cellStyle name="20% - Accent2 3 2 5 2 3 3" xfId="8057"/>
    <cellStyle name="20% - Accent2 3 2 5 2 4" xfId="4613"/>
    <cellStyle name="20% - Accent2 3 2 5 2 4 2" xfId="8765"/>
    <cellStyle name="20% - Accent2 3 2 5 2 5" xfId="6692"/>
    <cellStyle name="20% - Accent2 3 2 5 3" xfId="2885"/>
    <cellStyle name="20% - Accent2 3 2 5 3 2" xfId="4971"/>
    <cellStyle name="20% - Accent2 3 2 5 3 2 2" xfId="9122"/>
    <cellStyle name="20% - Accent2 3 2 5 3 3" xfId="7049"/>
    <cellStyle name="20% - Accent2 3 2 5 4" xfId="3558"/>
    <cellStyle name="20% - Accent2 3 2 5 4 2" xfId="5643"/>
    <cellStyle name="20% - Accent2 3 2 5 4 2 2" xfId="9794"/>
    <cellStyle name="20% - Accent2 3 2 5 4 3" xfId="7721"/>
    <cellStyle name="20% - Accent2 3 2 5 5" xfId="4277"/>
    <cellStyle name="20% - Accent2 3 2 5 5 2" xfId="8429"/>
    <cellStyle name="20% - Accent2 3 2 5 6" xfId="6356"/>
    <cellStyle name="20% - Accent2 3 2 6" xfId="2327"/>
    <cellStyle name="20% - Accent2 3 2 6 2" xfId="3053"/>
    <cellStyle name="20% - Accent2 3 2 6 2 2" xfId="5139"/>
    <cellStyle name="20% - Accent2 3 2 6 2 2 2" xfId="9290"/>
    <cellStyle name="20% - Accent2 3 2 6 2 3" xfId="7217"/>
    <cellStyle name="20% - Accent2 3 2 6 3" xfId="3726"/>
    <cellStyle name="20% - Accent2 3 2 6 3 2" xfId="5811"/>
    <cellStyle name="20% - Accent2 3 2 6 3 2 2" xfId="9962"/>
    <cellStyle name="20% - Accent2 3 2 6 3 3" xfId="7889"/>
    <cellStyle name="20% - Accent2 3 2 6 4" xfId="4445"/>
    <cellStyle name="20% - Accent2 3 2 6 4 2" xfId="8597"/>
    <cellStyle name="20% - Accent2 3 2 6 5" xfId="6524"/>
    <cellStyle name="20% - Accent2 3 2 7" xfId="2717"/>
    <cellStyle name="20% - Accent2 3 2 7 2" xfId="4803"/>
    <cellStyle name="20% - Accent2 3 2 7 2 2" xfId="8954"/>
    <cellStyle name="20% - Accent2 3 2 7 3" xfId="6881"/>
    <cellStyle name="20% - Accent2 3 2 8" xfId="3390"/>
    <cellStyle name="20% - Accent2 3 2 8 2" xfId="5475"/>
    <cellStyle name="20% - Accent2 3 2 8 2 2" xfId="9626"/>
    <cellStyle name="20% - Accent2 3 2 8 3" xfId="7553"/>
    <cellStyle name="20% - Accent2 3 2 9" xfId="4107"/>
    <cellStyle name="20% - Accent2 3 2 9 2" xfId="8261"/>
    <cellStyle name="20% - Accent2 3 3" xfId="1990"/>
    <cellStyle name="20% - Accent2 3 3 2" xfId="2218"/>
    <cellStyle name="20% - Accent2 3 3 2 2" xfId="2559"/>
    <cellStyle name="20% - Accent2 3 3 2 2 2" xfId="3284"/>
    <cellStyle name="20% - Accent2 3 3 2 2 2 2" xfId="5370"/>
    <cellStyle name="20% - Accent2 3 3 2 2 2 2 2" xfId="9521"/>
    <cellStyle name="20% - Accent2 3 3 2 2 2 3" xfId="7448"/>
    <cellStyle name="20% - Accent2 3 3 2 2 3" xfId="3957"/>
    <cellStyle name="20% - Accent2 3 3 2 2 3 2" xfId="6042"/>
    <cellStyle name="20% - Accent2 3 3 2 2 3 2 2" xfId="10193"/>
    <cellStyle name="20% - Accent2 3 3 2 2 3 3" xfId="8120"/>
    <cellStyle name="20% - Accent2 3 3 2 2 4" xfId="4676"/>
    <cellStyle name="20% - Accent2 3 3 2 2 4 2" xfId="8828"/>
    <cellStyle name="20% - Accent2 3 3 2 2 5" xfId="6755"/>
    <cellStyle name="20% - Accent2 3 3 2 3" xfId="2948"/>
    <cellStyle name="20% - Accent2 3 3 2 3 2" xfId="5034"/>
    <cellStyle name="20% - Accent2 3 3 2 3 2 2" xfId="9185"/>
    <cellStyle name="20% - Accent2 3 3 2 3 3" xfId="7112"/>
    <cellStyle name="20% - Accent2 3 3 2 4" xfId="3621"/>
    <cellStyle name="20% - Accent2 3 3 2 4 2" xfId="5706"/>
    <cellStyle name="20% - Accent2 3 3 2 4 2 2" xfId="9857"/>
    <cellStyle name="20% - Accent2 3 3 2 4 3" xfId="7784"/>
    <cellStyle name="20% - Accent2 3 3 2 5" xfId="4340"/>
    <cellStyle name="20% - Accent2 3 3 2 5 2" xfId="8492"/>
    <cellStyle name="20% - Accent2 3 3 2 6" xfId="6419"/>
    <cellStyle name="20% - Accent2 3 3 3" xfId="2390"/>
    <cellStyle name="20% - Accent2 3 3 3 2" xfId="3116"/>
    <cellStyle name="20% - Accent2 3 3 3 2 2" xfId="5202"/>
    <cellStyle name="20% - Accent2 3 3 3 2 2 2" xfId="9353"/>
    <cellStyle name="20% - Accent2 3 3 3 2 3" xfId="7280"/>
    <cellStyle name="20% - Accent2 3 3 3 3" xfId="3789"/>
    <cellStyle name="20% - Accent2 3 3 3 3 2" xfId="5874"/>
    <cellStyle name="20% - Accent2 3 3 3 3 2 2" xfId="10025"/>
    <cellStyle name="20% - Accent2 3 3 3 3 3" xfId="7952"/>
    <cellStyle name="20% - Accent2 3 3 3 4" xfId="4508"/>
    <cellStyle name="20% - Accent2 3 3 3 4 2" xfId="8660"/>
    <cellStyle name="20% - Accent2 3 3 3 5" xfId="6587"/>
    <cellStyle name="20% - Accent2 3 3 4" xfId="2780"/>
    <cellStyle name="20% - Accent2 3 3 4 2" xfId="4866"/>
    <cellStyle name="20% - Accent2 3 3 4 2 2" xfId="9017"/>
    <cellStyle name="20% - Accent2 3 3 4 3" xfId="6944"/>
    <cellStyle name="20% - Accent2 3 3 5" xfId="3453"/>
    <cellStyle name="20% - Accent2 3 3 5 2" xfId="5538"/>
    <cellStyle name="20% - Accent2 3 3 5 2 2" xfId="9689"/>
    <cellStyle name="20% - Accent2 3 3 5 3" xfId="7616"/>
    <cellStyle name="20% - Accent2 3 3 6" xfId="4172"/>
    <cellStyle name="20% - Accent2 3 3 6 2" xfId="8324"/>
    <cellStyle name="20% - Accent2 3 3 7" xfId="6251"/>
    <cellStyle name="20% - Accent2 3 4" xfId="1889"/>
    <cellStyle name="20% - Accent2 3 4 2" xfId="2175"/>
    <cellStyle name="20% - Accent2 3 4 2 2" xfId="2517"/>
    <cellStyle name="20% - Accent2 3 4 2 2 2" xfId="3242"/>
    <cellStyle name="20% - Accent2 3 4 2 2 2 2" xfId="5328"/>
    <cellStyle name="20% - Accent2 3 4 2 2 2 2 2" xfId="9479"/>
    <cellStyle name="20% - Accent2 3 4 2 2 2 3" xfId="7406"/>
    <cellStyle name="20% - Accent2 3 4 2 2 3" xfId="3915"/>
    <cellStyle name="20% - Accent2 3 4 2 2 3 2" xfId="6000"/>
    <cellStyle name="20% - Accent2 3 4 2 2 3 2 2" xfId="10151"/>
    <cellStyle name="20% - Accent2 3 4 2 2 3 3" xfId="8078"/>
    <cellStyle name="20% - Accent2 3 4 2 2 4" xfId="4634"/>
    <cellStyle name="20% - Accent2 3 4 2 2 4 2" xfId="8786"/>
    <cellStyle name="20% - Accent2 3 4 2 2 5" xfId="6713"/>
    <cellStyle name="20% - Accent2 3 4 2 3" xfId="2906"/>
    <cellStyle name="20% - Accent2 3 4 2 3 2" xfId="4992"/>
    <cellStyle name="20% - Accent2 3 4 2 3 2 2" xfId="9143"/>
    <cellStyle name="20% - Accent2 3 4 2 3 3" xfId="7070"/>
    <cellStyle name="20% - Accent2 3 4 2 4" xfId="3579"/>
    <cellStyle name="20% - Accent2 3 4 2 4 2" xfId="5664"/>
    <cellStyle name="20% - Accent2 3 4 2 4 2 2" xfId="9815"/>
    <cellStyle name="20% - Accent2 3 4 2 4 3" xfId="7742"/>
    <cellStyle name="20% - Accent2 3 4 2 5" xfId="4298"/>
    <cellStyle name="20% - Accent2 3 4 2 5 2" xfId="8450"/>
    <cellStyle name="20% - Accent2 3 4 2 6" xfId="6377"/>
    <cellStyle name="20% - Accent2 3 4 3" xfId="2348"/>
    <cellStyle name="20% - Accent2 3 4 3 2" xfId="3074"/>
    <cellStyle name="20% - Accent2 3 4 3 2 2" xfId="5160"/>
    <cellStyle name="20% - Accent2 3 4 3 2 2 2" xfId="9311"/>
    <cellStyle name="20% - Accent2 3 4 3 2 3" xfId="7238"/>
    <cellStyle name="20% - Accent2 3 4 3 3" xfId="3747"/>
    <cellStyle name="20% - Accent2 3 4 3 3 2" xfId="5832"/>
    <cellStyle name="20% - Accent2 3 4 3 3 2 2" xfId="9983"/>
    <cellStyle name="20% - Accent2 3 4 3 3 3" xfId="7910"/>
    <cellStyle name="20% - Accent2 3 4 3 4" xfId="4466"/>
    <cellStyle name="20% - Accent2 3 4 3 4 2" xfId="8618"/>
    <cellStyle name="20% - Accent2 3 4 3 5" xfId="6545"/>
    <cellStyle name="20% - Accent2 3 4 4" xfId="2738"/>
    <cellStyle name="20% - Accent2 3 4 4 2" xfId="4824"/>
    <cellStyle name="20% - Accent2 3 4 4 2 2" xfId="8975"/>
    <cellStyle name="20% - Accent2 3 4 4 3" xfId="6902"/>
    <cellStyle name="20% - Accent2 3 4 5" xfId="3411"/>
    <cellStyle name="20% - Accent2 3 4 5 2" xfId="5496"/>
    <cellStyle name="20% - Accent2 3 4 5 2 2" xfId="9647"/>
    <cellStyle name="20% - Accent2 3 4 5 3" xfId="7574"/>
    <cellStyle name="20% - Accent2 3 4 6" xfId="4130"/>
    <cellStyle name="20% - Accent2 3 4 6 2" xfId="8282"/>
    <cellStyle name="20% - Accent2 3 4 7" xfId="6209"/>
    <cellStyle name="20% - Accent2 3 5" xfId="2087"/>
    <cellStyle name="20% - Accent2 3 5 2" xfId="2260"/>
    <cellStyle name="20% - Accent2 3 5 2 2" xfId="2601"/>
    <cellStyle name="20% - Accent2 3 5 2 2 2" xfId="3326"/>
    <cellStyle name="20% - Accent2 3 5 2 2 2 2" xfId="5412"/>
    <cellStyle name="20% - Accent2 3 5 2 2 2 2 2" xfId="9563"/>
    <cellStyle name="20% - Accent2 3 5 2 2 2 3" xfId="7490"/>
    <cellStyle name="20% - Accent2 3 5 2 2 3" xfId="3999"/>
    <cellStyle name="20% - Accent2 3 5 2 2 3 2" xfId="6084"/>
    <cellStyle name="20% - Accent2 3 5 2 2 3 2 2" xfId="10235"/>
    <cellStyle name="20% - Accent2 3 5 2 2 3 3" xfId="8162"/>
    <cellStyle name="20% - Accent2 3 5 2 2 4" xfId="4718"/>
    <cellStyle name="20% - Accent2 3 5 2 2 4 2" xfId="8870"/>
    <cellStyle name="20% - Accent2 3 5 2 2 5" xfId="6797"/>
    <cellStyle name="20% - Accent2 3 5 2 3" xfId="2990"/>
    <cellStyle name="20% - Accent2 3 5 2 3 2" xfId="5076"/>
    <cellStyle name="20% - Accent2 3 5 2 3 2 2" xfId="9227"/>
    <cellStyle name="20% - Accent2 3 5 2 3 3" xfId="7154"/>
    <cellStyle name="20% - Accent2 3 5 2 4" xfId="3663"/>
    <cellStyle name="20% - Accent2 3 5 2 4 2" xfId="5748"/>
    <cellStyle name="20% - Accent2 3 5 2 4 2 2" xfId="9899"/>
    <cellStyle name="20% - Accent2 3 5 2 4 3" xfId="7826"/>
    <cellStyle name="20% - Accent2 3 5 2 5" xfId="4382"/>
    <cellStyle name="20% - Accent2 3 5 2 5 2" xfId="8534"/>
    <cellStyle name="20% - Accent2 3 5 2 6" xfId="6461"/>
    <cellStyle name="20% - Accent2 3 5 3" xfId="2433"/>
    <cellStyle name="20% - Accent2 3 5 3 2" xfId="3158"/>
    <cellStyle name="20% - Accent2 3 5 3 2 2" xfId="5244"/>
    <cellStyle name="20% - Accent2 3 5 3 2 2 2" xfId="9395"/>
    <cellStyle name="20% - Accent2 3 5 3 2 3" xfId="7322"/>
    <cellStyle name="20% - Accent2 3 5 3 3" xfId="3831"/>
    <cellStyle name="20% - Accent2 3 5 3 3 2" xfId="5916"/>
    <cellStyle name="20% - Accent2 3 5 3 3 2 2" xfId="10067"/>
    <cellStyle name="20% - Accent2 3 5 3 3 3" xfId="7994"/>
    <cellStyle name="20% - Accent2 3 5 3 4" xfId="4550"/>
    <cellStyle name="20% - Accent2 3 5 3 4 2" xfId="8702"/>
    <cellStyle name="20% - Accent2 3 5 3 5" xfId="6629"/>
    <cellStyle name="20% - Accent2 3 5 4" xfId="2822"/>
    <cellStyle name="20% - Accent2 3 5 4 2" xfId="4908"/>
    <cellStyle name="20% - Accent2 3 5 4 2 2" xfId="9059"/>
    <cellStyle name="20% - Accent2 3 5 4 3" xfId="6986"/>
    <cellStyle name="20% - Accent2 3 5 5" xfId="3495"/>
    <cellStyle name="20% - Accent2 3 5 5 2" xfId="5580"/>
    <cellStyle name="20% - Accent2 3 5 5 2 2" xfId="9731"/>
    <cellStyle name="20% - Accent2 3 5 5 3" xfId="7658"/>
    <cellStyle name="20% - Accent2 3 5 6" xfId="4214"/>
    <cellStyle name="20% - Accent2 3 5 6 2" xfId="8366"/>
    <cellStyle name="20% - Accent2 3 5 7" xfId="6293"/>
    <cellStyle name="20% - Accent2 3 6" xfId="2130"/>
    <cellStyle name="20% - Accent2 3 6 2" xfId="2475"/>
    <cellStyle name="20% - Accent2 3 6 2 2" xfId="3200"/>
    <cellStyle name="20% - Accent2 3 6 2 2 2" xfId="5286"/>
    <cellStyle name="20% - Accent2 3 6 2 2 2 2" xfId="9437"/>
    <cellStyle name="20% - Accent2 3 6 2 2 3" xfId="7364"/>
    <cellStyle name="20% - Accent2 3 6 2 3" xfId="3873"/>
    <cellStyle name="20% - Accent2 3 6 2 3 2" xfId="5958"/>
    <cellStyle name="20% - Accent2 3 6 2 3 2 2" xfId="10109"/>
    <cellStyle name="20% - Accent2 3 6 2 3 3" xfId="8036"/>
    <cellStyle name="20% - Accent2 3 6 2 4" xfId="4592"/>
    <cellStyle name="20% - Accent2 3 6 2 4 2" xfId="8744"/>
    <cellStyle name="20% - Accent2 3 6 2 5" xfId="6671"/>
    <cellStyle name="20% - Accent2 3 6 3" xfId="2864"/>
    <cellStyle name="20% - Accent2 3 6 3 2" xfId="4950"/>
    <cellStyle name="20% - Accent2 3 6 3 2 2" xfId="9101"/>
    <cellStyle name="20% - Accent2 3 6 3 3" xfId="7028"/>
    <cellStyle name="20% - Accent2 3 6 4" xfId="3537"/>
    <cellStyle name="20% - Accent2 3 6 4 2" xfId="5622"/>
    <cellStyle name="20% - Accent2 3 6 4 2 2" xfId="9773"/>
    <cellStyle name="20% - Accent2 3 6 4 3" xfId="7700"/>
    <cellStyle name="20% - Accent2 3 6 5" xfId="4256"/>
    <cellStyle name="20% - Accent2 3 6 5 2" xfId="8408"/>
    <cellStyle name="20% - Accent2 3 6 6" xfId="6335"/>
    <cellStyle name="20% - Accent2 3 7" xfId="2303"/>
    <cellStyle name="20% - Accent2 3 7 2" xfId="3032"/>
    <cellStyle name="20% - Accent2 3 7 2 2" xfId="5118"/>
    <cellStyle name="20% - Accent2 3 7 2 2 2" xfId="9269"/>
    <cellStyle name="20% - Accent2 3 7 2 3" xfId="7196"/>
    <cellStyle name="20% - Accent2 3 7 3" xfId="3705"/>
    <cellStyle name="20% - Accent2 3 7 3 2" xfId="5790"/>
    <cellStyle name="20% - Accent2 3 7 3 2 2" xfId="9941"/>
    <cellStyle name="20% - Accent2 3 7 3 3" xfId="7868"/>
    <cellStyle name="20% - Accent2 3 7 4" xfId="4424"/>
    <cellStyle name="20% - Accent2 3 7 4 2" xfId="8576"/>
    <cellStyle name="20% - Accent2 3 7 5" xfId="6503"/>
    <cellStyle name="20% - Accent2 3 8" xfId="2694"/>
    <cellStyle name="20% - Accent2 3 8 2" xfId="4782"/>
    <cellStyle name="20% - Accent2 3 8 2 2" xfId="8933"/>
    <cellStyle name="20% - Accent2 3 8 3" xfId="6860"/>
    <cellStyle name="20% - Accent2 3 9" xfId="3369"/>
    <cellStyle name="20% - Accent2 3 9 2" xfId="5454"/>
    <cellStyle name="20% - Accent2 3 9 2 2" xfId="9605"/>
    <cellStyle name="20% - Accent2 3 9 3" xfId="7532"/>
    <cellStyle name="20% - Accent2 4" xfId="4047"/>
    <cellStyle name="20% - Accent2 4 2" xfId="6132"/>
    <cellStyle name="20% - Accent2 4 2 2" xfId="10283"/>
    <cellStyle name="20% - Accent2 4 3" xfId="8210"/>
    <cellStyle name="20% - Accent2 5" xfId="4761"/>
    <cellStyle name="20% - Accent2 5 2" xfId="8913"/>
    <cellStyle name="20% - Accent2 6" xfId="6840"/>
    <cellStyle name="20% - Accent3" xfId="231" builtinId="38" customBuiltin="1"/>
    <cellStyle name="20% - Accent3 10" xfId="2695"/>
    <cellStyle name="20% - Accent3 10 2" xfId="4783"/>
    <cellStyle name="20% - Accent3 10 2 2" xfId="8934"/>
    <cellStyle name="20% - Accent3 10 3" xfId="6861"/>
    <cellStyle name="20% - Accent3 11" xfId="3370"/>
    <cellStyle name="20% - Accent3 11 2" xfId="5455"/>
    <cellStyle name="20% - Accent3 11 2 2" xfId="9606"/>
    <cellStyle name="20% - Accent3 11 3" xfId="7533"/>
    <cellStyle name="20% - Accent3 12" xfId="4050"/>
    <cellStyle name="20% - Accent3 12 2" xfId="6135"/>
    <cellStyle name="20% - Accent3 12 2 2" xfId="10286"/>
    <cellStyle name="20% - Accent3 12 3" xfId="8213"/>
    <cellStyle name="20% - Accent3 13" xfId="4083"/>
    <cellStyle name="20% - Accent3 13 2" xfId="8241"/>
    <cellStyle name="20% - Accent3 14" xfId="6168"/>
    <cellStyle name="20% - Accent3 2" xfId="232"/>
    <cellStyle name="20% - Accent3 2 2" xfId="233"/>
    <cellStyle name="20% - Accent3 3" xfId="1328"/>
    <cellStyle name="20% - Accent3 3 10" xfId="6189"/>
    <cellStyle name="20% - Accent3 3 2" xfId="2066"/>
    <cellStyle name="20% - Accent3 3 2 2" xfId="2240"/>
    <cellStyle name="20% - Accent3 3 2 2 2" xfId="2581"/>
    <cellStyle name="20% - Accent3 3 2 2 2 2" xfId="3306"/>
    <cellStyle name="20% - Accent3 3 2 2 2 2 2" xfId="5392"/>
    <cellStyle name="20% - Accent3 3 2 2 2 2 2 2" xfId="9543"/>
    <cellStyle name="20% - Accent3 3 2 2 2 2 3" xfId="7470"/>
    <cellStyle name="20% - Accent3 3 2 2 2 3" xfId="3979"/>
    <cellStyle name="20% - Accent3 3 2 2 2 3 2" xfId="6064"/>
    <cellStyle name="20% - Accent3 3 2 2 2 3 2 2" xfId="10215"/>
    <cellStyle name="20% - Accent3 3 2 2 2 3 3" xfId="8142"/>
    <cellStyle name="20% - Accent3 3 2 2 2 4" xfId="4698"/>
    <cellStyle name="20% - Accent3 3 2 2 2 4 2" xfId="8850"/>
    <cellStyle name="20% - Accent3 3 2 2 2 5" xfId="6777"/>
    <cellStyle name="20% - Accent3 3 2 2 3" xfId="2970"/>
    <cellStyle name="20% - Accent3 3 2 2 3 2" xfId="5056"/>
    <cellStyle name="20% - Accent3 3 2 2 3 2 2" xfId="9207"/>
    <cellStyle name="20% - Accent3 3 2 2 3 3" xfId="7134"/>
    <cellStyle name="20% - Accent3 3 2 2 4" xfId="3643"/>
    <cellStyle name="20% - Accent3 3 2 2 4 2" xfId="5728"/>
    <cellStyle name="20% - Accent3 3 2 2 4 2 2" xfId="9879"/>
    <cellStyle name="20% - Accent3 3 2 2 4 3" xfId="7806"/>
    <cellStyle name="20% - Accent3 3 2 2 5" xfId="4362"/>
    <cellStyle name="20% - Accent3 3 2 2 5 2" xfId="8514"/>
    <cellStyle name="20% - Accent3 3 2 2 6" xfId="6441"/>
    <cellStyle name="20% - Accent3 3 2 3" xfId="2413"/>
    <cellStyle name="20% - Accent3 3 2 3 2" xfId="3138"/>
    <cellStyle name="20% - Accent3 3 2 3 2 2" xfId="5224"/>
    <cellStyle name="20% - Accent3 3 2 3 2 2 2" xfId="9375"/>
    <cellStyle name="20% - Accent3 3 2 3 2 3" xfId="7302"/>
    <cellStyle name="20% - Accent3 3 2 3 3" xfId="3811"/>
    <cellStyle name="20% - Accent3 3 2 3 3 2" xfId="5896"/>
    <cellStyle name="20% - Accent3 3 2 3 3 2 2" xfId="10047"/>
    <cellStyle name="20% - Accent3 3 2 3 3 3" xfId="7974"/>
    <cellStyle name="20% - Accent3 3 2 3 4" xfId="4530"/>
    <cellStyle name="20% - Accent3 3 2 3 4 2" xfId="8682"/>
    <cellStyle name="20% - Accent3 3 2 3 5" xfId="6609"/>
    <cellStyle name="20% - Accent3 3 2 4" xfId="2802"/>
    <cellStyle name="20% - Accent3 3 2 4 2" xfId="4888"/>
    <cellStyle name="20% - Accent3 3 2 4 2 2" xfId="9039"/>
    <cellStyle name="20% - Accent3 3 2 4 3" xfId="6966"/>
    <cellStyle name="20% - Accent3 3 2 5" xfId="3475"/>
    <cellStyle name="20% - Accent3 3 2 5 2" xfId="5560"/>
    <cellStyle name="20% - Accent3 3 2 5 2 2" xfId="9711"/>
    <cellStyle name="20% - Accent3 3 2 5 3" xfId="7638"/>
    <cellStyle name="20% - Accent3 3 2 6" xfId="4194"/>
    <cellStyle name="20% - Accent3 3 2 6 2" xfId="8346"/>
    <cellStyle name="20% - Accent3 3 2 7" xfId="6273"/>
    <cellStyle name="20% - Accent3 3 3" xfId="1966"/>
    <cellStyle name="20% - Accent3 3 3 2" xfId="2198"/>
    <cellStyle name="20% - Accent3 3 3 2 2" xfId="2539"/>
    <cellStyle name="20% - Accent3 3 3 2 2 2" xfId="3264"/>
    <cellStyle name="20% - Accent3 3 3 2 2 2 2" xfId="5350"/>
    <cellStyle name="20% - Accent3 3 3 2 2 2 2 2" xfId="9501"/>
    <cellStyle name="20% - Accent3 3 3 2 2 2 3" xfId="7428"/>
    <cellStyle name="20% - Accent3 3 3 2 2 3" xfId="3937"/>
    <cellStyle name="20% - Accent3 3 3 2 2 3 2" xfId="6022"/>
    <cellStyle name="20% - Accent3 3 3 2 2 3 2 2" xfId="10173"/>
    <cellStyle name="20% - Accent3 3 3 2 2 3 3" xfId="8100"/>
    <cellStyle name="20% - Accent3 3 3 2 2 4" xfId="4656"/>
    <cellStyle name="20% - Accent3 3 3 2 2 4 2" xfId="8808"/>
    <cellStyle name="20% - Accent3 3 3 2 2 5" xfId="6735"/>
    <cellStyle name="20% - Accent3 3 3 2 3" xfId="2928"/>
    <cellStyle name="20% - Accent3 3 3 2 3 2" xfId="5014"/>
    <cellStyle name="20% - Accent3 3 3 2 3 2 2" xfId="9165"/>
    <cellStyle name="20% - Accent3 3 3 2 3 3" xfId="7092"/>
    <cellStyle name="20% - Accent3 3 3 2 4" xfId="3601"/>
    <cellStyle name="20% - Accent3 3 3 2 4 2" xfId="5686"/>
    <cellStyle name="20% - Accent3 3 3 2 4 2 2" xfId="9837"/>
    <cellStyle name="20% - Accent3 3 3 2 4 3" xfId="7764"/>
    <cellStyle name="20% - Accent3 3 3 2 5" xfId="4320"/>
    <cellStyle name="20% - Accent3 3 3 2 5 2" xfId="8472"/>
    <cellStyle name="20% - Accent3 3 3 2 6" xfId="6399"/>
    <cellStyle name="20% - Accent3 3 3 3" xfId="2370"/>
    <cellStyle name="20% - Accent3 3 3 3 2" xfId="3096"/>
    <cellStyle name="20% - Accent3 3 3 3 2 2" xfId="5182"/>
    <cellStyle name="20% - Accent3 3 3 3 2 2 2" xfId="9333"/>
    <cellStyle name="20% - Accent3 3 3 3 2 3" xfId="7260"/>
    <cellStyle name="20% - Accent3 3 3 3 3" xfId="3769"/>
    <cellStyle name="20% - Accent3 3 3 3 3 2" xfId="5854"/>
    <cellStyle name="20% - Accent3 3 3 3 3 2 2" xfId="10005"/>
    <cellStyle name="20% - Accent3 3 3 3 3 3" xfId="7932"/>
    <cellStyle name="20% - Accent3 3 3 3 4" xfId="4488"/>
    <cellStyle name="20% - Accent3 3 3 3 4 2" xfId="8640"/>
    <cellStyle name="20% - Accent3 3 3 3 5" xfId="6567"/>
    <cellStyle name="20% - Accent3 3 3 4" xfId="2760"/>
    <cellStyle name="20% - Accent3 3 3 4 2" xfId="4846"/>
    <cellStyle name="20% - Accent3 3 3 4 2 2" xfId="8997"/>
    <cellStyle name="20% - Accent3 3 3 4 3" xfId="6924"/>
    <cellStyle name="20% - Accent3 3 3 5" xfId="3433"/>
    <cellStyle name="20% - Accent3 3 3 5 2" xfId="5518"/>
    <cellStyle name="20% - Accent3 3 3 5 2 2" xfId="9669"/>
    <cellStyle name="20% - Accent3 3 3 5 3" xfId="7596"/>
    <cellStyle name="20% - Accent3 3 3 6" xfId="4152"/>
    <cellStyle name="20% - Accent3 3 3 6 2" xfId="8304"/>
    <cellStyle name="20% - Accent3 3 3 7" xfId="6231"/>
    <cellStyle name="20% - Accent3 3 4" xfId="2109"/>
    <cellStyle name="20% - Accent3 3 4 2" xfId="2282"/>
    <cellStyle name="20% - Accent3 3 4 2 2" xfId="2623"/>
    <cellStyle name="20% - Accent3 3 4 2 2 2" xfId="3348"/>
    <cellStyle name="20% - Accent3 3 4 2 2 2 2" xfId="5434"/>
    <cellStyle name="20% - Accent3 3 4 2 2 2 2 2" xfId="9585"/>
    <cellStyle name="20% - Accent3 3 4 2 2 2 3" xfId="7512"/>
    <cellStyle name="20% - Accent3 3 4 2 2 3" xfId="4021"/>
    <cellStyle name="20% - Accent3 3 4 2 2 3 2" xfId="6106"/>
    <cellStyle name="20% - Accent3 3 4 2 2 3 2 2" xfId="10257"/>
    <cellStyle name="20% - Accent3 3 4 2 2 3 3" xfId="8184"/>
    <cellStyle name="20% - Accent3 3 4 2 2 4" xfId="4740"/>
    <cellStyle name="20% - Accent3 3 4 2 2 4 2" xfId="8892"/>
    <cellStyle name="20% - Accent3 3 4 2 2 5" xfId="6819"/>
    <cellStyle name="20% - Accent3 3 4 2 3" xfId="3012"/>
    <cellStyle name="20% - Accent3 3 4 2 3 2" xfId="5098"/>
    <cellStyle name="20% - Accent3 3 4 2 3 2 2" xfId="9249"/>
    <cellStyle name="20% - Accent3 3 4 2 3 3" xfId="7176"/>
    <cellStyle name="20% - Accent3 3 4 2 4" xfId="3685"/>
    <cellStyle name="20% - Accent3 3 4 2 4 2" xfId="5770"/>
    <cellStyle name="20% - Accent3 3 4 2 4 2 2" xfId="9921"/>
    <cellStyle name="20% - Accent3 3 4 2 4 3" xfId="7848"/>
    <cellStyle name="20% - Accent3 3 4 2 5" xfId="4404"/>
    <cellStyle name="20% - Accent3 3 4 2 5 2" xfId="8556"/>
    <cellStyle name="20% - Accent3 3 4 2 6" xfId="6483"/>
    <cellStyle name="20% - Accent3 3 4 3" xfId="2455"/>
    <cellStyle name="20% - Accent3 3 4 3 2" xfId="3180"/>
    <cellStyle name="20% - Accent3 3 4 3 2 2" xfId="5266"/>
    <cellStyle name="20% - Accent3 3 4 3 2 2 2" xfId="9417"/>
    <cellStyle name="20% - Accent3 3 4 3 2 3" xfId="7344"/>
    <cellStyle name="20% - Accent3 3 4 3 3" xfId="3853"/>
    <cellStyle name="20% - Accent3 3 4 3 3 2" xfId="5938"/>
    <cellStyle name="20% - Accent3 3 4 3 3 2 2" xfId="10089"/>
    <cellStyle name="20% - Accent3 3 4 3 3 3" xfId="8016"/>
    <cellStyle name="20% - Accent3 3 4 3 4" xfId="4572"/>
    <cellStyle name="20% - Accent3 3 4 3 4 2" xfId="8724"/>
    <cellStyle name="20% - Accent3 3 4 3 5" xfId="6651"/>
    <cellStyle name="20% - Accent3 3 4 4" xfId="2844"/>
    <cellStyle name="20% - Accent3 3 4 4 2" xfId="4930"/>
    <cellStyle name="20% - Accent3 3 4 4 2 2" xfId="9081"/>
    <cellStyle name="20% - Accent3 3 4 4 3" xfId="7008"/>
    <cellStyle name="20% - Accent3 3 4 5" xfId="3517"/>
    <cellStyle name="20% - Accent3 3 4 5 2" xfId="5602"/>
    <cellStyle name="20% - Accent3 3 4 5 2 2" xfId="9753"/>
    <cellStyle name="20% - Accent3 3 4 5 3" xfId="7680"/>
    <cellStyle name="20% - Accent3 3 4 6" xfId="4236"/>
    <cellStyle name="20% - Accent3 3 4 6 2" xfId="8388"/>
    <cellStyle name="20% - Accent3 3 4 7" xfId="6315"/>
    <cellStyle name="20% - Accent3 3 5" xfId="2155"/>
    <cellStyle name="20% - Accent3 3 5 2" xfId="2497"/>
    <cellStyle name="20% - Accent3 3 5 2 2" xfId="3222"/>
    <cellStyle name="20% - Accent3 3 5 2 2 2" xfId="5308"/>
    <cellStyle name="20% - Accent3 3 5 2 2 2 2" xfId="9459"/>
    <cellStyle name="20% - Accent3 3 5 2 2 3" xfId="7386"/>
    <cellStyle name="20% - Accent3 3 5 2 3" xfId="3895"/>
    <cellStyle name="20% - Accent3 3 5 2 3 2" xfId="5980"/>
    <cellStyle name="20% - Accent3 3 5 2 3 2 2" xfId="10131"/>
    <cellStyle name="20% - Accent3 3 5 2 3 3" xfId="8058"/>
    <cellStyle name="20% - Accent3 3 5 2 4" xfId="4614"/>
    <cellStyle name="20% - Accent3 3 5 2 4 2" xfId="8766"/>
    <cellStyle name="20% - Accent3 3 5 2 5" xfId="6693"/>
    <cellStyle name="20% - Accent3 3 5 3" xfId="2886"/>
    <cellStyle name="20% - Accent3 3 5 3 2" xfId="4972"/>
    <cellStyle name="20% - Accent3 3 5 3 2 2" xfId="9123"/>
    <cellStyle name="20% - Accent3 3 5 3 3" xfId="7050"/>
    <cellStyle name="20% - Accent3 3 5 4" xfId="3559"/>
    <cellStyle name="20% - Accent3 3 5 4 2" xfId="5644"/>
    <cellStyle name="20% - Accent3 3 5 4 2 2" xfId="9795"/>
    <cellStyle name="20% - Accent3 3 5 4 3" xfId="7722"/>
    <cellStyle name="20% - Accent3 3 5 5" xfId="4278"/>
    <cellStyle name="20% - Accent3 3 5 5 2" xfId="8430"/>
    <cellStyle name="20% - Accent3 3 5 6" xfId="6357"/>
    <cellStyle name="20% - Accent3 3 6" xfId="2328"/>
    <cellStyle name="20% - Accent3 3 6 2" xfId="3054"/>
    <cellStyle name="20% - Accent3 3 6 2 2" xfId="5140"/>
    <cellStyle name="20% - Accent3 3 6 2 2 2" xfId="9291"/>
    <cellStyle name="20% - Accent3 3 6 2 3" xfId="7218"/>
    <cellStyle name="20% - Accent3 3 6 3" xfId="3727"/>
    <cellStyle name="20% - Accent3 3 6 3 2" xfId="5812"/>
    <cellStyle name="20% - Accent3 3 6 3 2 2" xfId="9963"/>
    <cellStyle name="20% - Accent3 3 6 3 3" xfId="7890"/>
    <cellStyle name="20% - Accent3 3 6 4" xfId="4446"/>
    <cellStyle name="20% - Accent3 3 6 4 2" xfId="8598"/>
    <cellStyle name="20% - Accent3 3 6 5" xfId="6525"/>
    <cellStyle name="20% - Accent3 3 7" xfId="2718"/>
    <cellStyle name="20% - Accent3 3 7 2" xfId="4804"/>
    <cellStyle name="20% - Accent3 3 7 2 2" xfId="8955"/>
    <cellStyle name="20% - Accent3 3 7 3" xfId="6882"/>
    <cellStyle name="20% - Accent3 3 8" xfId="3391"/>
    <cellStyle name="20% - Accent3 3 8 2" xfId="5476"/>
    <cellStyle name="20% - Accent3 3 8 2 2" xfId="9627"/>
    <cellStyle name="20% - Accent3 3 8 3" xfId="7554"/>
    <cellStyle name="20% - Accent3 3 9" xfId="4108"/>
    <cellStyle name="20% - Accent3 3 9 2" xfId="8262"/>
    <cellStyle name="20% - Accent3 4" xfId="1991"/>
    <cellStyle name="20% - Accent3 4 2" xfId="2219"/>
    <cellStyle name="20% - Accent3 4 2 2" xfId="2560"/>
    <cellStyle name="20% - Accent3 4 2 2 2" xfId="3285"/>
    <cellStyle name="20% - Accent3 4 2 2 2 2" xfId="5371"/>
    <cellStyle name="20% - Accent3 4 2 2 2 2 2" xfId="9522"/>
    <cellStyle name="20% - Accent3 4 2 2 2 3" xfId="7449"/>
    <cellStyle name="20% - Accent3 4 2 2 3" xfId="3958"/>
    <cellStyle name="20% - Accent3 4 2 2 3 2" xfId="6043"/>
    <cellStyle name="20% - Accent3 4 2 2 3 2 2" xfId="10194"/>
    <cellStyle name="20% - Accent3 4 2 2 3 3" xfId="8121"/>
    <cellStyle name="20% - Accent3 4 2 2 4" xfId="4677"/>
    <cellStyle name="20% - Accent3 4 2 2 4 2" xfId="8829"/>
    <cellStyle name="20% - Accent3 4 2 2 5" xfId="6756"/>
    <cellStyle name="20% - Accent3 4 2 3" xfId="2949"/>
    <cellStyle name="20% - Accent3 4 2 3 2" xfId="5035"/>
    <cellStyle name="20% - Accent3 4 2 3 2 2" xfId="9186"/>
    <cellStyle name="20% - Accent3 4 2 3 3" xfId="7113"/>
    <cellStyle name="20% - Accent3 4 2 4" xfId="3622"/>
    <cellStyle name="20% - Accent3 4 2 4 2" xfId="5707"/>
    <cellStyle name="20% - Accent3 4 2 4 2 2" xfId="9858"/>
    <cellStyle name="20% - Accent3 4 2 4 3" xfId="7785"/>
    <cellStyle name="20% - Accent3 4 2 5" xfId="4341"/>
    <cellStyle name="20% - Accent3 4 2 5 2" xfId="8493"/>
    <cellStyle name="20% - Accent3 4 2 6" xfId="6420"/>
    <cellStyle name="20% - Accent3 4 3" xfId="2391"/>
    <cellStyle name="20% - Accent3 4 3 2" xfId="3117"/>
    <cellStyle name="20% - Accent3 4 3 2 2" xfId="5203"/>
    <cellStyle name="20% - Accent3 4 3 2 2 2" xfId="9354"/>
    <cellStyle name="20% - Accent3 4 3 2 3" xfId="7281"/>
    <cellStyle name="20% - Accent3 4 3 3" xfId="3790"/>
    <cellStyle name="20% - Accent3 4 3 3 2" xfId="5875"/>
    <cellStyle name="20% - Accent3 4 3 3 2 2" xfId="10026"/>
    <cellStyle name="20% - Accent3 4 3 3 3" xfId="7953"/>
    <cellStyle name="20% - Accent3 4 3 4" xfId="4509"/>
    <cellStyle name="20% - Accent3 4 3 4 2" xfId="8661"/>
    <cellStyle name="20% - Accent3 4 3 5" xfId="6588"/>
    <cellStyle name="20% - Accent3 4 4" xfId="2781"/>
    <cellStyle name="20% - Accent3 4 4 2" xfId="4867"/>
    <cellStyle name="20% - Accent3 4 4 2 2" xfId="9018"/>
    <cellStyle name="20% - Accent3 4 4 3" xfId="6945"/>
    <cellStyle name="20% - Accent3 4 5" xfId="3454"/>
    <cellStyle name="20% - Accent3 4 5 2" xfId="5539"/>
    <cellStyle name="20% - Accent3 4 5 2 2" xfId="9690"/>
    <cellStyle name="20% - Accent3 4 5 3" xfId="7617"/>
    <cellStyle name="20% - Accent3 4 6" xfId="4173"/>
    <cellStyle name="20% - Accent3 4 6 2" xfId="8325"/>
    <cellStyle name="20% - Accent3 4 7" xfId="6252"/>
    <cellStyle name="20% - Accent3 5" xfId="1890"/>
    <cellStyle name="20% - Accent3 5 2" xfId="2176"/>
    <cellStyle name="20% - Accent3 5 2 2" xfId="2518"/>
    <cellStyle name="20% - Accent3 5 2 2 2" xfId="3243"/>
    <cellStyle name="20% - Accent3 5 2 2 2 2" xfId="5329"/>
    <cellStyle name="20% - Accent3 5 2 2 2 2 2" xfId="9480"/>
    <cellStyle name="20% - Accent3 5 2 2 2 3" xfId="7407"/>
    <cellStyle name="20% - Accent3 5 2 2 3" xfId="3916"/>
    <cellStyle name="20% - Accent3 5 2 2 3 2" xfId="6001"/>
    <cellStyle name="20% - Accent3 5 2 2 3 2 2" xfId="10152"/>
    <cellStyle name="20% - Accent3 5 2 2 3 3" xfId="8079"/>
    <cellStyle name="20% - Accent3 5 2 2 4" xfId="4635"/>
    <cellStyle name="20% - Accent3 5 2 2 4 2" xfId="8787"/>
    <cellStyle name="20% - Accent3 5 2 2 5" xfId="6714"/>
    <cellStyle name="20% - Accent3 5 2 3" xfId="2907"/>
    <cellStyle name="20% - Accent3 5 2 3 2" xfId="4993"/>
    <cellStyle name="20% - Accent3 5 2 3 2 2" xfId="9144"/>
    <cellStyle name="20% - Accent3 5 2 3 3" xfId="7071"/>
    <cellStyle name="20% - Accent3 5 2 4" xfId="3580"/>
    <cellStyle name="20% - Accent3 5 2 4 2" xfId="5665"/>
    <cellStyle name="20% - Accent3 5 2 4 2 2" xfId="9816"/>
    <cellStyle name="20% - Accent3 5 2 4 3" xfId="7743"/>
    <cellStyle name="20% - Accent3 5 2 5" xfId="4299"/>
    <cellStyle name="20% - Accent3 5 2 5 2" xfId="8451"/>
    <cellStyle name="20% - Accent3 5 2 6" xfId="6378"/>
    <cellStyle name="20% - Accent3 5 3" xfId="2349"/>
    <cellStyle name="20% - Accent3 5 3 2" xfId="3075"/>
    <cellStyle name="20% - Accent3 5 3 2 2" xfId="5161"/>
    <cellStyle name="20% - Accent3 5 3 2 2 2" xfId="9312"/>
    <cellStyle name="20% - Accent3 5 3 2 3" xfId="7239"/>
    <cellStyle name="20% - Accent3 5 3 3" xfId="3748"/>
    <cellStyle name="20% - Accent3 5 3 3 2" xfId="5833"/>
    <cellStyle name="20% - Accent3 5 3 3 2 2" xfId="9984"/>
    <cellStyle name="20% - Accent3 5 3 3 3" xfId="7911"/>
    <cellStyle name="20% - Accent3 5 3 4" xfId="4467"/>
    <cellStyle name="20% - Accent3 5 3 4 2" xfId="8619"/>
    <cellStyle name="20% - Accent3 5 3 5" xfId="6546"/>
    <cellStyle name="20% - Accent3 5 4" xfId="2739"/>
    <cellStyle name="20% - Accent3 5 4 2" xfId="4825"/>
    <cellStyle name="20% - Accent3 5 4 2 2" xfId="8976"/>
    <cellStyle name="20% - Accent3 5 4 3" xfId="6903"/>
    <cellStyle name="20% - Accent3 5 5" xfId="3412"/>
    <cellStyle name="20% - Accent3 5 5 2" xfId="5497"/>
    <cellStyle name="20% - Accent3 5 5 2 2" xfId="9648"/>
    <cellStyle name="20% - Accent3 5 5 3" xfId="7575"/>
    <cellStyle name="20% - Accent3 5 6" xfId="4131"/>
    <cellStyle name="20% - Accent3 5 6 2" xfId="8283"/>
    <cellStyle name="20% - Accent3 5 7" xfId="6210"/>
    <cellStyle name="20% - Accent3 6" xfId="2088"/>
    <cellStyle name="20% - Accent3 6 2" xfId="2261"/>
    <cellStyle name="20% - Accent3 6 2 2" xfId="2602"/>
    <cellStyle name="20% - Accent3 6 2 2 2" xfId="3327"/>
    <cellStyle name="20% - Accent3 6 2 2 2 2" xfId="5413"/>
    <cellStyle name="20% - Accent3 6 2 2 2 2 2" xfId="9564"/>
    <cellStyle name="20% - Accent3 6 2 2 2 3" xfId="7491"/>
    <cellStyle name="20% - Accent3 6 2 2 3" xfId="4000"/>
    <cellStyle name="20% - Accent3 6 2 2 3 2" xfId="6085"/>
    <cellStyle name="20% - Accent3 6 2 2 3 2 2" xfId="10236"/>
    <cellStyle name="20% - Accent3 6 2 2 3 3" xfId="8163"/>
    <cellStyle name="20% - Accent3 6 2 2 4" xfId="4719"/>
    <cellStyle name="20% - Accent3 6 2 2 4 2" xfId="8871"/>
    <cellStyle name="20% - Accent3 6 2 2 5" xfId="6798"/>
    <cellStyle name="20% - Accent3 6 2 3" xfId="2991"/>
    <cellStyle name="20% - Accent3 6 2 3 2" xfId="5077"/>
    <cellStyle name="20% - Accent3 6 2 3 2 2" xfId="9228"/>
    <cellStyle name="20% - Accent3 6 2 3 3" xfId="7155"/>
    <cellStyle name="20% - Accent3 6 2 4" xfId="3664"/>
    <cellStyle name="20% - Accent3 6 2 4 2" xfId="5749"/>
    <cellStyle name="20% - Accent3 6 2 4 2 2" xfId="9900"/>
    <cellStyle name="20% - Accent3 6 2 4 3" xfId="7827"/>
    <cellStyle name="20% - Accent3 6 2 5" xfId="4383"/>
    <cellStyle name="20% - Accent3 6 2 5 2" xfId="8535"/>
    <cellStyle name="20% - Accent3 6 2 6" xfId="6462"/>
    <cellStyle name="20% - Accent3 6 3" xfId="2434"/>
    <cellStyle name="20% - Accent3 6 3 2" xfId="3159"/>
    <cellStyle name="20% - Accent3 6 3 2 2" xfId="5245"/>
    <cellStyle name="20% - Accent3 6 3 2 2 2" xfId="9396"/>
    <cellStyle name="20% - Accent3 6 3 2 3" xfId="7323"/>
    <cellStyle name="20% - Accent3 6 3 3" xfId="3832"/>
    <cellStyle name="20% - Accent3 6 3 3 2" xfId="5917"/>
    <cellStyle name="20% - Accent3 6 3 3 2 2" xfId="10068"/>
    <cellStyle name="20% - Accent3 6 3 3 3" xfId="7995"/>
    <cellStyle name="20% - Accent3 6 3 4" xfId="4551"/>
    <cellStyle name="20% - Accent3 6 3 4 2" xfId="8703"/>
    <cellStyle name="20% - Accent3 6 3 5" xfId="6630"/>
    <cellStyle name="20% - Accent3 6 4" xfId="2823"/>
    <cellStyle name="20% - Accent3 6 4 2" xfId="4909"/>
    <cellStyle name="20% - Accent3 6 4 2 2" xfId="9060"/>
    <cellStyle name="20% - Accent3 6 4 3" xfId="6987"/>
    <cellStyle name="20% - Accent3 6 5" xfId="3496"/>
    <cellStyle name="20% - Accent3 6 5 2" xfId="5581"/>
    <cellStyle name="20% - Accent3 6 5 2 2" xfId="9732"/>
    <cellStyle name="20% - Accent3 6 5 3" xfId="7659"/>
    <cellStyle name="20% - Accent3 6 6" xfId="4215"/>
    <cellStyle name="20% - Accent3 6 6 2" xfId="8367"/>
    <cellStyle name="20% - Accent3 6 7" xfId="6294"/>
    <cellStyle name="20% - Accent3 7" xfId="2131"/>
    <cellStyle name="20% - Accent3 7 2" xfId="2476"/>
    <cellStyle name="20% - Accent3 7 2 2" xfId="3201"/>
    <cellStyle name="20% - Accent3 7 2 2 2" xfId="5287"/>
    <cellStyle name="20% - Accent3 7 2 2 2 2" xfId="9438"/>
    <cellStyle name="20% - Accent3 7 2 2 3" xfId="7365"/>
    <cellStyle name="20% - Accent3 7 2 3" xfId="3874"/>
    <cellStyle name="20% - Accent3 7 2 3 2" xfId="5959"/>
    <cellStyle name="20% - Accent3 7 2 3 2 2" xfId="10110"/>
    <cellStyle name="20% - Accent3 7 2 3 3" xfId="8037"/>
    <cellStyle name="20% - Accent3 7 2 4" xfId="4593"/>
    <cellStyle name="20% - Accent3 7 2 4 2" xfId="8745"/>
    <cellStyle name="20% - Accent3 7 2 5" xfId="6672"/>
    <cellStyle name="20% - Accent3 7 3" xfId="2865"/>
    <cellStyle name="20% - Accent3 7 3 2" xfId="4951"/>
    <cellStyle name="20% - Accent3 7 3 2 2" xfId="9102"/>
    <cellStyle name="20% - Accent3 7 3 3" xfId="7029"/>
    <cellStyle name="20% - Accent3 7 4" xfId="3538"/>
    <cellStyle name="20% - Accent3 7 4 2" xfId="5623"/>
    <cellStyle name="20% - Accent3 7 4 2 2" xfId="9774"/>
    <cellStyle name="20% - Accent3 7 4 3" xfId="7701"/>
    <cellStyle name="20% - Accent3 7 5" xfId="4257"/>
    <cellStyle name="20% - Accent3 7 5 2" xfId="8409"/>
    <cellStyle name="20% - Accent3 7 6" xfId="6336"/>
    <cellStyle name="20% - Accent3 8" xfId="2304"/>
    <cellStyle name="20% - Accent3 8 2" xfId="3033"/>
    <cellStyle name="20% - Accent3 8 2 2" xfId="5119"/>
    <cellStyle name="20% - Accent3 8 2 2 2" xfId="9270"/>
    <cellStyle name="20% - Accent3 8 2 3" xfId="7197"/>
    <cellStyle name="20% - Accent3 8 3" xfId="3706"/>
    <cellStyle name="20% - Accent3 8 3 2" xfId="5791"/>
    <cellStyle name="20% - Accent3 8 3 2 2" xfId="9942"/>
    <cellStyle name="20% - Accent3 8 3 3" xfId="7869"/>
    <cellStyle name="20% - Accent3 8 4" xfId="4425"/>
    <cellStyle name="20% - Accent3 8 4 2" xfId="8577"/>
    <cellStyle name="20% - Accent3 8 5" xfId="6504"/>
    <cellStyle name="20% - Accent3 9" xfId="2682"/>
    <cellStyle name="20% - Accent3 9 2" xfId="4773"/>
    <cellStyle name="20% - Accent3 9 2 2" xfId="8924"/>
    <cellStyle name="20% - Accent3 9 3" xfId="6851"/>
    <cellStyle name="20% - Accent4" xfId="2667" builtinId="42" customBuiltin="1"/>
    <cellStyle name="20% - Accent4 2" xfId="234"/>
    <cellStyle name="20% - Accent4 2 2" xfId="235"/>
    <cellStyle name="20% - Accent4 3" xfId="236"/>
    <cellStyle name="20% - Accent4 3 10" xfId="4084"/>
    <cellStyle name="20% - Accent4 3 10 2" xfId="8242"/>
    <cellStyle name="20% - Accent4 3 11" xfId="6169"/>
    <cellStyle name="20% - Accent4 3 2" xfId="1329"/>
    <cellStyle name="20% - Accent4 3 2 10" xfId="6190"/>
    <cellStyle name="20% - Accent4 3 2 2" xfId="2067"/>
    <cellStyle name="20% - Accent4 3 2 2 2" xfId="2241"/>
    <cellStyle name="20% - Accent4 3 2 2 2 2" xfId="2582"/>
    <cellStyle name="20% - Accent4 3 2 2 2 2 2" xfId="3307"/>
    <cellStyle name="20% - Accent4 3 2 2 2 2 2 2" xfId="5393"/>
    <cellStyle name="20% - Accent4 3 2 2 2 2 2 2 2" xfId="9544"/>
    <cellStyle name="20% - Accent4 3 2 2 2 2 2 3" xfId="7471"/>
    <cellStyle name="20% - Accent4 3 2 2 2 2 3" xfId="3980"/>
    <cellStyle name="20% - Accent4 3 2 2 2 2 3 2" xfId="6065"/>
    <cellStyle name="20% - Accent4 3 2 2 2 2 3 2 2" xfId="10216"/>
    <cellStyle name="20% - Accent4 3 2 2 2 2 3 3" xfId="8143"/>
    <cellStyle name="20% - Accent4 3 2 2 2 2 4" xfId="4699"/>
    <cellStyle name="20% - Accent4 3 2 2 2 2 4 2" xfId="8851"/>
    <cellStyle name="20% - Accent4 3 2 2 2 2 5" xfId="6778"/>
    <cellStyle name="20% - Accent4 3 2 2 2 3" xfId="2971"/>
    <cellStyle name="20% - Accent4 3 2 2 2 3 2" xfId="5057"/>
    <cellStyle name="20% - Accent4 3 2 2 2 3 2 2" xfId="9208"/>
    <cellStyle name="20% - Accent4 3 2 2 2 3 3" xfId="7135"/>
    <cellStyle name="20% - Accent4 3 2 2 2 4" xfId="3644"/>
    <cellStyle name="20% - Accent4 3 2 2 2 4 2" xfId="5729"/>
    <cellStyle name="20% - Accent4 3 2 2 2 4 2 2" xfId="9880"/>
    <cellStyle name="20% - Accent4 3 2 2 2 4 3" xfId="7807"/>
    <cellStyle name="20% - Accent4 3 2 2 2 5" xfId="4363"/>
    <cellStyle name="20% - Accent4 3 2 2 2 5 2" xfId="8515"/>
    <cellStyle name="20% - Accent4 3 2 2 2 6" xfId="6442"/>
    <cellStyle name="20% - Accent4 3 2 2 3" xfId="2414"/>
    <cellStyle name="20% - Accent4 3 2 2 3 2" xfId="3139"/>
    <cellStyle name="20% - Accent4 3 2 2 3 2 2" xfId="5225"/>
    <cellStyle name="20% - Accent4 3 2 2 3 2 2 2" xfId="9376"/>
    <cellStyle name="20% - Accent4 3 2 2 3 2 3" xfId="7303"/>
    <cellStyle name="20% - Accent4 3 2 2 3 3" xfId="3812"/>
    <cellStyle name="20% - Accent4 3 2 2 3 3 2" xfId="5897"/>
    <cellStyle name="20% - Accent4 3 2 2 3 3 2 2" xfId="10048"/>
    <cellStyle name="20% - Accent4 3 2 2 3 3 3" xfId="7975"/>
    <cellStyle name="20% - Accent4 3 2 2 3 4" xfId="4531"/>
    <cellStyle name="20% - Accent4 3 2 2 3 4 2" xfId="8683"/>
    <cellStyle name="20% - Accent4 3 2 2 3 5" xfId="6610"/>
    <cellStyle name="20% - Accent4 3 2 2 4" xfId="2803"/>
    <cellStyle name="20% - Accent4 3 2 2 4 2" xfId="4889"/>
    <cellStyle name="20% - Accent4 3 2 2 4 2 2" xfId="9040"/>
    <cellStyle name="20% - Accent4 3 2 2 4 3" xfId="6967"/>
    <cellStyle name="20% - Accent4 3 2 2 5" xfId="3476"/>
    <cellStyle name="20% - Accent4 3 2 2 5 2" xfId="5561"/>
    <cellStyle name="20% - Accent4 3 2 2 5 2 2" xfId="9712"/>
    <cellStyle name="20% - Accent4 3 2 2 5 3" xfId="7639"/>
    <cellStyle name="20% - Accent4 3 2 2 6" xfId="4195"/>
    <cellStyle name="20% - Accent4 3 2 2 6 2" xfId="8347"/>
    <cellStyle name="20% - Accent4 3 2 2 7" xfId="6274"/>
    <cellStyle name="20% - Accent4 3 2 3" xfId="1967"/>
    <cellStyle name="20% - Accent4 3 2 3 2" xfId="2199"/>
    <cellStyle name="20% - Accent4 3 2 3 2 2" xfId="2540"/>
    <cellStyle name="20% - Accent4 3 2 3 2 2 2" xfId="3265"/>
    <cellStyle name="20% - Accent4 3 2 3 2 2 2 2" xfId="5351"/>
    <cellStyle name="20% - Accent4 3 2 3 2 2 2 2 2" xfId="9502"/>
    <cellStyle name="20% - Accent4 3 2 3 2 2 2 3" xfId="7429"/>
    <cellStyle name="20% - Accent4 3 2 3 2 2 3" xfId="3938"/>
    <cellStyle name="20% - Accent4 3 2 3 2 2 3 2" xfId="6023"/>
    <cellStyle name="20% - Accent4 3 2 3 2 2 3 2 2" xfId="10174"/>
    <cellStyle name="20% - Accent4 3 2 3 2 2 3 3" xfId="8101"/>
    <cellStyle name="20% - Accent4 3 2 3 2 2 4" xfId="4657"/>
    <cellStyle name="20% - Accent4 3 2 3 2 2 4 2" xfId="8809"/>
    <cellStyle name="20% - Accent4 3 2 3 2 2 5" xfId="6736"/>
    <cellStyle name="20% - Accent4 3 2 3 2 3" xfId="2929"/>
    <cellStyle name="20% - Accent4 3 2 3 2 3 2" xfId="5015"/>
    <cellStyle name="20% - Accent4 3 2 3 2 3 2 2" xfId="9166"/>
    <cellStyle name="20% - Accent4 3 2 3 2 3 3" xfId="7093"/>
    <cellStyle name="20% - Accent4 3 2 3 2 4" xfId="3602"/>
    <cellStyle name="20% - Accent4 3 2 3 2 4 2" xfId="5687"/>
    <cellStyle name="20% - Accent4 3 2 3 2 4 2 2" xfId="9838"/>
    <cellStyle name="20% - Accent4 3 2 3 2 4 3" xfId="7765"/>
    <cellStyle name="20% - Accent4 3 2 3 2 5" xfId="4321"/>
    <cellStyle name="20% - Accent4 3 2 3 2 5 2" xfId="8473"/>
    <cellStyle name="20% - Accent4 3 2 3 2 6" xfId="6400"/>
    <cellStyle name="20% - Accent4 3 2 3 3" xfId="2371"/>
    <cellStyle name="20% - Accent4 3 2 3 3 2" xfId="3097"/>
    <cellStyle name="20% - Accent4 3 2 3 3 2 2" xfId="5183"/>
    <cellStyle name="20% - Accent4 3 2 3 3 2 2 2" xfId="9334"/>
    <cellStyle name="20% - Accent4 3 2 3 3 2 3" xfId="7261"/>
    <cellStyle name="20% - Accent4 3 2 3 3 3" xfId="3770"/>
    <cellStyle name="20% - Accent4 3 2 3 3 3 2" xfId="5855"/>
    <cellStyle name="20% - Accent4 3 2 3 3 3 2 2" xfId="10006"/>
    <cellStyle name="20% - Accent4 3 2 3 3 3 3" xfId="7933"/>
    <cellStyle name="20% - Accent4 3 2 3 3 4" xfId="4489"/>
    <cellStyle name="20% - Accent4 3 2 3 3 4 2" xfId="8641"/>
    <cellStyle name="20% - Accent4 3 2 3 3 5" xfId="6568"/>
    <cellStyle name="20% - Accent4 3 2 3 4" xfId="2761"/>
    <cellStyle name="20% - Accent4 3 2 3 4 2" xfId="4847"/>
    <cellStyle name="20% - Accent4 3 2 3 4 2 2" xfId="8998"/>
    <cellStyle name="20% - Accent4 3 2 3 4 3" xfId="6925"/>
    <cellStyle name="20% - Accent4 3 2 3 5" xfId="3434"/>
    <cellStyle name="20% - Accent4 3 2 3 5 2" xfId="5519"/>
    <cellStyle name="20% - Accent4 3 2 3 5 2 2" xfId="9670"/>
    <cellStyle name="20% - Accent4 3 2 3 5 3" xfId="7597"/>
    <cellStyle name="20% - Accent4 3 2 3 6" xfId="4153"/>
    <cellStyle name="20% - Accent4 3 2 3 6 2" xfId="8305"/>
    <cellStyle name="20% - Accent4 3 2 3 7" xfId="6232"/>
    <cellStyle name="20% - Accent4 3 2 4" xfId="2110"/>
    <cellStyle name="20% - Accent4 3 2 4 2" xfId="2283"/>
    <cellStyle name="20% - Accent4 3 2 4 2 2" xfId="2624"/>
    <cellStyle name="20% - Accent4 3 2 4 2 2 2" xfId="3349"/>
    <cellStyle name="20% - Accent4 3 2 4 2 2 2 2" xfId="5435"/>
    <cellStyle name="20% - Accent4 3 2 4 2 2 2 2 2" xfId="9586"/>
    <cellStyle name="20% - Accent4 3 2 4 2 2 2 3" xfId="7513"/>
    <cellStyle name="20% - Accent4 3 2 4 2 2 3" xfId="4022"/>
    <cellStyle name="20% - Accent4 3 2 4 2 2 3 2" xfId="6107"/>
    <cellStyle name="20% - Accent4 3 2 4 2 2 3 2 2" xfId="10258"/>
    <cellStyle name="20% - Accent4 3 2 4 2 2 3 3" xfId="8185"/>
    <cellStyle name="20% - Accent4 3 2 4 2 2 4" xfId="4741"/>
    <cellStyle name="20% - Accent4 3 2 4 2 2 4 2" xfId="8893"/>
    <cellStyle name="20% - Accent4 3 2 4 2 2 5" xfId="6820"/>
    <cellStyle name="20% - Accent4 3 2 4 2 3" xfId="3013"/>
    <cellStyle name="20% - Accent4 3 2 4 2 3 2" xfId="5099"/>
    <cellStyle name="20% - Accent4 3 2 4 2 3 2 2" xfId="9250"/>
    <cellStyle name="20% - Accent4 3 2 4 2 3 3" xfId="7177"/>
    <cellStyle name="20% - Accent4 3 2 4 2 4" xfId="3686"/>
    <cellStyle name="20% - Accent4 3 2 4 2 4 2" xfId="5771"/>
    <cellStyle name="20% - Accent4 3 2 4 2 4 2 2" xfId="9922"/>
    <cellStyle name="20% - Accent4 3 2 4 2 4 3" xfId="7849"/>
    <cellStyle name="20% - Accent4 3 2 4 2 5" xfId="4405"/>
    <cellStyle name="20% - Accent4 3 2 4 2 5 2" xfId="8557"/>
    <cellStyle name="20% - Accent4 3 2 4 2 6" xfId="6484"/>
    <cellStyle name="20% - Accent4 3 2 4 3" xfId="2456"/>
    <cellStyle name="20% - Accent4 3 2 4 3 2" xfId="3181"/>
    <cellStyle name="20% - Accent4 3 2 4 3 2 2" xfId="5267"/>
    <cellStyle name="20% - Accent4 3 2 4 3 2 2 2" xfId="9418"/>
    <cellStyle name="20% - Accent4 3 2 4 3 2 3" xfId="7345"/>
    <cellStyle name="20% - Accent4 3 2 4 3 3" xfId="3854"/>
    <cellStyle name="20% - Accent4 3 2 4 3 3 2" xfId="5939"/>
    <cellStyle name="20% - Accent4 3 2 4 3 3 2 2" xfId="10090"/>
    <cellStyle name="20% - Accent4 3 2 4 3 3 3" xfId="8017"/>
    <cellStyle name="20% - Accent4 3 2 4 3 4" xfId="4573"/>
    <cellStyle name="20% - Accent4 3 2 4 3 4 2" xfId="8725"/>
    <cellStyle name="20% - Accent4 3 2 4 3 5" xfId="6652"/>
    <cellStyle name="20% - Accent4 3 2 4 4" xfId="2845"/>
    <cellStyle name="20% - Accent4 3 2 4 4 2" xfId="4931"/>
    <cellStyle name="20% - Accent4 3 2 4 4 2 2" xfId="9082"/>
    <cellStyle name="20% - Accent4 3 2 4 4 3" xfId="7009"/>
    <cellStyle name="20% - Accent4 3 2 4 5" xfId="3518"/>
    <cellStyle name="20% - Accent4 3 2 4 5 2" xfId="5603"/>
    <cellStyle name="20% - Accent4 3 2 4 5 2 2" xfId="9754"/>
    <cellStyle name="20% - Accent4 3 2 4 5 3" xfId="7681"/>
    <cellStyle name="20% - Accent4 3 2 4 6" xfId="4237"/>
    <cellStyle name="20% - Accent4 3 2 4 6 2" xfId="8389"/>
    <cellStyle name="20% - Accent4 3 2 4 7" xfId="6316"/>
    <cellStyle name="20% - Accent4 3 2 5" xfId="2156"/>
    <cellStyle name="20% - Accent4 3 2 5 2" xfId="2498"/>
    <cellStyle name="20% - Accent4 3 2 5 2 2" xfId="3223"/>
    <cellStyle name="20% - Accent4 3 2 5 2 2 2" xfId="5309"/>
    <cellStyle name="20% - Accent4 3 2 5 2 2 2 2" xfId="9460"/>
    <cellStyle name="20% - Accent4 3 2 5 2 2 3" xfId="7387"/>
    <cellStyle name="20% - Accent4 3 2 5 2 3" xfId="3896"/>
    <cellStyle name="20% - Accent4 3 2 5 2 3 2" xfId="5981"/>
    <cellStyle name="20% - Accent4 3 2 5 2 3 2 2" xfId="10132"/>
    <cellStyle name="20% - Accent4 3 2 5 2 3 3" xfId="8059"/>
    <cellStyle name="20% - Accent4 3 2 5 2 4" xfId="4615"/>
    <cellStyle name="20% - Accent4 3 2 5 2 4 2" xfId="8767"/>
    <cellStyle name="20% - Accent4 3 2 5 2 5" xfId="6694"/>
    <cellStyle name="20% - Accent4 3 2 5 3" xfId="2887"/>
    <cellStyle name="20% - Accent4 3 2 5 3 2" xfId="4973"/>
    <cellStyle name="20% - Accent4 3 2 5 3 2 2" xfId="9124"/>
    <cellStyle name="20% - Accent4 3 2 5 3 3" xfId="7051"/>
    <cellStyle name="20% - Accent4 3 2 5 4" xfId="3560"/>
    <cellStyle name="20% - Accent4 3 2 5 4 2" xfId="5645"/>
    <cellStyle name="20% - Accent4 3 2 5 4 2 2" xfId="9796"/>
    <cellStyle name="20% - Accent4 3 2 5 4 3" xfId="7723"/>
    <cellStyle name="20% - Accent4 3 2 5 5" xfId="4279"/>
    <cellStyle name="20% - Accent4 3 2 5 5 2" xfId="8431"/>
    <cellStyle name="20% - Accent4 3 2 5 6" xfId="6358"/>
    <cellStyle name="20% - Accent4 3 2 6" xfId="2329"/>
    <cellStyle name="20% - Accent4 3 2 6 2" xfId="3055"/>
    <cellStyle name="20% - Accent4 3 2 6 2 2" xfId="5141"/>
    <cellStyle name="20% - Accent4 3 2 6 2 2 2" xfId="9292"/>
    <cellStyle name="20% - Accent4 3 2 6 2 3" xfId="7219"/>
    <cellStyle name="20% - Accent4 3 2 6 3" xfId="3728"/>
    <cellStyle name="20% - Accent4 3 2 6 3 2" xfId="5813"/>
    <cellStyle name="20% - Accent4 3 2 6 3 2 2" xfId="9964"/>
    <cellStyle name="20% - Accent4 3 2 6 3 3" xfId="7891"/>
    <cellStyle name="20% - Accent4 3 2 6 4" xfId="4447"/>
    <cellStyle name="20% - Accent4 3 2 6 4 2" xfId="8599"/>
    <cellStyle name="20% - Accent4 3 2 6 5" xfId="6526"/>
    <cellStyle name="20% - Accent4 3 2 7" xfId="2719"/>
    <cellStyle name="20% - Accent4 3 2 7 2" xfId="4805"/>
    <cellStyle name="20% - Accent4 3 2 7 2 2" xfId="8956"/>
    <cellStyle name="20% - Accent4 3 2 7 3" xfId="6883"/>
    <cellStyle name="20% - Accent4 3 2 8" xfId="3392"/>
    <cellStyle name="20% - Accent4 3 2 8 2" xfId="5477"/>
    <cellStyle name="20% - Accent4 3 2 8 2 2" xfId="9628"/>
    <cellStyle name="20% - Accent4 3 2 8 3" xfId="7555"/>
    <cellStyle name="20% - Accent4 3 2 9" xfId="4109"/>
    <cellStyle name="20% - Accent4 3 2 9 2" xfId="8263"/>
    <cellStyle name="20% - Accent4 3 3" xfId="1992"/>
    <cellStyle name="20% - Accent4 3 3 2" xfId="2220"/>
    <cellStyle name="20% - Accent4 3 3 2 2" xfId="2561"/>
    <cellStyle name="20% - Accent4 3 3 2 2 2" xfId="3286"/>
    <cellStyle name="20% - Accent4 3 3 2 2 2 2" xfId="5372"/>
    <cellStyle name="20% - Accent4 3 3 2 2 2 2 2" xfId="9523"/>
    <cellStyle name="20% - Accent4 3 3 2 2 2 3" xfId="7450"/>
    <cellStyle name="20% - Accent4 3 3 2 2 3" xfId="3959"/>
    <cellStyle name="20% - Accent4 3 3 2 2 3 2" xfId="6044"/>
    <cellStyle name="20% - Accent4 3 3 2 2 3 2 2" xfId="10195"/>
    <cellStyle name="20% - Accent4 3 3 2 2 3 3" xfId="8122"/>
    <cellStyle name="20% - Accent4 3 3 2 2 4" xfId="4678"/>
    <cellStyle name="20% - Accent4 3 3 2 2 4 2" xfId="8830"/>
    <cellStyle name="20% - Accent4 3 3 2 2 5" xfId="6757"/>
    <cellStyle name="20% - Accent4 3 3 2 3" xfId="2950"/>
    <cellStyle name="20% - Accent4 3 3 2 3 2" xfId="5036"/>
    <cellStyle name="20% - Accent4 3 3 2 3 2 2" xfId="9187"/>
    <cellStyle name="20% - Accent4 3 3 2 3 3" xfId="7114"/>
    <cellStyle name="20% - Accent4 3 3 2 4" xfId="3623"/>
    <cellStyle name="20% - Accent4 3 3 2 4 2" xfId="5708"/>
    <cellStyle name="20% - Accent4 3 3 2 4 2 2" xfId="9859"/>
    <cellStyle name="20% - Accent4 3 3 2 4 3" xfId="7786"/>
    <cellStyle name="20% - Accent4 3 3 2 5" xfId="4342"/>
    <cellStyle name="20% - Accent4 3 3 2 5 2" xfId="8494"/>
    <cellStyle name="20% - Accent4 3 3 2 6" xfId="6421"/>
    <cellStyle name="20% - Accent4 3 3 3" xfId="2392"/>
    <cellStyle name="20% - Accent4 3 3 3 2" xfId="3118"/>
    <cellStyle name="20% - Accent4 3 3 3 2 2" xfId="5204"/>
    <cellStyle name="20% - Accent4 3 3 3 2 2 2" xfId="9355"/>
    <cellStyle name="20% - Accent4 3 3 3 2 3" xfId="7282"/>
    <cellStyle name="20% - Accent4 3 3 3 3" xfId="3791"/>
    <cellStyle name="20% - Accent4 3 3 3 3 2" xfId="5876"/>
    <cellStyle name="20% - Accent4 3 3 3 3 2 2" xfId="10027"/>
    <cellStyle name="20% - Accent4 3 3 3 3 3" xfId="7954"/>
    <cellStyle name="20% - Accent4 3 3 3 4" xfId="4510"/>
    <cellStyle name="20% - Accent4 3 3 3 4 2" xfId="8662"/>
    <cellStyle name="20% - Accent4 3 3 3 5" xfId="6589"/>
    <cellStyle name="20% - Accent4 3 3 4" xfId="2782"/>
    <cellStyle name="20% - Accent4 3 3 4 2" xfId="4868"/>
    <cellStyle name="20% - Accent4 3 3 4 2 2" xfId="9019"/>
    <cellStyle name="20% - Accent4 3 3 4 3" xfId="6946"/>
    <cellStyle name="20% - Accent4 3 3 5" xfId="3455"/>
    <cellStyle name="20% - Accent4 3 3 5 2" xfId="5540"/>
    <cellStyle name="20% - Accent4 3 3 5 2 2" xfId="9691"/>
    <cellStyle name="20% - Accent4 3 3 5 3" xfId="7618"/>
    <cellStyle name="20% - Accent4 3 3 6" xfId="4174"/>
    <cellStyle name="20% - Accent4 3 3 6 2" xfId="8326"/>
    <cellStyle name="20% - Accent4 3 3 7" xfId="6253"/>
    <cellStyle name="20% - Accent4 3 4" xfId="1891"/>
    <cellStyle name="20% - Accent4 3 4 2" xfId="2177"/>
    <cellStyle name="20% - Accent4 3 4 2 2" xfId="2519"/>
    <cellStyle name="20% - Accent4 3 4 2 2 2" xfId="3244"/>
    <cellStyle name="20% - Accent4 3 4 2 2 2 2" xfId="5330"/>
    <cellStyle name="20% - Accent4 3 4 2 2 2 2 2" xfId="9481"/>
    <cellStyle name="20% - Accent4 3 4 2 2 2 3" xfId="7408"/>
    <cellStyle name="20% - Accent4 3 4 2 2 3" xfId="3917"/>
    <cellStyle name="20% - Accent4 3 4 2 2 3 2" xfId="6002"/>
    <cellStyle name="20% - Accent4 3 4 2 2 3 2 2" xfId="10153"/>
    <cellStyle name="20% - Accent4 3 4 2 2 3 3" xfId="8080"/>
    <cellStyle name="20% - Accent4 3 4 2 2 4" xfId="4636"/>
    <cellStyle name="20% - Accent4 3 4 2 2 4 2" xfId="8788"/>
    <cellStyle name="20% - Accent4 3 4 2 2 5" xfId="6715"/>
    <cellStyle name="20% - Accent4 3 4 2 3" xfId="2908"/>
    <cellStyle name="20% - Accent4 3 4 2 3 2" xfId="4994"/>
    <cellStyle name="20% - Accent4 3 4 2 3 2 2" xfId="9145"/>
    <cellStyle name="20% - Accent4 3 4 2 3 3" xfId="7072"/>
    <cellStyle name="20% - Accent4 3 4 2 4" xfId="3581"/>
    <cellStyle name="20% - Accent4 3 4 2 4 2" xfId="5666"/>
    <cellStyle name="20% - Accent4 3 4 2 4 2 2" xfId="9817"/>
    <cellStyle name="20% - Accent4 3 4 2 4 3" xfId="7744"/>
    <cellStyle name="20% - Accent4 3 4 2 5" xfId="4300"/>
    <cellStyle name="20% - Accent4 3 4 2 5 2" xfId="8452"/>
    <cellStyle name="20% - Accent4 3 4 2 6" xfId="6379"/>
    <cellStyle name="20% - Accent4 3 4 3" xfId="2350"/>
    <cellStyle name="20% - Accent4 3 4 3 2" xfId="3076"/>
    <cellStyle name="20% - Accent4 3 4 3 2 2" xfId="5162"/>
    <cellStyle name="20% - Accent4 3 4 3 2 2 2" xfId="9313"/>
    <cellStyle name="20% - Accent4 3 4 3 2 3" xfId="7240"/>
    <cellStyle name="20% - Accent4 3 4 3 3" xfId="3749"/>
    <cellStyle name="20% - Accent4 3 4 3 3 2" xfId="5834"/>
    <cellStyle name="20% - Accent4 3 4 3 3 2 2" xfId="9985"/>
    <cellStyle name="20% - Accent4 3 4 3 3 3" xfId="7912"/>
    <cellStyle name="20% - Accent4 3 4 3 4" xfId="4468"/>
    <cellStyle name="20% - Accent4 3 4 3 4 2" xfId="8620"/>
    <cellStyle name="20% - Accent4 3 4 3 5" xfId="6547"/>
    <cellStyle name="20% - Accent4 3 4 4" xfId="2740"/>
    <cellStyle name="20% - Accent4 3 4 4 2" xfId="4826"/>
    <cellStyle name="20% - Accent4 3 4 4 2 2" xfId="8977"/>
    <cellStyle name="20% - Accent4 3 4 4 3" xfId="6904"/>
    <cellStyle name="20% - Accent4 3 4 5" xfId="3413"/>
    <cellStyle name="20% - Accent4 3 4 5 2" xfId="5498"/>
    <cellStyle name="20% - Accent4 3 4 5 2 2" xfId="9649"/>
    <cellStyle name="20% - Accent4 3 4 5 3" xfId="7576"/>
    <cellStyle name="20% - Accent4 3 4 6" xfId="4132"/>
    <cellStyle name="20% - Accent4 3 4 6 2" xfId="8284"/>
    <cellStyle name="20% - Accent4 3 4 7" xfId="6211"/>
    <cellStyle name="20% - Accent4 3 5" xfId="2089"/>
    <cellStyle name="20% - Accent4 3 5 2" xfId="2262"/>
    <cellStyle name="20% - Accent4 3 5 2 2" xfId="2603"/>
    <cellStyle name="20% - Accent4 3 5 2 2 2" xfId="3328"/>
    <cellStyle name="20% - Accent4 3 5 2 2 2 2" xfId="5414"/>
    <cellStyle name="20% - Accent4 3 5 2 2 2 2 2" xfId="9565"/>
    <cellStyle name="20% - Accent4 3 5 2 2 2 3" xfId="7492"/>
    <cellStyle name="20% - Accent4 3 5 2 2 3" xfId="4001"/>
    <cellStyle name="20% - Accent4 3 5 2 2 3 2" xfId="6086"/>
    <cellStyle name="20% - Accent4 3 5 2 2 3 2 2" xfId="10237"/>
    <cellStyle name="20% - Accent4 3 5 2 2 3 3" xfId="8164"/>
    <cellStyle name="20% - Accent4 3 5 2 2 4" xfId="4720"/>
    <cellStyle name="20% - Accent4 3 5 2 2 4 2" xfId="8872"/>
    <cellStyle name="20% - Accent4 3 5 2 2 5" xfId="6799"/>
    <cellStyle name="20% - Accent4 3 5 2 3" xfId="2992"/>
    <cellStyle name="20% - Accent4 3 5 2 3 2" xfId="5078"/>
    <cellStyle name="20% - Accent4 3 5 2 3 2 2" xfId="9229"/>
    <cellStyle name="20% - Accent4 3 5 2 3 3" xfId="7156"/>
    <cellStyle name="20% - Accent4 3 5 2 4" xfId="3665"/>
    <cellStyle name="20% - Accent4 3 5 2 4 2" xfId="5750"/>
    <cellStyle name="20% - Accent4 3 5 2 4 2 2" xfId="9901"/>
    <cellStyle name="20% - Accent4 3 5 2 4 3" xfId="7828"/>
    <cellStyle name="20% - Accent4 3 5 2 5" xfId="4384"/>
    <cellStyle name="20% - Accent4 3 5 2 5 2" xfId="8536"/>
    <cellStyle name="20% - Accent4 3 5 2 6" xfId="6463"/>
    <cellStyle name="20% - Accent4 3 5 3" xfId="2435"/>
    <cellStyle name="20% - Accent4 3 5 3 2" xfId="3160"/>
    <cellStyle name="20% - Accent4 3 5 3 2 2" xfId="5246"/>
    <cellStyle name="20% - Accent4 3 5 3 2 2 2" xfId="9397"/>
    <cellStyle name="20% - Accent4 3 5 3 2 3" xfId="7324"/>
    <cellStyle name="20% - Accent4 3 5 3 3" xfId="3833"/>
    <cellStyle name="20% - Accent4 3 5 3 3 2" xfId="5918"/>
    <cellStyle name="20% - Accent4 3 5 3 3 2 2" xfId="10069"/>
    <cellStyle name="20% - Accent4 3 5 3 3 3" xfId="7996"/>
    <cellStyle name="20% - Accent4 3 5 3 4" xfId="4552"/>
    <cellStyle name="20% - Accent4 3 5 3 4 2" xfId="8704"/>
    <cellStyle name="20% - Accent4 3 5 3 5" xfId="6631"/>
    <cellStyle name="20% - Accent4 3 5 4" xfId="2824"/>
    <cellStyle name="20% - Accent4 3 5 4 2" xfId="4910"/>
    <cellStyle name="20% - Accent4 3 5 4 2 2" xfId="9061"/>
    <cellStyle name="20% - Accent4 3 5 4 3" xfId="6988"/>
    <cellStyle name="20% - Accent4 3 5 5" xfId="3497"/>
    <cellStyle name="20% - Accent4 3 5 5 2" xfId="5582"/>
    <cellStyle name="20% - Accent4 3 5 5 2 2" xfId="9733"/>
    <cellStyle name="20% - Accent4 3 5 5 3" xfId="7660"/>
    <cellStyle name="20% - Accent4 3 5 6" xfId="4216"/>
    <cellStyle name="20% - Accent4 3 5 6 2" xfId="8368"/>
    <cellStyle name="20% - Accent4 3 5 7" xfId="6295"/>
    <cellStyle name="20% - Accent4 3 6" xfId="2132"/>
    <cellStyle name="20% - Accent4 3 6 2" xfId="2477"/>
    <cellStyle name="20% - Accent4 3 6 2 2" xfId="3202"/>
    <cellStyle name="20% - Accent4 3 6 2 2 2" xfId="5288"/>
    <cellStyle name="20% - Accent4 3 6 2 2 2 2" xfId="9439"/>
    <cellStyle name="20% - Accent4 3 6 2 2 3" xfId="7366"/>
    <cellStyle name="20% - Accent4 3 6 2 3" xfId="3875"/>
    <cellStyle name="20% - Accent4 3 6 2 3 2" xfId="5960"/>
    <cellStyle name="20% - Accent4 3 6 2 3 2 2" xfId="10111"/>
    <cellStyle name="20% - Accent4 3 6 2 3 3" xfId="8038"/>
    <cellStyle name="20% - Accent4 3 6 2 4" xfId="4594"/>
    <cellStyle name="20% - Accent4 3 6 2 4 2" xfId="8746"/>
    <cellStyle name="20% - Accent4 3 6 2 5" xfId="6673"/>
    <cellStyle name="20% - Accent4 3 6 3" xfId="2866"/>
    <cellStyle name="20% - Accent4 3 6 3 2" xfId="4952"/>
    <cellStyle name="20% - Accent4 3 6 3 2 2" xfId="9103"/>
    <cellStyle name="20% - Accent4 3 6 3 3" xfId="7030"/>
    <cellStyle name="20% - Accent4 3 6 4" xfId="3539"/>
    <cellStyle name="20% - Accent4 3 6 4 2" xfId="5624"/>
    <cellStyle name="20% - Accent4 3 6 4 2 2" xfId="9775"/>
    <cellStyle name="20% - Accent4 3 6 4 3" xfId="7702"/>
    <cellStyle name="20% - Accent4 3 6 5" xfId="4258"/>
    <cellStyle name="20% - Accent4 3 6 5 2" xfId="8410"/>
    <cellStyle name="20% - Accent4 3 6 6" xfId="6337"/>
    <cellStyle name="20% - Accent4 3 7" xfId="2305"/>
    <cellStyle name="20% - Accent4 3 7 2" xfId="3034"/>
    <cellStyle name="20% - Accent4 3 7 2 2" xfId="5120"/>
    <cellStyle name="20% - Accent4 3 7 2 2 2" xfId="9271"/>
    <cellStyle name="20% - Accent4 3 7 2 3" xfId="7198"/>
    <cellStyle name="20% - Accent4 3 7 3" xfId="3707"/>
    <cellStyle name="20% - Accent4 3 7 3 2" xfId="5792"/>
    <cellStyle name="20% - Accent4 3 7 3 2 2" xfId="9943"/>
    <cellStyle name="20% - Accent4 3 7 3 3" xfId="7870"/>
    <cellStyle name="20% - Accent4 3 7 4" xfId="4426"/>
    <cellStyle name="20% - Accent4 3 7 4 2" xfId="8578"/>
    <cellStyle name="20% - Accent4 3 7 5" xfId="6505"/>
    <cellStyle name="20% - Accent4 3 8" xfId="2696"/>
    <cellStyle name="20% - Accent4 3 8 2" xfId="4784"/>
    <cellStyle name="20% - Accent4 3 8 2 2" xfId="8935"/>
    <cellStyle name="20% - Accent4 3 8 3" xfId="6862"/>
    <cellStyle name="20% - Accent4 3 9" xfId="3371"/>
    <cellStyle name="20% - Accent4 3 9 2" xfId="5456"/>
    <cellStyle name="20% - Accent4 3 9 2 2" xfId="9607"/>
    <cellStyle name="20% - Accent4 3 9 3" xfId="7534"/>
    <cellStyle name="20% - Accent4 4" xfId="4052"/>
    <cellStyle name="20% - Accent4 4 2" xfId="6137"/>
    <cellStyle name="20% - Accent4 4 2 2" xfId="10288"/>
    <cellStyle name="20% - Accent4 4 3" xfId="8215"/>
    <cellStyle name="20% - Accent4 5" xfId="4764"/>
    <cellStyle name="20% - Accent4 5 2" xfId="8916"/>
    <cellStyle name="20% - Accent4 6" xfId="6843"/>
    <cellStyle name="20% - Accent5" xfId="2671" builtinId="46" customBuiltin="1"/>
    <cellStyle name="20% - Accent5 2" xfId="237"/>
    <cellStyle name="20% - Accent5 2 2" xfId="238"/>
    <cellStyle name="20% - Accent5 3" xfId="239"/>
    <cellStyle name="20% - Accent5 3 10" xfId="4085"/>
    <cellStyle name="20% - Accent5 3 10 2" xfId="8243"/>
    <cellStyle name="20% - Accent5 3 11" xfId="6170"/>
    <cellStyle name="20% - Accent5 3 2" xfId="1330"/>
    <cellStyle name="20% - Accent5 3 2 10" xfId="6191"/>
    <cellStyle name="20% - Accent5 3 2 2" xfId="2068"/>
    <cellStyle name="20% - Accent5 3 2 2 2" xfId="2242"/>
    <cellStyle name="20% - Accent5 3 2 2 2 2" xfId="2583"/>
    <cellStyle name="20% - Accent5 3 2 2 2 2 2" xfId="3308"/>
    <cellStyle name="20% - Accent5 3 2 2 2 2 2 2" xfId="5394"/>
    <cellStyle name="20% - Accent5 3 2 2 2 2 2 2 2" xfId="9545"/>
    <cellStyle name="20% - Accent5 3 2 2 2 2 2 3" xfId="7472"/>
    <cellStyle name="20% - Accent5 3 2 2 2 2 3" xfId="3981"/>
    <cellStyle name="20% - Accent5 3 2 2 2 2 3 2" xfId="6066"/>
    <cellStyle name="20% - Accent5 3 2 2 2 2 3 2 2" xfId="10217"/>
    <cellStyle name="20% - Accent5 3 2 2 2 2 3 3" xfId="8144"/>
    <cellStyle name="20% - Accent5 3 2 2 2 2 4" xfId="4700"/>
    <cellStyle name="20% - Accent5 3 2 2 2 2 4 2" xfId="8852"/>
    <cellStyle name="20% - Accent5 3 2 2 2 2 5" xfId="6779"/>
    <cellStyle name="20% - Accent5 3 2 2 2 3" xfId="2972"/>
    <cellStyle name="20% - Accent5 3 2 2 2 3 2" xfId="5058"/>
    <cellStyle name="20% - Accent5 3 2 2 2 3 2 2" xfId="9209"/>
    <cellStyle name="20% - Accent5 3 2 2 2 3 3" xfId="7136"/>
    <cellStyle name="20% - Accent5 3 2 2 2 4" xfId="3645"/>
    <cellStyle name="20% - Accent5 3 2 2 2 4 2" xfId="5730"/>
    <cellStyle name="20% - Accent5 3 2 2 2 4 2 2" xfId="9881"/>
    <cellStyle name="20% - Accent5 3 2 2 2 4 3" xfId="7808"/>
    <cellStyle name="20% - Accent5 3 2 2 2 5" xfId="4364"/>
    <cellStyle name="20% - Accent5 3 2 2 2 5 2" xfId="8516"/>
    <cellStyle name="20% - Accent5 3 2 2 2 6" xfId="6443"/>
    <cellStyle name="20% - Accent5 3 2 2 3" xfId="2415"/>
    <cellStyle name="20% - Accent5 3 2 2 3 2" xfId="3140"/>
    <cellStyle name="20% - Accent5 3 2 2 3 2 2" xfId="5226"/>
    <cellStyle name="20% - Accent5 3 2 2 3 2 2 2" xfId="9377"/>
    <cellStyle name="20% - Accent5 3 2 2 3 2 3" xfId="7304"/>
    <cellStyle name="20% - Accent5 3 2 2 3 3" xfId="3813"/>
    <cellStyle name="20% - Accent5 3 2 2 3 3 2" xfId="5898"/>
    <cellStyle name="20% - Accent5 3 2 2 3 3 2 2" xfId="10049"/>
    <cellStyle name="20% - Accent5 3 2 2 3 3 3" xfId="7976"/>
    <cellStyle name="20% - Accent5 3 2 2 3 4" xfId="4532"/>
    <cellStyle name="20% - Accent5 3 2 2 3 4 2" xfId="8684"/>
    <cellStyle name="20% - Accent5 3 2 2 3 5" xfId="6611"/>
    <cellStyle name="20% - Accent5 3 2 2 4" xfId="2804"/>
    <cellStyle name="20% - Accent5 3 2 2 4 2" xfId="4890"/>
    <cellStyle name="20% - Accent5 3 2 2 4 2 2" xfId="9041"/>
    <cellStyle name="20% - Accent5 3 2 2 4 3" xfId="6968"/>
    <cellStyle name="20% - Accent5 3 2 2 5" xfId="3477"/>
    <cellStyle name="20% - Accent5 3 2 2 5 2" xfId="5562"/>
    <cellStyle name="20% - Accent5 3 2 2 5 2 2" xfId="9713"/>
    <cellStyle name="20% - Accent5 3 2 2 5 3" xfId="7640"/>
    <cellStyle name="20% - Accent5 3 2 2 6" xfId="4196"/>
    <cellStyle name="20% - Accent5 3 2 2 6 2" xfId="8348"/>
    <cellStyle name="20% - Accent5 3 2 2 7" xfId="6275"/>
    <cellStyle name="20% - Accent5 3 2 3" xfId="1968"/>
    <cellStyle name="20% - Accent5 3 2 3 2" xfId="2200"/>
    <cellStyle name="20% - Accent5 3 2 3 2 2" xfId="2541"/>
    <cellStyle name="20% - Accent5 3 2 3 2 2 2" xfId="3266"/>
    <cellStyle name="20% - Accent5 3 2 3 2 2 2 2" xfId="5352"/>
    <cellStyle name="20% - Accent5 3 2 3 2 2 2 2 2" xfId="9503"/>
    <cellStyle name="20% - Accent5 3 2 3 2 2 2 3" xfId="7430"/>
    <cellStyle name="20% - Accent5 3 2 3 2 2 3" xfId="3939"/>
    <cellStyle name="20% - Accent5 3 2 3 2 2 3 2" xfId="6024"/>
    <cellStyle name="20% - Accent5 3 2 3 2 2 3 2 2" xfId="10175"/>
    <cellStyle name="20% - Accent5 3 2 3 2 2 3 3" xfId="8102"/>
    <cellStyle name="20% - Accent5 3 2 3 2 2 4" xfId="4658"/>
    <cellStyle name="20% - Accent5 3 2 3 2 2 4 2" xfId="8810"/>
    <cellStyle name="20% - Accent5 3 2 3 2 2 5" xfId="6737"/>
    <cellStyle name="20% - Accent5 3 2 3 2 3" xfId="2930"/>
    <cellStyle name="20% - Accent5 3 2 3 2 3 2" xfId="5016"/>
    <cellStyle name="20% - Accent5 3 2 3 2 3 2 2" xfId="9167"/>
    <cellStyle name="20% - Accent5 3 2 3 2 3 3" xfId="7094"/>
    <cellStyle name="20% - Accent5 3 2 3 2 4" xfId="3603"/>
    <cellStyle name="20% - Accent5 3 2 3 2 4 2" xfId="5688"/>
    <cellStyle name="20% - Accent5 3 2 3 2 4 2 2" xfId="9839"/>
    <cellStyle name="20% - Accent5 3 2 3 2 4 3" xfId="7766"/>
    <cellStyle name="20% - Accent5 3 2 3 2 5" xfId="4322"/>
    <cellStyle name="20% - Accent5 3 2 3 2 5 2" xfId="8474"/>
    <cellStyle name="20% - Accent5 3 2 3 2 6" xfId="6401"/>
    <cellStyle name="20% - Accent5 3 2 3 3" xfId="2372"/>
    <cellStyle name="20% - Accent5 3 2 3 3 2" xfId="3098"/>
    <cellStyle name="20% - Accent5 3 2 3 3 2 2" xfId="5184"/>
    <cellStyle name="20% - Accent5 3 2 3 3 2 2 2" xfId="9335"/>
    <cellStyle name="20% - Accent5 3 2 3 3 2 3" xfId="7262"/>
    <cellStyle name="20% - Accent5 3 2 3 3 3" xfId="3771"/>
    <cellStyle name="20% - Accent5 3 2 3 3 3 2" xfId="5856"/>
    <cellStyle name="20% - Accent5 3 2 3 3 3 2 2" xfId="10007"/>
    <cellStyle name="20% - Accent5 3 2 3 3 3 3" xfId="7934"/>
    <cellStyle name="20% - Accent5 3 2 3 3 4" xfId="4490"/>
    <cellStyle name="20% - Accent5 3 2 3 3 4 2" xfId="8642"/>
    <cellStyle name="20% - Accent5 3 2 3 3 5" xfId="6569"/>
    <cellStyle name="20% - Accent5 3 2 3 4" xfId="2762"/>
    <cellStyle name="20% - Accent5 3 2 3 4 2" xfId="4848"/>
    <cellStyle name="20% - Accent5 3 2 3 4 2 2" xfId="8999"/>
    <cellStyle name="20% - Accent5 3 2 3 4 3" xfId="6926"/>
    <cellStyle name="20% - Accent5 3 2 3 5" xfId="3435"/>
    <cellStyle name="20% - Accent5 3 2 3 5 2" xfId="5520"/>
    <cellStyle name="20% - Accent5 3 2 3 5 2 2" xfId="9671"/>
    <cellStyle name="20% - Accent5 3 2 3 5 3" xfId="7598"/>
    <cellStyle name="20% - Accent5 3 2 3 6" xfId="4154"/>
    <cellStyle name="20% - Accent5 3 2 3 6 2" xfId="8306"/>
    <cellStyle name="20% - Accent5 3 2 3 7" xfId="6233"/>
    <cellStyle name="20% - Accent5 3 2 4" xfId="2111"/>
    <cellStyle name="20% - Accent5 3 2 4 2" xfId="2284"/>
    <cellStyle name="20% - Accent5 3 2 4 2 2" xfId="2625"/>
    <cellStyle name="20% - Accent5 3 2 4 2 2 2" xfId="3350"/>
    <cellStyle name="20% - Accent5 3 2 4 2 2 2 2" xfId="5436"/>
    <cellStyle name="20% - Accent5 3 2 4 2 2 2 2 2" xfId="9587"/>
    <cellStyle name="20% - Accent5 3 2 4 2 2 2 3" xfId="7514"/>
    <cellStyle name="20% - Accent5 3 2 4 2 2 3" xfId="4023"/>
    <cellStyle name="20% - Accent5 3 2 4 2 2 3 2" xfId="6108"/>
    <cellStyle name="20% - Accent5 3 2 4 2 2 3 2 2" xfId="10259"/>
    <cellStyle name="20% - Accent5 3 2 4 2 2 3 3" xfId="8186"/>
    <cellStyle name="20% - Accent5 3 2 4 2 2 4" xfId="4742"/>
    <cellStyle name="20% - Accent5 3 2 4 2 2 4 2" xfId="8894"/>
    <cellStyle name="20% - Accent5 3 2 4 2 2 5" xfId="6821"/>
    <cellStyle name="20% - Accent5 3 2 4 2 3" xfId="3014"/>
    <cellStyle name="20% - Accent5 3 2 4 2 3 2" xfId="5100"/>
    <cellStyle name="20% - Accent5 3 2 4 2 3 2 2" xfId="9251"/>
    <cellStyle name="20% - Accent5 3 2 4 2 3 3" xfId="7178"/>
    <cellStyle name="20% - Accent5 3 2 4 2 4" xfId="3687"/>
    <cellStyle name="20% - Accent5 3 2 4 2 4 2" xfId="5772"/>
    <cellStyle name="20% - Accent5 3 2 4 2 4 2 2" xfId="9923"/>
    <cellStyle name="20% - Accent5 3 2 4 2 4 3" xfId="7850"/>
    <cellStyle name="20% - Accent5 3 2 4 2 5" xfId="4406"/>
    <cellStyle name="20% - Accent5 3 2 4 2 5 2" xfId="8558"/>
    <cellStyle name="20% - Accent5 3 2 4 2 6" xfId="6485"/>
    <cellStyle name="20% - Accent5 3 2 4 3" xfId="2457"/>
    <cellStyle name="20% - Accent5 3 2 4 3 2" xfId="3182"/>
    <cellStyle name="20% - Accent5 3 2 4 3 2 2" xfId="5268"/>
    <cellStyle name="20% - Accent5 3 2 4 3 2 2 2" xfId="9419"/>
    <cellStyle name="20% - Accent5 3 2 4 3 2 3" xfId="7346"/>
    <cellStyle name="20% - Accent5 3 2 4 3 3" xfId="3855"/>
    <cellStyle name="20% - Accent5 3 2 4 3 3 2" xfId="5940"/>
    <cellStyle name="20% - Accent5 3 2 4 3 3 2 2" xfId="10091"/>
    <cellStyle name="20% - Accent5 3 2 4 3 3 3" xfId="8018"/>
    <cellStyle name="20% - Accent5 3 2 4 3 4" xfId="4574"/>
    <cellStyle name="20% - Accent5 3 2 4 3 4 2" xfId="8726"/>
    <cellStyle name="20% - Accent5 3 2 4 3 5" xfId="6653"/>
    <cellStyle name="20% - Accent5 3 2 4 4" xfId="2846"/>
    <cellStyle name="20% - Accent5 3 2 4 4 2" xfId="4932"/>
    <cellStyle name="20% - Accent5 3 2 4 4 2 2" xfId="9083"/>
    <cellStyle name="20% - Accent5 3 2 4 4 3" xfId="7010"/>
    <cellStyle name="20% - Accent5 3 2 4 5" xfId="3519"/>
    <cellStyle name="20% - Accent5 3 2 4 5 2" xfId="5604"/>
    <cellStyle name="20% - Accent5 3 2 4 5 2 2" xfId="9755"/>
    <cellStyle name="20% - Accent5 3 2 4 5 3" xfId="7682"/>
    <cellStyle name="20% - Accent5 3 2 4 6" xfId="4238"/>
    <cellStyle name="20% - Accent5 3 2 4 6 2" xfId="8390"/>
    <cellStyle name="20% - Accent5 3 2 4 7" xfId="6317"/>
    <cellStyle name="20% - Accent5 3 2 5" xfId="2157"/>
    <cellStyle name="20% - Accent5 3 2 5 2" xfId="2499"/>
    <cellStyle name="20% - Accent5 3 2 5 2 2" xfId="3224"/>
    <cellStyle name="20% - Accent5 3 2 5 2 2 2" xfId="5310"/>
    <cellStyle name="20% - Accent5 3 2 5 2 2 2 2" xfId="9461"/>
    <cellStyle name="20% - Accent5 3 2 5 2 2 3" xfId="7388"/>
    <cellStyle name="20% - Accent5 3 2 5 2 3" xfId="3897"/>
    <cellStyle name="20% - Accent5 3 2 5 2 3 2" xfId="5982"/>
    <cellStyle name="20% - Accent5 3 2 5 2 3 2 2" xfId="10133"/>
    <cellStyle name="20% - Accent5 3 2 5 2 3 3" xfId="8060"/>
    <cellStyle name="20% - Accent5 3 2 5 2 4" xfId="4616"/>
    <cellStyle name="20% - Accent5 3 2 5 2 4 2" xfId="8768"/>
    <cellStyle name="20% - Accent5 3 2 5 2 5" xfId="6695"/>
    <cellStyle name="20% - Accent5 3 2 5 3" xfId="2888"/>
    <cellStyle name="20% - Accent5 3 2 5 3 2" xfId="4974"/>
    <cellStyle name="20% - Accent5 3 2 5 3 2 2" xfId="9125"/>
    <cellStyle name="20% - Accent5 3 2 5 3 3" xfId="7052"/>
    <cellStyle name="20% - Accent5 3 2 5 4" xfId="3561"/>
    <cellStyle name="20% - Accent5 3 2 5 4 2" xfId="5646"/>
    <cellStyle name="20% - Accent5 3 2 5 4 2 2" xfId="9797"/>
    <cellStyle name="20% - Accent5 3 2 5 4 3" xfId="7724"/>
    <cellStyle name="20% - Accent5 3 2 5 5" xfId="4280"/>
    <cellStyle name="20% - Accent5 3 2 5 5 2" xfId="8432"/>
    <cellStyle name="20% - Accent5 3 2 5 6" xfId="6359"/>
    <cellStyle name="20% - Accent5 3 2 6" xfId="2330"/>
    <cellStyle name="20% - Accent5 3 2 6 2" xfId="3056"/>
    <cellStyle name="20% - Accent5 3 2 6 2 2" xfId="5142"/>
    <cellStyle name="20% - Accent5 3 2 6 2 2 2" xfId="9293"/>
    <cellStyle name="20% - Accent5 3 2 6 2 3" xfId="7220"/>
    <cellStyle name="20% - Accent5 3 2 6 3" xfId="3729"/>
    <cellStyle name="20% - Accent5 3 2 6 3 2" xfId="5814"/>
    <cellStyle name="20% - Accent5 3 2 6 3 2 2" xfId="9965"/>
    <cellStyle name="20% - Accent5 3 2 6 3 3" xfId="7892"/>
    <cellStyle name="20% - Accent5 3 2 6 4" xfId="4448"/>
    <cellStyle name="20% - Accent5 3 2 6 4 2" xfId="8600"/>
    <cellStyle name="20% - Accent5 3 2 6 5" xfId="6527"/>
    <cellStyle name="20% - Accent5 3 2 7" xfId="2720"/>
    <cellStyle name="20% - Accent5 3 2 7 2" xfId="4806"/>
    <cellStyle name="20% - Accent5 3 2 7 2 2" xfId="8957"/>
    <cellStyle name="20% - Accent5 3 2 7 3" xfId="6884"/>
    <cellStyle name="20% - Accent5 3 2 8" xfId="3393"/>
    <cellStyle name="20% - Accent5 3 2 8 2" xfId="5478"/>
    <cellStyle name="20% - Accent5 3 2 8 2 2" xfId="9629"/>
    <cellStyle name="20% - Accent5 3 2 8 3" xfId="7556"/>
    <cellStyle name="20% - Accent5 3 2 9" xfId="4110"/>
    <cellStyle name="20% - Accent5 3 2 9 2" xfId="8264"/>
    <cellStyle name="20% - Accent5 3 3" xfId="1993"/>
    <cellStyle name="20% - Accent5 3 3 2" xfId="2221"/>
    <cellStyle name="20% - Accent5 3 3 2 2" xfId="2562"/>
    <cellStyle name="20% - Accent5 3 3 2 2 2" xfId="3287"/>
    <cellStyle name="20% - Accent5 3 3 2 2 2 2" xfId="5373"/>
    <cellStyle name="20% - Accent5 3 3 2 2 2 2 2" xfId="9524"/>
    <cellStyle name="20% - Accent5 3 3 2 2 2 3" xfId="7451"/>
    <cellStyle name="20% - Accent5 3 3 2 2 3" xfId="3960"/>
    <cellStyle name="20% - Accent5 3 3 2 2 3 2" xfId="6045"/>
    <cellStyle name="20% - Accent5 3 3 2 2 3 2 2" xfId="10196"/>
    <cellStyle name="20% - Accent5 3 3 2 2 3 3" xfId="8123"/>
    <cellStyle name="20% - Accent5 3 3 2 2 4" xfId="4679"/>
    <cellStyle name="20% - Accent5 3 3 2 2 4 2" xfId="8831"/>
    <cellStyle name="20% - Accent5 3 3 2 2 5" xfId="6758"/>
    <cellStyle name="20% - Accent5 3 3 2 3" xfId="2951"/>
    <cellStyle name="20% - Accent5 3 3 2 3 2" xfId="5037"/>
    <cellStyle name="20% - Accent5 3 3 2 3 2 2" xfId="9188"/>
    <cellStyle name="20% - Accent5 3 3 2 3 3" xfId="7115"/>
    <cellStyle name="20% - Accent5 3 3 2 4" xfId="3624"/>
    <cellStyle name="20% - Accent5 3 3 2 4 2" xfId="5709"/>
    <cellStyle name="20% - Accent5 3 3 2 4 2 2" xfId="9860"/>
    <cellStyle name="20% - Accent5 3 3 2 4 3" xfId="7787"/>
    <cellStyle name="20% - Accent5 3 3 2 5" xfId="4343"/>
    <cellStyle name="20% - Accent5 3 3 2 5 2" xfId="8495"/>
    <cellStyle name="20% - Accent5 3 3 2 6" xfId="6422"/>
    <cellStyle name="20% - Accent5 3 3 3" xfId="2393"/>
    <cellStyle name="20% - Accent5 3 3 3 2" xfId="3119"/>
    <cellStyle name="20% - Accent5 3 3 3 2 2" xfId="5205"/>
    <cellStyle name="20% - Accent5 3 3 3 2 2 2" xfId="9356"/>
    <cellStyle name="20% - Accent5 3 3 3 2 3" xfId="7283"/>
    <cellStyle name="20% - Accent5 3 3 3 3" xfId="3792"/>
    <cellStyle name="20% - Accent5 3 3 3 3 2" xfId="5877"/>
    <cellStyle name="20% - Accent5 3 3 3 3 2 2" xfId="10028"/>
    <cellStyle name="20% - Accent5 3 3 3 3 3" xfId="7955"/>
    <cellStyle name="20% - Accent5 3 3 3 4" xfId="4511"/>
    <cellStyle name="20% - Accent5 3 3 3 4 2" xfId="8663"/>
    <cellStyle name="20% - Accent5 3 3 3 5" xfId="6590"/>
    <cellStyle name="20% - Accent5 3 3 4" xfId="2783"/>
    <cellStyle name="20% - Accent5 3 3 4 2" xfId="4869"/>
    <cellStyle name="20% - Accent5 3 3 4 2 2" xfId="9020"/>
    <cellStyle name="20% - Accent5 3 3 4 3" xfId="6947"/>
    <cellStyle name="20% - Accent5 3 3 5" xfId="3456"/>
    <cellStyle name="20% - Accent5 3 3 5 2" xfId="5541"/>
    <cellStyle name="20% - Accent5 3 3 5 2 2" xfId="9692"/>
    <cellStyle name="20% - Accent5 3 3 5 3" xfId="7619"/>
    <cellStyle name="20% - Accent5 3 3 6" xfId="4175"/>
    <cellStyle name="20% - Accent5 3 3 6 2" xfId="8327"/>
    <cellStyle name="20% - Accent5 3 3 7" xfId="6254"/>
    <cellStyle name="20% - Accent5 3 4" xfId="1892"/>
    <cellStyle name="20% - Accent5 3 4 2" xfId="2178"/>
    <cellStyle name="20% - Accent5 3 4 2 2" xfId="2520"/>
    <cellStyle name="20% - Accent5 3 4 2 2 2" xfId="3245"/>
    <cellStyle name="20% - Accent5 3 4 2 2 2 2" xfId="5331"/>
    <cellStyle name="20% - Accent5 3 4 2 2 2 2 2" xfId="9482"/>
    <cellStyle name="20% - Accent5 3 4 2 2 2 3" xfId="7409"/>
    <cellStyle name="20% - Accent5 3 4 2 2 3" xfId="3918"/>
    <cellStyle name="20% - Accent5 3 4 2 2 3 2" xfId="6003"/>
    <cellStyle name="20% - Accent5 3 4 2 2 3 2 2" xfId="10154"/>
    <cellStyle name="20% - Accent5 3 4 2 2 3 3" xfId="8081"/>
    <cellStyle name="20% - Accent5 3 4 2 2 4" xfId="4637"/>
    <cellStyle name="20% - Accent5 3 4 2 2 4 2" xfId="8789"/>
    <cellStyle name="20% - Accent5 3 4 2 2 5" xfId="6716"/>
    <cellStyle name="20% - Accent5 3 4 2 3" xfId="2909"/>
    <cellStyle name="20% - Accent5 3 4 2 3 2" xfId="4995"/>
    <cellStyle name="20% - Accent5 3 4 2 3 2 2" xfId="9146"/>
    <cellStyle name="20% - Accent5 3 4 2 3 3" xfId="7073"/>
    <cellStyle name="20% - Accent5 3 4 2 4" xfId="3582"/>
    <cellStyle name="20% - Accent5 3 4 2 4 2" xfId="5667"/>
    <cellStyle name="20% - Accent5 3 4 2 4 2 2" xfId="9818"/>
    <cellStyle name="20% - Accent5 3 4 2 4 3" xfId="7745"/>
    <cellStyle name="20% - Accent5 3 4 2 5" xfId="4301"/>
    <cellStyle name="20% - Accent5 3 4 2 5 2" xfId="8453"/>
    <cellStyle name="20% - Accent5 3 4 2 6" xfId="6380"/>
    <cellStyle name="20% - Accent5 3 4 3" xfId="2351"/>
    <cellStyle name="20% - Accent5 3 4 3 2" xfId="3077"/>
    <cellStyle name="20% - Accent5 3 4 3 2 2" xfId="5163"/>
    <cellStyle name="20% - Accent5 3 4 3 2 2 2" xfId="9314"/>
    <cellStyle name="20% - Accent5 3 4 3 2 3" xfId="7241"/>
    <cellStyle name="20% - Accent5 3 4 3 3" xfId="3750"/>
    <cellStyle name="20% - Accent5 3 4 3 3 2" xfId="5835"/>
    <cellStyle name="20% - Accent5 3 4 3 3 2 2" xfId="9986"/>
    <cellStyle name="20% - Accent5 3 4 3 3 3" xfId="7913"/>
    <cellStyle name="20% - Accent5 3 4 3 4" xfId="4469"/>
    <cellStyle name="20% - Accent5 3 4 3 4 2" xfId="8621"/>
    <cellStyle name="20% - Accent5 3 4 3 5" xfId="6548"/>
    <cellStyle name="20% - Accent5 3 4 4" xfId="2741"/>
    <cellStyle name="20% - Accent5 3 4 4 2" xfId="4827"/>
    <cellStyle name="20% - Accent5 3 4 4 2 2" xfId="8978"/>
    <cellStyle name="20% - Accent5 3 4 4 3" xfId="6905"/>
    <cellStyle name="20% - Accent5 3 4 5" xfId="3414"/>
    <cellStyle name="20% - Accent5 3 4 5 2" xfId="5499"/>
    <cellStyle name="20% - Accent5 3 4 5 2 2" xfId="9650"/>
    <cellStyle name="20% - Accent5 3 4 5 3" xfId="7577"/>
    <cellStyle name="20% - Accent5 3 4 6" xfId="4133"/>
    <cellStyle name="20% - Accent5 3 4 6 2" xfId="8285"/>
    <cellStyle name="20% - Accent5 3 4 7" xfId="6212"/>
    <cellStyle name="20% - Accent5 3 5" xfId="2090"/>
    <cellStyle name="20% - Accent5 3 5 2" xfId="2263"/>
    <cellStyle name="20% - Accent5 3 5 2 2" xfId="2604"/>
    <cellStyle name="20% - Accent5 3 5 2 2 2" xfId="3329"/>
    <cellStyle name="20% - Accent5 3 5 2 2 2 2" xfId="5415"/>
    <cellStyle name="20% - Accent5 3 5 2 2 2 2 2" xfId="9566"/>
    <cellStyle name="20% - Accent5 3 5 2 2 2 3" xfId="7493"/>
    <cellStyle name="20% - Accent5 3 5 2 2 3" xfId="4002"/>
    <cellStyle name="20% - Accent5 3 5 2 2 3 2" xfId="6087"/>
    <cellStyle name="20% - Accent5 3 5 2 2 3 2 2" xfId="10238"/>
    <cellStyle name="20% - Accent5 3 5 2 2 3 3" xfId="8165"/>
    <cellStyle name="20% - Accent5 3 5 2 2 4" xfId="4721"/>
    <cellStyle name="20% - Accent5 3 5 2 2 4 2" xfId="8873"/>
    <cellStyle name="20% - Accent5 3 5 2 2 5" xfId="6800"/>
    <cellStyle name="20% - Accent5 3 5 2 3" xfId="2993"/>
    <cellStyle name="20% - Accent5 3 5 2 3 2" xfId="5079"/>
    <cellStyle name="20% - Accent5 3 5 2 3 2 2" xfId="9230"/>
    <cellStyle name="20% - Accent5 3 5 2 3 3" xfId="7157"/>
    <cellStyle name="20% - Accent5 3 5 2 4" xfId="3666"/>
    <cellStyle name="20% - Accent5 3 5 2 4 2" xfId="5751"/>
    <cellStyle name="20% - Accent5 3 5 2 4 2 2" xfId="9902"/>
    <cellStyle name="20% - Accent5 3 5 2 4 3" xfId="7829"/>
    <cellStyle name="20% - Accent5 3 5 2 5" xfId="4385"/>
    <cellStyle name="20% - Accent5 3 5 2 5 2" xfId="8537"/>
    <cellStyle name="20% - Accent5 3 5 2 6" xfId="6464"/>
    <cellStyle name="20% - Accent5 3 5 3" xfId="2436"/>
    <cellStyle name="20% - Accent5 3 5 3 2" xfId="3161"/>
    <cellStyle name="20% - Accent5 3 5 3 2 2" xfId="5247"/>
    <cellStyle name="20% - Accent5 3 5 3 2 2 2" xfId="9398"/>
    <cellStyle name="20% - Accent5 3 5 3 2 3" xfId="7325"/>
    <cellStyle name="20% - Accent5 3 5 3 3" xfId="3834"/>
    <cellStyle name="20% - Accent5 3 5 3 3 2" xfId="5919"/>
    <cellStyle name="20% - Accent5 3 5 3 3 2 2" xfId="10070"/>
    <cellStyle name="20% - Accent5 3 5 3 3 3" xfId="7997"/>
    <cellStyle name="20% - Accent5 3 5 3 4" xfId="4553"/>
    <cellStyle name="20% - Accent5 3 5 3 4 2" xfId="8705"/>
    <cellStyle name="20% - Accent5 3 5 3 5" xfId="6632"/>
    <cellStyle name="20% - Accent5 3 5 4" xfId="2825"/>
    <cellStyle name="20% - Accent5 3 5 4 2" xfId="4911"/>
    <cellStyle name="20% - Accent5 3 5 4 2 2" xfId="9062"/>
    <cellStyle name="20% - Accent5 3 5 4 3" xfId="6989"/>
    <cellStyle name="20% - Accent5 3 5 5" xfId="3498"/>
    <cellStyle name="20% - Accent5 3 5 5 2" xfId="5583"/>
    <cellStyle name="20% - Accent5 3 5 5 2 2" xfId="9734"/>
    <cellStyle name="20% - Accent5 3 5 5 3" xfId="7661"/>
    <cellStyle name="20% - Accent5 3 5 6" xfId="4217"/>
    <cellStyle name="20% - Accent5 3 5 6 2" xfId="8369"/>
    <cellStyle name="20% - Accent5 3 5 7" xfId="6296"/>
    <cellStyle name="20% - Accent5 3 6" xfId="2133"/>
    <cellStyle name="20% - Accent5 3 6 2" xfId="2478"/>
    <cellStyle name="20% - Accent5 3 6 2 2" xfId="3203"/>
    <cellStyle name="20% - Accent5 3 6 2 2 2" xfId="5289"/>
    <cellStyle name="20% - Accent5 3 6 2 2 2 2" xfId="9440"/>
    <cellStyle name="20% - Accent5 3 6 2 2 3" xfId="7367"/>
    <cellStyle name="20% - Accent5 3 6 2 3" xfId="3876"/>
    <cellStyle name="20% - Accent5 3 6 2 3 2" xfId="5961"/>
    <cellStyle name="20% - Accent5 3 6 2 3 2 2" xfId="10112"/>
    <cellStyle name="20% - Accent5 3 6 2 3 3" xfId="8039"/>
    <cellStyle name="20% - Accent5 3 6 2 4" xfId="4595"/>
    <cellStyle name="20% - Accent5 3 6 2 4 2" xfId="8747"/>
    <cellStyle name="20% - Accent5 3 6 2 5" xfId="6674"/>
    <cellStyle name="20% - Accent5 3 6 3" xfId="2867"/>
    <cellStyle name="20% - Accent5 3 6 3 2" xfId="4953"/>
    <cellStyle name="20% - Accent5 3 6 3 2 2" xfId="9104"/>
    <cellStyle name="20% - Accent5 3 6 3 3" xfId="7031"/>
    <cellStyle name="20% - Accent5 3 6 4" xfId="3540"/>
    <cellStyle name="20% - Accent5 3 6 4 2" xfId="5625"/>
    <cellStyle name="20% - Accent5 3 6 4 2 2" xfId="9776"/>
    <cellStyle name="20% - Accent5 3 6 4 3" xfId="7703"/>
    <cellStyle name="20% - Accent5 3 6 5" xfId="4259"/>
    <cellStyle name="20% - Accent5 3 6 5 2" xfId="8411"/>
    <cellStyle name="20% - Accent5 3 6 6" xfId="6338"/>
    <cellStyle name="20% - Accent5 3 7" xfId="2306"/>
    <cellStyle name="20% - Accent5 3 7 2" xfId="3035"/>
    <cellStyle name="20% - Accent5 3 7 2 2" xfId="5121"/>
    <cellStyle name="20% - Accent5 3 7 2 2 2" xfId="9272"/>
    <cellStyle name="20% - Accent5 3 7 2 3" xfId="7199"/>
    <cellStyle name="20% - Accent5 3 7 3" xfId="3708"/>
    <cellStyle name="20% - Accent5 3 7 3 2" xfId="5793"/>
    <cellStyle name="20% - Accent5 3 7 3 2 2" xfId="9944"/>
    <cellStyle name="20% - Accent5 3 7 3 3" xfId="7871"/>
    <cellStyle name="20% - Accent5 3 7 4" xfId="4427"/>
    <cellStyle name="20% - Accent5 3 7 4 2" xfId="8579"/>
    <cellStyle name="20% - Accent5 3 7 5" xfId="6506"/>
    <cellStyle name="20% - Accent5 3 8" xfId="2697"/>
    <cellStyle name="20% - Accent5 3 8 2" xfId="4785"/>
    <cellStyle name="20% - Accent5 3 8 2 2" xfId="8936"/>
    <cellStyle name="20% - Accent5 3 8 3" xfId="6863"/>
    <cellStyle name="20% - Accent5 3 9" xfId="3372"/>
    <cellStyle name="20% - Accent5 3 9 2" xfId="5457"/>
    <cellStyle name="20% - Accent5 3 9 2 2" xfId="9608"/>
    <cellStyle name="20% - Accent5 3 9 3" xfId="7535"/>
    <cellStyle name="20% - Accent5 4" xfId="4054"/>
    <cellStyle name="20% - Accent5 4 2" xfId="6139"/>
    <cellStyle name="20% - Accent5 4 2 2" xfId="10290"/>
    <cellStyle name="20% - Accent5 4 3" xfId="8217"/>
    <cellStyle name="20% - Accent5 5" xfId="4766"/>
    <cellStyle name="20% - Accent5 5 2" xfId="8918"/>
    <cellStyle name="20% - Accent5 6" xfId="6845"/>
    <cellStyle name="20% - Accent6" xfId="240" builtinId="50" customBuiltin="1"/>
    <cellStyle name="20% - Accent6 10" xfId="2698"/>
    <cellStyle name="20% - Accent6 10 2" xfId="4786"/>
    <cellStyle name="20% - Accent6 10 2 2" xfId="8937"/>
    <cellStyle name="20% - Accent6 10 3" xfId="6864"/>
    <cellStyle name="20% - Accent6 11" xfId="3373"/>
    <cellStyle name="20% - Accent6 11 2" xfId="5458"/>
    <cellStyle name="20% - Accent6 11 2 2" xfId="9609"/>
    <cellStyle name="20% - Accent6 11 3" xfId="7536"/>
    <cellStyle name="20% - Accent6 12" xfId="4056"/>
    <cellStyle name="20% - Accent6 12 2" xfId="6141"/>
    <cellStyle name="20% - Accent6 12 2 2" xfId="10292"/>
    <cellStyle name="20% - Accent6 12 3" xfId="8219"/>
    <cellStyle name="20% - Accent6 13" xfId="4086"/>
    <cellStyle name="20% - Accent6 13 2" xfId="8244"/>
    <cellStyle name="20% - Accent6 14" xfId="6171"/>
    <cellStyle name="20% - Accent6 2" xfId="241"/>
    <cellStyle name="20% - Accent6 2 2" xfId="242"/>
    <cellStyle name="20% - Accent6 3" xfId="1331"/>
    <cellStyle name="20% - Accent6 3 10" xfId="6192"/>
    <cellStyle name="20% - Accent6 3 2" xfId="2069"/>
    <cellStyle name="20% - Accent6 3 2 2" xfId="2243"/>
    <cellStyle name="20% - Accent6 3 2 2 2" xfId="2584"/>
    <cellStyle name="20% - Accent6 3 2 2 2 2" xfId="3309"/>
    <cellStyle name="20% - Accent6 3 2 2 2 2 2" xfId="5395"/>
    <cellStyle name="20% - Accent6 3 2 2 2 2 2 2" xfId="9546"/>
    <cellStyle name="20% - Accent6 3 2 2 2 2 3" xfId="7473"/>
    <cellStyle name="20% - Accent6 3 2 2 2 3" xfId="3982"/>
    <cellStyle name="20% - Accent6 3 2 2 2 3 2" xfId="6067"/>
    <cellStyle name="20% - Accent6 3 2 2 2 3 2 2" xfId="10218"/>
    <cellStyle name="20% - Accent6 3 2 2 2 3 3" xfId="8145"/>
    <cellStyle name="20% - Accent6 3 2 2 2 4" xfId="4701"/>
    <cellStyle name="20% - Accent6 3 2 2 2 4 2" xfId="8853"/>
    <cellStyle name="20% - Accent6 3 2 2 2 5" xfId="6780"/>
    <cellStyle name="20% - Accent6 3 2 2 3" xfId="2973"/>
    <cellStyle name="20% - Accent6 3 2 2 3 2" xfId="5059"/>
    <cellStyle name="20% - Accent6 3 2 2 3 2 2" xfId="9210"/>
    <cellStyle name="20% - Accent6 3 2 2 3 3" xfId="7137"/>
    <cellStyle name="20% - Accent6 3 2 2 4" xfId="3646"/>
    <cellStyle name="20% - Accent6 3 2 2 4 2" xfId="5731"/>
    <cellStyle name="20% - Accent6 3 2 2 4 2 2" xfId="9882"/>
    <cellStyle name="20% - Accent6 3 2 2 4 3" xfId="7809"/>
    <cellStyle name="20% - Accent6 3 2 2 5" xfId="4365"/>
    <cellStyle name="20% - Accent6 3 2 2 5 2" xfId="8517"/>
    <cellStyle name="20% - Accent6 3 2 2 6" xfId="6444"/>
    <cellStyle name="20% - Accent6 3 2 3" xfId="2416"/>
    <cellStyle name="20% - Accent6 3 2 3 2" xfId="3141"/>
    <cellStyle name="20% - Accent6 3 2 3 2 2" xfId="5227"/>
    <cellStyle name="20% - Accent6 3 2 3 2 2 2" xfId="9378"/>
    <cellStyle name="20% - Accent6 3 2 3 2 3" xfId="7305"/>
    <cellStyle name="20% - Accent6 3 2 3 3" xfId="3814"/>
    <cellStyle name="20% - Accent6 3 2 3 3 2" xfId="5899"/>
    <cellStyle name="20% - Accent6 3 2 3 3 2 2" xfId="10050"/>
    <cellStyle name="20% - Accent6 3 2 3 3 3" xfId="7977"/>
    <cellStyle name="20% - Accent6 3 2 3 4" xfId="4533"/>
    <cellStyle name="20% - Accent6 3 2 3 4 2" xfId="8685"/>
    <cellStyle name="20% - Accent6 3 2 3 5" xfId="6612"/>
    <cellStyle name="20% - Accent6 3 2 4" xfId="2805"/>
    <cellStyle name="20% - Accent6 3 2 4 2" xfId="4891"/>
    <cellStyle name="20% - Accent6 3 2 4 2 2" xfId="9042"/>
    <cellStyle name="20% - Accent6 3 2 4 3" xfId="6969"/>
    <cellStyle name="20% - Accent6 3 2 5" xfId="3478"/>
    <cellStyle name="20% - Accent6 3 2 5 2" xfId="5563"/>
    <cellStyle name="20% - Accent6 3 2 5 2 2" xfId="9714"/>
    <cellStyle name="20% - Accent6 3 2 5 3" xfId="7641"/>
    <cellStyle name="20% - Accent6 3 2 6" xfId="4197"/>
    <cellStyle name="20% - Accent6 3 2 6 2" xfId="8349"/>
    <cellStyle name="20% - Accent6 3 2 7" xfId="6276"/>
    <cellStyle name="20% - Accent6 3 3" xfId="1969"/>
    <cellStyle name="20% - Accent6 3 3 2" xfId="2201"/>
    <cellStyle name="20% - Accent6 3 3 2 2" xfId="2542"/>
    <cellStyle name="20% - Accent6 3 3 2 2 2" xfId="3267"/>
    <cellStyle name="20% - Accent6 3 3 2 2 2 2" xfId="5353"/>
    <cellStyle name="20% - Accent6 3 3 2 2 2 2 2" xfId="9504"/>
    <cellStyle name="20% - Accent6 3 3 2 2 2 3" xfId="7431"/>
    <cellStyle name="20% - Accent6 3 3 2 2 3" xfId="3940"/>
    <cellStyle name="20% - Accent6 3 3 2 2 3 2" xfId="6025"/>
    <cellStyle name="20% - Accent6 3 3 2 2 3 2 2" xfId="10176"/>
    <cellStyle name="20% - Accent6 3 3 2 2 3 3" xfId="8103"/>
    <cellStyle name="20% - Accent6 3 3 2 2 4" xfId="4659"/>
    <cellStyle name="20% - Accent6 3 3 2 2 4 2" xfId="8811"/>
    <cellStyle name="20% - Accent6 3 3 2 2 5" xfId="6738"/>
    <cellStyle name="20% - Accent6 3 3 2 3" xfId="2931"/>
    <cellStyle name="20% - Accent6 3 3 2 3 2" xfId="5017"/>
    <cellStyle name="20% - Accent6 3 3 2 3 2 2" xfId="9168"/>
    <cellStyle name="20% - Accent6 3 3 2 3 3" xfId="7095"/>
    <cellStyle name="20% - Accent6 3 3 2 4" xfId="3604"/>
    <cellStyle name="20% - Accent6 3 3 2 4 2" xfId="5689"/>
    <cellStyle name="20% - Accent6 3 3 2 4 2 2" xfId="9840"/>
    <cellStyle name="20% - Accent6 3 3 2 4 3" xfId="7767"/>
    <cellStyle name="20% - Accent6 3 3 2 5" xfId="4323"/>
    <cellStyle name="20% - Accent6 3 3 2 5 2" xfId="8475"/>
    <cellStyle name="20% - Accent6 3 3 2 6" xfId="6402"/>
    <cellStyle name="20% - Accent6 3 3 3" xfId="2373"/>
    <cellStyle name="20% - Accent6 3 3 3 2" xfId="3099"/>
    <cellStyle name="20% - Accent6 3 3 3 2 2" xfId="5185"/>
    <cellStyle name="20% - Accent6 3 3 3 2 2 2" xfId="9336"/>
    <cellStyle name="20% - Accent6 3 3 3 2 3" xfId="7263"/>
    <cellStyle name="20% - Accent6 3 3 3 3" xfId="3772"/>
    <cellStyle name="20% - Accent6 3 3 3 3 2" xfId="5857"/>
    <cellStyle name="20% - Accent6 3 3 3 3 2 2" xfId="10008"/>
    <cellStyle name="20% - Accent6 3 3 3 3 3" xfId="7935"/>
    <cellStyle name="20% - Accent6 3 3 3 4" xfId="4491"/>
    <cellStyle name="20% - Accent6 3 3 3 4 2" xfId="8643"/>
    <cellStyle name="20% - Accent6 3 3 3 5" xfId="6570"/>
    <cellStyle name="20% - Accent6 3 3 4" xfId="2763"/>
    <cellStyle name="20% - Accent6 3 3 4 2" xfId="4849"/>
    <cellStyle name="20% - Accent6 3 3 4 2 2" xfId="9000"/>
    <cellStyle name="20% - Accent6 3 3 4 3" xfId="6927"/>
    <cellStyle name="20% - Accent6 3 3 5" xfId="3436"/>
    <cellStyle name="20% - Accent6 3 3 5 2" xfId="5521"/>
    <cellStyle name="20% - Accent6 3 3 5 2 2" xfId="9672"/>
    <cellStyle name="20% - Accent6 3 3 5 3" xfId="7599"/>
    <cellStyle name="20% - Accent6 3 3 6" xfId="4155"/>
    <cellStyle name="20% - Accent6 3 3 6 2" xfId="8307"/>
    <cellStyle name="20% - Accent6 3 3 7" xfId="6234"/>
    <cellStyle name="20% - Accent6 3 4" xfId="2112"/>
    <cellStyle name="20% - Accent6 3 4 2" xfId="2285"/>
    <cellStyle name="20% - Accent6 3 4 2 2" xfId="2626"/>
    <cellStyle name="20% - Accent6 3 4 2 2 2" xfId="3351"/>
    <cellStyle name="20% - Accent6 3 4 2 2 2 2" xfId="5437"/>
    <cellStyle name="20% - Accent6 3 4 2 2 2 2 2" xfId="9588"/>
    <cellStyle name="20% - Accent6 3 4 2 2 2 3" xfId="7515"/>
    <cellStyle name="20% - Accent6 3 4 2 2 3" xfId="4024"/>
    <cellStyle name="20% - Accent6 3 4 2 2 3 2" xfId="6109"/>
    <cellStyle name="20% - Accent6 3 4 2 2 3 2 2" xfId="10260"/>
    <cellStyle name="20% - Accent6 3 4 2 2 3 3" xfId="8187"/>
    <cellStyle name="20% - Accent6 3 4 2 2 4" xfId="4743"/>
    <cellStyle name="20% - Accent6 3 4 2 2 4 2" xfId="8895"/>
    <cellStyle name="20% - Accent6 3 4 2 2 5" xfId="6822"/>
    <cellStyle name="20% - Accent6 3 4 2 3" xfId="3015"/>
    <cellStyle name="20% - Accent6 3 4 2 3 2" xfId="5101"/>
    <cellStyle name="20% - Accent6 3 4 2 3 2 2" xfId="9252"/>
    <cellStyle name="20% - Accent6 3 4 2 3 3" xfId="7179"/>
    <cellStyle name="20% - Accent6 3 4 2 4" xfId="3688"/>
    <cellStyle name="20% - Accent6 3 4 2 4 2" xfId="5773"/>
    <cellStyle name="20% - Accent6 3 4 2 4 2 2" xfId="9924"/>
    <cellStyle name="20% - Accent6 3 4 2 4 3" xfId="7851"/>
    <cellStyle name="20% - Accent6 3 4 2 5" xfId="4407"/>
    <cellStyle name="20% - Accent6 3 4 2 5 2" xfId="8559"/>
    <cellStyle name="20% - Accent6 3 4 2 6" xfId="6486"/>
    <cellStyle name="20% - Accent6 3 4 3" xfId="2458"/>
    <cellStyle name="20% - Accent6 3 4 3 2" xfId="3183"/>
    <cellStyle name="20% - Accent6 3 4 3 2 2" xfId="5269"/>
    <cellStyle name="20% - Accent6 3 4 3 2 2 2" xfId="9420"/>
    <cellStyle name="20% - Accent6 3 4 3 2 3" xfId="7347"/>
    <cellStyle name="20% - Accent6 3 4 3 3" xfId="3856"/>
    <cellStyle name="20% - Accent6 3 4 3 3 2" xfId="5941"/>
    <cellStyle name="20% - Accent6 3 4 3 3 2 2" xfId="10092"/>
    <cellStyle name="20% - Accent6 3 4 3 3 3" xfId="8019"/>
    <cellStyle name="20% - Accent6 3 4 3 4" xfId="4575"/>
    <cellStyle name="20% - Accent6 3 4 3 4 2" xfId="8727"/>
    <cellStyle name="20% - Accent6 3 4 3 5" xfId="6654"/>
    <cellStyle name="20% - Accent6 3 4 4" xfId="2847"/>
    <cellStyle name="20% - Accent6 3 4 4 2" xfId="4933"/>
    <cellStyle name="20% - Accent6 3 4 4 2 2" xfId="9084"/>
    <cellStyle name="20% - Accent6 3 4 4 3" xfId="7011"/>
    <cellStyle name="20% - Accent6 3 4 5" xfId="3520"/>
    <cellStyle name="20% - Accent6 3 4 5 2" xfId="5605"/>
    <cellStyle name="20% - Accent6 3 4 5 2 2" xfId="9756"/>
    <cellStyle name="20% - Accent6 3 4 5 3" xfId="7683"/>
    <cellStyle name="20% - Accent6 3 4 6" xfId="4239"/>
    <cellStyle name="20% - Accent6 3 4 6 2" xfId="8391"/>
    <cellStyle name="20% - Accent6 3 4 7" xfId="6318"/>
    <cellStyle name="20% - Accent6 3 5" xfId="2158"/>
    <cellStyle name="20% - Accent6 3 5 2" xfId="2500"/>
    <cellStyle name="20% - Accent6 3 5 2 2" xfId="3225"/>
    <cellStyle name="20% - Accent6 3 5 2 2 2" xfId="5311"/>
    <cellStyle name="20% - Accent6 3 5 2 2 2 2" xfId="9462"/>
    <cellStyle name="20% - Accent6 3 5 2 2 3" xfId="7389"/>
    <cellStyle name="20% - Accent6 3 5 2 3" xfId="3898"/>
    <cellStyle name="20% - Accent6 3 5 2 3 2" xfId="5983"/>
    <cellStyle name="20% - Accent6 3 5 2 3 2 2" xfId="10134"/>
    <cellStyle name="20% - Accent6 3 5 2 3 3" xfId="8061"/>
    <cellStyle name="20% - Accent6 3 5 2 4" xfId="4617"/>
    <cellStyle name="20% - Accent6 3 5 2 4 2" xfId="8769"/>
    <cellStyle name="20% - Accent6 3 5 2 5" xfId="6696"/>
    <cellStyle name="20% - Accent6 3 5 3" xfId="2889"/>
    <cellStyle name="20% - Accent6 3 5 3 2" xfId="4975"/>
    <cellStyle name="20% - Accent6 3 5 3 2 2" xfId="9126"/>
    <cellStyle name="20% - Accent6 3 5 3 3" xfId="7053"/>
    <cellStyle name="20% - Accent6 3 5 4" xfId="3562"/>
    <cellStyle name="20% - Accent6 3 5 4 2" xfId="5647"/>
    <cellStyle name="20% - Accent6 3 5 4 2 2" xfId="9798"/>
    <cellStyle name="20% - Accent6 3 5 4 3" xfId="7725"/>
    <cellStyle name="20% - Accent6 3 5 5" xfId="4281"/>
    <cellStyle name="20% - Accent6 3 5 5 2" xfId="8433"/>
    <cellStyle name="20% - Accent6 3 5 6" xfId="6360"/>
    <cellStyle name="20% - Accent6 3 6" xfId="2331"/>
    <cellStyle name="20% - Accent6 3 6 2" xfId="3057"/>
    <cellStyle name="20% - Accent6 3 6 2 2" xfId="5143"/>
    <cellStyle name="20% - Accent6 3 6 2 2 2" xfId="9294"/>
    <cellStyle name="20% - Accent6 3 6 2 3" xfId="7221"/>
    <cellStyle name="20% - Accent6 3 6 3" xfId="3730"/>
    <cellStyle name="20% - Accent6 3 6 3 2" xfId="5815"/>
    <cellStyle name="20% - Accent6 3 6 3 2 2" xfId="9966"/>
    <cellStyle name="20% - Accent6 3 6 3 3" xfId="7893"/>
    <cellStyle name="20% - Accent6 3 6 4" xfId="4449"/>
    <cellStyle name="20% - Accent6 3 6 4 2" xfId="8601"/>
    <cellStyle name="20% - Accent6 3 6 5" xfId="6528"/>
    <cellStyle name="20% - Accent6 3 7" xfId="2721"/>
    <cellStyle name="20% - Accent6 3 7 2" xfId="4807"/>
    <cellStyle name="20% - Accent6 3 7 2 2" xfId="8958"/>
    <cellStyle name="20% - Accent6 3 7 3" xfId="6885"/>
    <cellStyle name="20% - Accent6 3 8" xfId="3394"/>
    <cellStyle name="20% - Accent6 3 8 2" xfId="5479"/>
    <cellStyle name="20% - Accent6 3 8 2 2" xfId="9630"/>
    <cellStyle name="20% - Accent6 3 8 3" xfId="7557"/>
    <cellStyle name="20% - Accent6 3 9" xfId="4111"/>
    <cellStyle name="20% - Accent6 3 9 2" xfId="8265"/>
    <cellStyle name="20% - Accent6 4" xfId="1994"/>
    <cellStyle name="20% - Accent6 4 2" xfId="2222"/>
    <cellStyle name="20% - Accent6 4 2 2" xfId="2563"/>
    <cellStyle name="20% - Accent6 4 2 2 2" xfId="3288"/>
    <cellStyle name="20% - Accent6 4 2 2 2 2" xfId="5374"/>
    <cellStyle name="20% - Accent6 4 2 2 2 2 2" xfId="9525"/>
    <cellStyle name="20% - Accent6 4 2 2 2 3" xfId="7452"/>
    <cellStyle name="20% - Accent6 4 2 2 3" xfId="3961"/>
    <cellStyle name="20% - Accent6 4 2 2 3 2" xfId="6046"/>
    <cellStyle name="20% - Accent6 4 2 2 3 2 2" xfId="10197"/>
    <cellStyle name="20% - Accent6 4 2 2 3 3" xfId="8124"/>
    <cellStyle name="20% - Accent6 4 2 2 4" xfId="4680"/>
    <cellStyle name="20% - Accent6 4 2 2 4 2" xfId="8832"/>
    <cellStyle name="20% - Accent6 4 2 2 5" xfId="6759"/>
    <cellStyle name="20% - Accent6 4 2 3" xfId="2952"/>
    <cellStyle name="20% - Accent6 4 2 3 2" xfId="5038"/>
    <cellStyle name="20% - Accent6 4 2 3 2 2" xfId="9189"/>
    <cellStyle name="20% - Accent6 4 2 3 3" xfId="7116"/>
    <cellStyle name="20% - Accent6 4 2 4" xfId="3625"/>
    <cellStyle name="20% - Accent6 4 2 4 2" xfId="5710"/>
    <cellStyle name="20% - Accent6 4 2 4 2 2" xfId="9861"/>
    <cellStyle name="20% - Accent6 4 2 4 3" xfId="7788"/>
    <cellStyle name="20% - Accent6 4 2 5" xfId="4344"/>
    <cellStyle name="20% - Accent6 4 2 5 2" xfId="8496"/>
    <cellStyle name="20% - Accent6 4 2 6" xfId="6423"/>
    <cellStyle name="20% - Accent6 4 3" xfId="2394"/>
    <cellStyle name="20% - Accent6 4 3 2" xfId="3120"/>
    <cellStyle name="20% - Accent6 4 3 2 2" xfId="5206"/>
    <cellStyle name="20% - Accent6 4 3 2 2 2" xfId="9357"/>
    <cellStyle name="20% - Accent6 4 3 2 3" xfId="7284"/>
    <cellStyle name="20% - Accent6 4 3 3" xfId="3793"/>
    <cellStyle name="20% - Accent6 4 3 3 2" xfId="5878"/>
    <cellStyle name="20% - Accent6 4 3 3 2 2" xfId="10029"/>
    <cellStyle name="20% - Accent6 4 3 3 3" xfId="7956"/>
    <cellStyle name="20% - Accent6 4 3 4" xfId="4512"/>
    <cellStyle name="20% - Accent6 4 3 4 2" xfId="8664"/>
    <cellStyle name="20% - Accent6 4 3 5" xfId="6591"/>
    <cellStyle name="20% - Accent6 4 4" xfId="2784"/>
    <cellStyle name="20% - Accent6 4 4 2" xfId="4870"/>
    <cellStyle name="20% - Accent6 4 4 2 2" xfId="9021"/>
    <cellStyle name="20% - Accent6 4 4 3" xfId="6948"/>
    <cellStyle name="20% - Accent6 4 5" xfId="3457"/>
    <cellStyle name="20% - Accent6 4 5 2" xfId="5542"/>
    <cellStyle name="20% - Accent6 4 5 2 2" xfId="9693"/>
    <cellStyle name="20% - Accent6 4 5 3" xfId="7620"/>
    <cellStyle name="20% - Accent6 4 6" xfId="4176"/>
    <cellStyle name="20% - Accent6 4 6 2" xfId="8328"/>
    <cellStyle name="20% - Accent6 4 7" xfId="6255"/>
    <cellStyle name="20% - Accent6 5" xfId="1893"/>
    <cellStyle name="20% - Accent6 5 2" xfId="2179"/>
    <cellStyle name="20% - Accent6 5 2 2" xfId="2521"/>
    <cellStyle name="20% - Accent6 5 2 2 2" xfId="3246"/>
    <cellStyle name="20% - Accent6 5 2 2 2 2" xfId="5332"/>
    <cellStyle name="20% - Accent6 5 2 2 2 2 2" xfId="9483"/>
    <cellStyle name="20% - Accent6 5 2 2 2 3" xfId="7410"/>
    <cellStyle name="20% - Accent6 5 2 2 3" xfId="3919"/>
    <cellStyle name="20% - Accent6 5 2 2 3 2" xfId="6004"/>
    <cellStyle name="20% - Accent6 5 2 2 3 2 2" xfId="10155"/>
    <cellStyle name="20% - Accent6 5 2 2 3 3" xfId="8082"/>
    <cellStyle name="20% - Accent6 5 2 2 4" xfId="4638"/>
    <cellStyle name="20% - Accent6 5 2 2 4 2" xfId="8790"/>
    <cellStyle name="20% - Accent6 5 2 2 5" xfId="6717"/>
    <cellStyle name="20% - Accent6 5 2 3" xfId="2910"/>
    <cellStyle name="20% - Accent6 5 2 3 2" xfId="4996"/>
    <cellStyle name="20% - Accent6 5 2 3 2 2" xfId="9147"/>
    <cellStyle name="20% - Accent6 5 2 3 3" xfId="7074"/>
    <cellStyle name="20% - Accent6 5 2 4" xfId="3583"/>
    <cellStyle name="20% - Accent6 5 2 4 2" xfId="5668"/>
    <cellStyle name="20% - Accent6 5 2 4 2 2" xfId="9819"/>
    <cellStyle name="20% - Accent6 5 2 4 3" xfId="7746"/>
    <cellStyle name="20% - Accent6 5 2 5" xfId="4302"/>
    <cellStyle name="20% - Accent6 5 2 5 2" xfId="8454"/>
    <cellStyle name="20% - Accent6 5 2 6" xfId="6381"/>
    <cellStyle name="20% - Accent6 5 3" xfId="2352"/>
    <cellStyle name="20% - Accent6 5 3 2" xfId="3078"/>
    <cellStyle name="20% - Accent6 5 3 2 2" xfId="5164"/>
    <cellStyle name="20% - Accent6 5 3 2 2 2" xfId="9315"/>
    <cellStyle name="20% - Accent6 5 3 2 3" xfId="7242"/>
    <cellStyle name="20% - Accent6 5 3 3" xfId="3751"/>
    <cellStyle name="20% - Accent6 5 3 3 2" xfId="5836"/>
    <cellStyle name="20% - Accent6 5 3 3 2 2" xfId="9987"/>
    <cellStyle name="20% - Accent6 5 3 3 3" xfId="7914"/>
    <cellStyle name="20% - Accent6 5 3 4" xfId="4470"/>
    <cellStyle name="20% - Accent6 5 3 4 2" xfId="8622"/>
    <cellStyle name="20% - Accent6 5 3 5" xfId="6549"/>
    <cellStyle name="20% - Accent6 5 4" xfId="2742"/>
    <cellStyle name="20% - Accent6 5 4 2" xfId="4828"/>
    <cellStyle name="20% - Accent6 5 4 2 2" xfId="8979"/>
    <cellStyle name="20% - Accent6 5 4 3" xfId="6906"/>
    <cellStyle name="20% - Accent6 5 5" xfId="3415"/>
    <cellStyle name="20% - Accent6 5 5 2" xfId="5500"/>
    <cellStyle name="20% - Accent6 5 5 2 2" xfId="9651"/>
    <cellStyle name="20% - Accent6 5 5 3" xfId="7578"/>
    <cellStyle name="20% - Accent6 5 6" xfId="4134"/>
    <cellStyle name="20% - Accent6 5 6 2" xfId="8286"/>
    <cellStyle name="20% - Accent6 5 7" xfId="6213"/>
    <cellStyle name="20% - Accent6 6" xfId="2091"/>
    <cellStyle name="20% - Accent6 6 2" xfId="2264"/>
    <cellStyle name="20% - Accent6 6 2 2" xfId="2605"/>
    <cellStyle name="20% - Accent6 6 2 2 2" xfId="3330"/>
    <cellStyle name="20% - Accent6 6 2 2 2 2" xfId="5416"/>
    <cellStyle name="20% - Accent6 6 2 2 2 2 2" xfId="9567"/>
    <cellStyle name="20% - Accent6 6 2 2 2 3" xfId="7494"/>
    <cellStyle name="20% - Accent6 6 2 2 3" xfId="4003"/>
    <cellStyle name="20% - Accent6 6 2 2 3 2" xfId="6088"/>
    <cellStyle name="20% - Accent6 6 2 2 3 2 2" xfId="10239"/>
    <cellStyle name="20% - Accent6 6 2 2 3 3" xfId="8166"/>
    <cellStyle name="20% - Accent6 6 2 2 4" xfId="4722"/>
    <cellStyle name="20% - Accent6 6 2 2 4 2" xfId="8874"/>
    <cellStyle name="20% - Accent6 6 2 2 5" xfId="6801"/>
    <cellStyle name="20% - Accent6 6 2 3" xfId="2994"/>
    <cellStyle name="20% - Accent6 6 2 3 2" xfId="5080"/>
    <cellStyle name="20% - Accent6 6 2 3 2 2" xfId="9231"/>
    <cellStyle name="20% - Accent6 6 2 3 3" xfId="7158"/>
    <cellStyle name="20% - Accent6 6 2 4" xfId="3667"/>
    <cellStyle name="20% - Accent6 6 2 4 2" xfId="5752"/>
    <cellStyle name="20% - Accent6 6 2 4 2 2" xfId="9903"/>
    <cellStyle name="20% - Accent6 6 2 4 3" xfId="7830"/>
    <cellStyle name="20% - Accent6 6 2 5" xfId="4386"/>
    <cellStyle name="20% - Accent6 6 2 5 2" xfId="8538"/>
    <cellStyle name="20% - Accent6 6 2 6" xfId="6465"/>
    <cellStyle name="20% - Accent6 6 3" xfId="2437"/>
    <cellStyle name="20% - Accent6 6 3 2" xfId="3162"/>
    <cellStyle name="20% - Accent6 6 3 2 2" xfId="5248"/>
    <cellStyle name="20% - Accent6 6 3 2 2 2" xfId="9399"/>
    <cellStyle name="20% - Accent6 6 3 2 3" xfId="7326"/>
    <cellStyle name="20% - Accent6 6 3 3" xfId="3835"/>
    <cellStyle name="20% - Accent6 6 3 3 2" xfId="5920"/>
    <cellStyle name="20% - Accent6 6 3 3 2 2" xfId="10071"/>
    <cellStyle name="20% - Accent6 6 3 3 3" xfId="7998"/>
    <cellStyle name="20% - Accent6 6 3 4" xfId="4554"/>
    <cellStyle name="20% - Accent6 6 3 4 2" xfId="8706"/>
    <cellStyle name="20% - Accent6 6 3 5" xfId="6633"/>
    <cellStyle name="20% - Accent6 6 4" xfId="2826"/>
    <cellStyle name="20% - Accent6 6 4 2" xfId="4912"/>
    <cellStyle name="20% - Accent6 6 4 2 2" xfId="9063"/>
    <cellStyle name="20% - Accent6 6 4 3" xfId="6990"/>
    <cellStyle name="20% - Accent6 6 5" xfId="3499"/>
    <cellStyle name="20% - Accent6 6 5 2" xfId="5584"/>
    <cellStyle name="20% - Accent6 6 5 2 2" xfId="9735"/>
    <cellStyle name="20% - Accent6 6 5 3" xfId="7662"/>
    <cellStyle name="20% - Accent6 6 6" xfId="4218"/>
    <cellStyle name="20% - Accent6 6 6 2" xfId="8370"/>
    <cellStyle name="20% - Accent6 6 7" xfId="6297"/>
    <cellStyle name="20% - Accent6 7" xfId="2134"/>
    <cellStyle name="20% - Accent6 7 2" xfId="2479"/>
    <cellStyle name="20% - Accent6 7 2 2" xfId="3204"/>
    <cellStyle name="20% - Accent6 7 2 2 2" xfId="5290"/>
    <cellStyle name="20% - Accent6 7 2 2 2 2" xfId="9441"/>
    <cellStyle name="20% - Accent6 7 2 2 3" xfId="7368"/>
    <cellStyle name="20% - Accent6 7 2 3" xfId="3877"/>
    <cellStyle name="20% - Accent6 7 2 3 2" xfId="5962"/>
    <cellStyle name="20% - Accent6 7 2 3 2 2" xfId="10113"/>
    <cellStyle name="20% - Accent6 7 2 3 3" xfId="8040"/>
    <cellStyle name="20% - Accent6 7 2 4" xfId="4596"/>
    <cellStyle name="20% - Accent6 7 2 4 2" xfId="8748"/>
    <cellStyle name="20% - Accent6 7 2 5" xfId="6675"/>
    <cellStyle name="20% - Accent6 7 3" xfId="2868"/>
    <cellStyle name="20% - Accent6 7 3 2" xfId="4954"/>
    <cellStyle name="20% - Accent6 7 3 2 2" xfId="9105"/>
    <cellStyle name="20% - Accent6 7 3 3" xfId="7032"/>
    <cellStyle name="20% - Accent6 7 4" xfId="3541"/>
    <cellStyle name="20% - Accent6 7 4 2" xfId="5626"/>
    <cellStyle name="20% - Accent6 7 4 2 2" xfId="9777"/>
    <cellStyle name="20% - Accent6 7 4 3" xfId="7704"/>
    <cellStyle name="20% - Accent6 7 5" xfId="4260"/>
    <cellStyle name="20% - Accent6 7 5 2" xfId="8412"/>
    <cellStyle name="20% - Accent6 7 6" xfId="6339"/>
    <cellStyle name="20% - Accent6 8" xfId="2307"/>
    <cellStyle name="20% - Accent6 8 2" xfId="3036"/>
    <cellStyle name="20% - Accent6 8 2 2" xfId="5122"/>
    <cellStyle name="20% - Accent6 8 2 2 2" xfId="9273"/>
    <cellStyle name="20% - Accent6 8 2 3" xfId="7200"/>
    <cellStyle name="20% - Accent6 8 3" xfId="3709"/>
    <cellStyle name="20% - Accent6 8 3 2" xfId="5794"/>
    <cellStyle name="20% - Accent6 8 3 2 2" xfId="9945"/>
    <cellStyle name="20% - Accent6 8 3 3" xfId="7872"/>
    <cellStyle name="20% - Accent6 8 4" xfId="4428"/>
    <cellStyle name="20% - Accent6 8 4 2" xfId="8580"/>
    <cellStyle name="20% - Accent6 8 5" xfId="6507"/>
    <cellStyle name="20% - Accent6 9" xfId="2683"/>
    <cellStyle name="20% - Accent6 9 2" xfId="4774"/>
    <cellStyle name="20% - Accent6 9 2 2" xfId="8925"/>
    <cellStyle name="20% - Accent6 9 3" xfId="6852"/>
    <cellStyle name="40% - Accent1" xfId="2657" builtinId="31" customBuiltin="1"/>
    <cellStyle name="40% - Accent1 2" xfId="243"/>
    <cellStyle name="40% - Accent1 2 2" xfId="244"/>
    <cellStyle name="40% - Accent1 3" xfId="245"/>
    <cellStyle name="40% - Accent1 3 10" xfId="4087"/>
    <cellStyle name="40% - Accent1 3 10 2" xfId="8245"/>
    <cellStyle name="40% - Accent1 3 11" xfId="6172"/>
    <cellStyle name="40% - Accent1 3 2" xfId="1332"/>
    <cellStyle name="40% - Accent1 3 2 10" xfId="6193"/>
    <cellStyle name="40% - Accent1 3 2 2" xfId="2070"/>
    <cellStyle name="40% - Accent1 3 2 2 2" xfId="2244"/>
    <cellStyle name="40% - Accent1 3 2 2 2 2" xfId="2585"/>
    <cellStyle name="40% - Accent1 3 2 2 2 2 2" xfId="3310"/>
    <cellStyle name="40% - Accent1 3 2 2 2 2 2 2" xfId="5396"/>
    <cellStyle name="40% - Accent1 3 2 2 2 2 2 2 2" xfId="9547"/>
    <cellStyle name="40% - Accent1 3 2 2 2 2 2 3" xfId="7474"/>
    <cellStyle name="40% - Accent1 3 2 2 2 2 3" xfId="3983"/>
    <cellStyle name="40% - Accent1 3 2 2 2 2 3 2" xfId="6068"/>
    <cellStyle name="40% - Accent1 3 2 2 2 2 3 2 2" xfId="10219"/>
    <cellStyle name="40% - Accent1 3 2 2 2 2 3 3" xfId="8146"/>
    <cellStyle name="40% - Accent1 3 2 2 2 2 4" xfId="4702"/>
    <cellStyle name="40% - Accent1 3 2 2 2 2 4 2" xfId="8854"/>
    <cellStyle name="40% - Accent1 3 2 2 2 2 5" xfId="6781"/>
    <cellStyle name="40% - Accent1 3 2 2 2 3" xfId="2974"/>
    <cellStyle name="40% - Accent1 3 2 2 2 3 2" xfId="5060"/>
    <cellStyle name="40% - Accent1 3 2 2 2 3 2 2" xfId="9211"/>
    <cellStyle name="40% - Accent1 3 2 2 2 3 3" xfId="7138"/>
    <cellStyle name="40% - Accent1 3 2 2 2 4" xfId="3647"/>
    <cellStyle name="40% - Accent1 3 2 2 2 4 2" xfId="5732"/>
    <cellStyle name="40% - Accent1 3 2 2 2 4 2 2" xfId="9883"/>
    <cellStyle name="40% - Accent1 3 2 2 2 4 3" xfId="7810"/>
    <cellStyle name="40% - Accent1 3 2 2 2 5" xfId="4366"/>
    <cellStyle name="40% - Accent1 3 2 2 2 5 2" xfId="8518"/>
    <cellStyle name="40% - Accent1 3 2 2 2 6" xfId="6445"/>
    <cellStyle name="40% - Accent1 3 2 2 3" xfId="2417"/>
    <cellStyle name="40% - Accent1 3 2 2 3 2" xfId="3142"/>
    <cellStyle name="40% - Accent1 3 2 2 3 2 2" xfId="5228"/>
    <cellStyle name="40% - Accent1 3 2 2 3 2 2 2" xfId="9379"/>
    <cellStyle name="40% - Accent1 3 2 2 3 2 3" xfId="7306"/>
    <cellStyle name="40% - Accent1 3 2 2 3 3" xfId="3815"/>
    <cellStyle name="40% - Accent1 3 2 2 3 3 2" xfId="5900"/>
    <cellStyle name="40% - Accent1 3 2 2 3 3 2 2" xfId="10051"/>
    <cellStyle name="40% - Accent1 3 2 2 3 3 3" xfId="7978"/>
    <cellStyle name="40% - Accent1 3 2 2 3 4" xfId="4534"/>
    <cellStyle name="40% - Accent1 3 2 2 3 4 2" xfId="8686"/>
    <cellStyle name="40% - Accent1 3 2 2 3 5" xfId="6613"/>
    <cellStyle name="40% - Accent1 3 2 2 4" xfId="2806"/>
    <cellStyle name="40% - Accent1 3 2 2 4 2" xfId="4892"/>
    <cellStyle name="40% - Accent1 3 2 2 4 2 2" xfId="9043"/>
    <cellStyle name="40% - Accent1 3 2 2 4 3" xfId="6970"/>
    <cellStyle name="40% - Accent1 3 2 2 5" xfId="3479"/>
    <cellStyle name="40% - Accent1 3 2 2 5 2" xfId="5564"/>
    <cellStyle name="40% - Accent1 3 2 2 5 2 2" xfId="9715"/>
    <cellStyle name="40% - Accent1 3 2 2 5 3" xfId="7642"/>
    <cellStyle name="40% - Accent1 3 2 2 6" xfId="4198"/>
    <cellStyle name="40% - Accent1 3 2 2 6 2" xfId="8350"/>
    <cellStyle name="40% - Accent1 3 2 2 7" xfId="6277"/>
    <cellStyle name="40% - Accent1 3 2 3" xfId="1970"/>
    <cellStyle name="40% - Accent1 3 2 3 2" xfId="2202"/>
    <cellStyle name="40% - Accent1 3 2 3 2 2" xfId="2543"/>
    <cellStyle name="40% - Accent1 3 2 3 2 2 2" xfId="3268"/>
    <cellStyle name="40% - Accent1 3 2 3 2 2 2 2" xfId="5354"/>
    <cellStyle name="40% - Accent1 3 2 3 2 2 2 2 2" xfId="9505"/>
    <cellStyle name="40% - Accent1 3 2 3 2 2 2 3" xfId="7432"/>
    <cellStyle name="40% - Accent1 3 2 3 2 2 3" xfId="3941"/>
    <cellStyle name="40% - Accent1 3 2 3 2 2 3 2" xfId="6026"/>
    <cellStyle name="40% - Accent1 3 2 3 2 2 3 2 2" xfId="10177"/>
    <cellStyle name="40% - Accent1 3 2 3 2 2 3 3" xfId="8104"/>
    <cellStyle name="40% - Accent1 3 2 3 2 2 4" xfId="4660"/>
    <cellStyle name="40% - Accent1 3 2 3 2 2 4 2" xfId="8812"/>
    <cellStyle name="40% - Accent1 3 2 3 2 2 5" xfId="6739"/>
    <cellStyle name="40% - Accent1 3 2 3 2 3" xfId="2932"/>
    <cellStyle name="40% - Accent1 3 2 3 2 3 2" xfId="5018"/>
    <cellStyle name="40% - Accent1 3 2 3 2 3 2 2" xfId="9169"/>
    <cellStyle name="40% - Accent1 3 2 3 2 3 3" xfId="7096"/>
    <cellStyle name="40% - Accent1 3 2 3 2 4" xfId="3605"/>
    <cellStyle name="40% - Accent1 3 2 3 2 4 2" xfId="5690"/>
    <cellStyle name="40% - Accent1 3 2 3 2 4 2 2" xfId="9841"/>
    <cellStyle name="40% - Accent1 3 2 3 2 4 3" xfId="7768"/>
    <cellStyle name="40% - Accent1 3 2 3 2 5" xfId="4324"/>
    <cellStyle name="40% - Accent1 3 2 3 2 5 2" xfId="8476"/>
    <cellStyle name="40% - Accent1 3 2 3 2 6" xfId="6403"/>
    <cellStyle name="40% - Accent1 3 2 3 3" xfId="2374"/>
    <cellStyle name="40% - Accent1 3 2 3 3 2" xfId="3100"/>
    <cellStyle name="40% - Accent1 3 2 3 3 2 2" xfId="5186"/>
    <cellStyle name="40% - Accent1 3 2 3 3 2 2 2" xfId="9337"/>
    <cellStyle name="40% - Accent1 3 2 3 3 2 3" xfId="7264"/>
    <cellStyle name="40% - Accent1 3 2 3 3 3" xfId="3773"/>
    <cellStyle name="40% - Accent1 3 2 3 3 3 2" xfId="5858"/>
    <cellStyle name="40% - Accent1 3 2 3 3 3 2 2" xfId="10009"/>
    <cellStyle name="40% - Accent1 3 2 3 3 3 3" xfId="7936"/>
    <cellStyle name="40% - Accent1 3 2 3 3 4" xfId="4492"/>
    <cellStyle name="40% - Accent1 3 2 3 3 4 2" xfId="8644"/>
    <cellStyle name="40% - Accent1 3 2 3 3 5" xfId="6571"/>
    <cellStyle name="40% - Accent1 3 2 3 4" xfId="2764"/>
    <cellStyle name="40% - Accent1 3 2 3 4 2" xfId="4850"/>
    <cellStyle name="40% - Accent1 3 2 3 4 2 2" xfId="9001"/>
    <cellStyle name="40% - Accent1 3 2 3 4 3" xfId="6928"/>
    <cellStyle name="40% - Accent1 3 2 3 5" xfId="3437"/>
    <cellStyle name="40% - Accent1 3 2 3 5 2" xfId="5522"/>
    <cellStyle name="40% - Accent1 3 2 3 5 2 2" xfId="9673"/>
    <cellStyle name="40% - Accent1 3 2 3 5 3" xfId="7600"/>
    <cellStyle name="40% - Accent1 3 2 3 6" xfId="4156"/>
    <cellStyle name="40% - Accent1 3 2 3 6 2" xfId="8308"/>
    <cellStyle name="40% - Accent1 3 2 3 7" xfId="6235"/>
    <cellStyle name="40% - Accent1 3 2 4" xfId="2113"/>
    <cellStyle name="40% - Accent1 3 2 4 2" xfId="2286"/>
    <cellStyle name="40% - Accent1 3 2 4 2 2" xfId="2627"/>
    <cellStyle name="40% - Accent1 3 2 4 2 2 2" xfId="3352"/>
    <cellStyle name="40% - Accent1 3 2 4 2 2 2 2" xfId="5438"/>
    <cellStyle name="40% - Accent1 3 2 4 2 2 2 2 2" xfId="9589"/>
    <cellStyle name="40% - Accent1 3 2 4 2 2 2 3" xfId="7516"/>
    <cellStyle name="40% - Accent1 3 2 4 2 2 3" xfId="4025"/>
    <cellStyle name="40% - Accent1 3 2 4 2 2 3 2" xfId="6110"/>
    <cellStyle name="40% - Accent1 3 2 4 2 2 3 2 2" xfId="10261"/>
    <cellStyle name="40% - Accent1 3 2 4 2 2 3 3" xfId="8188"/>
    <cellStyle name="40% - Accent1 3 2 4 2 2 4" xfId="4744"/>
    <cellStyle name="40% - Accent1 3 2 4 2 2 4 2" xfId="8896"/>
    <cellStyle name="40% - Accent1 3 2 4 2 2 5" xfId="6823"/>
    <cellStyle name="40% - Accent1 3 2 4 2 3" xfId="3016"/>
    <cellStyle name="40% - Accent1 3 2 4 2 3 2" xfId="5102"/>
    <cellStyle name="40% - Accent1 3 2 4 2 3 2 2" xfId="9253"/>
    <cellStyle name="40% - Accent1 3 2 4 2 3 3" xfId="7180"/>
    <cellStyle name="40% - Accent1 3 2 4 2 4" xfId="3689"/>
    <cellStyle name="40% - Accent1 3 2 4 2 4 2" xfId="5774"/>
    <cellStyle name="40% - Accent1 3 2 4 2 4 2 2" xfId="9925"/>
    <cellStyle name="40% - Accent1 3 2 4 2 4 3" xfId="7852"/>
    <cellStyle name="40% - Accent1 3 2 4 2 5" xfId="4408"/>
    <cellStyle name="40% - Accent1 3 2 4 2 5 2" xfId="8560"/>
    <cellStyle name="40% - Accent1 3 2 4 2 6" xfId="6487"/>
    <cellStyle name="40% - Accent1 3 2 4 3" xfId="2459"/>
    <cellStyle name="40% - Accent1 3 2 4 3 2" xfId="3184"/>
    <cellStyle name="40% - Accent1 3 2 4 3 2 2" xfId="5270"/>
    <cellStyle name="40% - Accent1 3 2 4 3 2 2 2" xfId="9421"/>
    <cellStyle name="40% - Accent1 3 2 4 3 2 3" xfId="7348"/>
    <cellStyle name="40% - Accent1 3 2 4 3 3" xfId="3857"/>
    <cellStyle name="40% - Accent1 3 2 4 3 3 2" xfId="5942"/>
    <cellStyle name="40% - Accent1 3 2 4 3 3 2 2" xfId="10093"/>
    <cellStyle name="40% - Accent1 3 2 4 3 3 3" xfId="8020"/>
    <cellStyle name="40% - Accent1 3 2 4 3 4" xfId="4576"/>
    <cellStyle name="40% - Accent1 3 2 4 3 4 2" xfId="8728"/>
    <cellStyle name="40% - Accent1 3 2 4 3 5" xfId="6655"/>
    <cellStyle name="40% - Accent1 3 2 4 4" xfId="2848"/>
    <cellStyle name="40% - Accent1 3 2 4 4 2" xfId="4934"/>
    <cellStyle name="40% - Accent1 3 2 4 4 2 2" xfId="9085"/>
    <cellStyle name="40% - Accent1 3 2 4 4 3" xfId="7012"/>
    <cellStyle name="40% - Accent1 3 2 4 5" xfId="3521"/>
    <cellStyle name="40% - Accent1 3 2 4 5 2" xfId="5606"/>
    <cellStyle name="40% - Accent1 3 2 4 5 2 2" xfId="9757"/>
    <cellStyle name="40% - Accent1 3 2 4 5 3" xfId="7684"/>
    <cellStyle name="40% - Accent1 3 2 4 6" xfId="4240"/>
    <cellStyle name="40% - Accent1 3 2 4 6 2" xfId="8392"/>
    <cellStyle name="40% - Accent1 3 2 4 7" xfId="6319"/>
    <cellStyle name="40% - Accent1 3 2 5" xfId="2159"/>
    <cellStyle name="40% - Accent1 3 2 5 2" xfId="2501"/>
    <cellStyle name="40% - Accent1 3 2 5 2 2" xfId="3226"/>
    <cellStyle name="40% - Accent1 3 2 5 2 2 2" xfId="5312"/>
    <cellStyle name="40% - Accent1 3 2 5 2 2 2 2" xfId="9463"/>
    <cellStyle name="40% - Accent1 3 2 5 2 2 3" xfId="7390"/>
    <cellStyle name="40% - Accent1 3 2 5 2 3" xfId="3899"/>
    <cellStyle name="40% - Accent1 3 2 5 2 3 2" xfId="5984"/>
    <cellStyle name="40% - Accent1 3 2 5 2 3 2 2" xfId="10135"/>
    <cellStyle name="40% - Accent1 3 2 5 2 3 3" xfId="8062"/>
    <cellStyle name="40% - Accent1 3 2 5 2 4" xfId="4618"/>
    <cellStyle name="40% - Accent1 3 2 5 2 4 2" xfId="8770"/>
    <cellStyle name="40% - Accent1 3 2 5 2 5" xfId="6697"/>
    <cellStyle name="40% - Accent1 3 2 5 3" xfId="2890"/>
    <cellStyle name="40% - Accent1 3 2 5 3 2" xfId="4976"/>
    <cellStyle name="40% - Accent1 3 2 5 3 2 2" xfId="9127"/>
    <cellStyle name="40% - Accent1 3 2 5 3 3" xfId="7054"/>
    <cellStyle name="40% - Accent1 3 2 5 4" xfId="3563"/>
    <cellStyle name="40% - Accent1 3 2 5 4 2" xfId="5648"/>
    <cellStyle name="40% - Accent1 3 2 5 4 2 2" xfId="9799"/>
    <cellStyle name="40% - Accent1 3 2 5 4 3" xfId="7726"/>
    <cellStyle name="40% - Accent1 3 2 5 5" xfId="4282"/>
    <cellStyle name="40% - Accent1 3 2 5 5 2" xfId="8434"/>
    <cellStyle name="40% - Accent1 3 2 5 6" xfId="6361"/>
    <cellStyle name="40% - Accent1 3 2 6" xfId="2332"/>
    <cellStyle name="40% - Accent1 3 2 6 2" xfId="3058"/>
    <cellStyle name="40% - Accent1 3 2 6 2 2" xfId="5144"/>
    <cellStyle name="40% - Accent1 3 2 6 2 2 2" xfId="9295"/>
    <cellStyle name="40% - Accent1 3 2 6 2 3" xfId="7222"/>
    <cellStyle name="40% - Accent1 3 2 6 3" xfId="3731"/>
    <cellStyle name="40% - Accent1 3 2 6 3 2" xfId="5816"/>
    <cellStyle name="40% - Accent1 3 2 6 3 2 2" xfId="9967"/>
    <cellStyle name="40% - Accent1 3 2 6 3 3" xfId="7894"/>
    <cellStyle name="40% - Accent1 3 2 6 4" xfId="4450"/>
    <cellStyle name="40% - Accent1 3 2 6 4 2" xfId="8602"/>
    <cellStyle name="40% - Accent1 3 2 6 5" xfId="6529"/>
    <cellStyle name="40% - Accent1 3 2 7" xfId="2722"/>
    <cellStyle name="40% - Accent1 3 2 7 2" xfId="4808"/>
    <cellStyle name="40% - Accent1 3 2 7 2 2" xfId="8959"/>
    <cellStyle name="40% - Accent1 3 2 7 3" xfId="6886"/>
    <cellStyle name="40% - Accent1 3 2 8" xfId="3395"/>
    <cellStyle name="40% - Accent1 3 2 8 2" xfId="5480"/>
    <cellStyle name="40% - Accent1 3 2 8 2 2" xfId="9631"/>
    <cellStyle name="40% - Accent1 3 2 8 3" xfId="7558"/>
    <cellStyle name="40% - Accent1 3 2 9" xfId="4112"/>
    <cellStyle name="40% - Accent1 3 2 9 2" xfId="8266"/>
    <cellStyle name="40% - Accent1 3 3" xfId="1995"/>
    <cellStyle name="40% - Accent1 3 3 2" xfId="2223"/>
    <cellStyle name="40% - Accent1 3 3 2 2" xfId="2564"/>
    <cellStyle name="40% - Accent1 3 3 2 2 2" xfId="3289"/>
    <cellStyle name="40% - Accent1 3 3 2 2 2 2" xfId="5375"/>
    <cellStyle name="40% - Accent1 3 3 2 2 2 2 2" xfId="9526"/>
    <cellStyle name="40% - Accent1 3 3 2 2 2 3" xfId="7453"/>
    <cellStyle name="40% - Accent1 3 3 2 2 3" xfId="3962"/>
    <cellStyle name="40% - Accent1 3 3 2 2 3 2" xfId="6047"/>
    <cellStyle name="40% - Accent1 3 3 2 2 3 2 2" xfId="10198"/>
    <cellStyle name="40% - Accent1 3 3 2 2 3 3" xfId="8125"/>
    <cellStyle name="40% - Accent1 3 3 2 2 4" xfId="4681"/>
    <cellStyle name="40% - Accent1 3 3 2 2 4 2" xfId="8833"/>
    <cellStyle name="40% - Accent1 3 3 2 2 5" xfId="6760"/>
    <cellStyle name="40% - Accent1 3 3 2 3" xfId="2953"/>
    <cellStyle name="40% - Accent1 3 3 2 3 2" xfId="5039"/>
    <cellStyle name="40% - Accent1 3 3 2 3 2 2" xfId="9190"/>
    <cellStyle name="40% - Accent1 3 3 2 3 3" xfId="7117"/>
    <cellStyle name="40% - Accent1 3 3 2 4" xfId="3626"/>
    <cellStyle name="40% - Accent1 3 3 2 4 2" xfId="5711"/>
    <cellStyle name="40% - Accent1 3 3 2 4 2 2" xfId="9862"/>
    <cellStyle name="40% - Accent1 3 3 2 4 3" xfId="7789"/>
    <cellStyle name="40% - Accent1 3 3 2 5" xfId="4345"/>
    <cellStyle name="40% - Accent1 3 3 2 5 2" xfId="8497"/>
    <cellStyle name="40% - Accent1 3 3 2 6" xfId="6424"/>
    <cellStyle name="40% - Accent1 3 3 3" xfId="2395"/>
    <cellStyle name="40% - Accent1 3 3 3 2" xfId="3121"/>
    <cellStyle name="40% - Accent1 3 3 3 2 2" xfId="5207"/>
    <cellStyle name="40% - Accent1 3 3 3 2 2 2" xfId="9358"/>
    <cellStyle name="40% - Accent1 3 3 3 2 3" xfId="7285"/>
    <cellStyle name="40% - Accent1 3 3 3 3" xfId="3794"/>
    <cellStyle name="40% - Accent1 3 3 3 3 2" xfId="5879"/>
    <cellStyle name="40% - Accent1 3 3 3 3 2 2" xfId="10030"/>
    <cellStyle name="40% - Accent1 3 3 3 3 3" xfId="7957"/>
    <cellStyle name="40% - Accent1 3 3 3 4" xfId="4513"/>
    <cellStyle name="40% - Accent1 3 3 3 4 2" xfId="8665"/>
    <cellStyle name="40% - Accent1 3 3 3 5" xfId="6592"/>
    <cellStyle name="40% - Accent1 3 3 4" xfId="2785"/>
    <cellStyle name="40% - Accent1 3 3 4 2" xfId="4871"/>
    <cellStyle name="40% - Accent1 3 3 4 2 2" xfId="9022"/>
    <cellStyle name="40% - Accent1 3 3 4 3" xfId="6949"/>
    <cellStyle name="40% - Accent1 3 3 5" xfId="3458"/>
    <cellStyle name="40% - Accent1 3 3 5 2" xfId="5543"/>
    <cellStyle name="40% - Accent1 3 3 5 2 2" xfId="9694"/>
    <cellStyle name="40% - Accent1 3 3 5 3" xfId="7621"/>
    <cellStyle name="40% - Accent1 3 3 6" xfId="4177"/>
    <cellStyle name="40% - Accent1 3 3 6 2" xfId="8329"/>
    <cellStyle name="40% - Accent1 3 3 7" xfId="6256"/>
    <cellStyle name="40% - Accent1 3 4" xfId="1894"/>
    <cellStyle name="40% - Accent1 3 4 2" xfId="2180"/>
    <cellStyle name="40% - Accent1 3 4 2 2" xfId="2522"/>
    <cellStyle name="40% - Accent1 3 4 2 2 2" xfId="3247"/>
    <cellStyle name="40% - Accent1 3 4 2 2 2 2" xfId="5333"/>
    <cellStyle name="40% - Accent1 3 4 2 2 2 2 2" xfId="9484"/>
    <cellStyle name="40% - Accent1 3 4 2 2 2 3" xfId="7411"/>
    <cellStyle name="40% - Accent1 3 4 2 2 3" xfId="3920"/>
    <cellStyle name="40% - Accent1 3 4 2 2 3 2" xfId="6005"/>
    <cellStyle name="40% - Accent1 3 4 2 2 3 2 2" xfId="10156"/>
    <cellStyle name="40% - Accent1 3 4 2 2 3 3" xfId="8083"/>
    <cellStyle name="40% - Accent1 3 4 2 2 4" xfId="4639"/>
    <cellStyle name="40% - Accent1 3 4 2 2 4 2" xfId="8791"/>
    <cellStyle name="40% - Accent1 3 4 2 2 5" xfId="6718"/>
    <cellStyle name="40% - Accent1 3 4 2 3" xfId="2911"/>
    <cellStyle name="40% - Accent1 3 4 2 3 2" xfId="4997"/>
    <cellStyle name="40% - Accent1 3 4 2 3 2 2" xfId="9148"/>
    <cellStyle name="40% - Accent1 3 4 2 3 3" xfId="7075"/>
    <cellStyle name="40% - Accent1 3 4 2 4" xfId="3584"/>
    <cellStyle name="40% - Accent1 3 4 2 4 2" xfId="5669"/>
    <cellStyle name="40% - Accent1 3 4 2 4 2 2" xfId="9820"/>
    <cellStyle name="40% - Accent1 3 4 2 4 3" xfId="7747"/>
    <cellStyle name="40% - Accent1 3 4 2 5" xfId="4303"/>
    <cellStyle name="40% - Accent1 3 4 2 5 2" xfId="8455"/>
    <cellStyle name="40% - Accent1 3 4 2 6" xfId="6382"/>
    <cellStyle name="40% - Accent1 3 4 3" xfId="2353"/>
    <cellStyle name="40% - Accent1 3 4 3 2" xfId="3079"/>
    <cellStyle name="40% - Accent1 3 4 3 2 2" xfId="5165"/>
    <cellStyle name="40% - Accent1 3 4 3 2 2 2" xfId="9316"/>
    <cellStyle name="40% - Accent1 3 4 3 2 3" xfId="7243"/>
    <cellStyle name="40% - Accent1 3 4 3 3" xfId="3752"/>
    <cellStyle name="40% - Accent1 3 4 3 3 2" xfId="5837"/>
    <cellStyle name="40% - Accent1 3 4 3 3 2 2" xfId="9988"/>
    <cellStyle name="40% - Accent1 3 4 3 3 3" xfId="7915"/>
    <cellStyle name="40% - Accent1 3 4 3 4" xfId="4471"/>
    <cellStyle name="40% - Accent1 3 4 3 4 2" xfId="8623"/>
    <cellStyle name="40% - Accent1 3 4 3 5" xfId="6550"/>
    <cellStyle name="40% - Accent1 3 4 4" xfId="2743"/>
    <cellStyle name="40% - Accent1 3 4 4 2" xfId="4829"/>
    <cellStyle name="40% - Accent1 3 4 4 2 2" xfId="8980"/>
    <cellStyle name="40% - Accent1 3 4 4 3" xfId="6907"/>
    <cellStyle name="40% - Accent1 3 4 5" xfId="3416"/>
    <cellStyle name="40% - Accent1 3 4 5 2" xfId="5501"/>
    <cellStyle name="40% - Accent1 3 4 5 2 2" xfId="9652"/>
    <cellStyle name="40% - Accent1 3 4 5 3" xfId="7579"/>
    <cellStyle name="40% - Accent1 3 4 6" xfId="4135"/>
    <cellStyle name="40% - Accent1 3 4 6 2" xfId="8287"/>
    <cellStyle name="40% - Accent1 3 4 7" xfId="6214"/>
    <cellStyle name="40% - Accent1 3 5" xfId="2092"/>
    <cellStyle name="40% - Accent1 3 5 2" xfId="2265"/>
    <cellStyle name="40% - Accent1 3 5 2 2" xfId="2606"/>
    <cellStyle name="40% - Accent1 3 5 2 2 2" xfId="3331"/>
    <cellStyle name="40% - Accent1 3 5 2 2 2 2" xfId="5417"/>
    <cellStyle name="40% - Accent1 3 5 2 2 2 2 2" xfId="9568"/>
    <cellStyle name="40% - Accent1 3 5 2 2 2 3" xfId="7495"/>
    <cellStyle name="40% - Accent1 3 5 2 2 3" xfId="4004"/>
    <cellStyle name="40% - Accent1 3 5 2 2 3 2" xfId="6089"/>
    <cellStyle name="40% - Accent1 3 5 2 2 3 2 2" xfId="10240"/>
    <cellStyle name="40% - Accent1 3 5 2 2 3 3" xfId="8167"/>
    <cellStyle name="40% - Accent1 3 5 2 2 4" xfId="4723"/>
    <cellStyle name="40% - Accent1 3 5 2 2 4 2" xfId="8875"/>
    <cellStyle name="40% - Accent1 3 5 2 2 5" xfId="6802"/>
    <cellStyle name="40% - Accent1 3 5 2 3" xfId="2995"/>
    <cellStyle name="40% - Accent1 3 5 2 3 2" xfId="5081"/>
    <cellStyle name="40% - Accent1 3 5 2 3 2 2" xfId="9232"/>
    <cellStyle name="40% - Accent1 3 5 2 3 3" xfId="7159"/>
    <cellStyle name="40% - Accent1 3 5 2 4" xfId="3668"/>
    <cellStyle name="40% - Accent1 3 5 2 4 2" xfId="5753"/>
    <cellStyle name="40% - Accent1 3 5 2 4 2 2" xfId="9904"/>
    <cellStyle name="40% - Accent1 3 5 2 4 3" xfId="7831"/>
    <cellStyle name="40% - Accent1 3 5 2 5" xfId="4387"/>
    <cellStyle name="40% - Accent1 3 5 2 5 2" xfId="8539"/>
    <cellStyle name="40% - Accent1 3 5 2 6" xfId="6466"/>
    <cellStyle name="40% - Accent1 3 5 3" xfId="2438"/>
    <cellStyle name="40% - Accent1 3 5 3 2" xfId="3163"/>
    <cellStyle name="40% - Accent1 3 5 3 2 2" xfId="5249"/>
    <cellStyle name="40% - Accent1 3 5 3 2 2 2" xfId="9400"/>
    <cellStyle name="40% - Accent1 3 5 3 2 3" xfId="7327"/>
    <cellStyle name="40% - Accent1 3 5 3 3" xfId="3836"/>
    <cellStyle name="40% - Accent1 3 5 3 3 2" xfId="5921"/>
    <cellStyle name="40% - Accent1 3 5 3 3 2 2" xfId="10072"/>
    <cellStyle name="40% - Accent1 3 5 3 3 3" xfId="7999"/>
    <cellStyle name="40% - Accent1 3 5 3 4" xfId="4555"/>
    <cellStyle name="40% - Accent1 3 5 3 4 2" xfId="8707"/>
    <cellStyle name="40% - Accent1 3 5 3 5" xfId="6634"/>
    <cellStyle name="40% - Accent1 3 5 4" xfId="2827"/>
    <cellStyle name="40% - Accent1 3 5 4 2" xfId="4913"/>
    <cellStyle name="40% - Accent1 3 5 4 2 2" xfId="9064"/>
    <cellStyle name="40% - Accent1 3 5 4 3" xfId="6991"/>
    <cellStyle name="40% - Accent1 3 5 5" xfId="3500"/>
    <cellStyle name="40% - Accent1 3 5 5 2" xfId="5585"/>
    <cellStyle name="40% - Accent1 3 5 5 2 2" xfId="9736"/>
    <cellStyle name="40% - Accent1 3 5 5 3" xfId="7663"/>
    <cellStyle name="40% - Accent1 3 5 6" xfId="4219"/>
    <cellStyle name="40% - Accent1 3 5 6 2" xfId="8371"/>
    <cellStyle name="40% - Accent1 3 5 7" xfId="6298"/>
    <cellStyle name="40% - Accent1 3 6" xfId="2135"/>
    <cellStyle name="40% - Accent1 3 6 2" xfId="2480"/>
    <cellStyle name="40% - Accent1 3 6 2 2" xfId="3205"/>
    <cellStyle name="40% - Accent1 3 6 2 2 2" xfId="5291"/>
    <cellStyle name="40% - Accent1 3 6 2 2 2 2" xfId="9442"/>
    <cellStyle name="40% - Accent1 3 6 2 2 3" xfId="7369"/>
    <cellStyle name="40% - Accent1 3 6 2 3" xfId="3878"/>
    <cellStyle name="40% - Accent1 3 6 2 3 2" xfId="5963"/>
    <cellStyle name="40% - Accent1 3 6 2 3 2 2" xfId="10114"/>
    <cellStyle name="40% - Accent1 3 6 2 3 3" xfId="8041"/>
    <cellStyle name="40% - Accent1 3 6 2 4" xfId="4597"/>
    <cellStyle name="40% - Accent1 3 6 2 4 2" xfId="8749"/>
    <cellStyle name="40% - Accent1 3 6 2 5" xfId="6676"/>
    <cellStyle name="40% - Accent1 3 6 3" xfId="2869"/>
    <cellStyle name="40% - Accent1 3 6 3 2" xfId="4955"/>
    <cellStyle name="40% - Accent1 3 6 3 2 2" xfId="9106"/>
    <cellStyle name="40% - Accent1 3 6 3 3" xfId="7033"/>
    <cellStyle name="40% - Accent1 3 6 4" xfId="3542"/>
    <cellStyle name="40% - Accent1 3 6 4 2" xfId="5627"/>
    <cellStyle name="40% - Accent1 3 6 4 2 2" xfId="9778"/>
    <cellStyle name="40% - Accent1 3 6 4 3" xfId="7705"/>
    <cellStyle name="40% - Accent1 3 6 5" xfId="4261"/>
    <cellStyle name="40% - Accent1 3 6 5 2" xfId="8413"/>
    <cellStyle name="40% - Accent1 3 6 6" xfId="6340"/>
    <cellStyle name="40% - Accent1 3 7" xfId="2308"/>
    <cellStyle name="40% - Accent1 3 7 2" xfId="3037"/>
    <cellStyle name="40% - Accent1 3 7 2 2" xfId="5123"/>
    <cellStyle name="40% - Accent1 3 7 2 2 2" xfId="9274"/>
    <cellStyle name="40% - Accent1 3 7 2 3" xfId="7201"/>
    <cellStyle name="40% - Accent1 3 7 3" xfId="3710"/>
    <cellStyle name="40% - Accent1 3 7 3 2" xfId="5795"/>
    <cellStyle name="40% - Accent1 3 7 3 2 2" xfId="9946"/>
    <cellStyle name="40% - Accent1 3 7 3 3" xfId="7873"/>
    <cellStyle name="40% - Accent1 3 7 4" xfId="4429"/>
    <cellStyle name="40% - Accent1 3 7 4 2" xfId="8581"/>
    <cellStyle name="40% - Accent1 3 7 5" xfId="6508"/>
    <cellStyle name="40% - Accent1 3 8" xfId="2699"/>
    <cellStyle name="40% - Accent1 3 8 2" xfId="4787"/>
    <cellStyle name="40% - Accent1 3 8 2 2" xfId="8938"/>
    <cellStyle name="40% - Accent1 3 8 3" xfId="6865"/>
    <cellStyle name="40% - Accent1 3 9" xfId="3374"/>
    <cellStyle name="40% - Accent1 3 9 2" xfId="5459"/>
    <cellStyle name="40% - Accent1 3 9 2 2" xfId="9610"/>
    <cellStyle name="40% - Accent1 3 9 3" xfId="7537"/>
    <cellStyle name="40% - Accent1 4" xfId="4046"/>
    <cellStyle name="40% - Accent1 4 2" xfId="6131"/>
    <cellStyle name="40% - Accent1 4 2 2" xfId="10282"/>
    <cellStyle name="40% - Accent1 4 3" xfId="8209"/>
    <cellStyle name="40% - Accent1 5" xfId="4760"/>
    <cellStyle name="40% - Accent1 5 2" xfId="8912"/>
    <cellStyle name="40% - Accent1 6" xfId="6839"/>
    <cellStyle name="40% - Accent2" xfId="2661" builtinId="35" customBuiltin="1"/>
    <cellStyle name="40% - Accent2 2" xfId="246"/>
    <cellStyle name="40% - Accent2 2 2" xfId="247"/>
    <cellStyle name="40% - Accent2 3" xfId="248"/>
    <cellStyle name="40% - Accent2 3 10" xfId="4088"/>
    <cellStyle name="40% - Accent2 3 10 2" xfId="8246"/>
    <cellStyle name="40% - Accent2 3 11" xfId="6173"/>
    <cellStyle name="40% - Accent2 3 2" xfId="1333"/>
    <cellStyle name="40% - Accent2 3 2 10" xfId="6194"/>
    <cellStyle name="40% - Accent2 3 2 2" xfId="2071"/>
    <cellStyle name="40% - Accent2 3 2 2 2" xfId="2245"/>
    <cellStyle name="40% - Accent2 3 2 2 2 2" xfId="2586"/>
    <cellStyle name="40% - Accent2 3 2 2 2 2 2" xfId="3311"/>
    <cellStyle name="40% - Accent2 3 2 2 2 2 2 2" xfId="5397"/>
    <cellStyle name="40% - Accent2 3 2 2 2 2 2 2 2" xfId="9548"/>
    <cellStyle name="40% - Accent2 3 2 2 2 2 2 3" xfId="7475"/>
    <cellStyle name="40% - Accent2 3 2 2 2 2 3" xfId="3984"/>
    <cellStyle name="40% - Accent2 3 2 2 2 2 3 2" xfId="6069"/>
    <cellStyle name="40% - Accent2 3 2 2 2 2 3 2 2" xfId="10220"/>
    <cellStyle name="40% - Accent2 3 2 2 2 2 3 3" xfId="8147"/>
    <cellStyle name="40% - Accent2 3 2 2 2 2 4" xfId="4703"/>
    <cellStyle name="40% - Accent2 3 2 2 2 2 4 2" xfId="8855"/>
    <cellStyle name="40% - Accent2 3 2 2 2 2 5" xfId="6782"/>
    <cellStyle name="40% - Accent2 3 2 2 2 3" xfId="2975"/>
    <cellStyle name="40% - Accent2 3 2 2 2 3 2" xfId="5061"/>
    <cellStyle name="40% - Accent2 3 2 2 2 3 2 2" xfId="9212"/>
    <cellStyle name="40% - Accent2 3 2 2 2 3 3" xfId="7139"/>
    <cellStyle name="40% - Accent2 3 2 2 2 4" xfId="3648"/>
    <cellStyle name="40% - Accent2 3 2 2 2 4 2" xfId="5733"/>
    <cellStyle name="40% - Accent2 3 2 2 2 4 2 2" xfId="9884"/>
    <cellStyle name="40% - Accent2 3 2 2 2 4 3" xfId="7811"/>
    <cellStyle name="40% - Accent2 3 2 2 2 5" xfId="4367"/>
    <cellStyle name="40% - Accent2 3 2 2 2 5 2" xfId="8519"/>
    <cellStyle name="40% - Accent2 3 2 2 2 6" xfId="6446"/>
    <cellStyle name="40% - Accent2 3 2 2 3" xfId="2418"/>
    <cellStyle name="40% - Accent2 3 2 2 3 2" xfId="3143"/>
    <cellStyle name="40% - Accent2 3 2 2 3 2 2" xfId="5229"/>
    <cellStyle name="40% - Accent2 3 2 2 3 2 2 2" xfId="9380"/>
    <cellStyle name="40% - Accent2 3 2 2 3 2 3" xfId="7307"/>
    <cellStyle name="40% - Accent2 3 2 2 3 3" xfId="3816"/>
    <cellStyle name="40% - Accent2 3 2 2 3 3 2" xfId="5901"/>
    <cellStyle name="40% - Accent2 3 2 2 3 3 2 2" xfId="10052"/>
    <cellStyle name="40% - Accent2 3 2 2 3 3 3" xfId="7979"/>
    <cellStyle name="40% - Accent2 3 2 2 3 4" xfId="4535"/>
    <cellStyle name="40% - Accent2 3 2 2 3 4 2" xfId="8687"/>
    <cellStyle name="40% - Accent2 3 2 2 3 5" xfId="6614"/>
    <cellStyle name="40% - Accent2 3 2 2 4" xfId="2807"/>
    <cellStyle name="40% - Accent2 3 2 2 4 2" xfId="4893"/>
    <cellStyle name="40% - Accent2 3 2 2 4 2 2" xfId="9044"/>
    <cellStyle name="40% - Accent2 3 2 2 4 3" xfId="6971"/>
    <cellStyle name="40% - Accent2 3 2 2 5" xfId="3480"/>
    <cellStyle name="40% - Accent2 3 2 2 5 2" xfId="5565"/>
    <cellStyle name="40% - Accent2 3 2 2 5 2 2" xfId="9716"/>
    <cellStyle name="40% - Accent2 3 2 2 5 3" xfId="7643"/>
    <cellStyle name="40% - Accent2 3 2 2 6" xfId="4199"/>
    <cellStyle name="40% - Accent2 3 2 2 6 2" xfId="8351"/>
    <cellStyle name="40% - Accent2 3 2 2 7" xfId="6278"/>
    <cellStyle name="40% - Accent2 3 2 3" xfId="1971"/>
    <cellStyle name="40% - Accent2 3 2 3 2" xfId="2203"/>
    <cellStyle name="40% - Accent2 3 2 3 2 2" xfId="2544"/>
    <cellStyle name="40% - Accent2 3 2 3 2 2 2" xfId="3269"/>
    <cellStyle name="40% - Accent2 3 2 3 2 2 2 2" xfId="5355"/>
    <cellStyle name="40% - Accent2 3 2 3 2 2 2 2 2" xfId="9506"/>
    <cellStyle name="40% - Accent2 3 2 3 2 2 2 3" xfId="7433"/>
    <cellStyle name="40% - Accent2 3 2 3 2 2 3" xfId="3942"/>
    <cellStyle name="40% - Accent2 3 2 3 2 2 3 2" xfId="6027"/>
    <cellStyle name="40% - Accent2 3 2 3 2 2 3 2 2" xfId="10178"/>
    <cellStyle name="40% - Accent2 3 2 3 2 2 3 3" xfId="8105"/>
    <cellStyle name="40% - Accent2 3 2 3 2 2 4" xfId="4661"/>
    <cellStyle name="40% - Accent2 3 2 3 2 2 4 2" xfId="8813"/>
    <cellStyle name="40% - Accent2 3 2 3 2 2 5" xfId="6740"/>
    <cellStyle name="40% - Accent2 3 2 3 2 3" xfId="2933"/>
    <cellStyle name="40% - Accent2 3 2 3 2 3 2" xfId="5019"/>
    <cellStyle name="40% - Accent2 3 2 3 2 3 2 2" xfId="9170"/>
    <cellStyle name="40% - Accent2 3 2 3 2 3 3" xfId="7097"/>
    <cellStyle name="40% - Accent2 3 2 3 2 4" xfId="3606"/>
    <cellStyle name="40% - Accent2 3 2 3 2 4 2" xfId="5691"/>
    <cellStyle name="40% - Accent2 3 2 3 2 4 2 2" xfId="9842"/>
    <cellStyle name="40% - Accent2 3 2 3 2 4 3" xfId="7769"/>
    <cellStyle name="40% - Accent2 3 2 3 2 5" xfId="4325"/>
    <cellStyle name="40% - Accent2 3 2 3 2 5 2" xfId="8477"/>
    <cellStyle name="40% - Accent2 3 2 3 2 6" xfId="6404"/>
    <cellStyle name="40% - Accent2 3 2 3 3" xfId="2375"/>
    <cellStyle name="40% - Accent2 3 2 3 3 2" xfId="3101"/>
    <cellStyle name="40% - Accent2 3 2 3 3 2 2" xfId="5187"/>
    <cellStyle name="40% - Accent2 3 2 3 3 2 2 2" xfId="9338"/>
    <cellStyle name="40% - Accent2 3 2 3 3 2 3" xfId="7265"/>
    <cellStyle name="40% - Accent2 3 2 3 3 3" xfId="3774"/>
    <cellStyle name="40% - Accent2 3 2 3 3 3 2" xfId="5859"/>
    <cellStyle name="40% - Accent2 3 2 3 3 3 2 2" xfId="10010"/>
    <cellStyle name="40% - Accent2 3 2 3 3 3 3" xfId="7937"/>
    <cellStyle name="40% - Accent2 3 2 3 3 4" xfId="4493"/>
    <cellStyle name="40% - Accent2 3 2 3 3 4 2" xfId="8645"/>
    <cellStyle name="40% - Accent2 3 2 3 3 5" xfId="6572"/>
    <cellStyle name="40% - Accent2 3 2 3 4" xfId="2765"/>
    <cellStyle name="40% - Accent2 3 2 3 4 2" xfId="4851"/>
    <cellStyle name="40% - Accent2 3 2 3 4 2 2" xfId="9002"/>
    <cellStyle name="40% - Accent2 3 2 3 4 3" xfId="6929"/>
    <cellStyle name="40% - Accent2 3 2 3 5" xfId="3438"/>
    <cellStyle name="40% - Accent2 3 2 3 5 2" xfId="5523"/>
    <cellStyle name="40% - Accent2 3 2 3 5 2 2" xfId="9674"/>
    <cellStyle name="40% - Accent2 3 2 3 5 3" xfId="7601"/>
    <cellStyle name="40% - Accent2 3 2 3 6" xfId="4157"/>
    <cellStyle name="40% - Accent2 3 2 3 6 2" xfId="8309"/>
    <cellStyle name="40% - Accent2 3 2 3 7" xfId="6236"/>
    <cellStyle name="40% - Accent2 3 2 4" xfId="2114"/>
    <cellStyle name="40% - Accent2 3 2 4 2" xfId="2287"/>
    <cellStyle name="40% - Accent2 3 2 4 2 2" xfId="2628"/>
    <cellStyle name="40% - Accent2 3 2 4 2 2 2" xfId="3353"/>
    <cellStyle name="40% - Accent2 3 2 4 2 2 2 2" xfId="5439"/>
    <cellStyle name="40% - Accent2 3 2 4 2 2 2 2 2" xfId="9590"/>
    <cellStyle name="40% - Accent2 3 2 4 2 2 2 3" xfId="7517"/>
    <cellStyle name="40% - Accent2 3 2 4 2 2 3" xfId="4026"/>
    <cellStyle name="40% - Accent2 3 2 4 2 2 3 2" xfId="6111"/>
    <cellStyle name="40% - Accent2 3 2 4 2 2 3 2 2" xfId="10262"/>
    <cellStyle name="40% - Accent2 3 2 4 2 2 3 3" xfId="8189"/>
    <cellStyle name="40% - Accent2 3 2 4 2 2 4" xfId="4745"/>
    <cellStyle name="40% - Accent2 3 2 4 2 2 4 2" xfId="8897"/>
    <cellStyle name="40% - Accent2 3 2 4 2 2 5" xfId="6824"/>
    <cellStyle name="40% - Accent2 3 2 4 2 3" xfId="3017"/>
    <cellStyle name="40% - Accent2 3 2 4 2 3 2" xfId="5103"/>
    <cellStyle name="40% - Accent2 3 2 4 2 3 2 2" xfId="9254"/>
    <cellStyle name="40% - Accent2 3 2 4 2 3 3" xfId="7181"/>
    <cellStyle name="40% - Accent2 3 2 4 2 4" xfId="3690"/>
    <cellStyle name="40% - Accent2 3 2 4 2 4 2" xfId="5775"/>
    <cellStyle name="40% - Accent2 3 2 4 2 4 2 2" xfId="9926"/>
    <cellStyle name="40% - Accent2 3 2 4 2 4 3" xfId="7853"/>
    <cellStyle name="40% - Accent2 3 2 4 2 5" xfId="4409"/>
    <cellStyle name="40% - Accent2 3 2 4 2 5 2" xfId="8561"/>
    <cellStyle name="40% - Accent2 3 2 4 2 6" xfId="6488"/>
    <cellStyle name="40% - Accent2 3 2 4 3" xfId="2460"/>
    <cellStyle name="40% - Accent2 3 2 4 3 2" xfId="3185"/>
    <cellStyle name="40% - Accent2 3 2 4 3 2 2" xfId="5271"/>
    <cellStyle name="40% - Accent2 3 2 4 3 2 2 2" xfId="9422"/>
    <cellStyle name="40% - Accent2 3 2 4 3 2 3" xfId="7349"/>
    <cellStyle name="40% - Accent2 3 2 4 3 3" xfId="3858"/>
    <cellStyle name="40% - Accent2 3 2 4 3 3 2" xfId="5943"/>
    <cellStyle name="40% - Accent2 3 2 4 3 3 2 2" xfId="10094"/>
    <cellStyle name="40% - Accent2 3 2 4 3 3 3" xfId="8021"/>
    <cellStyle name="40% - Accent2 3 2 4 3 4" xfId="4577"/>
    <cellStyle name="40% - Accent2 3 2 4 3 4 2" xfId="8729"/>
    <cellStyle name="40% - Accent2 3 2 4 3 5" xfId="6656"/>
    <cellStyle name="40% - Accent2 3 2 4 4" xfId="2849"/>
    <cellStyle name="40% - Accent2 3 2 4 4 2" xfId="4935"/>
    <cellStyle name="40% - Accent2 3 2 4 4 2 2" xfId="9086"/>
    <cellStyle name="40% - Accent2 3 2 4 4 3" xfId="7013"/>
    <cellStyle name="40% - Accent2 3 2 4 5" xfId="3522"/>
    <cellStyle name="40% - Accent2 3 2 4 5 2" xfId="5607"/>
    <cellStyle name="40% - Accent2 3 2 4 5 2 2" xfId="9758"/>
    <cellStyle name="40% - Accent2 3 2 4 5 3" xfId="7685"/>
    <cellStyle name="40% - Accent2 3 2 4 6" xfId="4241"/>
    <cellStyle name="40% - Accent2 3 2 4 6 2" xfId="8393"/>
    <cellStyle name="40% - Accent2 3 2 4 7" xfId="6320"/>
    <cellStyle name="40% - Accent2 3 2 5" xfId="2160"/>
    <cellStyle name="40% - Accent2 3 2 5 2" xfId="2502"/>
    <cellStyle name="40% - Accent2 3 2 5 2 2" xfId="3227"/>
    <cellStyle name="40% - Accent2 3 2 5 2 2 2" xfId="5313"/>
    <cellStyle name="40% - Accent2 3 2 5 2 2 2 2" xfId="9464"/>
    <cellStyle name="40% - Accent2 3 2 5 2 2 3" xfId="7391"/>
    <cellStyle name="40% - Accent2 3 2 5 2 3" xfId="3900"/>
    <cellStyle name="40% - Accent2 3 2 5 2 3 2" xfId="5985"/>
    <cellStyle name="40% - Accent2 3 2 5 2 3 2 2" xfId="10136"/>
    <cellStyle name="40% - Accent2 3 2 5 2 3 3" xfId="8063"/>
    <cellStyle name="40% - Accent2 3 2 5 2 4" xfId="4619"/>
    <cellStyle name="40% - Accent2 3 2 5 2 4 2" xfId="8771"/>
    <cellStyle name="40% - Accent2 3 2 5 2 5" xfId="6698"/>
    <cellStyle name="40% - Accent2 3 2 5 3" xfId="2891"/>
    <cellStyle name="40% - Accent2 3 2 5 3 2" xfId="4977"/>
    <cellStyle name="40% - Accent2 3 2 5 3 2 2" xfId="9128"/>
    <cellStyle name="40% - Accent2 3 2 5 3 3" xfId="7055"/>
    <cellStyle name="40% - Accent2 3 2 5 4" xfId="3564"/>
    <cellStyle name="40% - Accent2 3 2 5 4 2" xfId="5649"/>
    <cellStyle name="40% - Accent2 3 2 5 4 2 2" xfId="9800"/>
    <cellStyle name="40% - Accent2 3 2 5 4 3" xfId="7727"/>
    <cellStyle name="40% - Accent2 3 2 5 5" xfId="4283"/>
    <cellStyle name="40% - Accent2 3 2 5 5 2" xfId="8435"/>
    <cellStyle name="40% - Accent2 3 2 5 6" xfId="6362"/>
    <cellStyle name="40% - Accent2 3 2 6" xfId="2333"/>
    <cellStyle name="40% - Accent2 3 2 6 2" xfId="3059"/>
    <cellStyle name="40% - Accent2 3 2 6 2 2" xfId="5145"/>
    <cellStyle name="40% - Accent2 3 2 6 2 2 2" xfId="9296"/>
    <cellStyle name="40% - Accent2 3 2 6 2 3" xfId="7223"/>
    <cellStyle name="40% - Accent2 3 2 6 3" xfId="3732"/>
    <cellStyle name="40% - Accent2 3 2 6 3 2" xfId="5817"/>
    <cellStyle name="40% - Accent2 3 2 6 3 2 2" xfId="9968"/>
    <cellStyle name="40% - Accent2 3 2 6 3 3" xfId="7895"/>
    <cellStyle name="40% - Accent2 3 2 6 4" xfId="4451"/>
    <cellStyle name="40% - Accent2 3 2 6 4 2" xfId="8603"/>
    <cellStyle name="40% - Accent2 3 2 6 5" xfId="6530"/>
    <cellStyle name="40% - Accent2 3 2 7" xfId="2723"/>
    <cellStyle name="40% - Accent2 3 2 7 2" xfId="4809"/>
    <cellStyle name="40% - Accent2 3 2 7 2 2" xfId="8960"/>
    <cellStyle name="40% - Accent2 3 2 7 3" xfId="6887"/>
    <cellStyle name="40% - Accent2 3 2 8" xfId="3396"/>
    <cellStyle name="40% - Accent2 3 2 8 2" xfId="5481"/>
    <cellStyle name="40% - Accent2 3 2 8 2 2" xfId="9632"/>
    <cellStyle name="40% - Accent2 3 2 8 3" xfId="7559"/>
    <cellStyle name="40% - Accent2 3 2 9" xfId="4113"/>
    <cellStyle name="40% - Accent2 3 2 9 2" xfId="8267"/>
    <cellStyle name="40% - Accent2 3 3" xfId="1996"/>
    <cellStyle name="40% - Accent2 3 3 2" xfId="2224"/>
    <cellStyle name="40% - Accent2 3 3 2 2" xfId="2565"/>
    <cellStyle name="40% - Accent2 3 3 2 2 2" xfId="3290"/>
    <cellStyle name="40% - Accent2 3 3 2 2 2 2" xfId="5376"/>
    <cellStyle name="40% - Accent2 3 3 2 2 2 2 2" xfId="9527"/>
    <cellStyle name="40% - Accent2 3 3 2 2 2 3" xfId="7454"/>
    <cellStyle name="40% - Accent2 3 3 2 2 3" xfId="3963"/>
    <cellStyle name="40% - Accent2 3 3 2 2 3 2" xfId="6048"/>
    <cellStyle name="40% - Accent2 3 3 2 2 3 2 2" xfId="10199"/>
    <cellStyle name="40% - Accent2 3 3 2 2 3 3" xfId="8126"/>
    <cellStyle name="40% - Accent2 3 3 2 2 4" xfId="4682"/>
    <cellStyle name="40% - Accent2 3 3 2 2 4 2" xfId="8834"/>
    <cellStyle name="40% - Accent2 3 3 2 2 5" xfId="6761"/>
    <cellStyle name="40% - Accent2 3 3 2 3" xfId="2954"/>
    <cellStyle name="40% - Accent2 3 3 2 3 2" xfId="5040"/>
    <cellStyle name="40% - Accent2 3 3 2 3 2 2" xfId="9191"/>
    <cellStyle name="40% - Accent2 3 3 2 3 3" xfId="7118"/>
    <cellStyle name="40% - Accent2 3 3 2 4" xfId="3627"/>
    <cellStyle name="40% - Accent2 3 3 2 4 2" xfId="5712"/>
    <cellStyle name="40% - Accent2 3 3 2 4 2 2" xfId="9863"/>
    <cellStyle name="40% - Accent2 3 3 2 4 3" xfId="7790"/>
    <cellStyle name="40% - Accent2 3 3 2 5" xfId="4346"/>
    <cellStyle name="40% - Accent2 3 3 2 5 2" xfId="8498"/>
    <cellStyle name="40% - Accent2 3 3 2 6" xfId="6425"/>
    <cellStyle name="40% - Accent2 3 3 3" xfId="2396"/>
    <cellStyle name="40% - Accent2 3 3 3 2" xfId="3122"/>
    <cellStyle name="40% - Accent2 3 3 3 2 2" xfId="5208"/>
    <cellStyle name="40% - Accent2 3 3 3 2 2 2" xfId="9359"/>
    <cellStyle name="40% - Accent2 3 3 3 2 3" xfId="7286"/>
    <cellStyle name="40% - Accent2 3 3 3 3" xfId="3795"/>
    <cellStyle name="40% - Accent2 3 3 3 3 2" xfId="5880"/>
    <cellStyle name="40% - Accent2 3 3 3 3 2 2" xfId="10031"/>
    <cellStyle name="40% - Accent2 3 3 3 3 3" xfId="7958"/>
    <cellStyle name="40% - Accent2 3 3 3 4" xfId="4514"/>
    <cellStyle name="40% - Accent2 3 3 3 4 2" xfId="8666"/>
    <cellStyle name="40% - Accent2 3 3 3 5" xfId="6593"/>
    <cellStyle name="40% - Accent2 3 3 4" xfId="2786"/>
    <cellStyle name="40% - Accent2 3 3 4 2" xfId="4872"/>
    <cellStyle name="40% - Accent2 3 3 4 2 2" xfId="9023"/>
    <cellStyle name="40% - Accent2 3 3 4 3" xfId="6950"/>
    <cellStyle name="40% - Accent2 3 3 5" xfId="3459"/>
    <cellStyle name="40% - Accent2 3 3 5 2" xfId="5544"/>
    <cellStyle name="40% - Accent2 3 3 5 2 2" xfId="9695"/>
    <cellStyle name="40% - Accent2 3 3 5 3" xfId="7622"/>
    <cellStyle name="40% - Accent2 3 3 6" xfId="4178"/>
    <cellStyle name="40% - Accent2 3 3 6 2" xfId="8330"/>
    <cellStyle name="40% - Accent2 3 3 7" xfId="6257"/>
    <cellStyle name="40% - Accent2 3 4" xfId="1895"/>
    <cellStyle name="40% - Accent2 3 4 2" xfId="2181"/>
    <cellStyle name="40% - Accent2 3 4 2 2" xfId="2523"/>
    <cellStyle name="40% - Accent2 3 4 2 2 2" xfId="3248"/>
    <cellStyle name="40% - Accent2 3 4 2 2 2 2" xfId="5334"/>
    <cellStyle name="40% - Accent2 3 4 2 2 2 2 2" xfId="9485"/>
    <cellStyle name="40% - Accent2 3 4 2 2 2 3" xfId="7412"/>
    <cellStyle name="40% - Accent2 3 4 2 2 3" xfId="3921"/>
    <cellStyle name="40% - Accent2 3 4 2 2 3 2" xfId="6006"/>
    <cellStyle name="40% - Accent2 3 4 2 2 3 2 2" xfId="10157"/>
    <cellStyle name="40% - Accent2 3 4 2 2 3 3" xfId="8084"/>
    <cellStyle name="40% - Accent2 3 4 2 2 4" xfId="4640"/>
    <cellStyle name="40% - Accent2 3 4 2 2 4 2" xfId="8792"/>
    <cellStyle name="40% - Accent2 3 4 2 2 5" xfId="6719"/>
    <cellStyle name="40% - Accent2 3 4 2 3" xfId="2912"/>
    <cellStyle name="40% - Accent2 3 4 2 3 2" xfId="4998"/>
    <cellStyle name="40% - Accent2 3 4 2 3 2 2" xfId="9149"/>
    <cellStyle name="40% - Accent2 3 4 2 3 3" xfId="7076"/>
    <cellStyle name="40% - Accent2 3 4 2 4" xfId="3585"/>
    <cellStyle name="40% - Accent2 3 4 2 4 2" xfId="5670"/>
    <cellStyle name="40% - Accent2 3 4 2 4 2 2" xfId="9821"/>
    <cellStyle name="40% - Accent2 3 4 2 4 3" xfId="7748"/>
    <cellStyle name="40% - Accent2 3 4 2 5" xfId="4304"/>
    <cellStyle name="40% - Accent2 3 4 2 5 2" xfId="8456"/>
    <cellStyle name="40% - Accent2 3 4 2 6" xfId="6383"/>
    <cellStyle name="40% - Accent2 3 4 3" xfId="2354"/>
    <cellStyle name="40% - Accent2 3 4 3 2" xfId="3080"/>
    <cellStyle name="40% - Accent2 3 4 3 2 2" xfId="5166"/>
    <cellStyle name="40% - Accent2 3 4 3 2 2 2" xfId="9317"/>
    <cellStyle name="40% - Accent2 3 4 3 2 3" xfId="7244"/>
    <cellStyle name="40% - Accent2 3 4 3 3" xfId="3753"/>
    <cellStyle name="40% - Accent2 3 4 3 3 2" xfId="5838"/>
    <cellStyle name="40% - Accent2 3 4 3 3 2 2" xfId="9989"/>
    <cellStyle name="40% - Accent2 3 4 3 3 3" xfId="7916"/>
    <cellStyle name="40% - Accent2 3 4 3 4" xfId="4472"/>
    <cellStyle name="40% - Accent2 3 4 3 4 2" xfId="8624"/>
    <cellStyle name="40% - Accent2 3 4 3 5" xfId="6551"/>
    <cellStyle name="40% - Accent2 3 4 4" xfId="2744"/>
    <cellStyle name="40% - Accent2 3 4 4 2" xfId="4830"/>
    <cellStyle name="40% - Accent2 3 4 4 2 2" xfId="8981"/>
    <cellStyle name="40% - Accent2 3 4 4 3" xfId="6908"/>
    <cellStyle name="40% - Accent2 3 4 5" xfId="3417"/>
    <cellStyle name="40% - Accent2 3 4 5 2" xfId="5502"/>
    <cellStyle name="40% - Accent2 3 4 5 2 2" xfId="9653"/>
    <cellStyle name="40% - Accent2 3 4 5 3" xfId="7580"/>
    <cellStyle name="40% - Accent2 3 4 6" xfId="4136"/>
    <cellStyle name="40% - Accent2 3 4 6 2" xfId="8288"/>
    <cellStyle name="40% - Accent2 3 4 7" xfId="6215"/>
    <cellStyle name="40% - Accent2 3 5" xfId="2093"/>
    <cellStyle name="40% - Accent2 3 5 2" xfId="2266"/>
    <cellStyle name="40% - Accent2 3 5 2 2" xfId="2607"/>
    <cellStyle name="40% - Accent2 3 5 2 2 2" xfId="3332"/>
    <cellStyle name="40% - Accent2 3 5 2 2 2 2" xfId="5418"/>
    <cellStyle name="40% - Accent2 3 5 2 2 2 2 2" xfId="9569"/>
    <cellStyle name="40% - Accent2 3 5 2 2 2 3" xfId="7496"/>
    <cellStyle name="40% - Accent2 3 5 2 2 3" xfId="4005"/>
    <cellStyle name="40% - Accent2 3 5 2 2 3 2" xfId="6090"/>
    <cellStyle name="40% - Accent2 3 5 2 2 3 2 2" xfId="10241"/>
    <cellStyle name="40% - Accent2 3 5 2 2 3 3" xfId="8168"/>
    <cellStyle name="40% - Accent2 3 5 2 2 4" xfId="4724"/>
    <cellStyle name="40% - Accent2 3 5 2 2 4 2" xfId="8876"/>
    <cellStyle name="40% - Accent2 3 5 2 2 5" xfId="6803"/>
    <cellStyle name="40% - Accent2 3 5 2 3" xfId="2996"/>
    <cellStyle name="40% - Accent2 3 5 2 3 2" xfId="5082"/>
    <cellStyle name="40% - Accent2 3 5 2 3 2 2" xfId="9233"/>
    <cellStyle name="40% - Accent2 3 5 2 3 3" xfId="7160"/>
    <cellStyle name="40% - Accent2 3 5 2 4" xfId="3669"/>
    <cellStyle name="40% - Accent2 3 5 2 4 2" xfId="5754"/>
    <cellStyle name="40% - Accent2 3 5 2 4 2 2" xfId="9905"/>
    <cellStyle name="40% - Accent2 3 5 2 4 3" xfId="7832"/>
    <cellStyle name="40% - Accent2 3 5 2 5" xfId="4388"/>
    <cellStyle name="40% - Accent2 3 5 2 5 2" xfId="8540"/>
    <cellStyle name="40% - Accent2 3 5 2 6" xfId="6467"/>
    <cellStyle name="40% - Accent2 3 5 3" xfId="2439"/>
    <cellStyle name="40% - Accent2 3 5 3 2" xfId="3164"/>
    <cellStyle name="40% - Accent2 3 5 3 2 2" xfId="5250"/>
    <cellStyle name="40% - Accent2 3 5 3 2 2 2" xfId="9401"/>
    <cellStyle name="40% - Accent2 3 5 3 2 3" xfId="7328"/>
    <cellStyle name="40% - Accent2 3 5 3 3" xfId="3837"/>
    <cellStyle name="40% - Accent2 3 5 3 3 2" xfId="5922"/>
    <cellStyle name="40% - Accent2 3 5 3 3 2 2" xfId="10073"/>
    <cellStyle name="40% - Accent2 3 5 3 3 3" xfId="8000"/>
    <cellStyle name="40% - Accent2 3 5 3 4" xfId="4556"/>
    <cellStyle name="40% - Accent2 3 5 3 4 2" xfId="8708"/>
    <cellStyle name="40% - Accent2 3 5 3 5" xfId="6635"/>
    <cellStyle name="40% - Accent2 3 5 4" xfId="2828"/>
    <cellStyle name="40% - Accent2 3 5 4 2" xfId="4914"/>
    <cellStyle name="40% - Accent2 3 5 4 2 2" xfId="9065"/>
    <cellStyle name="40% - Accent2 3 5 4 3" xfId="6992"/>
    <cellStyle name="40% - Accent2 3 5 5" xfId="3501"/>
    <cellStyle name="40% - Accent2 3 5 5 2" xfId="5586"/>
    <cellStyle name="40% - Accent2 3 5 5 2 2" xfId="9737"/>
    <cellStyle name="40% - Accent2 3 5 5 3" xfId="7664"/>
    <cellStyle name="40% - Accent2 3 5 6" xfId="4220"/>
    <cellStyle name="40% - Accent2 3 5 6 2" xfId="8372"/>
    <cellStyle name="40% - Accent2 3 5 7" xfId="6299"/>
    <cellStyle name="40% - Accent2 3 6" xfId="2136"/>
    <cellStyle name="40% - Accent2 3 6 2" xfId="2481"/>
    <cellStyle name="40% - Accent2 3 6 2 2" xfId="3206"/>
    <cellStyle name="40% - Accent2 3 6 2 2 2" xfId="5292"/>
    <cellStyle name="40% - Accent2 3 6 2 2 2 2" xfId="9443"/>
    <cellStyle name="40% - Accent2 3 6 2 2 3" xfId="7370"/>
    <cellStyle name="40% - Accent2 3 6 2 3" xfId="3879"/>
    <cellStyle name="40% - Accent2 3 6 2 3 2" xfId="5964"/>
    <cellStyle name="40% - Accent2 3 6 2 3 2 2" xfId="10115"/>
    <cellStyle name="40% - Accent2 3 6 2 3 3" xfId="8042"/>
    <cellStyle name="40% - Accent2 3 6 2 4" xfId="4598"/>
    <cellStyle name="40% - Accent2 3 6 2 4 2" xfId="8750"/>
    <cellStyle name="40% - Accent2 3 6 2 5" xfId="6677"/>
    <cellStyle name="40% - Accent2 3 6 3" xfId="2870"/>
    <cellStyle name="40% - Accent2 3 6 3 2" xfId="4956"/>
    <cellStyle name="40% - Accent2 3 6 3 2 2" xfId="9107"/>
    <cellStyle name="40% - Accent2 3 6 3 3" xfId="7034"/>
    <cellStyle name="40% - Accent2 3 6 4" xfId="3543"/>
    <cellStyle name="40% - Accent2 3 6 4 2" xfId="5628"/>
    <cellStyle name="40% - Accent2 3 6 4 2 2" xfId="9779"/>
    <cellStyle name="40% - Accent2 3 6 4 3" xfId="7706"/>
    <cellStyle name="40% - Accent2 3 6 5" xfId="4262"/>
    <cellStyle name="40% - Accent2 3 6 5 2" xfId="8414"/>
    <cellStyle name="40% - Accent2 3 6 6" xfId="6341"/>
    <cellStyle name="40% - Accent2 3 7" xfId="2309"/>
    <cellStyle name="40% - Accent2 3 7 2" xfId="3038"/>
    <cellStyle name="40% - Accent2 3 7 2 2" xfId="5124"/>
    <cellStyle name="40% - Accent2 3 7 2 2 2" xfId="9275"/>
    <cellStyle name="40% - Accent2 3 7 2 3" xfId="7202"/>
    <cellStyle name="40% - Accent2 3 7 3" xfId="3711"/>
    <cellStyle name="40% - Accent2 3 7 3 2" xfId="5796"/>
    <cellStyle name="40% - Accent2 3 7 3 2 2" xfId="9947"/>
    <cellStyle name="40% - Accent2 3 7 3 3" xfId="7874"/>
    <cellStyle name="40% - Accent2 3 7 4" xfId="4430"/>
    <cellStyle name="40% - Accent2 3 7 4 2" xfId="8582"/>
    <cellStyle name="40% - Accent2 3 7 5" xfId="6509"/>
    <cellStyle name="40% - Accent2 3 8" xfId="2700"/>
    <cellStyle name="40% - Accent2 3 8 2" xfId="4788"/>
    <cellStyle name="40% - Accent2 3 8 2 2" xfId="8939"/>
    <cellStyle name="40% - Accent2 3 8 3" xfId="6866"/>
    <cellStyle name="40% - Accent2 3 9" xfId="3375"/>
    <cellStyle name="40% - Accent2 3 9 2" xfId="5460"/>
    <cellStyle name="40% - Accent2 3 9 2 2" xfId="9611"/>
    <cellStyle name="40% - Accent2 3 9 3" xfId="7538"/>
    <cellStyle name="40% - Accent2 4" xfId="4048"/>
    <cellStyle name="40% - Accent2 4 2" xfId="6133"/>
    <cellStyle name="40% - Accent2 4 2 2" xfId="10284"/>
    <cellStyle name="40% - Accent2 4 3" xfId="8211"/>
    <cellStyle name="40% - Accent2 5" xfId="4762"/>
    <cellStyle name="40% - Accent2 5 2" xfId="8914"/>
    <cellStyle name="40% - Accent2 6" xfId="6841"/>
    <cellStyle name="40% - Accent3" xfId="2664" builtinId="39" customBuiltin="1"/>
    <cellStyle name="40% - Accent3 2" xfId="249"/>
    <cellStyle name="40% - Accent3 2 2" xfId="250"/>
    <cellStyle name="40% - Accent3 3" xfId="251"/>
    <cellStyle name="40% - Accent3 3 10" xfId="4089"/>
    <cellStyle name="40% - Accent3 3 10 2" xfId="8247"/>
    <cellStyle name="40% - Accent3 3 11" xfId="6174"/>
    <cellStyle name="40% - Accent3 3 2" xfId="1334"/>
    <cellStyle name="40% - Accent3 3 2 10" xfId="6195"/>
    <cellStyle name="40% - Accent3 3 2 2" xfId="2072"/>
    <cellStyle name="40% - Accent3 3 2 2 2" xfId="2246"/>
    <cellStyle name="40% - Accent3 3 2 2 2 2" xfId="2587"/>
    <cellStyle name="40% - Accent3 3 2 2 2 2 2" xfId="3312"/>
    <cellStyle name="40% - Accent3 3 2 2 2 2 2 2" xfId="5398"/>
    <cellStyle name="40% - Accent3 3 2 2 2 2 2 2 2" xfId="9549"/>
    <cellStyle name="40% - Accent3 3 2 2 2 2 2 3" xfId="7476"/>
    <cellStyle name="40% - Accent3 3 2 2 2 2 3" xfId="3985"/>
    <cellStyle name="40% - Accent3 3 2 2 2 2 3 2" xfId="6070"/>
    <cellStyle name="40% - Accent3 3 2 2 2 2 3 2 2" xfId="10221"/>
    <cellStyle name="40% - Accent3 3 2 2 2 2 3 3" xfId="8148"/>
    <cellStyle name="40% - Accent3 3 2 2 2 2 4" xfId="4704"/>
    <cellStyle name="40% - Accent3 3 2 2 2 2 4 2" xfId="8856"/>
    <cellStyle name="40% - Accent3 3 2 2 2 2 5" xfId="6783"/>
    <cellStyle name="40% - Accent3 3 2 2 2 3" xfId="2976"/>
    <cellStyle name="40% - Accent3 3 2 2 2 3 2" xfId="5062"/>
    <cellStyle name="40% - Accent3 3 2 2 2 3 2 2" xfId="9213"/>
    <cellStyle name="40% - Accent3 3 2 2 2 3 3" xfId="7140"/>
    <cellStyle name="40% - Accent3 3 2 2 2 4" xfId="3649"/>
    <cellStyle name="40% - Accent3 3 2 2 2 4 2" xfId="5734"/>
    <cellStyle name="40% - Accent3 3 2 2 2 4 2 2" xfId="9885"/>
    <cellStyle name="40% - Accent3 3 2 2 2 4 3" xfId="7812"/>
    <cellStyle name="40% - Accent3 3 2 2 2 5" xfId="4368"/>
    <cellStyle name="40% - Accent3 3 2 2 2 5 2" xfId="8520"/>
    <cellStyle name="40% - Accent3 3 2 2 2 6" xfId="6447"/>
    <cellStyle name="40% - Accent3 3 2 2 3" xfId="2419"/>
    <cellStyle name="40% - Accent3 3 2 2 3 2" xfId="3144"/>
    <cellStyle name="40% - Accent3 3 2 2 3 2 2" xfId="5230"/>
    <cellStyle name="40% - Accent3 3 2 2 3 2 2 2" xfId="9381"/>
    <cellStyle name="40% - Accent3 3 2 2 3 2 3" xfId="7308"/>
    <cellStyle name="40% - Accent3 3 2 2 3 3" xfId="3817"/>
    <cellStyle name="40% - Accent3 3 2 2 3 3 2" xfId="5902"/>
    <cellStyle name="40% - Accent3 3 2 2 3 3 2 2" xfId="10053"/>
    <cellStyle name="40% - Accent3 3 2 2 3 3 3" xfId="7980"/>
    <cellStyle name="40% - Accent3 3 2 2 3 4" xfId="4536"/>
    <cellStyle name="40% - Accent3 3 2 2 3 4 2" xfId="8688"/>
    <cellStyle name="40% - Accent3 3 2 2 3 5" xfId="6615"/>
    <cellStyle name="40% - Accent3 3 2 2 4" xfId="2808"/>
    <cellStyle name="40% - Accent3 3 2 2 4 2" xfId="4894"/>
    <cellStyle name="40% - Accent3 3 2 2 4 2 2" xfId="9045"/>
    <cellStyle name="40% - Accent3 3 2 2 4 3" xfId="6972"/>
    <cellStyle name="40% - Accent3 3 2 2 5" xfId="3481"/>
    <cellStyle name="40% - Accent3 3 2 2 5 2" xfId="5566"/>
    <cellStyle name="40% - Accent3 3 2 2 5 2 2" xfId="9717"/>
    <cellStyle name="40% - Accent3 3 2 2 5 3" xfId="7644"/>
    <cellStyle name="40% - Accent3 3 2 2 6" xfId="4200"/>
    <cellStyle name="40% - Accent3 3 2 2 6 2" xfId="8352"/>
    <cellStyle name="40% - Accent3 3 2 2 7" xfId="6279"/>
    <cellStyle name="40% - Accent3 3 2 3" xfId="1972"/>
    <cellStyle name="40% - Accent3 3 2 3 2" xfId="2204"/>
    <cellStyle name="40% - Accent3 3 2 3 2 2" xfId="2545"/>
    <cellStyle name="40% - Accent3 3 2 3 2 2 2" xfId="3270"/>
    <cellStyle name="40% - Accent3 3 2 3 2 2 2 2" xfId="5356"/>
    <cellStyle name="40% - Accent3 3 2 3 2 2 2 2 2" xfId="9507"/>
    <cellStyle name="40% - Accent3 3 2 3 2 2 2 3" xfId="7434"/>
    <cellStyle name="40% - Accent3 3 2 3 2 2 3" xfId="3943"/>
    <cellStyle name="40% - Accent3 3 2 3 2 2 3 2" xfId="6028"/>
    <cellStyle name="40% - Accent3 3 2 3 2 2 3 2 2" xfId="10179"/>
    <cellStyle name="40% - Accent3 3 2 3 2 2 3 3" xfId="8106"/>
    <cellStyle name="40% - Accent3 3 2 3 2 2 4" xfId="4662"/>
    <cellStyle name="40% - Accent3 3 2 3 2 2 4 2" xfId="8814"/>
    <cellStyle name="40% - Accent3 3 2 3 2 2 5" xfId="6741"/>
    <cellStyle name="40% - Accent3 3 2 3 2 3" xfId="2934"/>
    <cellStyle name="40% - Accent3 3 2 3 2 3 2" xfId="5020"/>
    <cellStyle name="40% - Accent3 3 2 3 2 3 2 2" xfId="9171"/>
    <cellStyle name="40% - Accent3 3 2 3 2 3 3" xfId="7098"/>
    <cellStyle name="40% - Accent3 3 2 3 2 4" xfId="3607"/>
    <cellStyle name="40% - Accent3 3 2 3 2 4 2" xfId="5692"/>
    <cellStyle name="40% - Accent3 3 2 3 2 4 2 2" xfId="9843"/>
    <cellStyle name="40% - Accent3 3 2 3 2 4 3" xfId="7770"/>
    <cellStyle name="40% - Accent3 3 2 3 2 5" xfId="4326"/>
    <cellStyle name="40% - Accent3 3 2 3 2 5 2" xfId="8478"/>
    <cellStyle name="40% - Accent3 3 2 3 2 6" xfId="6405"/>
    <cellStyle name="40% - Accent3 3 2 3 3" xfId="2376"/>
    <cellStyle name="40% - Accent3 3 2 3 3 2" xfId="3102"/>
    <cellStyle name="40% - Accent3 3 2 3 3 2 2" xfId="5188"/>
    <cellStyle name="40% - Accent3 3 2 3 3 2 2 2" xfId="9339"/>
    <cellStyle name="40% - Accent3 3 2 3 3 2 3" xfId="7266"/>
    <cellStyle name="40% - Accent3 3 2 3 3 3" xfId="3775"/>
    <cellStyle name="40% - Accent3 3 2 3 3 3 2" xfId="5860"/>
    <cellStyle name="40% - Accent3 3 2 3 3 3 2 2" xfId="10011"/>
    <cellStyle name="40% - Accent3 3 2 3 3 3 3" xfId="7938"/>
    <cellStyle name="40% - Accent3 3 2 3 3 4" xfId="4494"/>
    <cellStyle name="40% - Accent3 3 2 3 3 4 2" xfId="8646"/>
    <cellStyle name="40% - Accent3 3 2 3 3 5" xfId="6573"/>
    <cellStyle name="40% - Accent3 3 2 3 4" xfId="2766"/>
    <cellStyle name="40% - Accent3 3 2 3 4 2" xfId="4852"/>
    <cellStyle name="40% - Accent3 3 2 3 4 2 2" xfId="9003"/>
    <cellStyle name="40% - Accent3 3 2 3 4 3" xfId="6930"/>
    <cellStyle name="40% - Accent3 3 2 3 5" xfId="3439"/>
    <cellStyle name="40% - Accent3 3 2 3 5 2" xfId="5524"/>
    <cellStyle name="40% - Accent3 3 2 3 5 2 2" xfId="9675"/>
    <cellStyle name="40% - Accent3 3 2 3 5 3" xfId="7602"/>
    <cellStyle name="40% - Accent3 3 2 3 6" xfId="4158"/>
    <cellStyle name="40% - Accent3 3 2 3 6 2" xfId="8310"/>
    <cellStyle name="40% - Accent3 3 2 3 7" xfId="6237"/>
    <cellStyle name="40% - Accent3 3 2 4" xfId="2115"/>
    <cellStyle name="40% - Accent3 3 2 4 2" xfId="2288"/>
    <cellStyle name="40% - Accent3 3 2 4 2 2" xfId="2629"/>
    <cellStyle name="40% - Accent3 3 2 4 2 2 2" xfId="3354"/>
    <cellStyle name="40% - Accent3 3 2 4 2 2 2 2" xfId="5440"/>
    <cellStyle name="40% - Accent3 3 2 4 2 2 2 2 2" xfId="9591"/>
    <cellStyle name="40% - Accent3 3 2 4 2 2 2 3" xfId="7518"/>
    <cellStyle name="40% - Accent3 3 2 4 2 2 3" xfId="4027"/>
    <cellStyle name="40% - Accent3 3 2 4 2 2 3 2" xfId="6112"/>
    <cellStyle name="40% - Accent3 3 2 4 2 2 3 2 2" xfId="10263"/>
    <cellStyle name="40% - Accent3 3 2 4 2 2 3 3" xfId="8190"/>
    <cellStyle name="40% - Accent3 3 2 4 2 2 4" xfId="4746"/>
    <cellStyle name="40% - Accent3 3 2 4 2 2 4 2" xfId="8898"/>
    <cellStyle name="40% - Accent3 3 2 4 2 2 5" xfId="6825"/>
    <cellStyle name="40% - Accent3 3 2 4 2 3" xfId="3018"/>
    <cellStyle name="40% - Accent3 3 2 4 2 3 2" xfId="5104"/>
    <cellStyle name="40% - Accent3 3 2 4 2 3 2 2" xfId="9255"/>
    <cellStyle name="40% - Accent3 3 2 4 2 3 3" xfId="7182"/>
    <cellStyle name="40% - Accent3 3 2 4 2 4" xfId="3691"/>
    <cellStyle name="40% - Accent3 3 2 4 2 4 2" xfId="5776"/>
    <cellStyle name="40% - Accent3 3 2 4 2 4 2 2" xfId="9927"/>
    <cellStyle name="40% - Accent3 3 2 4 2 4 3" xfId="7854"/>
    <cellStyle name="40% - Accent3 3 2 4 2 5" xfId="4410"/>
    <cellStyle name="40% - Accent3 3 2 4 2 5 2" xfId="8562"/>
    <cellStyle name="40% - Accent3 3 2 4 2 6" xfId="6489"/>
    <cellStyle name="40% - Accent3 3 2 4 3" xfId="2461"/>
    <cellStyle name="40% - Accent3 3 2 4 3 2" xfId="3186"/>
    <cellStyle name="40% - Accent3 3 2 4 3 2 2" xfId="5272"/>
    <cellStyle name="40% - Accent3 3 2 4 3 2 2 2" xfId="9423"/>
    <cellStyle name="40% - Accent3 3 2 4 3 2 3" xfId="7350"/>
    <cellStyle name="40% - Accent3 3 2 4 3 3" xfId="3859"/>
    <cellStyle name="40% - Accent3 3 2 4 3 3 2" xfId="5944"/>
    <cellStyle name="40% - Accent3 3 2 4 3 3 2 2" xfId="10095"/>
    <cellStyle name="40% - Accent3 3 2 4 3 3 3" xfId="8022"/>
    <cellStyle name="40% - Accent3 3 2 4 3 4" xfId="4578"/>
    <cellStyle name="40% - Accent3 3 2 4 3 4 2" xfId="8730"/>
    <cellStyle name="40% - Accent3 3 2 4 3 5" xfId="6657"/>
    <cellStyle name="40% - Accent3 3 2 4 4" xfId="2850"/>
    <cellStyle name="40% - Accent3 3 2 4 4 2" xfId="4936"/>
    <cellStyle name="40% - Accent3 3 2 4 4 2 2" xfId="9087"/>
    <cellStyle name="40% - Accent3 3 2 4 4 3" xfId="7014"/>
    <cellStyle name="40% - Accent3 3 2 4 5" xfId="3523"/>
    <cellStyle name="40% - Accent3 3 2 4 5 2" xfId="5608"/>
    <cellStyle name="40% - Accent3 3 2 4 5 2 2" xfId="9759"/>
    <cellStyle name="40% - Accent3 3 2 4 5 3" xfId="7686"/>
    <cellStyle name="40% - Accent3 3 2 4 6" xfId="4242"/>
    <cellStyle name="40% - Accent3 3 2 4 6 2" xfId="8394"/>
    <cellStyle name="40% - Accent3 3 2 4 7" xfId="6321"/>
    <cellStyle name="40% - Accent3 3 2 5" xfId="2161"/>
    <cellStyle name="40% - Accent3 3 2 5 2" xfId="2503"/>
    <cellStyle name="40% - Accent3 3 2 5 2 2" xfId="3228"/>
    <cellStyle name="40% - Accent3 3 2 5 2 2 2" xfId="5314"/>
    <cellStyle name="40% - Accent3 3 2 5 2 2 2 2" xfId="9465"/>
    <cellStyle name="40% - Accent3 3 2 5 2 2 3" xfId="7392"/>
    <cellStyle name="40% - Accent3 3 2 5 2 3" xfId="3901"/>
    <cellStyle name="40% - Accent3 3 2 5 2 3 2" xfId="5986"/>
    <cellStyle name="40% - Accent3 3 2 5 2 3 2 2" xfId="10137"/>
    <cellStyle name="40% - Accent3 3 2 5 2 3 3" xfId="8064"/>
    <cellStyle name="40% - Accent3 3 2 5 2 4" xfId="4620"/>
    <cellStyle name="40% - Accent3 3 2 5 2 4 2" xfId="8772"/>
    <cellStyle name="40% - Accent3 3 2 5 2 5" xfId="6699"/>
    <cellStyle name="40% - Accent3 3 2 5 3" xfId="2892"/>
    <cellStyle name="40% - Accent3 3 2 5 3 2" xfId="4978"/>
    <cellStyle name="40% - Accent3 3 2 5 3 2 2" xfId="9129"/>
    <cellStyle name="40% - Accent3 3 2 5 3 3" xfId="7056"/>
    <cellStyle name="40% - Accent3 3 2 5 4" xfId="3565"/>
    <cellStyle name="40% - Accent3 3 2 5 4 2" xfId="5650"/>
    <cellStyle name="40% - Accent3 3 2 5 4 2 2" xfId="9801"/>
    <cellStyle name="40% - Accent3 3 2 5 4 3" xfId="7728"/>
    <cellStyle name="40% - Accent3 3 2 5 5" xfId="4284"/>
    <cellStyle name="40% - Accent3 3 2 5 5 2" xfId="8436"/>
    <cellStyle name="40% - Accent3 3 2 5 6" xfId="6363"/>
    <cellStyle name="40% - Accent3 3 2 6" xfId="2334"/>
    <cellStyle name="40% - Accent3 3 2 6 2" xfId="3060"/>
    <cellStyle name="40% - Accent3 3 2 6 2 2" xfId="5146"/>
    <cellStyle name="40% - Accent3 3 2 6 2 2 2" xfId="9297"/>
    <cellStyle name="40% - Accent3 3 2 6 2 3" xfId="7224"/>
    <cellStyle name="40% - Accent3 3 2 6 3" xfId="3733"/>
    <cellStyle name="40% - Accent3 3 2 6 3 2" xfId="5818"/>
    <cellStyle name="40% - Accent3 3 2 6 3 2 2" xfId="9969"/>
    <cellStyle name="40% - Accent3 3 2 6 3 3" xfId="7896"/>
    <cellStyle name="40% - Accent3 3 2 6 4" xfId="4452"/>
    <cellStyle name="40% - Accent3 3 2 6 4 2" xfId="8604"/>
    <cellStyle name="40% - Accent3 3 2 6 5" xfId="6531"/>
    <cellStyle name="40% - Accent3 3 2 7" xfId="2724"/>
    <cellStyle name="40% - Accent3 3 2 7 2" xfId="4810"/>
    <cellStyle name="40% - Accent3 3 2 7 2 2" xfId="8961"/>
    <cellStyle name="40% - Accent3 3 2 7 3" xfId="6888"/>
    <cellStyle name="40% - Accent3 3 2 8" xfId="3397"/>
    <cellStyle name="40% - Accent3 3 2 8 2" xfId="5482"/>
    <cellStyle name="40% - Accent3 3 2 8 2 2" xfId="9633"/>
    <cellStyle name="40% - Accent3 3 2 8 3" xfId="7560"/>
    <cellStyle name="40% - Accent3 3 2 9" xfId="4114"/>
    <cellStyle name="40% - Accent3 3 2 9 2" xfId="8268"/>
    <cellStyle name="40% - Accent3 3 3" xfId="1997"/>
    <cellStyle name="40% - Accent3 3 3 2" xfId="2225"/>
    <cellStyle name="40% - Accent3 3 3 2 2" xfId="2566"/>
    <cellStyle name="40% - Accent3 3 3 2 2 2" xfId="3291"/>
    <cellStyle name="40% - Accent3 3 3 2 2 2 2" xfId="5377"/>
    <cellStyle name="40% - Accent3 3 3 2 2 2 2 2" xfId="9528"/>
    <cellStyle name="40% - Accent3 3 3 2 2 2 3" xfId="7455"/>
    <cellStyle name="40% - Accent3 3 3 2 2 3" xfId="3964"/>
    <cellStyle name="40% - Accent3 3 3 2 2 3 2" xfId="6049"/>
    <cellStyle name="40% - Accent3 3 3 2 2 3 2 2" xfId="10200"/>
    <cellStyle name="40% - Accent3 3 3 2 2 3 3" xfId="8127"/>
    <cellStyle name="40% - Accent3 3 3 2 2 4" xfId="4683"/>
    <cellStyle name="40% - Accent3 3 3 2 2 4 2" xfId="8835"/>
    <cellStyle name="40% - Accent3 3 3 2 2 5" xfId="6762"/>
    <cellStyle name="40% - Accent3 3 3 2 3" xfId="2955"/>
    <cellStyle name="40% - Accent3 3 3 2 3 2" xfId="5041"/>
    <cellStyle name="40% - Accent3 3 3 2 3 2 2" xfId="9192"/>
    <cellStyle name="40% - Accent3 3 3 2 3 3" xfId="7119"/>
    <cellStyle name="40% - Accent3 3 3 2 4" xfId="3628"/>
    <cellStyle name="40% - Accent3 3 3 2 4 2" xfId="5713"/>
    <cellStyle name="40% - Accent3 3 3 2 4 2 2" xfId="9864"/>
    <cellStyle name="40% - Accent3 3 3 2 4 3" xfId="7791"/>
    <cellStyle name="40% - Accent3 3 3 2 5" xfId="4347"/>
    <cellStyle name="40% - Accent3 3 3 2 5 2" xfId="8499"/>
    <cellStyle name="40% - Accent3 3 3 2 6" xfId="6426"/>
    <cellStyle name="40% - Accent3 3 3 3" xfId="2397"/>
    <cellStyle name="40% - Accent3 3 3 3 2" xfId="3123"/>
    <cellStyle name="40% - Accent3 3 3 3 2 2" xfId="5209"/>
    <cellStyle name="40% - Accent3 3 3 3 2 2 2" xfId="9360"/>
    <cellStyle name="40% - Accent3 3 3 3 2 3" xfId="7287"/>
    <cellStyle name="40% - Accent3 3 3 3 3" xfId="3796"/>
    <cellStyle name="40% - Accent3 3 3 3 3 2" xfId="5881"/>
    <cellStyle name="40% - Accent3 3 3 3 3 2 2" xfId="10032"/>
    <cellStyle name="40% - Accent3 3 3 3 3 3" xfId="7959"/>
    <cellStyle name="40% - Accent3 3 3 3 4" xfId="4515"/>
    <cellStyle name="40% - Accent3 3 3 3 4 2" xfId="8667"/>
    <cellStyle name="40% - Accent3 3 3 3 5" xfId="6594"/>
    <cellStyle name="40% - Accent3 3 3 4" xfId="2787"/>
    <cellStyle name="40% - Accent3 3 3 4 2" xfId="4873"/>
    <cellStyle name="40% - Accent3 3 3 4 2 2" xfId="9024"/>
    <cellStyle name="40% - Accent3 3 3 4 3" xfId="6951"/>
    <cellStyle name="40% - Accent3 3 3 5" xfId="3460"/>
    <cellStyle name="40% - Accent3 3 3 5 2" xfId="5545"/>
    <cellStyle name="40% - Accent3 3 3 5 2 2" xfId="9696"/>
    <cellStyle name="40% - Accent3 3 3 5 3" xfId="7623"/>
    <cellStyle name="40% - Accent3 3 3 6" xfId="4179"/>
    <cellStyle name="40% - Accent3 3 3 6 2" xfId="8331"/>
    <cellStyle name="40% - Accent3 3 3 7" xfId="6258"/>
    <cellStyle name="40% - Accent3 3 4" xfId="1896"/>
    <cellStyle name="40% - Accent3 3 4 2" xfId="2182"/>
    <cellStyle name="40% - Accent3 3 4 2 2" xfId="2524"/>
    <cellStyle name="40% - Accent3 3 4 2 2 2" xfId="3249"/>
    <cellStyle name="40% - Accent3 3 4 2 2 2 2" xfId="5335"/>
    <cellStyle name="40% - Accent3 3 4 2 2 2 2 2" xfId="9486"/>
    <cellStyle name="40% - Accent3 3 4 2 2 2 3" xfId="7413"/>
    <cellStyle name="40% - Accent3 3 4 2 2 3" xfId="3922"/>
    <cellStyle name="40% - Accent3 3 4 2 2 3 2" xfId="6007"/>
    <cellStyle name="40% - Accent3 3 4 2 2 3 2 2" xfId="10158"/>
    <cellStyle name="40% - Accent3 3 4 2 2 3 3" xfId="8085"/>
    <cellStyle name="40% - Accent3 3 4 2 2 4" xfId="4641"/>
    <cellStyle name="40% - Accent3 3 4 2 2 4 2" xfId="8793"/>
    <cellStyle name="40% - Accent3 3 4 2 2 5" xfId="6720"/>
    <cellStyle name="40% - Accent3 3 4 2 3" xfId="2913"/>
    <cellStyle name="40% - Accent3 3 4 2 3 2" xfId="4999"/>
    <cellStyle name="40% - Accent3 3 4 2 3 2 2" xfId="9150"/>
    <cellStyle name="40% - Accent3 3 4 2 3 3" xfId="7077"/>
    <cellStyle name="40% - Accent3 3 4 2 4" xfId="3586"/>
    <cellStyle name="40% - Accent3 3 4 2 4 2" xfId="5671"/>
    <cellStyle name="40% - Accent3 3 4 2 4 2 2" xfId="9822"/>
    <cellStyle name="40% - Accent3 3 4 2 4 3" xfId="7749"/>
    <cellStyle name="40% - Accent3 3 4 2 5" xfId="4305"/>
    <cellStyle name="40% - Accent3 3 4 2 5 2" xfId="8457"/>
    <cellStyle name="40% - Accent3 3 4 2 6" xfId="6384"/>
    <cellStyle name="40% - Accent3 3 4 3" xfId="2355"/>
    <cellStyle name="40% - Accent3 3 4 3 2" xfId="3081"/>
    <cellStyle name="40% - Accent3 3 4 3 2 2" xfId="5167"/>
    <cellStyle name="40% - Accent3 3 4 3 2 2 2" xfId="9318"/>
    <cellStyle name="40% - Accent3 3 4 3 2 3" xfId="7245"/>
    <cellStyle name="40% - Accent3 3 4 3 3" xfId="3754"/>
    <cellStyle name="40% - Accent3 3 4 3 3 2" xfId="5839"/>
    <cellStyle name="40% - Accent3 3 4 3 3 2 2" xfId="9990"/>
    <cellStyle name="40% - Accent3 3 4 3 3 3" xfId="7917"/>
    <cellStyle name="40% - Accent3 3 4 3 4" xfId="4473"/>
    <cellStyle name="40% - Accent3 3 4 3 4 2" xfId="8625"/>
    <cellStyle name="40% - Accent3 3 4 3 5" xfId="6552"/>
    <cellStyle name="40% - Accent3 3 4 4" xfId="2745"/>
    <cellStyle name="40% - Accent3 3 4 4 2" xfId="4831"/>
    <cellStyle name="40% - Accent3 3 4 4 2 2" xfId="8982"/>
    <cellStyle name="40% - Accent3 3 4 4 3" xfId="6909"/>
    <cellStyle name="40% - Accent3 3 4 5" xfId="3418"/>
    <cellStyle name="40% - Accent3 3 4 5 2" xfId="5503"/>
    <cellStyle name="40% - Accent3 3 4 5 2 2" xfId="9654"/>
    <cellStyle name="40% - Accent3 3 4 5 3" xfId="7581"/>
    <cellStyle name="40% - Accent3 3 4 6" xfId="4137"/>
    <cellStyle name="40% - Accent3 3 4 6 2" xfId="8289"/>
    <cellStyle name="40% - Accent3 3 4 7" xfId="6216"/>
    <cellStyle name="40% - Accent3 3 5" xfId="2094"/>
    <cellStyle name="40% - Accent3 3 5 2" xfId="2267"/>
    <cellStyle name="40% - Accent3 3 5 2 2" xfId="2608"/>
    <cellStyle name="40% - Accent3 3 5 2 2 2" xfId="3333"/>
    <cellStyle name="40% - Accent3 3 5 2 2 2 2" xfId="5419"/>
    <cellStyle name="40% - Accent3 3 5 2 2 2 2 2" xfId="9570"/>
    <cellStyle name="40% - Accent3 3 5 2 2 2 3" xfId="7497"/>
    <cellStyle name="40% - Accent3 3 5 2 2 3" xfId="4006"/>
    <cellStyle name="40% - Accent3 3 5 2 2 3 2" xfId="6091"/>
    <cellStyle name="40% - Accent3 3 5 2 2 3 2 2" xfId="10242"/>
    <cellStyle name="40% - Accent3 3 5 2 2 3 3" xfId="8169"/>
    <cellStyle name="40% - Accent3 3 5 2 2 4" xfId="4725"/>
    <cellStyle name="40% - Accent3 3 5 2 2 4 2" xfId="8877"/>
    <cellStyle name="40% - Accent3 3 5 2 2 5" xfId="6804"/>
    <cellStyle name="40% - Accent3 3 5 2 3" xfId="2997"/>
    <cellStyle name="40% - Accent3 3 5 2 3 2" xfId="5083"/>
    <cellStyle name="40% - Accent3 3 5 2 3 2 2" xfId="9234"/>
    <cellStyle name="40% - Accent3 3 5 2 3 3" xfId="7161"/>
    <cellStyle name="40% - Accent3 3 5 2 4" xfId="3670"/>
    <cellStyle name="40% - Accent3 3 5 2 4 2" xfId="5755"/>
    <cellStyle name="40% - Accent3 3 5 2 4 2 2" xfId="9906"/>
    <cellStyle name="40% - Accent3 3 5 2 4 3" xfId="7833"/>
    <cellStyle name="40% - Accent3 3 5 2 5" xfId="4389"/>
    <cellStyle name="40% - Accent3 3 5 2 5 2" xfId="8541"/>
    <cellStyle name="40% - Accent3 3 5 2 6" xfId="6468"/>
    <cellStyle name="40% - Accent3 3 5 3" xfId="2440"/>
    <cellStyle name="40% - Accent3 3 5 3 2" xfId="3165"/>
    <cellStyle name="40% - Accent3 3 5 3 2 2" xfId="5251"/>
    <cellStyle name="40% - Accent3 3 5 3 2 2 2" xfId="9402"/>
    <cellStyle name="40% - Accent3 3 5 3 2 3" xfId="7329"/>
    <cellStyle name="40% - Accent3 3 5 3 3" xfId="3838"/>
    <cellStyle name="40% - Accent3 3 5 3 3 2" xfId="5923"/>
    <cellStyle name="40% - Accent3 3 5 3 3 2 2" xfId="10074"/>
    <cellStyle name="40% - Accent3 3 5 3 3 3" xfId="8001"/>
    <cellStyle name="40% - Accent3 3 5 3 4" xfId="4557"/>
    <cellStyle name="40% - Accent3 3 5 3 4 2" xfId="8709"/>
    <cellStyle name="40% - Accent3 3 5 3 5" xfId="6636"/>
    <cellStyle name="40% - Accent3 3 5 4" xfId="2829"/>
    <cellStyle name="40% - Accent3 3 5 4 2" xfId="4915"/>
    <cellStyle name="40% - Accent3 3 5 4 2 2" xfId="9066"/>
    <cellStyle name="40% - Accent3 3 5 4 3" xfId="6993"/>
    <cellStyle name="40% - Accent3 3 5 5" xfId="3502"/>
    <cellStyle name="40% - Accent3 3 5 5 2" xfId="5587"/>
    <cellStyle name="40% - Accent3 3 5 5 2 2" xfId="9738"/>
    <cellStyle name="40% - Accent3 3 5 5 3" xfId="7665"/>
    <cellStyle name="40% - Accent3 3 5 6" xfId="4221"/>
    <cellStyle name="40% - Accent3 3 5 6 2" xfId="8373"/>
    <cellStyle name="40% - Accent3 3 5 7" xfId="6300"/>
    <cellStyle name="40% - Accent3 3 6" xfId="2137"/>
    <cellStyle name="40% - Accent3 3 6 2" xfId="2482"/>
    <cellStyle name="40% - Accent3 3 6 2 2" xfId="3207"/>
    <cellStyle name="40% - Accent3 3 6 2 2 2" xfId="5293"/>
    <cellStyle name="40% - Accent3 3 6 2 2 2 2" xfId="9444"/>
    <cellStyle name="40% - Accent3 3 6 2 2 3" xfId="7371"/>
    <cellStyle name="40% - Accent3 3 6 2 3" xfId="3880"/>
    <cellStyle name="40% - Accent3 3 6 2 3 2" xfId="5965"/>
    <cellStyle name="40% - Accent3 3 6 2 3 2 2" xfId="10116"/>
    <cellStyle name="40% - Accent3 3 6 2 3 3" xfId="8043"/>
    <cellStyle name="40% - Accent3 3 6 2 4" xfId="4599"/>
    <cellStyle name="40% - Accent3 3 6 2 4 2" xfId="8751"/>
    <cellStyle name="40% - Accent3 3 6 2 5" xfId="6678"/>
    <cellStyle name="40% - Accent3 3 6 3" xfId="2871"/>
    <cellStyle name="40% - Accent3 3 6 3 2" xfId="4957"/>
    <cellStyle name="40% - Accent3 3 6 3 2 2" xfId="9108"/>
    <cellStyle name="40% - Accent3 3 6 3 3" xfId="7035"/>
    <cellStyle name="40% - Accent3 3 6 4" xfId="3544"/>
    <cellStyle name="40% - Accent3 3 6 4 2" xfId="5629"/>
    <cellStyle name="40% - Accent3 3 6 4 2 2" xfId="9780"/>
    <cellStyle name="40% - Accent3 3 6 4 3" xfId="7707"/>
    <cellStyle name="40% - Accent3 3 6 5" xfId="4263"/>
    <cellStyle name="40% - Accent3 3 6 5 2" xfId="8415"/>
    <cellStyle name="40% - Accent3 3 6 6" xfId="6342"/>
    <cellStyle name="40% - Accent3 3 7" xfId="2310"/>
    <cellStyle name="40% - Accent3 3 7 2" xfId="3039"/>
    <cellStyle name="40% - Accent3 3 7 2 2" xfId="5125"/>
    <cellStyle name="40% - Accent3 3 7 2 2 2" xfId="9276"/>
    <cellStyle name="40% - Accent3 3 7 2 3" xfId="7203"/>
    <cellStyle name="40% - Accent3 3 7 3" xfId="3712"/>
    <cellStyle name="40% - Accent3 3 7 3 2" xfId="5797"/>
    <cellStyle name="40% - Accent3 3 7 3 2 2" xfId="9948"/>
    <cellStyle name="40% - Accent3 3 7 3 3" xfId="7875"/>
    <cellStyle name="40% - Accent3 3 7 4" xfId="4431"/>
    <cellStyle name="40% - Accent3 3 7 4 2" xfId="8583"/>
    <cellStyle name="40% - Accent3 3 7 5" xfId="6510"/>
    <cellStyle name="40% - Accent3 3 8" xfId="2701"/>
    <cellStyle name="40% - Accent3 3 8 2" xfId="4789"/>
    <cellStyle name="40% - Accent3 3 8 2 2" xfId="8940"/>
    <cellStyle name="40% - Accent3 3 8 3" xfId="6867"/>
    <cellStyle name="40% - Accent3 3 9" xfId="3376"/>
    <cellStyle name="40% - Accent3 3 9 2" xfId="5461"/>
    <cellStyle name="40% - Accent3 3 9 2 2" xfId="9612"/>
    <cellStyle name="40% - Accent3 3 9 3" xfId="7539"/>
    <cellStyle name="40% - Accent3 4" xfId="4051"/>
    <cellStyle name="40% - Accent3 4 2" xfId="6136"/>
    <cellStyle name="40% - Accent3 4 2 2" xfId="10287"/>
    <cellStyle name="40% - Accent3 4 3" xfId="8214"/>
    <cellStyle name="40% - Accent3 5" xfId="4763"/>
    <cellStyle name="40% - Accent3 5 2" xfId="8915"/>
    <cellStyle name="40% - Accent3 6" xfId="6842"/>
    <cellStyle name="40% - Accent4" xfId="2668" builtinId="43" customBuiltin="1"/>
    <cellStyle name="40% - Accent4 2" xfId="252"/>
    <cellStyle name="40% - Accent4 2 2" xfId="253"/>
    <cellStyle name="40% - Accent4 3" xfId="254"/>
    <cellStyle name="40% - Accent4 3 10" xfId="4090"/>
    <cellStyle name="40% - Accent4 3 10 2" xfId="8248"/>
    <cellStyle name="40% - Accent4 3 11" xfId="6175"/>
    <cellStyle name="40% - Accent4 3 2" xfId="1335"/>
    <cellStyle name="40% - Accent4 3 2 10" xfId="6196"/>
    <cellStyle name="40% - Accent4 3 2 2" xfId="2073"/>
    <cellStyle name="40% - Accent4 3 2 2 2" xfId="2247"/>
    <cellStyle name="40% - Accent4 3 2 2 2 2" xfId="2588"/>
    <cellStyle name="40% - Accent4 3 2 2 2 2 2" xfId="3313"/>
    <cellStyle name="40% - Accent4 3 2 2 2 2 2 2" xfId="5399"/>
    <cellStyle name="40% - Accent4 3 2 2 2 2 2 2 2" xfId="9550"/>
    <cellStyle name="40% - Accent4 3 2 2 2 2 2 3" xfId="7477"/>
    <cellStyle name="40% - Accent4 3 2 2 2 2 3" xfId="3986"/>
    <cellStyle name="40% - Accent4 3 2 2 2 2 3 2" xfId="6071"/>
    <cellStyle name="40% - Accent4 3 2 2 2 2 3 2 2" xfId="10222"/>
    <cellStyle name="40% - Accent4 3 2 2 2 2 3 3" xfId="8149"/>
    <cellStyle name="40% - Accent4 3 2 2 2 2 4" xfId="4705"/>
    <cellStyle name="40% - Accent4 3 2 2 2 2 4 2" xfId="8857"/>
    <cellStyle name="40% - Accent4 3 2 2 2 2 5" xfId="6784"/>
    <cellStyle name="40% - Accent4 3 2 2 2 3" xfId="2977"/>
    <cellStyle name="40% - Accent4 3 2 2 2 3 2" xfId="5063"/>
    <cellStyle name="40% - Accent4 3 2 2 2 3 2 2" xfId="9214"/>
    <cellStyle name="40% - Accent4 3 2 2 2 3 3" xfId="7141"/>
    <cellStyle name="40% - Accent4 3 2 2 2 4" xfId="3650"/>
    <cellStyle name="40% - Accent4 3 2 2 2 4 2" xfId="5735"/>
    <cellStyle name="40% - Accent4 3 2 2 2 4 2 2" xfId="9886"/>
    <cellStyle name="40% - Accent4 3 2 2 2 4 3" xfId="7813"/>
    <cellStyle name="40% - Accent4 3 2 2 2 5" xfId="4369"/>
    <cellStyle name="40% - Accent4 3 2 2 2 5 2" xfId="8521"/>
    <cellStyle name="40% - Accent4 3 2 2 2 6" xfId="6448"/>
    <cellStyle name="40% - Accent4 3 2 2 3" xfId="2420"/>
    <cellStyle name="40% - Accent4 3 2 2 3 2" xfId="3145"/>
    <cellStyle name="40% - Accent4 3 2 2 3 2 2" xfId="5231"/>
    <cellStyle name="40% - Accent4 3 2 2 3 2 2 2" xfId="9382"/>
    <cellStyle name="40% - Accent4 3 2 2 3 2 3" xfId="7309"/>
    <cellStyle name="40% - Accent4 3 2 2 3 3" xfId="3818"/>
    <cellStyle name="40% - Accent4 3 2 2 3 3 2" xfId="5903"/>
    <cellStyle name="40% - Accent4 3 2 2 3 3 2 2" xfId="10054"/>
    <cellStyle name="40% - Accent4 3 2 2 3 3 3" xfId="7981"/>
    <cellStyle name="40% - Accent4 3 2 2 3 4" xfId="4537"/>
    <cellStyle name="40% - Accent4 3 2 2 3 4 2" xfId="8689"/>
    <cellStyle name="40% - Accent4 3 2 2 3 5" xfId="6616"/>
    <cellStyle name="40% - Accent4 3 2 2 4" xfId="2809"/>
    <cellStyle name="40% - Accent4 3 2 2 4 2" xfId="4895"/>
    <cellStyle name="40% - Accent4 3 2 2 4 2 2" xfId="9046"/>
    <cellStyle name="40% - Accent4 3 2 2 4 3" xfId="6973"/>
    <cellStyle name="40% - Accent4 3 2 2 5" xfId="3482"/>
    <cellStyle name="40% - Accent4 3 2 2 5 2" xfId="5567"/>
    <cellStyle name="40% - Accent4 3 2 2 5 2 2" xfId="9718"/>
    <cellStyle name="40% - Accent4 3 2 2 5 3" xfId="7645"/>
    <cellStyle name="40% - Accent4 3 2 2 6" xfId="4201"/>
    <cellStyle name="40% - Accent4 3 2 2 6 2" xfId="8353"/>
    <cellStyle name="40% - Accent4 3 2 2 7" xfId="6280"/>
    <cellStyle name="40% - Accent4 3 2 3" xfId="1973"/>
    <cellStyle name="40% - Accent4 3 2 3 2" xfId="2205"/>
    <cellStyle name="40% - Accent4 3 2 3 2 2" xfId="2546"/>
    <cellStyle name="40% - Accent4 3 2 3 2 2 2" xfId="3271"/>
    <cellStyle name="40% - Accent4 3 2 3 2 2 2 2" xfId="5357"/>
    <cellStyle name="40% - Accent4 3 2 3 2 2 2 2 2" xfId="9508"/>
    <cellStyle name="40% - Accent4 3 2 3 2 2 2 3" xfId="7435"/>
    <cellStyle name="40% - Accent4 3 2 3 2 2 3" xfId="3944"/>
    <cellStyle name="40% - Accent4 3 2 3 2 2 3 2" xfId="6029"/>
    <cellStyle name="40% - Accent4 3 2 3 2 2 3 2 2" xfId="10180"/>
    <cellStyle name="40% - Accent4 3 2 3 2 2 3 3" xfId="8107"/>
    <cellStyle name="40% - Accent4 3 2 3 2 2 4" xfId="4663"/>
    <cellStyle name="40% - Accent4 3 2 3 2 2 4 2" xfId="8815"/>
    <cellStyle name="40% - Accent4 3 2 3 2 2 5" xfId="6742"/>
    <cellStyle name="40% - Accent4 3 2 3 2 3" xfId="2935"/>
    <cellStyle name="40% - Accent4 3 2 3 2 3 2" xfId="5021"/>
    <cellStyle name="40% - Accent4 3 2 3 2 3 2 2" xfId="9172"/>
    <cellStyle name="40% - Accent4 3 2 3 2 3 3" xfId="7099"/>
    <cellStyle name="40% - Accent4 3 2 3 2 4" xfId="3608"/>
    <cellStyle name="40% - Accent4 3 2 3 2 4 2" xfId="5693"/>
    <cellStyle name="40% - Accent4 3 2 3 2 4 2 2" xfId="9844"/>
    <cellStyle name="40% - Accent4 3 2 3 2 4 3" xfId="7771"/>
    <cellStyle name="40% - Accent4 3 2 3 2 5" xfId="4327"/>
    <cellStyle name="40% - Accent4 3 2 3 2 5 2" xfId="8479"/>
    <cellStyle name="40% - Accent4 3 2 3 2 6" xfId="6406"/>
    <cellStyle name="40% - Accent4 3 2 3 3" xfId="2377"/>
    <cellStyle name="40% - Accent4 3 2 3 3 2" xfId="3103"/>
    <cellStyle name="40% - Accent4 3 2 3 3 2 2" xfId="5189"/>
    <cellStyle name="40% - Accent4 3 2 3 3 2 2 2" xfId="9340"/>
    <cellStyle name="40% - Accent4 3 2 3 3 2 3" xfId="7267"/>
    <cellStyle name="40% - Accent4 3 2 3 3 3" xfId="3776"/>
    <cellStyle name="40% - Accent4 3 2 3 3 3 2" xfId="5861"/>
    <cellStyle name="40% - Accent4 3 2 3 3 3 2 2" xfId="10012"/>
    <cellStyle name="40% - Accent4 3 2 3 3 3 3" xfId="7939"/>
    <cellStyle name="40% - Accent4 3 2 3 3 4" xfId="4495"/>
    <cellStyle name="40% - Accent4 3 2 3 3 4 2" xfId="8647"/>
    <cellStyle name="40% - Accent4 3 2 3 3 5" xfId="6574"/>
    <cellStyle name="40% - Accent4 3 2 3 4" xfId="2767"/>
    <cellStyle name="40% - Accent4 3 2 3 4 2" xfId="4853"/>
    <cellStyle name="40% - Accent4 3 2 3 4 2 2" xfId="9004"/>
    <cellStyle name="40% - Accent4 3 2 3 4 3" xfId="6931"/>
    <cellStyle name="40% - Accent4 3 2 3 5" xfId="3440"/>
    <cellStyle name="40% - Accent4 3 2 3 5 2" xfId="5525"/>
    <cellStyle name="40% - Accent4 3 2 3 5 2 2" xfId="9676"/>
    <cellStyle name="40% - Accent4 3 2 3 5 3" xfId="7603"/>
    <cellStyle name="40% - Accent4 3 2 3 6" xfId="4159"/>
    <cellStyle name="40% - Accent4 3 2 3 6 2" xfId="8311"/>
    <cellStyle name="40% - Accent4 3 2 3 7" xfId="6238"/>
    <cellStyle name="40% - Accent4 3 2 4" xfId="2116"/>
    <cellStyle name="40% - Accent4 3 2 4 2" xfId="2289"/>
    <cellStyle name="40% - Accent4 3 2 4 2 2" xfId="2630"/>
    <cellStyle name="40% - Accent4 3 2 4 2 2 2" xfId="3355"/>
    <cellStyle name="40% - Accent4 3 2 4 2 2 2 2" xfId="5441"/>
    <cellStyle name="40% - Accent4 3 2 4 2 2 2 2 2" xfId="9592"/>
    <cellStyle name="40% - Accent4 3 2 4 2 2 2 3" xfId="7519"/>
    <cellStyle name="40% - Accent4 3 2 4 2 2 3" xfId="4028"/>
    <cellStyle name="40% - Accent4 3 2 4 2 2 3 2" xfId="6113"/>
    <cellStyle name="40% - Accent4 3 2 4 2 2 3 2 2" xfId="10264"/>
    <cellStyle name="40% - Accent4 3 2 4 2 2 3 3" xfId="8191"/>
    <cellStyle name="40% - Accent4 3 2 4 2 2 4" xfId="4747"/>
    <cellStyle name="40% - Accent4 3 2 4 2 2 4 2" xfId="8899"/>
    <cellStyle name="40% - Accent4 3 2 4 2 2 5" xfId="6826"/>
    <cellStyle name="40% - Accent4 3 2 4 2 3" xfId="3019"/>
    <cellStyle name="40% - Accent4 3 2 4 2 3 2" xfId="5105"/>
    <cellStyle name="40% - Accent4 3 2 4 2 3 2 2" xfId="9256"/>
    <cellStyle name="40% - Accent4 3 2 4 2 3 3" xfId="7183"/>
    <cellStyle name="40% - Accent4 3 2 4 2 4" xfId="3692"/>
    <cellStyle name="40% - Accent4 3 2 4 2 4 2" xfId="5777"/>
    <cellStyle name="40% - Accent4 3 2 4 2 4 2 2" xfId="9928"/>
    <cellStyle name="40% - Accent4 3 2 4 2 4 3" xfId="7855"/>
    <cellStyle name="40% - Accent4 3 2 4 2 5" xfId="4411"/>
    <cellStyle name="40% - Accent4 3 2 4 2 5 2" xfId="8563"/>
    <cellStyle name="40% - Accent4 3 2 4 2 6" xfId="6490"/>
    <cellStyle name="40% - Accent4 3 2 4 3" xfId="2462"/>
    <cellStyle name="40% - Accent4 3 2 4 3 2" xfId="3187"/>
    <cellStyle name="40% - Accent4 3 2 4 3 2 2" xfId="5273"/>
    <cellStyle name="40% - Accent4 3 2 4 3 2 2 2" xfId="9424"/>
    <cellStyle name="40% - Accent4 3 2 4 3 2 3" xfId="7351"/>
    <cellStyle name="40% - Accent4 3 2 4 3 3" xfId="3860"/>
    <cellStyle name="40% - Accent4 3 2 4 3 3 2" xfId="5945"/>
    <cellStyle name="40% - Accent4 3 2 4 3 3 2 2" xfId="10096"/>
    <cellStyle name="40% - Accent4 3 2 4 3 3 3" xfId="8023"/>
    <cellStyle name="40% - Accent4 3 2 4 3 4" xfId="4579"/>
    <cellStyle name="40% - Accent4 3 2 4 3 4 2" xfId="8731"/>
    <cellStyle name="40% - Accent4 3 2 4 3 5" xfId="6658"/>
    <cellStyle name="40% - Accent4 3 2 4 4" xfId="2851"/>
    <cellStyle name="40% - Accent4 3 2 4 4 2" xfId="4937"/>
    <cellStyle name="40% - Accent4 3 2 4 4 2 2" xfId="9088"/>
    <cellStyle name="40% - Accent4 3 2 4 4 3" xfId="7015"/>
    <cellStyle name="40% - Accent4 3 2 4 5" xfId="3524"/>
    <cellStyle name="40% - Accent4 3 2 4 5 2" xfId="5609"/>
    <cellStyle name="40% - Accent4 3 2 4 5 2 2" xfId="9760"/>
    <cellStyle name="40% - Accent4 3 2 4 5 3" xfId="7687"/>
    <cellStyle name="40% - Accent4 3 2 4 6" xfId="4243"/>
    <cellStyle name="40% - Accent4 3 2 4 6 2" xfId="8395"/>
    <cellStyle name="40% - Accent4 3 2 4 7" xfId="6322"/>
    <cellStyle name="40% - Accent4 3 2 5" xfId="2162"/>
    <cellStyle name="40% - Accent4 3 2 5 2" xfId="2504"/>
    <cellStyle name="40% - Accent4 3 2 5 2 2" xfId="3229"/>
    <cellStyle name="40% - Accent4 3 2 5 2 2 2" xfId="5315"/>
    <cellStyle name="40% - Accent4 3 2 5 2 2 2 2" xfId="9466"/>
    <cellStyle name="40% - Accent4 3 2 5 2 2 3" xfId="7393"/>
    <cellStyle name="40% - Accent4 3 2 5 2 3" xfId="3902"/>
    <cellStyle name="40% - Accent4 3 2 5 2 3 2" xfId="5987"/>
    <cellStyle name="40% - Accent4 3 2 5 2 3 2 2" xfId="10138"/>
    <cellStyle name="40% - Accent4 3 2 5 2 3 3" xfId="8065"/>
    <cellStyle name="40% - Accent4 3 2 5 2 4" xfId="4621"/>
    <cellStyle name="40% - Accent4 3 2 5 2 4 2" xfId="8773"/>
    <cellStyle name="40% - Accent4 3 2 5 2 5" xfId="6700"/>
    <cellStyle name="40% - Accent4 3 2 5 3" xfId="2893"/>
    <cellStyle name="40% - Accent4 3 2 5 3 2" xfId="4979"/>
    <cellStyle name="40% - Accent4 3 2 5 3 2 2" xfId="9130"/>
    <cellStyle name="40% - Accent4 3 2 5 3 3" xfId="7057"/>
    <cellStyle name="40% - Accent4 3 2 5 4" xfId="3566"/>
    <cellStyle name="40% - Accent4 3 2 5 4 2" xfId="5651"/>
    <cellStyle name="40% - Accent4 3 2 5 4 2 2" xfId="9802"/>
    <cellStyle name="40% - Accent4 3 2 5 4 3" xfId="7729"/>
    <cellStyle name="40% - Accent4 3 2 5 5" xfId="4285"/>
    <cellStyle name="40% - Accent4 3 2 5 5 2" xfId="8437"/>
    <cellStyle name="40% - Accent4 3 2 5 6" xfId="6364"/>
    <cellStyle name="40% - Accent4 3 2 6" xfId="2335"/>
    <cellStyle name="40% - Accent4 3 2 6 2" xfId="3061"/>
    <cellStyle name="40% - Accent4 3 2 6 2 2" xfId="5147"/>
    <cellStyle name="40% - Accent4 3 2 6 2 2 2" xfId="9298"/>
    <cellStyle name="40% - Accent4 3 2 6 2 3" xfId="7225"/>
    <cellStyle name="40% - Accent4 3 2 6 3" xfId="3734"/>
    <cellStyle name="40% - Accent4 3 2 6 3 2" xfId="5819"/>
    <cellStyle name="40% - Accent4 3 2 6 3 2 2" xfId="9970"/>
    <cellStyle name="40% - Accent4 3 2 6 3 3" xfId="7897"/>
    <cellStyle name="40% - Accent4 3 2 6 4" xfId="4453"/>
    <cellStyle name="40% - Accent4 3 2 6 4 2" xfId="8605"/>
    <cellStyle name="40% - Accent4 3 2 6 5" xfId="6532"/>
    <cellStyle name="40% - Accent4 3 2 7" xfId="2725"/>
    <cellStyle name="40% - Accent4 3 2 7 2" xfId="4811"/>
    <cellStyle name="40% - Accent4 3 2 7 2 2" xfId="8962"/>
    <cellStyle name="40% - Accent4 3 2 7 3" xfId="6889"/>
    <cellStyle name="40% - Accent4 3 2 8" xfId="3398"/>
    <cellStyle name="40% - Accent4 3 2 8 2" xfId="5483"/>
    <cellStyle name="40% - Accent4 3 2 8 2 2" xfId="9634"/>
    <cellStyle name="40% - Accent4 3 2 8 3" xfId="7561"/>
    <cellStyle name="40% - Accent4 3 2 9" xfId="4115"/>
    <cellStyle name="40% - Accent4 3 2 9 2" xfId="8269"/>
    <cellStyle name="40% - Accent4 3 3" xfId="1998"/>
    <cellStyle name="40% - Accent4 3 3 2" xfId="2226"/>
    <cellStyle name="40% - Accent4 3 3 2 2" xfId="2567"/>
    <cellStyle name="40% - Accent4 3 3 2 2 2" xfId="3292"/>
    <cellStyle name="40% - Accent4 3 3 2 2 2 2" xfId="5378"/>
    <cellStyle name="40% - Accent4 3 3 2 2 2 2 2" xfId="9529"/>
    <cellStyle name="40% - Accent4 3 3 2 2 2 3" xfId="7456"/>
    <cellStyle name="40% - Accent4 3 3 2 2 3" xfId="3965"/>
    <cellStyle name="40% - Accent4 3 3 2 2 3 2" xfId="6050"/>
    <cellStyle name="40% - Accent4 3 3 2 2 3 2 2" xfId="10201"/>
    <cellStyle name="40% - Accent4 3 3 2 2 3 3" xfId="8128"/>
    <cellStyle name="40% - Accent4 3 3 2 2 4" xfId="4684"/>
    <cellStyle name="40% - Accent4 3 3 2 2 4 2" xfId="8836"/>
    <cellStyle name="40% - Accent4 3 3 2 2 5" xfId="6763"/>
    <cellStyle name="40% - Accent4 3 3 2 3" xfId="2956"/>
    <cellStyle name="40% - Accent4 3 3 2 3 2" xfId="5042"/>
    <cellStyle name="40% - Accent4 3 3 2 3 2 2" xfId="9193"/>
    <cellStyle name="40% - Accent4 3 3 2 3 3" xfId="7120"/>
    <cellStyle name="40% - Accent4 3 3 2 4" xfId="3629"/>
    <cellStyle name="40% - Accent4 3 3 2 4 2" xfId="5714"/>
    <cellStyle name="40% - Accent4 3 3 2 4 2 2" xfId="9865"/>
    <cellStyle name="40% - Accent4 3 3 2 4 3" xfId="7792"/>
    <cellStyle name="40% - Accent4 3 3 2 5" xfId="4348"/>
    <cellStyle name="40% - Accent4 3 3 2 5 2" xfId="8500"/>
    <cellStyle name="40% - Accent4 3 3 2 6" xfId="6427"/>
    <cellStyle name="40% - Accent4 3 3 3" xfId="2398"/>
    <cellStyle name="40% - Accent4 3 3 3 2" xfId="3124"/>
    <cellStyle name="40% - Accent4 3 3 3 2 2" xfId="5210"/>
    <cellStyle name="40% - Accent4 3 3 3 2 2 2" xfId="9361"/>
    <cellStyle name="40% - Accent4 3 3 3 2 3" xfId="7288"/>
    <cellStyle name="40% - Accent4 3 3 3 3" xfId="3797"/>
    <cellStyle name="40% - Accent4 3 3 3 3 2" xfId="5882"/>
    <cellStyle name="40% - Accent4 3 3 3 3 2 2" xfId="10033"/>
    <cellStyle name="40% - Accent4 3 3 3 3 3" xfId="7960"/>
    <cellStyle name="40% - Accent4 3 3 3 4" xfId="4516"/>
    <cellStyle name="40% - Accent4 3 3 3 4 2" xfId="8668"/>
    <cellStyle name="40% - Accent4 3 3 3 5" xfId="6595"/>
    <cellStyle name="40% - Accent4 3 3 4" xfId="2788"/>
    <cellStyle name="40% - Accent4 3 3 4 2" xfId="4874"/>
    <cellStyle name="40% - Accent4 3 3 4 2 2" xfId="9025"/>
    <cellStyle name="40% - Accent4 3 3 4 3" xfId="6952"/>
    <cellStyle name="40% - Accent4 3 3 5" xfId="3461"/>
    <cellStyle name="40% - Accent4 3 3 5 2" xfId="5546"/>
    <cellStyle name="40% - Accent4 3 3 5 2 2" xfId="9697"/>
    <cellStyle name="40% - Accent4 3 3 5 3" xfId="7624"/>
    <cellStyle name="40% - Accent4 3 3 6" xfId="4180"/>
    <cellStyle name="40% - Accent4 3 3 6 2" xfId="8332"/>
    <cellStyle name="40% - Accent4 3 3 7" xfId="6259"/>
    <cellStyle name="40% - Accent4 3 4" xfId="1897"/>
    <cellStyle name="40% - Accent4 3 4 2" xfId="2183"/>
    <cellStyle name="40% - Accent4 3 4 2 2" xfId="2525"/>
    <cellStyle name="40% - Accent4 3 4 2 2 2" xfId="3250"/>
    <cellStyle name="40% - Accent4 3 4 2 2 2 2" xfId="5336"/>
    <cellStyle name="40% - Accent4 3 4 2 2 2 2 2" xfId="9487"/>
    <cellStyle name="40% - Accent4 3 4 2 2 2 3" xfId="7414"/>
    <cellStyle name="40% - Accent4 3 4 2 2 3" xfId="3923"/>
    <cellStyle name="40% - Accent4 3 4 2 2 3 2" xfId="6008"/>
    <cellStyle name="40% - Accent4 3 4 2 2 3 2 2" xfId="10159"/>
    <cellStyle name="40% - Accent4 3 4 2 2 3 3" xfId="8086"/>
    <cellStyle name="40% - Accent4 3 4 2 2 4" xfId="4642"/>
    <cellStyle name="40% - Accent4 3 4 2 2 4 2" xfId="8794"/>
    <cellStyle name="40% - Accent4 3 4 2 2 5" xfId="6721"/>
    <cellStyle name="40% - Accent4 3 4 2 3" xfId="2914"/>
    <cellStyle name="40% - Accent4 3 4 2 3 2" xfId="5000"/>
    <cellStyle name="40% - Accent4 3 4 2 3 2 2" xfId="9151"/>
    <cellStyle name="40% - Accent4 3 4 2 3 3" xfId="7078"/>
    <cellStyle name="40% - Accent4 3 4 2 4" xfId="3587"/>
    <cellStyle name="40% - Accent4 3 4 2 4 2" xfId="5672"/>
    <cellStyle name="40% - Accent4 3 4 2 4 2 2" xfId="9823"/>
    <cellStyle name="40% - Accent4 3 4 2 4 3" xfId="7750"/>
    <cellStyle name="40% - Accent4 3 4 2 5" xfId="4306"/>
    <cellStyle name="40% - Accent4 3 4 2 5 2" xfId="8458"/>
    <cellStyle name="40% - Accent4 3 4 2 6" xfId="6385"/>
    <cellStyle name="40% - Accent4 3 4 3" xfId="2356"/>
    <cellStyle name="40% - Accent4 3 4 3 2" xfId="3082"/>
    <cellStyle name="40% - Accent4 3 4 3 2 2" xfId="5168"/>
    <cellStyle name="40% - Accent4 3 4 3 2 2 2" xfId="9319"/>
    <cellStyle name="40% - Accent4 3 4 3 2 3" xfId="7246"/>
    <cellStyle name="40% - Accent4 3 4 3 3" xfId="3755"/>
    <cellStyle name="40% - Accent4 3 4 3 3 2" xfId="5840"/>
    <cellStyle name="40% - Accent4 3 4 3 3 2 2" xfId="9991"/>
    <cellStyle name="40% - Accent4 3 4 3 3 3" xfId="7918"/>
    <cellStyle name="40% - Accent4 3 4 3 4" xfId="4474"/>
    <cellStyle name="40% - Accent4 3 4 3 4 2" xfId="8626"/>
    <cellStyle name="40% - Accent4 3 4 3 5" xfId="6553"/>
    <cellStyle name="40% - Accent4 3 4 4" xfId="2746"/>
    <cellStyle name="40% - Accent4 3 4 4 2" xfId="4832"/>
    <cellStyle name="40% - Accent4 3 4 4 2 2" xfId="8983"/>
    <cellStyle name="40% - Accent4 3 4 4 3" xfId="6910"/>
    <cellStyle name="40% - Accent4 3 4 5" xfId="3419"/>
    <cellStyle name="40% - Accent4 3 4 5 2" xfId="5504"/>
    <cellStyle name="40% - Accent4 3 4 5 2 2" xfId="9655"/>
    <cellStyle name="40% - Accent4 3 4 5 3" xfId="7582"/>
    <cellStyle name="40% - Accent4 3 4 6" xfId="4138"/>
    <cellStyle name="40% - Accent4 3 4 6 2" xfId="8290"/>
    <cellStyle name="40% - Accent4 3 4 7" xfId="6217"/>
    <cellStyle name="40% - Accent4 3 5" xfId="2095"/>
    <cellStyle name="40% - Accent4 3 5 2" xfId="2268"/>
    <cellStyle name="40% - Accent4 3 5 2 2" xfId="2609"/>
    <cellStyle name="40% - Accent4 3 5 2 2 2" xfId="3334"/>
    <cellStyle name="40% - Accent4 3 5 2 2 2 2" xfId="5420"/>
    <cellStyle name="40% - Accent4 3 5 2 2 2 2 2" xfId="9571"/>
    <cellStyle name="40% - Accent4 3 5 2 2 2 3" xfId="7498"/>
    <cellStyle name="40% - Accent4 3 5 2 2 3" xfId="4007"/>
    <cellStyle name="40% - Accent4 3 5 2 2 3 2" xfId="6092"/>
    <cellStyle name="40% - Accent4 3 5 2 2 3 2 2" xfId="10243"/>
    <cellStyle name="40% - Accent4 3 5 2 2 3 3" xfId="8170"/>
    <cellStyle name="40% - Accent4 3 5 2 2 4" xfId="4726"/>
    <cellStyle name="40% - Accent4 3 5 2 2 4 2" xfId="8878"/>
    <cellStyle name="40% - Accent4 3 5 2 2 5" xfId="6805"/>
    <cellStyle name="40% - Accent4 3 5 2 3" xfId="2998"/>
    <cellStyle name="40% - Accent4 3 5 2 3 2" xfId="5084"/>
    <cellStyle name="40% - Accent4 3 5 2 3 2 2" xfId="9235"/>
    <cellStyle name="40% - Accent4 3 5 2 3 3" xfId="7162"/>
    <cellStyle name="40% - Accent4 3 5 2 4" xfId="3671"/>
    <cellStyle name="40% - Accent4 3 5 2 4 2" xfId="5756"/>
    <cellStyle name="40% - Accent4 3 5 2 4 2 2" xfId="9907"/>
    <cellStyle name="40% - Accent4 3 5 2 4 3" xfId="7834"/>
    <cellStyle name="40% - Accent4 3 5 2 5" xfId="4390"/>
    <cellStyle name="40% - Accent4 3 5 2 5 2" xfId="8542"/>
    <cellStyle name="40% - Accent4 3 5 2 6" xfId="6469"/>
    <cellStyle name="40% - Accent4 3 5 3" xfId="2441"/>
    <cellStyle name="40% - Accent4 3 5 3 2" xfId="3166"/>
    <cellStyle name="40% - Accent4 3 5 3 2 2" xfId="5252"/>
    <cellStyle name="40% - Accent4 3 5 3 2 2 2" xfId="9403"/>
    <cellStyle name="40% - Accent4 3 5 3 2 3" xfId="7330"/>
    <cellStyle name="40% - Accent4 3 5 3 3" xfId="3839"/>
    <cellStyle name="40% - Accent4 3 5 3 3 2" xfId="5924"/>
    <cellStyle name="40% - Accent4 3 5 3 3 2 2" xfId="10075"/>
    <cellStyle name="40% - Accent4 3 5 3 3 3" xfId="8002"/>
    <cellStyle name="40% - Accent4 3 5 3 4" xfId="4558"/>
    <cellStyle name="40% - Accent4 3 5 3 4 2" xfId="8710"/>
    <cellStyle name="40% - Accent4 3 5 3 5" xfId="6637"/>
    <cellStyle name="40% - Accent4 3 5 4" xfId="2830"/>
    <cellStyle name="40% - Accent4 3 5 4 2" xfId="4916"/>
    <cellStyle name="40% - Accent4 3 5 4 2 2" xfId="9067"/>
    <cellStyle name="40% - Accent4 3 5 4 3" xfId="6994"/>
    <cellStyle name="40% - Accent4 3 5 5" xfId="3503"/>
    <cellStyle name="40% - Accent4 3 5 5 2" xfId="5588"/>
    <cellStyle name="40% - Accent4 3 5 5 2 2" xfId="9739"/>
    <cellStyle name="40% - Accent4 3 5 5 3" xfId="7666"/>
    <cellStyle name="40% - Accent4 3 5 6" xfId="4222"/>
    <cellStyle name="40% - Accent4 3 5 6 2" xfId="8374"/>
    <cellStyle name="40% - Accent4 3 5 7" xfId="6301"/>
    <cellStyle name="40% - Accent4 3 6" xfId="2138"/>
    <cellStyle name="40% - Accent4 3 6 2" xfId="2483"/>
    <cellStyle name="40% - Accent4 3 6 2 2" xfId="3208"/>
    <cellStyle name="40% - Accent4 3 6 2 2 2" xfId="5294"/>
    <cellStyle name="40% - Accent4 3 6 2 2 2 2" xfId="9445"/>
    <cellStyle name="40% - Accent4 3 6 2 2 3" xfId="7372"/>
    <cellStyle name="40% - Accent4 3 6 2 3" xfId="3881"/>
    <cellStyle name="40% - Accent4 3 6 2 3 2" xfId="5966"/>
    <cellStyle name="40% - Accent4 3 6 2 3 2 2" xfId="10117"/>
    <cellStyle name="40% - Accent4 3 6 2 3 3" xfId="8044"/>
    <cellStyle name="40% - Accent4 3 6 2 4" xfId="4600"/>
    <cellStyle name="40% - Accent4 3 6 2 4 2" xfId="8752"/>
    <cellStyle name="40% - Accent4 3 6 2 5" xfId="6679"/>
    <cellStyle name="40% - Accent4 3 6 3" xfId="2872"/>
    <cellStyle name="40% - Accent4 3 6 3 2" xfId="4958"/>
    <cellStyle name="40% - Accent4 3 6 3 2 2" xfId="9109"/>
    <cellStyle name="40% - Accent4 3 6 3 3" xfId="7036"/>
    <cellStyle name="40% - Accent4 3 6 4" xfId="3545"/>
    <cellStyle name="40% - Accent4 3 6 4 2" xfId="5630"/>
    <cellStyle name="40% - Accent4 3 6 4 2 2" xfId="9781"/>
    <cellStyle name="40% - Accent4 3 6 4 3" xfId="7708"/>
    <cellStyle name="40% - Accent4 3 6 5" xfId="4264"/>
    <cellStyle name="40% - Accent4 3 6 5 2" xfId="8416"/>
    <cellStyle name="40% - Accent4 3 6 6" xfId="6343"/>
    <cellStyle name="40% - Accent4 3 7" xfId="2311"/>
    <cellStyle name="40% - Accent4 3 7 2" xfId="3040"/>
    <cellStyle name="40% - Accent4 3 7 2 2" xfId="5126"/>
    <cellStyle name="40% - Accent4 3 7 2 2 2" xfId="9277"/>
    <cellStyle name="40% - Accent4 3 7 2 3" xfId="7204"/>
    <cellStyle name="40% - Accent4 3 7 3" xfId="3713"/>
    <cellStyle name="40% - Accent4 3 7 3 2" xfId="5798"/>
    <cellStyle name="40% - Accent4 3 7 3 2 2" xfId="9949"/>
    <cellStyle name="40% - Accent4 3 7 3 3" xfId="7876"/>
    <cellStyle name="40% - Accent4 3 7 4" xfId="4432"/>
    <cellStyle name="40% - Accent4 3 7 4 2" xfId="8584"/>
    <cellStyle name="40% - Accent4 3 7 5" xfId="6511"/>
    <cellStyle name="40% - Accent4 3 8" xfId="2702"/>
    <cellStyle name="40% - Accent4 3 8 2" xfId="4790"/>
    <cellStyle name="40% - Accent4 3 8 2 2" xfId="8941"/>
    <cellStyle name="40% - Accent4 3 8 3" xfId="6868"/>
    <cellStyle name="40% - Accent4 3 9" xfId="3377"/>
    <cellStyle name="40% - Accent4 3 9 2" xfId="5462"/>
    <cellStyle name="40% - Accent4 3 9 2 2" xfId="9613"/>
    <cellStyle name="40% - Accent4 3 9 3" xfId="7540"/>
    <cellStyle name="40% - Accent4 4" xfId="4053"/>
    <cellStyle name="40% - Accent4 4 2" xfId="6138"/>
    <cellStyle name="40% - Accent4 4 2 2" xfId="10289"/>
    <cellStyle name="40% - Accent4 4 3" xfId="8216"/>
    <cellStyle name="40% - Accent4 5" xfId="4765"/>
    <cellStyle name="40% - Accent4 5 2" xfId="8917"/>
    <cellStyle name="40% - Accent4 6" xfId="6844"/>
    <cellStyle name="40% - Accent5" xfId="2672" builtinId="47" customBuiltin="1"/>
    <cellStyle name="40% - Accent5 2" xfId="255"/>
    <cellStyle name="40% - Accent5 2 2" xfId="256"/>
    <cellStyle name="40% - Accent5 3" xfId="257"/>
    <cellStyle name="40% - Accent5 3 10" xfId="4091"/>
    <cellStyle name="40% - Accent5 3 10 2" xfId="8249"/>
    <cellStyle name="40% - Accent5 3 11" xfId="6176"/>
    <cellStyle name="40% - Accent5 3 2" xfId="1336"/>
    <cellStyle name="40% - Accent5 3 2 10" xfId="6197"/>
    <cellStyle name="40% - Accent5 3 2 2" xfId="2074"/>
    <cellStyle name="40% - Accent5 3 2 2 2" xfId="2248"/>
    <cellStyle name="40% - Accent5 3 2 2 2 2" xfId="2589"/>
    <cellStyle name="40% - Accent5 3 2 2 2 2 2" xfId="3314"/>
    <cellStyle name="40% - Accent5 3 2 2 2 2 2 2" xfId="5400"/>
    <cellStyle name="40% - Accent5 3 2 2 2 2 2 2 2" xfId="9551"/>
    <cellStyle name="40% - Accent5 3 2 2 2 2 2 3" xfId="7478"/>
    <cellStyle name="40% - Accent5 3 2 2 2 2 3" xfId="3987"/>
    <cellStyle name="40% - Accent5 3 2 2 2 2 3 2" xfId="6072"/>
    <cellStyle name="40% - Accent5 3 2 2 2 2 3 2 2" xfId="10223"/>
    <cellStyle name="40% - Accent5 3 2 2 2 2 3 3" xfId="8150"/>
    <cellStyle name="40% - Accent5 3 2 2 2 2 4" xfId="4706"/>
    <cellStyle name="40% - Accent5 3 2 2 2 2 4 2" xfId="8858"/>
    <cellStyle name="40% - Accent5 3 2 2 2 2 5" xfId="6785"/>
    <cellStyle name="40% - Accent5 3 2 2 2 3" xfId="2978"/>
    <cellStyle name="40% - Accent5 3 2 2 2 3 2" xfId="5064"/>
    <cellStyle name="40% - Accent5 3 2 2 2 3 2 2" xfId="9215"/>
    <cellStyle name="40% - Accent5 3 2 2 2 3 3" xfId="7142"/>
    <cellStyle name="40% - Accent5 3 2 2 2 4" xfId="3651"/>
    <cellStyle name="40% - Accent5 3 2 2 2 4 2" xfId="5736"/>
    <cellStyle name="40% - Accent5 3 2 2 2 4 2 2" xfId="9887"/>
    <cellStyle name="40% - Accent5 3 2 2 2 4 3" xfId="7814"/>
    <cellStyle name="40% - Accent5 3 2 2 2 5" xfId="4370"/>
    <cellStyle name="40% - Accent5 3 2 2 2 5 2" xfId="8522"/>
    <cellStyle name="40% - Accent5 3 2 2 2 6" xfId="6449"/>
    <cellStyle name="40% - Accent5 3 2 2 3" xfId="2421"/>
    <cellStyle name="40% - Accent5 3 2 2 3 2" xfId="3146"/>
    <cellStyle name="40% - Accent5 3 2 2 3 2 2" xfId="5232"/>
    <cellStyle name="40% - Accent5 3 2 2 3 2 2 2" xfId="9383"/>
    <cellStyle name="40% - Accent5 3 2 2 3 2 3" xfId="7310"/>
    <cellStyle name="40% - Accent5 3 2 2 3 3" xfId="3819"/>
    <cellStyle name="40% - Accent5 3 2 2 3 3 2" xfId="5904"/>
    <cellStyle name="40% - Accent5 3 2 2 3 3 2 2" xfId="10055"/>
    <cellStyle name="40% - Accent5 3 2 2 3 3 3" xfId="7982"/>
    <cellStyle name="40% - Accent5 3 2 2 3 4" xfId="4538"/>
    <cellStyle name="40% - Accent5 3 2 2 3 4 2" xfId="8690"/>
    <cellStyle name="40% - Accent5 3 2 2 3 5" xfId="6617"/>
    <cellStyle name="40% - Accent5 3 2 2 4" xfId="2810"/>
    <cellStyle name="40% - Accent5 3 2 2 4 2" xfId="4896"/>
    <cellStyle name="40% - Accent5 3 2 2 4 2 2" xfId="9047"/>
    <cellStyle name="40% - Accent5 3 2 2 4 3" xfId="6974"/>
    <cellStyle name="40% - Accent5 3 2 2 5" xfId="3483"/>
    <cellStyle name="40% - Accent5 3 2 2 5 2" xfId="5568"/>
    <cellStyle name="40% - Accent5 3 2 2 5 2 2" xfId="9719"/>
    <cellStyle name="40% - Accent5 3 2 2 5 3" xfId="7646"/>
    <cellStyle name="40% - Accent5 3 2 2 6" xfId="4202"/>
    <cellStyle name="40% - Accent5 3 2 2 6 2" xfId="8354"/>
    <cellStyle name="40% - Accent5 3 2 2 7" xfId="6281"/>
    <cellStyle name="40% - Accent5 3 2 3" xfId="1974"/>
    <cellStyle name="40% - Accent5 3 2 3 2" xfId="2206"/>
    <cellStyle name="40% - Accent5 3 2 3 2 2" xfId="2547"/>
    <cellStyle name="40% - Accent5 3 2 3 2 2 2" xfId="3272"/>
    <cellStyle name="40% - Accent5 3 2 3 2 2 2 2" xfId="5358"/>
    <cellStyle name="40% - Accent5 3 2 3 2 2 2 2 2" xfId="9509"/>
    <cellStyle name="40% - Accent5 3 2 3 2 2 2 3" xfId="7436"/>
    <cellStyle name="40% - Accent5 3 2 3 2 2 3" xfId="3945"/>
    <cellStyle name="40% - Accent5 3 2 3 2 2 3 2" xfId="6030"/>
    <cellStyle name="40% - Accent5 3 2 3 2 2 3 2 2" xfId="10181"/>
    <cellStyle name="40% - Accent5 3 2 3 2 2 3 3" xfId="8108"/>
    <cellStyle name="40% - Accent5 3 2 3 2 2 4" xfId="4664"/>
    <cellStyle name="40% - Accent5 3 2 3 2 2 4 2" xfId="8816"/>
    <cellStyle name="40% - Accent5 3 2 3 2 2 5" xfId="6743"/>
    <cellStyle name="40% - Accent5 3 2 3 2 3" xfId="2936"/>
    <cellStyle name="40% - Accent5 3 2 3 2 3 2" xfId="5022"/>
    <cellStyle name="40% - Accent5 3 2 3 2 3 2 2" xfId="9173"/>
    <cellStyle name="40% - Accent5 3 2 3 2 3 3" xfId="7100"/>
    <cellStyle name="40% - Accent5 3 2 3 2 4" xfId="3609"/>
    <cellStyle name="40% - Accent5 3 2 3 2 4 2" xfId="5694"/>
    <cellStyle name="40% - Accent5 3 2 3 2 4 2 2" xfId="9845"/>
    <cellStyle name="40% - Accent5 3 2 3 2 4 3" xfId="7772"/>
    <cellStyle name="40% - Accent5 3 2 3 2 5" xfId="4328"/>
    <cellStyle name="40% - Accent5 3 2 3 2 5 2" xfId="8480"/>
    <cellStyle name="40% - Accent5 3 2 3 2 6" xfId="6407"/>
    <cellStyle name="40% - Accent5 3 2 3 3" xfId="2378"/>
    <cellStyle name="40% - Accent5 3 2 3 3 2" xfId="3104"/>
    <cellStyle name="40% - Accent5 3 2 3 3 2 2" xfId="5190"/>
    <cellStyle name="40% - Accent5 3 2 3 3 2 2 2" xfId="9341"/>
    <cellStyle name="40% - Accent5 3 2 3 3 2 3" xfId="7268"/>
    <cellStyle name="40% - Accent5 3 2 3 3 3" xfId="3777"/>
    <cellStyle name="40% - Accent5 3 2 3 3 3 2" xfId="5862"/>
    <cellStyle name="40% - Accent5 3 2 3 3 3 2 2" xfId="10013"/>
    <cellStyle name="40% - Accent5 3 2 3 3 3 3" xfId="7940"/>
    <cellStyle name="40% - Accent5 3 2 3 3 4" xfId="4496"/>
    <cellStyle name="40% - Accent5 3 2 3 3 4 2" xfId="8648"/>
    <cellStyle name="40% - Accent5 3 2 3 3 5" xfId="6575"/>
    <cellStyle name="40% - Accent5 3 2 3 4" xfId="2768"/>
    <cellStyle name="40% - Accent5 3 2 3 4 2" xfId="4854"/>
    <cellStyle name="40% - Accent5 3 2 3 4 2 2" xfId="9005"/>
    <cellStyle name="40% - Accent5 3 2 3 4 3" xfId="6932"/>
    <cellStyle name="40% - Accent5 3 2 3 5" xfId="3441"/>
    <cellStyle name="40% - Accent5 3 2 3 5 2" xfId="5526"/>
    <cellStyle name="40% - Accent5 3 2 3 5 2 2" xfId="9677"/>
    <cellStyle name="40% - Accent5 3 2 3 5 3" xfId="7604"/>
    <cellStyle name="40% - Accent5 3 2 3 6" xfId="4160"/>
    <cellStyle name="40% - Accent5 3 2 3 6 2" xfId="8312"/>
    <cellStyle name="40% - Accent5 3 2 3 7" xfId="6239"/>
    <cellStyle name="40% - Accent5 3 2 4" xfId="2117"/>
    <cellStyle name="40% - Accent5 3 2 4 2" xfId="2290"/>
    <cellStyle name="40% - Accent5 3 2 4 2 2" xfId="2631"/>
    <cellStyle name="40% - Accent5 3 2 4 2 2 2" xfId="3356"/>
    <cellStyle name="40% - Accent5 3 2 4 2 2 2 2" xfId="5442"/>
    <cellStyle name="40% - Accent5 3 2 4 2 2 2 2 2" xfId="9593"/>
    <cellStyle name="40% - Accent5 3 2 4 2 2 2 3" xfId="7520"/>
    <cellStyle name="40% - Accent5 3 2 4 2 2 3" xfId="4029"/>
    <cellStyle name="40% - Accent5 3 2 4 2 2 3 2" xfId="6114"/>
    <cellStyle name="40% - Accent5 3 2 4 2 2 3 2 2" xfId="10265"/>
    <cellStyle name="40% - Accent5 3 2 4 2 2 3 3" xfId="8192"/>
    <cellStyle name="40% - Accent5 3 2 4 2 2 4" xfId="4748"/>
    <cellStyle name="40% - Accent5 3 2 4 2 2 4 2" xfId="8900"/>
    <cellStyle name="40% - Accent5 3 2 4 2 2 5" xfId="6827"/>
    <cellStyle name="40% - Accent5 3 2 4 2 3" xfId="3020"/>
    <cellStyle name="40% - Accent5 3 2 4 2 3 2" xfId="5106"/>
    <cellStyle name="40% - Accent5 3 2 4 2 3 2 2" xfId="9257"/>
    <cellStyle name="40% - Accent5 3 2 4 2 3 3" xfId="7184"/>
    <cellStyle name="40% - Accent5 3 2 4 2 4" xfId="3693"/>
    <cellStyle name="40% - Accent5 3 2 4 2 4 2" xfId="5778"/>
    <cellStyle name="40% - Accent5 3 2 4 2 4 2 2" xfId="9929"/>
    <cellStyle name="40% - Accent5 3 2 4 2 4 3" xfId="7856"/>
    <cellStyle name="40% - Accent5 3 2 4 2 5" xfId="4412"/>
    <cellStyle name="40% - Accent5 3 2 4 2 5 2" xfId="8564"/>
    <cellStyle name="40% - Accent5 3 2 4 2 6" xfId="6491"/>
    <cellStyle name="40% - Accent5 3 2 4 3" xfId="2463"/>
    <cellStyle name="40% - Accent5 3 2 4 3 2" xfId="3188"/>
    <cellStyle name="40% - Accent5 3 2 4 3 2 2" xfId="5274"/>
    <cellStyle name="40% - Accent5 3 2 4 3 2 2 2" xfId="9425"/>
    <cellStyle name="40% - Accent5 3 2 4 3 2 3" xfId="7352"/>
    <cellStyle name="40% - Accent5 3 2 4 3 3" xfId="3861"/>
    <cellStyle name="40% - Accent5 3 2 4 3 3 2" xfId="5946"/>
    <cellStyle name="40% - Accent5 3 2 4 3 3 2 2" xfId="10097"/>
    <cellStyle name="40% - Accent5 3 2 4 3 3 3" xfId="8024"/>
    <cellStyle name="40% - Accent5 3 2 4 3 4" xfId="4580"/>
    <cellStyle name="40% - Accent5 3 2 4 3 4 2" xfId="8732"/>
    <cellStyle name="40% - Accent5 3 2 4 3 5" xfId="6659"/>
    <cellStyle name="40% - Accent5 3 2 4 4" xfId="2852"/>
    <cellStyle name="40% - Accent5 3 2 4 4 2" xfId="4938"/>
    <cellStyle name="40% - Accent5 3 2 4 4 2 2" xfId="9089"/>
    <cellStyle name="40% - Accent5 3 2 4 4 3" xfId="7016"/>
    <cellStyle name="40% - Accent5 3 2 4 5" xfId="3525"/>
    <cellStyle name="40% - Accent5 3 2 4 5 2" xfId="5610"/>
    <cellStyle name="40% - Accent5 3 2 4 5 2 2" xfId="9761"/>
    <cellStyle name="40% - Accent5 3 2 4 5 3" xfId="7688"/>
    <cellStyle name="40% - Accent5 3 2 4 6" xfId="4244"/>
    <cellStyle name="40% - Accent5 3 2 4 6 2" xfId="8396"/>
    <cellStyle name="40% - Accent5 3 2 4 7" xfId="6323"/>
    <cellStyle name="40% - Accent5 3 2 5" xfId="2163"/>
    <cellStyle name="40% - Accent5 3 2 5 2" xfId="2505"/>
    <cellStyle name="40% - Accent5 3 2 5 2 2" xfId="3230"/>
    <cellStyle name="40% - Accent5 3 2 5 2 2 2" xfId="5316"/>
    <cellStyle name="40% - Accent5 3 2 5 2 2 2 2" xfId="9467"/>
    <cellStyle name="40% - Accent5 3 2 5 2 2 3" xfId="7394"/>
    <cellStyle name="40% - Accent5 3 2 5 2 3" xfId="3903"/>
    <cellStyle name="40% - Accent5 3 2 5 2 3 2" xfId="5988"/>
    <cellStyle name="40% - Accent5 3 2 5 2 3 2 2" xfId="10139"/>
    <cellStyle name="40% - Accent5 3 2 5 2 3 3" xfId="8066"/>
    <cellStyle name="40% - Accent5 3 2 5 2 4" xfId="4622"/>
    <cellStyle name="40% - Accent5 3 2 5 2 4 2" xfId="8774"/>
    <cellStyle name="40% - Accent5 3 2 5 2 5" xfId="6701"/>
    <cellStyle name="40% - Accent5 3 2 5 3" xfId="2894"/>
    <cellStyle name="40% - Accent5 3 2 5 3 2" xfId="4980"/>
    <cellStyle name="40% - Accent5 3 2 5 3 2 2" xfId="9131"/>
    <cellStyle name="40% - Accent5 3 2 5 3 3" xfId="7058"/>
    <cellStyle name="40% - Accent5 3 2 5 4" xfId="3567"/>
    <cellStyle name="40% - Accent5 3 2 5 4 2" xfId="5652"/>
    <cellStyle name="40% - Accent5 3 2 5 4 2 2" xfId="9803"/>
    <cellStyle name="40% - Accent5 3 2 5 4 3" xfId="7730"/>
    <cellStyle name="40% - Accent5 3 2 5 5" xfId="4286"/>
    <cellStyle name="40% - Accent5 3 2 5 5 2" xfId="8438"/>
    <cellStyle name="40% - Accent5 3 2 5 6" xfId="6365"/>
    <cellStyle name="40% - Accent5 3 2 6" xfId="2336"/>
    <cellStyle name="40% - Accent5 3 2 6 2" xfId="3062"/>
    <cellStyle name="40% - Accent5 3 2 6 2 2" xfId="5148"/>
    <cellStyle name="40% - Accent5 3 2 6 2 2 2" xfId="9299"/>
    <cellStyle name="40% - Accent5 3 2 6 2 3" xfId="7226"/>
    <cellStyle name="40% - Accent5 3 2 6 3" xfId="3735"/>
    <cellStyle name="40% - Accent5 3 2 6 3 2" xfId="5820"/>
    <cellStyle name="40% - Accent5 3 2 6 3 2 2" xfId="9971"/>
    <cellStyle name="40% - Accent5 3 2 6 3 3" xfId="7898"/>
    <cellStyle name="40% - Accent5 3 2 6 4" xfId="4454"/>
    <cellStyle name="40% - Accent5 3 2 6 4 2" xfId="8606"/>
    <cellStyle name="40% - Accent5 3 2 6 5" xfId="6533"/>
    <cellStyle name="40% - Accent5 3 2 7" xfId="2726"/>
    <cellStyle name="40% - Accent5 3 2 7 2" xfId="4812"/>
    <cellStyle name="40% - Accent5 3 2 7 2 2" xfId="8963"/>
    <cellStyle name="40% - Accent5 3 2 7 3" xfId="6890"/>
    <cellStyle name="40% - Accent5 3 2 8" xfId="3399"/>
    <cellStyle name="40% - Accent5 3 2 8 2" xfId="5484"/>
    <cellStyle name="40% - Accent5 3 2 8 2 2" xfId="9635"/>
    <cellStyle name="40% - Accent5 3 2 8 3" xfId="7562"/>
    <cellStyle name="40% - Accent5 3 2 9" xfId="4116"/>
    <cellStyle name="40% - Accent5 3 2 9 2" xfId="8270"/>
    <cellStyle name="40% - Accent5 3 3" xfId="1999"/>
    <cellStyle name="40% - Accent5 3 3 2" xfId="2227"/>
    <cellStyle name="40% - Accent5 3 3 2 2" xfId="2568"/>
    <cellStyle name="40% - Accent5 3 3 2 2 2" xfId="3293"/>
    <cellStyle name="40% - Accent5 3 3 2 2 2 2" xfId="5379"/>
    <cellStyle name="40% - Accent5 3 3 2 2 2 2 2" xfId="9530"/>
    <cellStyle name="40% - Accent5 3 3 2 2 2 3" xfId="7457"/>
    <cellStyle name="40% - Accent5 3 3 2 2 3" xfId="3966"/>
    <cellStyle name="40% - Accent5 3 3 2 2 3 2" xfId="6051"/>
    <cellStyle name="40% - Accent5 3 3 2 2 3 2 2" xfId="10202"/>
    <cellStyle name="40% - Accent5 3 3 2 2 3 3" xfId="8129"/>
    <cellStyle name="40% - Accent5 3 3 2 2 4" xfId="4685"/>
    <cellStyle name="40% - Accent5 3 3 2 2 4 2" xfId="8837"/>
    <cellStyle name="40% - Accent5 3 3 2 2 5" xfId="6764"/>
    <cellStyle name="40% - Accent5 3 3 2 3" xfId="2957"/>
    <cellStyle name="40% - Accent5 3 3 2 3 2" xfId="5043"/>
    <cellStyle name="40% - Accent5 3 3 2 3 2 2" xfId="9194"/>
    <cellStyle name="40% - Accent5 3 3 2 3 3" xfId="7121"/>
    <cellStyle name="40% - Accent5 3 3 2 4" xfId="3630"/>
    <cellStyle name="40% - Accent5 3 3 2 4 2" xfId="5715"/>
    <cellStyle name="40% - Accent5 3 3 2 4 2 2" xfId="9866"/>
    <cellStyle name="40% - Accent5 3 3 2 4 3" xfId="7793"/>
    <cellStyle name="40% - Accent5 3 3 2 5" xfId="4349"/>
    <cellStyle name="40% - Accent5 3 3 2 5 2" xfId="8501"/>
    <cellStyle name="40% - Accent5 3 3 2 6" xfId="6428"/>
    <cellStyle name="40% - Accent5 3 3 3" xfId="2399"/>
    <cellStyle name="40% - Accent5 3 3 3 2" xfId="3125"/>
    <cellStyle name="40% - Accent5 3 3 3 2 2" xfId="5211"/>
    <cellStyle name="40% - Accent5 3 3 3 2 2 2" xfId="9362"/>
    <cellStyle name="40% - Accent5 3 3 3 2 3" xfId="7289"/>
    <cellStyle name="40% - Accent5 3 3 3 3" xfId="3798"/>
    <cellStyle name="40% - Accent5 3 3 3 3 2" xfId="5883"/>
    <cellStyle name="40% - Accent5 3 3 3 3 2 2" xfId="10034"/>
    <cellStyle name="40% - Accent5 3 3 3 3 3" xfId="7961"/>
    <cellStyle name="40% - Accent5 3 3 3 4" xfId="4517"/>
    <cellStyle name="40% - Accent5 3 3 3 4 2" xfId="8669"/>
    <cellStyle name="40% - Accent5 3 3 3 5" xfId="6596"/>
    <cellStyle name="40% - Accent5 3 3 4" xfId="2789"/>
    <cellStyle name="40% - Accent5 3 3 4 2" xfId="4875"/>
    <cellStyle name="40% - Accent5 3 3 4 2 2" xfId="9026"/>
    <cellStyle name="40% - Accent5 3 3 4 3" xfId="6953"/>
    <cellStyle name="40% - Accent5 3 3 5" xfId="3462"/>
    <cellStyle name="40% - Accent5 3 3 5 2" xfId="5547"/>
    <cellStyle name="40% - Accent5 3 3 5 2 2" xfId="9698"/>
    <cellStyle name="40% - Accent5 3 3 5 3" xfId="7625"/>
    <cellStyle name="40% - Accent5 3 3 6" xfId="4181"/>
    <cellStyle name="40% - Accent5 3 3 6 2" xfId="8333"/>
    <cellStyle name="40% - Accent5 3 3 7" xfId="6260"/>
    <cellStyle name="40% - Accent5 3 4" xfId="1898"/>
    <cellStyle name="40% - Accent5 3 4 2" xfId="2184"/>
    <cellStyle name="40% - Accent5 3 4 2 2" xfId="2526"/>
    <cellStyle name="40% - Accent5 3 4 2 2 2" xfId="3251"/>
    <cellStyle name="40% - Accent5 3 4 2 2 2 2" xfId="5337"/>
    <cellStyle name="40% - Accent5 3 4 2 2 2 2 2" xfId="9488"/>
    <cellStyle name="40% - Accent5 3 4 2 2 2 3" xfId="7415"/>
    <cellStyle name="40% - Accent5 3 4 2 2 3" xfId="3924"/>
    <cellStyle name="40% - Accent5 3 4 2 2 3 2" xfId="6009"/>
    <cellStyle name="40% - Accent5 3 4 2 2 3 2 2" xfId="10160"/>
    <cellStyle name="40% - Accent5 3 4 2 2 3 3" xfId="8087"/>
    <cellStyle name="40% - Accent5 3 4 2 2 4" xfId="4643"/>
    <cellStyle name="40% - Accent5 3 4 2 2 4 2" xfId="8795"/>
    <cellStyle name="40% - Accent5 3 4 2 2 5" xfId="6722"/>
    <cellStyle name="40% - Accent5 3 4 2 3" xfId="2915"/>
    <cellStyle name="40% - Accent5 3 4 2 3 2" xfId="5001"/>
    <cellStyle name="40% - Accent5 3 4 2 3 2 2" xfId="9152"/>
    <cellStyle name="40% - Accent5 3 4 2 3 3" xfId="7079"/>
    <cellStyle name="40% - Accent5 3 4 2 4" xfId="3588"/>
    <cellStyle name="40% - Accent5 3 4 2 4 2" xfId="5673"/>
    <cellStyle name="40% - Accent5 3 4 2 4 2 2" xfId="9824"/>
    <cellStyle name="40% - Accent5 3 4 2 4 3" xfId="7751"/>
    <cellStyle name="40% - Accent5 3 4 2 5" xfId="4307"/>
    <cellStyle name="40% - Accent5 3 4 2 5 2" xfId="8459"/>
    <cellStyle name="40% - Accent5 3 4 2 6" xfId="6386"/>
    <cellStyle name="40% - Accent5 3 4 3" xfId="2357"/>
    <cellStyle name="40% - Accent5 3 4 3 2" xfId="3083"/>
    <cellStyle name="40% - Accent5 3 4 3 2 2" xfId="5169"/>
    <cellStyle name="40% - Accent5 3 4 3 2 2 2" xfId="9320"/>
    <cellStyle name="40% - Accent5 3 4 3 2 3" xfId="7247"/>
    <cellStyle name="40% - Accent5 3 4 3 3" xfId="3756"/>
    <cellStyle name="40% - Accent5 3 4 3 3 2" xfId="5841"/>
    <cellStyle name="40% - Accent5 3 4 3 3 2 2" xfId="9992"/>
    <cellStyle name="40% - Accent5 3 4 3 3 3" xfId="7919"/>
    <cellStyle name="40% - Accent5 3 4 3 4" xfId="4475"/>
    <cellStyle name="40% - Accent5 3 4 3 4 2" xfId="8627"/>
    <cellStyle name="40% - Accent5 3 4 3 5" xfId="6554"/>
    <cellStyle name="40% - Accent5 3 4 4" xfId="2747"/>
    <cellStyle name="40% - Accent5 3 4 4 2" xfId="4833"/>
    <cellStyle name="40% - Accent5 3 4 4 2 2" xfId="8984"/>
    <cellStyle name="40% - Accent5 3 4 4 3" xfId="6911"/>
    <cellStyle name="40% - Accent5 3 4 5" xfId="3420"/>
    <cellStyle name="40% - Accent5 3 4 5 2" xfId="5505"/>
    <cellStyle name="40% - Accent5 3 4 5 2 2" xfId="9656"/>
    <cellStyle name="40% - Accent5 3 4 5 3" xfId="7583"/>
    <cellStyle name="40% - Accent5 3 4 6" xfId="4139"/>
    <cellStyle name="40% - Accent5 3 4 6 2" xfId="8291"/>
    <cellStyle name="40% - Accent5 3 4 7" xfId="6218"/>
    <cellStyle name="40% - Accent5 3 5" xfId="2096"/>
    <cellStyle name="40% - Accent5 3 5 2" xfId="2269"/>
    <cellStyle name="40% - Accent5 3 5 2 2" xfId="2610"/>
    <cellStyle name="40% - Accent5 3 5 2 2 2" xfId="3335"/>
    <cellStyle name="40% - Accent5 3 5 2 2 2 2" xfId="5421"/>
    <cellStyle name="40% - Accent5 3 5 2 2 2 2 2" xfId="9572"/>
    <cellStyle name="40% - Accent5 3 5 2 2 2 3" xfId="7499"/>
    <cellStyle name="40% - Accent5 3 5 2 2 3" xfId="4008"/>
    <cellStyle name="40% - Accent5 3 5 2 2 3 2" xfId="6093"/>
    <cellStyle name="40% - Accent5 3 5 2 2 3 2 2" xfId="10244"/>
    <cellStyle name="40% - Accent5 3 5 2 2 3 3" xfId="8171"/>
    <cellStyle name="40% - Accent5 3 5 2 2 4" xfId="4727"/>
    <cellStyle name="40% - Accent5 3 5 2 2 4 2" xfId="8879"/>
    <cellStyle name="40% - Accent5 3 5 2 2 5" xfId="6806"/>
    <cellStyle name="40% - Accent5 3 5 2 3" xfId="2999"/>
    <cellStyle name="40% - Accent5 3 5 2 3 2" xfId="5085"/>
    <cellStyle name="40% - Accent5 3 5 2 3 2 2" xfId="9236"/>
    <cellStyle name="40% - Accent5 3 5 2 3 3" xfId="7163"/>
    <cellStyle name="40% - Accent5 3 5 2 4" xfId="3672"/>
    <cellStyle name="40% - Accent5 3 5 2 4 2" xfId="5757"/>
    <cellStyle name="40% - Accent5 3 5 2 4 2 2" xfId="9908"/>
    <cellStyle name="40% - Accent5 3 5 2 4 3" xfId="7835"/>
    <cellStyle name="40% - Accent5 3 5 2 5" xfId="4391"/>
    <cellStyle name="40% - Accent5 3 5 2 5 2" xfId="8543"/>
    <cellStyle name="40% - Accent5 3 5 2 6" xfId="6470"/>
    <cellStyle name="40% - Accent5 3 5 3" xfId="2442"/>
    <cellStyle name="40% - Accent5 3 5 3 2" xfId="3167"/>
    <cellStyle name="40% - Accent5 3 5 3 2 2" xfId="5253"/>
    <cellStyle name="40% - Accent5 3 5 3 2 2 2" xfId="9404"/>
    <cellStyle name="40% - Accent5 3 5 3 2 3" xfId="7331"/>
    <cellStyle name="40% - Accent5 3 5 3 3" xfId="3840"/>
    <cellStyle name="40% - Accent5 3 5 3 3 2" xfId="5925"/>
    <cellStyle name="40% - Accent5 3 5 3 3 2 2" xfId="10076"/>
    <cellStyle name="40% - Accent5 3 5 3 3 3" xfId="8003"/>
    <cellStyle name="40% - Accent5 3 5 3 4" xfId="4559"/>
    <cellStyle name="40% - Accent5 3 5 3 4 2" xfId="8711"/>
    <cellStyle name="40% - Accent5 3 5 3 5" xfId="6638"/>
    <cellStyle name="40% - Accent5 3 5 4" xfId="2831"/>
    <cellStyle name="40% - Accent5 3 5 4 2" xfId="4917"/>
    <cellStyle name="40% - Accent5 3 5 4 2 2" xfId="9068"/>
    <cellStyle name="40% - Accent5 3 5 4 3" xfId="6995"/>
    <cellStyle name="40% - Accent5 3 5 5" xfId="3504"/>
    <cellStyle name="40% - Accent5 3 5 5 2" xfId="5589"/>
    <cellStyle name="40% - Accent5 3 5 5 2 2" xfId="9740"/>
    <cellStyle name="40% - Accent5 3 5 5 3" xfId="7667"/>
    <cellStyle name="40% - Accent5 3 5 6" xfId="4223"/>
    <cellStyle name="40% - Accent5 3 5 6 2" xfId="8375"/>
    <cellStyle name="40% - Accent5 3 5 7" xfId="6302"/>
    <cellStyle name="40% - Accent5 3 6" xfId="2139"/>
    <cellStyle name="40% - Accent5 3 6 2" xfId="2484"/>
    <cellStyle name="40% - Accent5 3 6 2 2" xfId="3209"/>
    <cellStyle name="40% - Accent5 3 6 2 2 2" xfId="5295"/>
    <cellStyle name="40% - Accent5 3 6 2 2 2 2" xfId="9446"/>
    <cellStyle name="40% - Accent5 3 6 2 2 3" xfId="7373"/>
    <cellStyle name="40% - Accent5 3 6 2 3" xfId="3882"/>
    <cellStyle name="40% - Accent5 3 6 2 3 2" xfId="5967"/>
    <cellStyle name="40% - Accent5 3 6 2 3 2 2" xfId="10118"/>
    <cellStyle name="40% - Accent5 3 6 2 3 3" xfId="8045"/>
    <cellStyle name="40% - Accent5 3 6 2 4" xfId="4601"/>
    <cellStyle name="40% - Accent5 3 6 2 4 2" xfId="8753"/>
    <cellStyle name="40% - Accent5 3 6 2 5" xfId="6680"/>
    <cellStyle name="40% - Accent5 3 6 3" xfId="2873"/>
    <cellStyle name="40% - Accent5 3 6 3 2" xfId="4959"/>
    <cellStyle name="40% - Accent5 3 6 3 2 2" xfId="9110"/>
    <cellStyle name="40% - Accent5 3 6 3 3" xfId="7037"/>
    <cellStyle name="40% - Accent5 3 6 4" xfId="3546"/>
    <cellStyle name="40% - Accent5 3 6 4 2" xfId="5631"/>
    <cellStyle name="40% - Accent5 3 6 4 2 2" xfId="9782"/>
    <cellStyle name="40% - Accent5 3 6 4 3" xfId="7709"/>
    <cellStyle name="40% - Accent5 3 6 5" xfId="4265"/>
    <cellStyle name="40% - Accent5 3 6 5 2" xfId="8417"/>
    <cellStyle name="40% - Accent5 3 6 6" xfId="6344"/>
    <cellStyle name="40% - Accent5 3 7" xfId="2312"/>
    <cellStyle name="40% - Accent5 3 7 2" xfId="3041"/>
    <cellStyle name="40% - Accent5 3 7 2 2" xfId="5127"/>
    <cellStyle name="40% - Accent5 3 7 2 2 2" xfId="9278"/>
    <cellStyle name="40% - Accent5 3 7 2 3" xfId="7205"/>
    <cellStyle name="40% - Accent5 3 7 3" xfId="3714"/>
    <cellStyle name="40% - Accent5 3 7 3 2" xfId="5799"/>
    <cellStyle name="40% - Accent5 3 7 3 2 2" xfId="9950"/>
    <cellStyle name="40% - Accent5 3 7 3 3" xfId="7877"/>
    <cellStyle name="40% - Accent5 3 7 4" xfId="4433"/>
    <cellStyle name="40% - Accent5 3 7 4 2" xfId="8585"/>
    <cellStyle name="40% - Accent5 3 7 5" xfId="6512"/>
    <cellStyle name="40% - Accent5 3 8" xfId="2703"/>
    <cellStyle name="40% - Accent5 3 8 2" xfId="4791"/>
    <cellStyle name="40% - Accent5 3 8 2 2" xfId="8942"/>
    <cellStyle name="40% - Accent5 3 8 3" xfId="6869"/>
    <cellStyle name="40% - Accent5 3 9" xfId="3378"/>
    <cellStyle name="40% - Accent5 3 9 2" xfId="5463"/>
    <cellStyle name="40% - Accent5 3 9 2 2" xfId="9614"/>
    <cellStyle name="40% - Accent5 3 9 3" xfId="7541"/>
    <cellStyle name="40% - Accent5 4" xfId="4055"/>
    <cellStyle name="40% - Accent5 4 2" xfId="6140"/>
    <cellStyle name="40% - Accent5 4 2 2" xfId="10291"/>
    <cellStyle name="40% - Accent5 4 3" xfId="8218"/>
    <cellStyle name="40% - Accent5 5" xfId="4767"/>
    <cellStyle name="40% - Accent5 5 2" xfId="8919"/>
    <cellStyle name="40% - Accent5 6" xfId="6846"/>
    <cellStyle name="40% - Accent6" xfId="2674" builtinId="51" customBuiltin="1"/>
    <cellStyle name="40% - Accent6 2" xfId="258"/>
    <cellStyle name="40% - Accent6 2 2" xfId="259"/>
    <cellStyle name="40% - Accent6 3" xfId="260"/>
    <cellStyle name="40% - Accent6 3 10" xfId="4092"/>
    <cellStyle name="40% - Accent6 3 10 2" xfId="8250"/>
    <cellStyle name="40% - Accent6 3 11" xfId="6177"/>
    <cellStyle name="40% - Accent6 3 2" xfId="1337"/>
    <cellStyle name="40% - Accent6 3 2 10" xfId="6198"/>
    <cellStyle name="40% - Accent6 3 2 2" xfId="2075"/>
    <cellStyle name="40% - Accent6 3 2 2 2" xfId="2249"/>
    <cellStyle name="40% - Accent6 3 2 2 2 2" xfId="2590"/>
    <cellStyle name="40% - Accent6 3 2 2 2 2 2" xfId="3315"/>
    <cellStyle name="40% - Accent6 3 2 2 2 2 2 2" xfId="5401"/>
    <cellStyle name="40% - Accent6 3 2 2 2 2 2 2 2" xfId="9552"/>
    <cellStyle name="40% - Accent6 3 2 2 2 2 2 3" xfId="7479"/>
    <cellStyle name="40% - Accent6 3 2 2 2 2 3" xfId="3988"/>
    <cellStyle name="40% - Accent6 3 2 2 2 2 3 2" xfId="6073"/>
    <cellStyle name="40% - Accent6 3 2 2 2 2 3 2 2" xfId="10224"/>
    <cellStyle name="40% - Accent6 3 2 2 2 2 3 3" xfId="8151"/>
    <cellStyle name="40% - Accent6 3 2 2 2 2 4" xfId="4707"/>
    <cellStyle name="40% - Accent6 3 2 2 2 2 4 2" xfId="8859"/>
    <cellStyle name="40% - Accent6 3 2 2 2 2 5" xfId="6786"/>
    <cellStyle name="40% - Accent6 3 2 2 2 3" xfId="2979"/>
    <cellStyle name="40% - Accent6 3 2 2 2 3 2" xfId="5065"/>
    <cellStyle name="40% - Accent6 3 2 2 2 3 2 2" xfId="9216"/>
    <cellStyle name="40% - Accent6 3 2 2 2 3 3" xfId="7143"/>
    <cellStyle name="40% - Accent6 3 2 2 2 4" xfId="3652"/>
    <cellStyle name="40% - Accent6 3 2 2 2 4 2" xfId="5737"/>
    <cellStyle name="40% - Accent6 3 2 2 2 4 2 2" xfId="9888"/>
    <cellStyle name="40% - Accent6 3 2 2 2 4 3" xfId="7815"/>
    <cellStyle name="40% - Accent6 3 2 2 2 5" xfId="4371"/>
    <cellStyle name="40% - Accent6 3 2 2 2 5 2" xfId="8523"/>
    <cellStyle name="40% - Accent6 3 2 2 2 6" xfId="6450"/>
    <cellStyle name="40% - Accent6 3 2 2 3" xfId="2422"/>
    <cellStyle name="40% - Accent6 3 2 2 3 2" xfId="3147"/>
    <cellStyle name="40% - Accent6 3 2 2 3 2 2" xfId="5233"/>
    <cellStyle name="40% - Accent6 3 2 2 3 2 2 2" xfId="9384"/>
    <cellStyle name="40% - Accent6 3 2 2 3 2 3" xfId="7311"/>
    <cellStyle name="40% - Accent6 3 2 2 3 3" xfId="3820"/>
    <cellStyle name="40% - Accent6 3 2 2 3 3 2" xfId="5905"/>
    <cellStyle name="40% - Accent6 3 2 2 3 3 2 2" xfId="10056"/>
    <cellStyle name="40% - Accent6 3 2 2 3 3 3" xfId="7983"/>
    <cellStyle name="40% - Accent6 3 2 2 3 4" xfId="4539"/>
    <cellStyle name="40% - Accent6 3 2 2 3 4 2" xfId="8691"/>
    <cellStyle name="40% - Accent6 3 2 2 3 5" xfId="6618"/>
    <cellStyle name="40% - Accent6 3 2 2 4" xfId="2811"/>
    <cellStyle name="40% - Accent6 3 2 2 4 2" xfId="4897"/>
    <cellStyle name="40% - Accent6 3 2 2 4 2 2" xfId="9048"/>
    <cellStyle name="40% - Accent6 3 2 2 4 3" xfId="6975"/>
    <cellStyle name="40% - Accent6 3 2 2 5" xfId="3484"/>
    <cellStyle name="40% - Accent6 3 2 2 5 2" xfId="5569"/>
    <cellStyle name="40% - Accent6 3 2 2 5 2 2" xfId="9720"/>
    <cellStyle name="40% - Accent6 3 2 2 5 3" xfId="7647"/>
    <cellStyle name="40% - Accent6 3 2 2 6" xfId="4203"/>
    <cellStyle name="40% - Accent6 3 2 2 6 2" xfId="8355"/>
    <cellStyle name="40% - Accent6 3 2 2 7" xfId="6282"/>
    <cellStyle name="40% - Accent6 3 2 3" xfId="1975"/>
    <cellStyle name="40% - Accent6 3 2 3 2" xfId="2207"/>
    <cellStyle name="40% - Accent6 3 2 3 2 2" xfId="2548"/>
    <cellStyle name="40% - Accent6 3 2 3 2 2 2" xfId="3273"/>
    <cellStyle name="40% - Accent6 3 2 3 2 2 2 2" xfId="5359"/>
    <cellStyle name="40% - Accent6 3 2 3 2 2 2 2 2" xfId="9510"/>
    <cellStyle name="40% - Accent6 3 2 3 2 2 2 3" xfId="7437"/>
    <cellStyle name="40% - Accent6 3 2 3 2 2 3" xfId="3946"/>
    <cellStyle name="40% - Accent6 3 2 3 2 2 3 2" xfId="6031"/>
    <cellStyle name="40% - Accent6 3 2 3 2 2 3 2 2" xfId="10182"/>
    <cellStyle name="40% - Accent6 3 2 3 2 2 3 3" xfId="8109"/>
    <cellStyle name="40% - Accent6 3 2 3 2 2 4" xfId="4665"/>
    <cellStyle name="40% - Accent6 3 2 3 2 2 4 2" xfId="8817"/>
    <cellStyle name="40% - Accent6 3 2 3 2 2 5" xfId="6744"/>
    <cellStyle name="40% - Accent6 3 2 3 2 3" xfId="2937"/>
    <cellStyle name="40% - Accent6 3 2 3 2 3 2" xfId="5023"/>
    <cellStyle name="40% - Accent6 3 2 3 2 3 2 2" xfId="9174"/>
    <cellStyle name="40% - Accent6 3 2 3 2 3 3" xfId="7101"/>
    <cellStyle name="40% - Accent6 3 2 3 2 4" xfId="3610"/>
    <cellStyle name="40% - Accent6 3 2 3 2 4 2" xfId="5695"/>
    <cellStyle name="40% - Accent6 3 2 3 2 4 2 2" xfId="9846"/>
    <cellStyle name="40% - Accent6 3 2 3 2 4 3" xfId="7773"/>
    <cellStyle name="40% - Accent6 3 2 3 2 5" xfId="4329"/>
    <cellStyle name="40% - Accent6 3 2 3 2 5 2" xfId="8481"/>
    <cellStyle name="40% - Accent6 3 2 3 2 6" xfId="6408"/>
    <cellStyle name="40% - Accent6 3 2 3 3" xfId="2379"/>
    <cellStyle name="40% - Accent6 3 2 3 3 2" xfId="3105"/>
    <cellStyle name="40% - Accent6 3 2 3 3 2 2" xfId="5191"/>
    <cellStyle name="40% - Accent6 3 2 3 3 2 2 2" xfId="9342"/>
    <cellStyle name="40% - Accent6 3 2 3 3 2 3" xfId="7269"/>
    <cellStyle name="40% - Accent6 3 2 3 3 3" xfId="3778"/>
    <cellStyle name="40% - Accent6 3 2 3 3 3 2" xfId="5863"/>
    <cellStyle name="40% - Accent6 3 2 3 3 3 2 2" xfId="10014"/>
    <cellStyle name="40% - Accent6 3 2 3 3 3 3" xfId="7941"/>
    <cellStyle name="40% - Accent6 3 2 3 3 4" xfId="4497"/>
    <cellStyle name="40% - Accent6 3 2 3 3 4 2" xfId="8649"/>
    <cellStyle name="40% - Accent6 3 2 3 3 5" xfId="6576"/>
    <cellStyle name="40% - Accent6 3 2 3 4" xfId="2769"/>
    <cellStyle name="40% - Accent6 3 2 3 4 2" xfId="4855"/>
    <cellStyle name="40% - Accent6 3 2 3 4 2 2" xfId="9006"/>
    <cellStyle name="40% - Accent6 3 2 3 4 3" xfId="6933"/>
    <cellStyle name="40% - Accent6 3 2 3 5" xfId="3442"/>
    <cellStyle name="40% - Accent6 3 2 3 5 2" xfId="5527"/>
    <cellStyle name="40% - Accent6 3 2 3 5 2 2" xfId="9678"/>
    <cellStyle name="40% - Accent6 3 2 3 5 3" xfId="7605"/>
    <cellStyle name="40% - Accent6 3 2 3 6" xfId="4161"/>
    <cellStyle name="40% - Accent6 3 2 3 6 2" xfId="8313"/>
    <cellStyle name="40% - Accent6 3 2 3 7" xfId="6240"/>
    <cellStyle name="40% - Accent6 3 2 4" xfId="2118"/>
    <cellStyle name="40% - Accent6 3 2 4 2" xfId="2291"/>
    <cellStyle name="40% - Accent6 3 2 4 2 2" xfId="2632"/>
    <cellStyle name="40% - Accent6 3 2 4 2 2 2" xfId="3357"/>
    <cellStyle name="40% - Accent6 3 2 4 2 2 2 2" xfId="5443"/>
    <cellStyle name="40% - Accent6 3 2 4 2 2 2 2 2" xfId="9594"/>
    <cellStyle name="40% - Accent6 3 2 4 2 2 2 3" xfId="7521"/>
    <cellStyle name="40% - Accent6 3 2 4 2 2 3" xfId="4030"/>
    <cellStyle name="40% - Accent6 3 2 4 2 2 3 2" xfId="6115"/>
    <cellStyle name="40% - Accent6 3 2 4 2 2 3 2 2" xfId="10266"/>
    <cellStyle name="40% - Accent6 3 2 4 2 2 3 3" xfId="8193"/>
    <cellStyle name="40% - Accent6 3 2 4 2 2 4" xfId="4749"/>
    <cellStyle name="40% - Accent6 3 2 4 2 2 4 2" xfId="8901"/>
    <cellStyle name="40% - Accent6 3 2 4 2 2 5" xfId="6828"/>
    <cellStyle name="40% - Accent6 3 2 4 2 3" xfId="3021"/>
    <cellStyle name="40% - Accent6 3 2 4 2 3 2" xfId="5107"/>
    <cellStyle name="40% - Accent6 3 2 4 2 3 2 2" xfId="9258"/>
    <cellStyle name="40% - Accent6 3 2 4 2 3 3" xfId="7185"/>
    <cellStyle name="40% - Accent6 3 2 4 2 4" xfId="3694"/>
    <cellStyle name="40% - Accent6 3 2 4 2 4 2" xfId="5779"/>
    <cellStyle name="40% - Accent6 3 2 4 2 4 2 2" xfId="9930"/>
    <cellStyle name="40% - Accent6 3 2 4 2 4 3" xfId="7857"/>
    <cellStyle name="40% - Accent6 3 2 4 2 5" xfId="4413"/>
    <cellStyle name="40% - Accent6 3 2 4 2 5 2" xfId="8565"/>
    <cellStyle name="40% - Accent6 3 2 4 2 6" xfId="6492"/>
    <cellStyle name="40% - Accent6 3 2 4 3" xfId="2464"/>
    <cellStyle name="40% - Accent6 3 2 4 3 2" xfId="3189"/>
    <cellStyle name="40% - Accent6 3 2 4 3 2 2" xfId="5275"/>
    <cellStyle name="40% - Accent6 3 2 4 3 2 2 2" xfId="9426"/>
    <cellStyle name="40% - Accent6 3 2 4 3 2 3" xfId="7353"/>
    <cellStyle name="40% - Accent6 3 2 4 3 3" xfId="3862"/>
    <cellStyle name="40% - Accent6 3 2 4 3 3 2" xfId="5947"/>
    <cellStyle name="40% - Accent6 3 2 4 3 3 2 2" xfId="10098"/>
    <cellStyle name="40% - Accent6 3 2 4 3 3 3" xfId="8025"/>
    <cellStyle name="40% - Accent6 3 2 4 3 4" xfId="4581"/>
    <cellStyle name="40% - Accent6 3 2 4 3 4 2" xfId="8733"/>
    <cellStyle name="40% - Accent6 3 2 4 3 5" xfId="6660"/>
    <cellStyle name="40% - Accent6 3 2 4 4" xfId="2853"/>
    <cellStyle name="40% - Accent6 3 2 4 4 2" xfId="4939"/>
    <cellStyle name="40% - Accent6 3 2 4 4 2 2" xfId="9090"/>
    <cellStyle name="40% - Accent6 3 2 4 4 3" xfId="7017"/>
    <cellStyle name="40% - Accent6 3 2 4 5" xfId="3526"/>
    <cellStyle name="40% - Accent6 3 2 4 5 2" xfId="5611"/>
    <cellStyle name="40% - Accent6 3 2 4 5 2 2" xfId="9762"/>
    <cellStyle name="40% - Accent6 3 2 4 5 3" xfId="7689"/>
    <cellStyle name="40% - Accent6 3 2 4 6" xfId="4245"/>
    <cellStyle name="40% - Accent6 3 2 4 6 2" xfId="8397"/>
    <cellStyle name="40% - Accent6 3 2 4 7" xfId="6324"/>
    <cellStyle name="40% - Accent6 3 2 5" xfId="2164"/>
    <cellStyle name="40% - Accent6 3 2 5 2" xfId="2506"/>
    <cellStyle name="40% - Accent6 3 2 5 2 2" xfId="3231"/>
    <cellStyle name="40% - Accent6 3 2 5 2 2 2" xfId="5317"/>
    <cellStyle name="40% - Accent6 3 2 5 2 2 2 2" xfId="9468"/>
    <cellStyle name="40% - Accent6 3 2 5 2 2 3" xfId="7395"/>
    <cellStyle name="40% - Accent6 3 2 5 2 3" xfId="3904"/>
    <cellStyle name="40% - Accent6 3 2 5 2 3 2" xfId="5989"/>
    <cellStyle name="40% - Accent6 3 2 5 2 3 2 2" xfId="10140"/>
    <cellStyle name="40% - Accent6 3 2 5 2 3 3" xfId="8067"/>
    <cellStyle name="40% - Accent6 3 2 5 2 4" xfId="4623"/>
    <cellStyle name="40% - Accent6 3 2 5 2 4 2" xfId="8775"/>
    <cellStyle name="40% - Accent6 3 2 5 2 5" xfId="6702"/>
    <cellStyle name="40% - Accent6 3 2 5 3" xfId="2895"/>
    <cellStyle name="40% - Accent6 3 2 5 3 2" xfId="4981"/>
    <cellStyle name="40% - Accent6 3 2 5 3 2 2" xfId="9132"/>
    <cellStyle name="40% - Accent6 3 2 5 3 3" xfId="7059"/>
    <cellStyle name="40% - Accent6 3 2 5 4" xfId="3568"/>
    <cellStyle name="40% - Accent6 3 2 5 4 2" xfId="5653"/>
    <cellStyle name="40% - Accent6 3 2 5 4 2 2" xfId="9804"/>
    <cellStyle name="40% - Accent6 3 2 5 4 3" xfId="7731"/>
    <cellStyle name="40% - Accent6 3 2 5 5" xfId="4287"/>
    <cellStyle name="40% - Accent6 3 2 5 5 2" xfId="8439"/>
    <cellStyle name="40% - Accent6 3 2 5 6" xfId="6366"/>
    <cellStyle name="40% - Accent6 3 2 6" xfId="2337"/>
    <cellStyle name="40% - Accent6 3 2 6 2" xfId="3063"/>
    <cellStyle name="40% - Accent6 3 2 6 2 2" xfId="5149"/>
    <cellStyle name="40% - Accent6 3 2 6 2 2 2" xfId="9300"/>
    <cellStyle name="40% - Accent6 3 2 6 2 3" xfId="7227"/>
    <cellStyle name="40% - Accent6 3 2 6 3" xfId="3736"/>
    <cellStyle name="40% - Accent6 3 2 6 3 2" xfId="5821"/>
    <cellStyle name="40% - Accent6 3 2 6 3 2 2" xfId="9972"/>
    <cellStyle name="40% - Accent6 3 2 6 3 3" xfId="7899"/>
    <cellStyle name="40% - Accent6 3 2 6 4" xfId="4455"/>
    <cellStyle name="40% - Accent6 3 2 6 4 2" xfId="8607"/>
    <cellStyle name="40% - Accent6 3 2 6 5" xfId="6534"/>
    <cellStyle name="40% - Accent6 3 2 7" xfId="2727"/>
    <cellStyle name="40% - Accent6 3 2 7 2" xfId="4813"/>
    <cellStyle name="40% - Accent6 3 2 7 2 2" xfId="8964"/>
    <cellStyle name="40% - Accent6 3 2 7 3" xfId="6891"/>
    <cellStyle name="40% - Accent6 3 2 8" xfId="3400"/>
    <cellStyle name="40% - Accent6 3 2 8 2" xfId="5485"/>
    <cellStyle name="40% - Accent6 3 2 8 2 2" xfId="9636"/>
    <cellStyle name="40% - Accent6 3 2 8 3" xfId="7563"/>
    <cellStyle name="40% - Accent6 3 2 9" xfId="4117"/>
    <cellStyle name="40% - Accent6 3 2 9 2" xfId="8271"/>
    <cellStyle name="40% - Accent6 3 3" xfId="2000"/>
    <cellStyle name="40% - Accent6 3 3 2" xfId="2228"/>
    <cellStyle name="40% - Accent6 3 3 2 2" xfId="2569"/>
    <cellStyle name="40% - Accent6 3 3 2 2 2" xfId="3294"/>
    <cellStyle name="40% - Accent6 3 3 2 2 2 2" xfId="5380"/>
    <cellStyle name="40% - Accent6 3 3 2 2 2 2 2" xfId="9531"/>
    <cellStyle name="40% - Accent6 3 3 2 2 2 3" xfId="7458"/>
    <cellStyle name="40% - Accent6 3 3 2 2 3" xfId="3967"/>
    <cellStyle name="40% - Accent6 3 3 2 2 3 2" xfId="6052"/>
    <cellStyle name="40% - Accent6 3 3 2 2 3 2 2" xfId="10203"/>
    <cellStyle name="40% - Accent6 3 3 2 2 3 3" xfId="8130"/>
    <cellStyle name="40% - Accent6 3 3 2 2 4" xfId="4686"/>
    <cellStyle name="40% - Accent6 3 3 2 2 4 2" xfId="8838"/>
    <cellStyle name="40% - Accent6 3 3 2 2 5" xfId="6765"/>
    <cellStyle name="40% - Accent6 3 3 2 3" xfId="2958"/>
    <cellStyle name="40% - Accent6 3 3 2 3 2" xfId="5044"/>
    <cellStyle name="40% - Accent6 3 3 2 3 2 2" xfId="9195"/>
    <cellStyle name="40% - Accent6 3 3 2 3 3" xfId="7122"/>
    <cellStyle name="40% - Accent6 3 3 2 4" xfId="3631"/>
    <cellStyle name="40% - Accent6 3 3 2 4 2" xfId="5716"/>
    <cellStyle name="40% - Accent6 3 3 2 4 2 2" xfId="9867"/>
    <cellStyle name="40% - Accent6 3 3 2 4 3" xfId="7794"/>
    <cellStyle name="40% - Accent6 3 3 2 5" xfId="4350"/>
    <cellStyle name="40% - Accent6 3 3 2 5 2" xfId="8502"/>
    <cellStyle name="40% - Accent6 3 3 2 6" xfId="6429"/>
    <cellStyle name="40% - Accent6 3 3 3" xfId="2400"/>
    <cellStyle name="40% - Accent6 3 3 3 2" xfId="3126"/>
    <cellStyle name="40% - Accent6 3 3 3 2 2" xfId="5212"/>
    <cellStyle name="40% - Accent6 3 3 3 2 2 2" xfId="9363"/>
    <cellStyle name="40% - Accent6 3 3 3 2 3" xfId="7290"/>
    <cellStyle name="40% - Accent6 3 3 3 3" xfId="3799"/>
    <cellStyle name="40% - Accent6 3 3 3 3 2" xfId="5884"/>
    <cellStyle name="40% - Accent6 3 3 3 3 2 2" xfId="10035"/>
    <cellStyle name="40% - Accent6 3 3 3 3 3" xfId="7962"/>
    <cellStyle name="40% - Accent6 3 3 3 4" xfId="4518"/>
    <cellStyle name="40% - Accent6 3 3 3 4 2" xfId="8670"/>
    <cellStyle name="40% - Accent6 3 3 3 5" xfId="6597"/>
    <cellStyle name="40% - Accent6 3 3 4" xfId="2790"/>
    <cellStyle name="40% - Accent6 3 3 4 2" xfId="4876"/>
    <cellStyle name="40% - Accent6 3 3 4 2 2" xfId="9027"/>
    <cellStyle name="40% - Accent6 3 3 4 3" xfId="6954"/>
    <cellStyle name="40% - Accent6 3 3 5" xfId="3463"/>
    <cellStyle name="40% - Accent6 3 3 5 2" xfId="5548"/>
    <cellStyle name="40% - Accent6 3 3 5 2 2" xfId="9699"/>
    <cellStyle name="40% - Accent6 3 3 5 3" xfId="7626"/>
    <cellStyle name="40% - Accent6 3 3 6" xfId="4182"/>
    <cellStyle name="40% - Accent6 3 3 6 2" xfId="8334"/>
    <cellStyle name="40% - Accent6 3 3 7" xfId="6261"/>
    <cellStyle name="40% - Accent6 3 4" xfId="1899"/>
    <cellStyle name="40% - Accent6 3 4 2" xfId="2185"/>
    <cellStyle name="40% - Accent6 3 4 2 2" xfId="2527"/>
    <cellStyle name="40% - Accent6 3 4 2 2 2" xfId="3252"/>
    <cellStyle name="40% - Accent6 3 4 2 2 2 2" xfId="5338"/>
    <cellStyle name="40% - Accent6 3 4 2 2 2 2 2" xfId="9489"/>
    <cellStyle name="40% - Accent6 3 4 2 2 2 3" xfId="7416"/>
    <cellStyle name="40% - Accent6 3 4 2 2 3" xfId="3925"/>
    <cellStyle name="40% - Accent6 3 4 2 2 3 2" xfId="6010"/>
    <cellStyle name="40% - Accent6 3 4 2 2 3 2 2" xfId="10161"/>
    <cellStyle name="40% - Accent6 3 4 2 2 3 3" xfId="8088"/>
    <cellStyle name="40% - Accent6 3 4 2 2 4" xfId="4644"/>
    <cellStyle name="40% - Accent6 3 4 2 2 4 2" xfId="8796"/>
    <cellStyle name="40% - Accent6 3 4 2 2 5" xfId="6723"/>
    <cellStyle name="40% - Accent6 3 4 2 3" xfId="2916"/>
    <cellStyle name="40% - Accent6 3 4 2 3 2" xfId="5002"/>
    <cellStyle name="40% - Accent6 3 4 2 3 2 2" xfId="9153"/>
    <cellStyle name="40% - Accent6 3 4 2 3 3" xfId="7080"/>
    <cellStyle name="40% - Accent6 3 4 2 4" xfId="3589"/>
    <cellStyle name="40% - Accent6 3 4 2 4 2" xfId="5674"/>
    <cellStyle name="40% - Accent6 3 4 2 4 2 2" xfId="9825"/>
    <cellStyle name="40% - Accent6 3 4 2 4 3" xfId="7752"/>
    <cellStyle name="40% - Accent6 3 4 2 5" xfId="4308"/>
    <cellStyle name="40% - Accent6 3 4 2 5 2" xfId="8460"/>
    <cellStyle name="40% - Accent6 3 4 2 6" xfId="6387"/>
    <cellStyle name="40% - Accent6 3 4 3" xfId="2358"/>
    <cellStyle name="40% - Accent6 3 4 3 2" xfId="3084"/>
    <cellStyle name="40% - Accent6 3 4 3 2 2" xfId="5170"/>
    <cellStyle name="40% - Accent6 3 4 3 2 2 2" xfId="9321"/>
    <cellStyle name="40% - Accent6 3 4 3 2 3" xfId="7248"/>
    <cellStyle name="40% - Accent6 3 4 3 3" xfId="3757"/>
    <cellStyle name="40% - Accent6 3 4 3 3 2" xfId="5842"/>
    <cellStyle name="40% - Accent6 3 4 3 3 2 2" xfId="9993"/>
    <cellStyle name="40% - Accent6 3 4 3 3 3" xfId="7920"/>
    <cellStyle name="40% - Accent6 3 4 3 4" xfId="4476"/>
    <cellStyle name="40% - Accent6 3 4 3 4 2" xfId="8628"/>
    <cellStyle name="40% - Accent6 3 4 3 5" xfId="6555"/>
    <cellStyle name="40% - Accent6 3 4 4" xfId="2748"/>
    <cellStyle name="40% - Accent6 3 4 4 2" xfId="4834"/>
    <cellStyle name="40% - Accent6 3 4 4 2 2" xfId="8985"/>
    <cellStyle name="40% - Accent6 3 4 4 3" xfId="6912"/>
    <cellStyle name="40% - Accent6 3 4 5" xfId="3421"/>
    <cellStyle name="40% - Accent6 3 4 5 2" xfId="5506"/>
    <cellStyle name="40% - Accent6 3 4 5 2 2" xfId="9657"/>
    <cellStyle name="40% - Accent6 3 4 5 3" xfId="7584"/>
    <cellStyle name="40% - Accent6 3 4 6" xfId="4140"/>
    <cellStyle name="40% - Accent6 3 4 6 2" xfId="8292"/>
    <cellStyle name="40% - Accent6 3 4 7" xfId="6219"/>
    <cellStyle name="40% - Accent6 3 5" xfId="2097"/>
    <cellStyle name="40% - Accent6 3 5 2" xfId="2270"/>
    <cellStyle name="40% - Accent6 3 5 2 2" xfId="2611"/>
    <cellStyle name="40% - Accent6 3 5 2 2 2" xfId="3336"/>
    <cellStyle name="40% - Accent6 3 5 2 2 2 2" xfId="5422"/>
    <cellStyle name="40% - Accent6 3 5 2 2 2 2 2" xfId="9573"/>
    <cellStyle name="40% - Accent6 3 5 2 2 2 3" xfId="7500"/>
    <cellStyle name="40% - Accent6 3 5 2 2 3" xfId="4009"/>
    <cellStyle name="40% - Accent6 3 5 2 2 3 2" xfId="6094"/>
    <cellStyle name="40% - Accent6 3 5 2 2 3 2 2" xfId="10245"/>
    <cellStyle name="40% - Accent6 3 5 2 2 3 3" xfId="8172"/>
    <cellStyle name="40% - Accent6 3 5 2 2 4" xfId="4728"/>
    <cellStyle name="40% - Accent6 3 5 2 2 4 2" xfId="8880"/>
    <cellStyle name="40% - Accent6 3 5 2 2 5" xfId="6807"/>
    <cellStyle name="40% - Accent6 3 5 2 3" xfId="3000"/>
    <cellStyle name="40% - Accent6 3 5 2 3 2" xfId="5086"/>
    <cellStyle name="40% - Accent6 3 5 2 3 2 2" xfId="9237"/>
    <cellStyle name="40% - Accent6 3 5 2 3 3" xfId="7164"/>
    <cellStyle name="40% - Accent6 3 5 2 4" xfId="3673"/>
    <cellStyle name="40% - Accent6 3 5 2 4 2" xfId="5758"/>
    <cellStyle name="40% - Accent6 3 5 2 4 2 2" xfId="9909"/>
    <cellStyle name="40% - Accent6 3 5 2 4 3" xfId="7836"/>
    <cellStyle name="40% - Accent6 3 5 2 5" xfId="4392"/>
    <cellStyle name="40% - Accent6 3 5 2 5 2" xfId="8544"/>
    <cellStyle name="40% - Accent6 3 5 2 6" xfId="6471"/>
    <cellStyle name="40% - Accent6 3 5 3" xfId="2443"/>
    <cellStyle name="40% - Accent6 3 5 3 2" xfId="3168"/>
    <cellStyle name="40% - Accent6 3 5 3 2 2" xfId="5254"/>
    <cellStyle name="40% - Accent6 3 5 3 2 2 2" xfId="9405"/>
    <cellStyle name="40% - Accent6 3 5 3 2 3" xfId="7332"/>
    <cellStyle name="40% - Accent6 3 5 3 3" xfId="3841"/>
    <cellStyle name="40% - Accent6 3 5 3 3 2" xfId="5926"/>
    <cellStyle name="40% - Accent6 3 5 3 3 2 2" xfId="10077"/>
    <cellStyle name="40% - Accent6 3 5 3 3 3" xfId="8004"/>
    <cellStyle name="40% - Accent6 3 5 3 4" xfId="4560"/>
    <cellStyle name="40% - Accent6 3 5 3 4 2" xfId="8712"/>
    <cellStyle name="40% - Accent6 3 5 3 5" xfId="6639"/>
    <cellStyle name="40% - Accent6 3 5 4" xfId="2832"/>
    <cellStyle name="40% - Accent6 3 5 4 2" xfId="4918"/>
    <cellStyle name="40% - Accent6 3 5 4 2 2" xfId="9069"/>
    <cellStyle name="40% - Accent6 3 5 4 3" xfId="6996"/>
    <cellStyle name="40% - Accent6 3 5 5" xfId="3505"/>
    <cellStyle name="40% - Accent6 3 5 5 2" xfId="5590"/>
    <cellStyle name="40% - Accent6 3 5 5 2 2" xfId="9741"/>
    <cellStyle name="40% - Accent6 3 5 5 3" xfId="7668"/>
    <cellStyle name="40% - Accent6 3 5 6" xfId="4224"/>
    <cellStyle name="40% - Accent6 3 5 6 2" xfId="8376"/>
    <cellStyle name="40% - Accent6 3 5 7" xfId="6303"/>
    <cellStyle name="40% - Accent6 3 6" xfId="2140"/>
    <cellStyle name="40% - Accent6 3 6 2" xfId="2485"/>
    <cellStyle name="40% - Accent6 3 6 2 2" xfId="3210"/>
    <cellStyle name="40% - Accent6 3 6 2 2 2" xfId="5296"/>
    <cellStyle name="40% - Accent6 3 6 2 2 2 2" xfId="9447"/>
    <cellStyle name="40% - Accent6 3 6 2 2 3" xfId="7374"/>
    <cellStyle name="40% - Accent6 3 6 2 3" xfId="3883"/>
    <cellStyle name="40% - Accent6 3 6 2 3 2" xfId="5968"/>
    <cellStyle name="40% - Accent6 3 6 2 3 2 2" xfId="10119"/>
    <cellStyle name="40% - Accent6 3 6 2 3 3" xfId="8046"/>
    <cellStyle name="40% - Accent6 3 6 2 4" xfId="4602"/>
    <cellStyle name="40% - Accent6 3 6 2 4 2" xfId="8754"/>
    <cellStyle name="40% - Accent6 3 6 2 5" xfId="6681"/>
    <cellStyle name="40% - Accent6 3 6 3" xfId="2874"/>
    <cellStyle name="40% - Accent6 3 6 3 2" xfId="4960"/>
    <cellStyle name="40% - Accent6 3 6 3 2 2" xfId="9111"/>
    <cellStyle name="40% - Accent6 3 6 3 3" xfId="7038"/>
    <cellStyle name="40% - Accent6 3 6 4" xfId="3547"/>
    <cellStyle name="40% - Accent6 3 6 4 2" xfId="5632"/>
    <cellStyle name="40% - Accent6 3 6 4 2 2" xfId="9783"/>
    <cellStyle name="40% - Accent6 3 6 4 3" xfId="7710"/>
    <cellStyle name="40% - Accent6 3 6 5" xfId="4266"/>
    <cellStyle name="40% - Accent6 3 6 5 2" xfId="8418"/>
    <cellStyle name="40% - Accent6 3 6 6" xfId="6345"/>
    <cellStyle name="40% - Accent6 3 7" xfId="2313"/>
    <cellStyle name="40% - Accent6 3 7 2" xfId="3042"/>
    <cellStyle name="40% - Accent6 3 7 2 2" xfId="5128"/>
    <cellStyle name="40% - Accent6 3 7 2 2 2" xfId="9279"/>
    <cellStyle name="40% - Accent6 3 7 2 3" xfId="7206"/>
    <cellStyle name="40% - Accent6 3 7 3" xfId="3715"/>
    <cellStyle name="40% - Accent6 3 7 3 2" xfId="5800"/>
    <cellStyle name="40% - Accent6 3 7 3 2 2" xfId="9951"/>
    <cellStyle name="40% - Accent6 3 7 3 3" xfId="7878"/>
    <cellStyle name="40% - Accent6 3 7 4" xfId="4434"/>
    <cellStyle name="40% - Accent6 3 7 4 2" xfId="8586"/>
    <cellStyle name="40% - Accent6 3 7 5" xfId="6513"/>
    <cellStyle name="40% - Accent6 3 8" xfId="2704"/>
    <cellStyle name="40% - Accent6 3 8 2" xfId="4792"/>
    <cellStyle name="40% - Accent6 3 8 2 2" xfId="8943"/>
    <cellStyle name="40% - Accent6 3 8 3" xfId="6870"/>
    <cellStyle name="40% - Accent6 3 9" xfId="3379"/>
    <cellStyle name="40% - Accent6 3 9 2" xfId="5464"/>
    <cellStyle name="40% - Accent6 3 9 2 2" xfId="9615"/>
    <cellStyle name="40% - Accent6 3 9 3" xfId="7542"/>
    <cellStyle name="40% - Accent6 4" xfId="4057"/>
    <cellStyle name="40% - Accent6 4 2" xfId="6142"/>
    <cellStyle name="40% - Accent6 4 2 2" xfId="10293"/>
    <cellStyle name="40% - Accent6 4 3" xfId="8220"/>
    <cellStyle name="40% - Accent6 5" xfId="4768"/>
    <cellStyle name="40% - Accent6 5 2" xfId="8920"/>
    <cellStyle name="40% - Accent6 6" xfId="6847"/>
    <cellStyle name="60% - Accent1" xfId="2658" builtinId="32" customBuiltin="1"/>
    <cellStyle name="60% - Accent1 2" xfId="261"/>
    <cellStyle name="60% - Accent1 3" xfId="262"/>
    <cellStyle name="60% - Accent2" xfId="2662" builtinId="36" customBuiltin="1"/>
    <cellStyle name="60% - Accent2 2" xfId="263"/>
    <cellStyle name="60% - Accent2 3" xfId="264"/>
    <cellStyle name="60% - Accent3" xfId="2665" builtinId="40" customBuiltin="1"/>
    <cellStyle name="60% - Accent3 2" xfId="265"/>
    <cellStyle name="60% - Accent3 3" xfId="266"/>
    <cellStyle name="60% - Accent4" xfId="2669" builtinId="44" customBuiltin="1"/>
    <cellStyle name="60% - Accent4 2" xfId="267"/>
    <cellStyle name="60% - Accent4 3" xfId="268"/>
    <cellStyle name="60% - Accent5" xfId="2673" builtinId="48" customBuiltin="1"/>
    <cellStyle name="60% - Accent5 2" xfId="269"/>
    <cellStyle name="60% - Accent5 3" xfId="270"/>
    <cellStyle name="60% - Accent6" xfId="2675" builtinId="52" customBuiltin="1"/>
    <cellStyle name="60% - Accent6 2" xfId="271"/>
    <cellStyle name="60% - Accent6 3" xfId="272"/>
    <cellStyle name="752131" xfId="273"/>
    <cellStyle name="Accent1" xfId="2655" builtinId="29" customBuiltin="1"/>
    <cellStyle name="Accent1 2" xfId="274"/>
    <cellStyle name="Accent1 3" xfId="275"/>
    <cellStyle name="Accent2" xfId="2659" builtinId="33" customBuiltin="1"/>
    <cellStyle name="Accent2 2" xfId="276"/>
    <cellStyle name="Accent2 3" xfId="277"/>
    <cellStyle name="Accent3" xfId="2663" builtinId="37" customBuiltin="1"/>
    <cellStyle name="Accent3 2" xfId="278"/>
    <cellStyle name="Accent3 3" xfId="279"/>
    <cellStyle name="Accent4" xfId="2666" builtinId="41" customBuiltin="1"/>
    <cellStyle name="Accent4 2" xfId="280"/>
    <cellStyle name="Accent4 3" xfId="281"/>
    <cellStyle name="Accent5" xfId="2670" builtinId="45" customBuiltin="1"/>
    <cellStyle name="Accent5 2" xfId="282"/>
    <cellStyle name="Accent5 3" xfId="283"/>
    <cellStyle name="Accent6" xfId="284" builtinId="49" customBuiltin="1"/>
    <cellStyle name="Accent6 2" xfId="285"/>
    <cellStyle name="Acctg" xfId="286"/>
    <cellStyle name="ales" xfId="287"/>
    <cellStyle name="Bad" xfId="2648" builtinId="27" customBuiltin="1"/>
    <cellStyle name="Bad 2" xfId="288"/>
    <cellStyle name="Bad 3" xfId="289"/>
    <cellStyle name="Bad 3 2" xfId="290"/>
    <cellStyle name="Band 2" xfId="291"/>
    <cellStyle name="Blue" xfId="292"/>
    <cellStyle name="Bold/Border" xfId="293"/>
    <cellStyle name="Bullet" xfId="294"/>
    <cellStyle name="c_HardInc " xfId="295"/>
    <cellStyle name="c_HardInc  2" xfId="296"/>
    <cellStyle name="c_HardInc  2 2" xfId="297"/>
    <cellStyle name="c_HardInc _RRST1" xfId="298"/>
    <cellStyle name="c_HardInc _RRST1 2" xfId="299"/>
    <cellStyle name="c_HardInc _RRST19" xfId="300"/>
    <cellStyle name="c_HardInc _RRST19 2" xfId="301"/>
    <cellStyle name="c_HardInc _RRST20" xfId="302"/>
    <cellStyle name="c_HardInc _RRST20 2" xfId="303"/>
    <cellStyle name="c_HardInc _RRST6" xfId="304"/>
    <cellStyle name="c_HardInc _RRST6 2" xfId="305"/>
    <cellStyle name="C05_Style E Text" xfId="306"/>
    <cellStyle name="Calculation" xfId="2652" builtinId="22" customBuiltin="1"/>
    <cellStyle name="Calculation 2" xfId="307"/>
    <cellStyle name="Calculation 3" xfId="308"/>
    <cellStyle name="Cents" xfId="309"/>
    <cellStyle name="Changeable" xfId="310"/>
    <cellStyle name="ChartingText" xfId="311"/>
    <cellStyle name="Check Cell" xfId="312" builtinId="23" customBuiltin="1"/>
    <cellStyle name="Check Cell 2" xfId="313"/>
    <cellStyle name="CHPAboveAverage" xfId="314"/>
    <cellStyle name="CHPBelowAverage" xfId="315"/>
    <cellStyle name="CHPBottom" xfId="316"/>
    <cellStyle name="CHPTop" xfId="317"/>
    <cellStyle name="Colhead_left" xfId="318"/>
    <cellStyle name="ColumnHeaderNormal" xfId="319"/>
    <cellStyle name="ColumnHeadings" xfId="320"/>
    <cellStyle name="ColumnHeadings2" xfId="321"/>
    <cellStyle name="Comma" xfId="322" builtinId="3"/>
    <cellStyle name="Comma  - Style1" xfId="323"/>
    <cellStyle name="Comma  - Style2" xfId="324"/>
    <cellStyle name="Comma  - Style3" xfId="325"/>
    <cellStyle name="Comma  - Style4" xfId="326"/>
    <cellStyle name="Comma  - Style5" xfId="327"/>
    <cellStyle name="Comma  - Style6" xfId="328"/>
    <cellStyle name="Comma  - Style7" xfId="329"/>
    <cellStyle name="Comma  - Style8" xfId="330"/>
    <cellStyle name="Comma 10" xfId="331"/>
    <cellStyle name="Comma 10 2" xfId="332"/>
    <cellStyle name="Comma 10 2 2" xfId="333"/>
    <cellStyle name="Comma 10 2 2 2" xfId="1340"/>
    <cellStyle name="Comma 10 2 3" xfId="1339"/>
    <cellStyle name="Comma 10 3" xfId="334"/>
    <cellStyle name="Comma 10 3 2" xfId="335"/>
    <cellStyle name="Comma 10 3 2 2" xfId="1342"/>
    <cellStyle name="Comma 10 3 3" xfId="1341"/>
    <cellStyle name="Comma 10 4" xfId="336"/>
    <cellStyle name="Comma 10 4 2" xfId="1343"/>
    <cellStyle name="Comma 10 5" xfId="1338"/>
    <cellStyle name="Comma 11" xfId="337"/>
    <cellStyle name="Comma 11 2" xfId="338"/>
    <cellStyle name="Comma 11 2 2" xfId="339"/>
    <cellStyle name="Comma 11 2 2 2" xfId="1346"/>
    <cellStyle name="Comma 11 2 3" xfId="1345"/>
    <cellStyle name="Comma 11 3" xfId="340"/>
    <cellStyle name="Comma 11 3 2" xfId="341"/>
    <cellStyle name="Comma 11 3 2 2" xfId="1348"/>
    <cellStyle name="Comma 11 3 3" xfId="1347"/>
    <cellStyle name="Comma 11 4" xfId="342"/>
    <cellStyle name="Comma 11 4 2" xfId="1349"/>
    <cellStyle name="Comma 11 5" xfId="1344"/>
    <cellStyle name="Comma 12" xfId="343"/>
    <cellStyle name="Comma 12 2" xfId="344"/>
    <cellStyle name="Comma 12 2 2" xfId="1351"/>
    <cellStyle name="Comma 12 3" xfId="1350"/>
    <cellStyle name="Comma 13" xfId="345"/>
    <cellStyle name="Comma 13 2" xfId="346"/>
    <cellStyle name="Comma 13 2 2" xfId="1353"/>
    <cellStyle name="Comma 13 3" xfId="1352"/>
    <cellStyle name="Comma 14" xfId="347"/>
    <cellStyle name="Comma 14 2" xfId="348"/>
    <cellStyle name="Comma 14 2 2" xfId="1355"/>
    <cellStyle name="Comma 14 3" xfId="1354"/>
    <cellStyle name="Comma 15" xfId="349"/>
    <cellStyle name="Comma 15 2" xfId="350"/>
    <cellStyle name="Comma 15 2 2" xfId="1357"/>
    <cellStyle name="Comma 15 3" xfId="1356"/>
    <cellStyle name="Comma 16" xfId="351"/>
    <cellStyle name="Comma 16 2" xfId="352"/>
    <cellStyle name="Comma 16 2 2" xfId="1359"/>
    <cellStyle name="Comma 16 3" xfId="1358"/>
    <cellStyle name="Comma 17" xfId="353"/>
    <cellStyle name="Comma 17 2" xfId="354"/>
    <cellStyle name="Comma 17 2 2" xfId="355"/>
    <cellStyle name="Comma 17 2 2 2" xfId="1362"/>
    <cellStyle name="Comma 17 2 3" xfId="1361"/>
    <cellStyle name="Comma 17 3" xfId="356"/>
    <cellStyle name="Comma 17 3 2" xfId="1363"/>
    <cellStyle name="Comma 17 4" xfId="1360"/>
    <cellStyle name="Comma 18" xfId="357"/>
    <cellStyle name="Comma 18 2" xfId="358"/>
    <cellStyle name="Comma 18 2 2" xfId="359"/>
    <cellStyle name="Comma 18 2 2 2" xfId="1366"/>
    <cellStyle name="Comma 18 2 3" xfId="1365"/>
    <cellStyle name="Comma 18 3" xfId="360"/>
    <cellStyle name="Comma 18 3 2" xfId="1367"/>
    <cellStyle name="Comma 18 4" xfId="1364"/>
    <cellStyle name="Comma 19" xfId="361"/>
    <cellStyle name="Comma 19 2" xfId="362"/>
    <cellStyle name="Comma 19 2 2" xfId="363"/>
    <cellStyle name="Comma 19 2 2 2" xfId="1370"/>
    <cellStyle name="Comma 19 2 3" xfId="1369"/>
    <cellStyle name="Comma 19 3" xfId="364"/>
    <cellStyle name="Comma 19 3 2" xfId="1371"/>
    <cellStyle name="Comma 19 4" xfId="1368"/>
    <cellStyle name="Comma 2" xfId="365"/>
    <cellStyle name="Comma 2 2" xfId="366"/>
    <cellStyle name="Comma 2 2 2" xfId="1373"/>
    <cellStyle name="Comma 2 3" xfId="367"/>
    <cellStyle name="Comma 2 3 2" xfId="368"/>
    <cellStyle name="Comma 2 3 2 2" xfId="1374"/>
    <cellStyle name="Comma 2 4" xfId="1372"/>
    <cellStyle name="Comma 20" xfId="369"/>
    <cellStyle name="Comma 20 2" xfId="370"/>
    <cellStyle name="Comma 20 2 2" xfId="1376"/>
    <cellStyle name="Comma 20 3" xfId="1375"/>
    <cellStyle name="Comma 21" xfId="371"/>
    <cellStyle name="Comma 21 2" xfId="372"/>
    <cellStyle name="Comma 21 2 2" xfId="1378"/>
    <cellStyle name="Comma 21 3" xfId="1377"/>
    <cellStyle name="Comma 22" xfId="373"/>
    <cellStyle name="Comma 22 2" xfId="374"/>
    <cellStyle name="Comma 22 2 2" xfId="1380"/>
    <cellStyle name="Comma 22 3" xfId="1379"/>
    <cellStyle name="Comma 23" xfId="375"/>
    <cellStyle name="Comma 23 2" xfId="376"/>
    <cellStyle name="Comma 23 2 2" xfId="1382"/>
    <cellStyle name="Comma 23 3" xfId="1381"/>
    <cellStyle name="Comma 24" xfId="377"/>
    <cellStyle name="Comma 24 2" xfId="378"/>
    <cellStyle name="Comma 24 2 2" xfId="1384"/>
    <cellStyle name="Comma 24 3" xfId="1383"/>
    <cellStyle name="Comma 25" xfId="379"/>
    <cellStyle name="Comma 25 2" xfId="380"/>
    <cellStyle name="Comma 25 2 2" xfId="1386"/>
    <cellStyle name="Comma 25 3" xfId="1385"/>
    <cellStyle name="Comma 26" xfId="381"/>
    <cellStyle name="Comma 26 2" xfId="382"/>
    <cellStyle name="Comma 26 2 2" xfId="1388"/>
    <cellStyle name="Comma 26 3" xfId="1387"/>
    <cellStyle name="Comma 27" xfId="383"/>
    <cellStyle name="Comma 27 2" xfId="384"/>
    <cellStyle name="Comma 27 2 2" xfId="1390"/>
    <cellStyle name="Comma 27 3" xfId="1389"/>
    <cellStyle name="Comma 28" xfId="385"/>
    <cellStyle name="Comma 28 2" xfId="386"/>
    <cellStyle name="Comma 28 2 2" xfId="1392"/>
    <cellStyle name="Comma 28 3" xfId="1391"/>
    <cellStyle name="Comma 29" xfId="387"/>
    <cellStyle name="Comma 29 2" xfId="388"/>
    <cellStyle name="Comma 29 2 2" xfId="1394"/>
    <cellStyle name="Comma 29 3" xfId="1393"/>
    <cellStyle name="Comma 3" xfId="389"/>
    <cellStyle name="Comma 3 2" xfId="390"/>
    <cellStyle name="Comma 3 2 2" xfId="391"/>
    <cellStyle name="Comma 3 2 2 2" xfId="1397"/>
    <cellStyle name="Comma 3 2 3" xfId="1396"/>
    <cellStyle name="Comma 3 3" xfId="392"/>
    <cellStyle name="Comma 3 3 2" xfId="1398"/>
    <cellStyle name="Comma 3 4" xfId="393"/>
    <cellStyle name="Comma 3 4 2" xfId="394"/>
    <cellStyle name="Comma 3 5" xfId="1395"/>
    <cellStyle name="Comma 3 6" xfId="2690"/>
    <cellStyle name="Comma 3 6 2" xfId="4780"/>
    <cellStyle name="Comma 3 6 2 2" xfId="8931"/>
    <cellStyle name="Comma 3 6 3" xfId="6858"/>
    <cellStyle name="Comma 3 7" xfId="4070"/>
    <cellStyle name="Comma 3 7 2" xfId="6153"/>
    <cellStyle name="Comma 3 7 2 2" xfId="10304"/>
    <cellStyle name="Comma 3 7 3" xfId="8231"/>
    <cellStyle name="Comma 30" xfId="395"/>
    <cellStyle name="Comma 30 2" xfId="1399"/>
    <cellStyle name="Comma 31" xfId="396"/>
    <cellStyle name="Comma 31 2" xfId="1400"/>
    <cellStyle name="Comma 32" xfId="397"/>
    <cellStyle name="Comma 32 2" xfId="1401"/>
    <cellStyle name="Comma 33" xfId="398"/>
    <cellStyle name="Comma 33 2" xfId="1402"/>
    <cellStyle name="Comma 34" xfId="399"/>
    <cellStyle name="Comma 34 2" xfId="1403"/>
    <cellStyle name="Comma 35" xfId="400"/>
    <cellStyle name="Comma 35 2" xfId="1404"/>
    <cellStyle name="Comma 36" xfId="401"/>
    <cellStyle name="Comma 36 2" xfId="1405"/>
    <cellStyle name="Comma 37" xfId="402"/>
    <cellStyle name="Comma 37 2" xfId="1406"/>
    <cellStyle name="Comma 38" xfId="403"/>
    <cellStyle name="Comma 38 2" xfId="404"/>
    <cellStyle name="Comma 38 2 2" xfId="1408"/>
    <cellStyle name="Comma 38 3" xfId="1407"/>
    <cellStyle name="Comma 39" xfId="405"/>
    <cellStyle name="Comma 39 2" xfId="406"/>
    <cellStyle name="Comma 39 2 2" xfId="1410"/>
    <cellStyle name="Comma 39 3" xfId="1409"/>
    <cellStyle name="Comma 4" xfId="407"/>
    <cellStyle name="Comma 4 2" xfId="408"/>
    <cellStyle name="Comma 4 2 2" xfId="409"/>
    <cellStyle name="Comma 4 2 2 2" xfId="1413"/>
    <cellStyle name="Comma 4 2 3" xfId="1412"/>
    <cellStyle name="Comma 4 3" xfId="410"/>
    <cellStyle name="Comma 4 3 2" xfId="1414"/>
    <cellStyle name="Comma 4 4" xfId="1411"/>
    <cellStyle name="Comma 40" xfId="411"/>
    <cellStyle name="Comma 40 2" xfId="412"/>
    <cellStyle name="Comma 40 2 2" xfId="1416"/>
    <cellStyle name="Comma 40 3" xfId="1415"/>
    <cellStyle name="Comma 41" xfId="413"/>
    <cellStyle name="Comma 41 2" xfId="1417"/>
    <cellStyle name="Comma 42" xfId="414"/>
    <cellStyle name="Comma 42 2" xfId="1418"/>
    <cellStyle name="Comma 43" xfId="415"/>
    <cellStyle name="Comma 43 2" xfId="1419"/>
    <cellStyle name="Comma 44" xfId="416"/>
    <cellStyle name="Comma 44 2" xfId="1420"/>
    <cellStyle name="Comma 45" xfId="417"/>
    <cellStyle name="Comma 45 2" xfId="1421"/>
    <cellStyle name="Comma 46" xfId="418"/>
    <cellStyle name="Comma 46 2" xfId="1422"/>
    <cellStyle name="Comma 47" xfId="419"/>
    <cellStyle name="Comma 47 2" xfId="1423"/>
    <cellStyle name="Comma 48" xfId="420"/>
    <cellStyle name="Comma 48 2" xfId="1424"/>
    <cellStyle name="Comma 49" xfId="421"/>
    <cellStyle name="Comma 49 2" xfId="1425"/>
    <cellStyle name="Comma 5" xfId="422"/>
    <cellStyle name="Comma 5 2" xfId="423"/>
    <cellStyle name="Comma 5 2 2" xfId="424"/>
    <cellStyle name="Comma 5 2 2 2" xfId="1428"/>
    <cellStyle name="Comma 5 2 3" xfId="1427"/>
    <cellStyle name="Comma 5 3" xfId="425"/>
    <cellStyle name="Comma 5 3 2" xfId="1429"/>
    <cellStyle name="Comma 5 4" xfId="1426"/>
    <cellStyle name="Comma 50" xfId="426"/>
    <cellStyle name="Comma 50 2" xfId="1430"/>
    <cellStyle name="Comma 51" xfId="427"/>
    <cellStyle name="Comma 51 2" xfId="1431"/>
    <cellStyle name="Comma 52" xfId="428"/>
    <cellStyle name="Comma 52 2" xfId="1432"/>
    <cellStyle name="Comma 53" xfId="429"/>
    <cellStyle name="Comma 53 2" xfId="1433"/>
    <cellStyle name="Comma 54" xfId="430"/>
    <cellStyle name="Comma 54 2" xfId="1434"/>
    <cellStyle name="Comma 55" xfId="431"/>
    <cellStyle name="Comma 55 2" xfId="1435"/>
    <cellStyle name="Comma 56" xfId="432"/>
    <cellStyle name="Comma 56 2" xfId="1436"/>
    <cellStyle name="Comma 57" xfId="433"/>
    <cellStyle name="Comma 57 2" xfId="1437"/>
    <cellStyle name="Comma 58" xfId="434"/>
    <cellStyle name="Comma 58 2" xfId="1438"/>
    <cellStyle name="Comma 59" xfId="435"/>
    <cellStyle name="Comma 59 2" xfId="1439"/>
    <cellStyle name="Comma 6" xfId="436"/>
    <cellStyle name="Comma 6 2" xfId="437"/>
    <cellStyle name="Comma 6 2 2" xfId="438"/>
    <cellStyle name="Comma 6 2 2 2" xfId="1442"/>
    <cellStyle name="Comma 6 2 3" xfId="1441"/>
    <cellStyle name="Comma 6 3" xfId="439"/>
    <cellStyle name="Comma 6 3 2" xfId="1443"/>
    <cellStyle name="Comma 6 4" xfId="440"/>
    <cellStyle name="Comma 6 4 2" xfId="1444"/>
    <cellStyle name="Comma 6 5" xfId="1440"/>
    <cellStyle name="Comma 60" xfId="441"/>
    <cellStyle name="Comma 60 2" xfId="1445"/>
    <cellStyle name="Comma 61" xfId="442"/>
    <cellStyle name="Comma 61 2" xfId="443"/>
    <cellStyle name="Comma 61 2 2" xfId="1446"/>
    <cellStyle name="Comma 62" xfId="444"/>
    <cellStyle name="Comma 62 2" xfId="1447"/>
    <cellStyle name="Comma 63" xfId="445"/>
    <cellStyle name="Comma 63 2" xfId="1448"/>
    <cellStyle name="Comma 64" xfId="446"/>
    <cellStyle name="Comma 64 2" xfId="1449"/>
    <cellStyle name="Comma 65" xfId="447"/>
    <cellStyle name="Comma 65 2" xfId="1450"/>
    <cellStyle name="Comma 66" xfId="448"/>
    <cellStyle name="Comma 66 2" xfId="1451"/>
    <cellStyle name="Comma 67" xfId="449"/>
    <cellStyle name="Comma 67 2" xfId="450"/>
    <cellStyle name="Comma 67 2 2" xfId="1453"/>
    <cellStyle name="Comma 67 3" xfId="1452"/>
    <cellStyle name="Comma 68" xfId="451"/>
    <cellStyle name="Comma 68 2" xfId="452"/>
    <cellStyle name="Comma 68 2 2" xfId="1455"/>
    <cellStyle name="Comma 68 3" xfId="1454"/>
    <cellStyle name="Comma 69" xfId="453"/>
    <cellStyle name="Comma 69 2" xfId="1456"/>
    <cellStyle name="Comma 7" xfId="454"/>
    <cellStyle name="Comma 7 2" xfId="455"/>
    <cellStyle name="Comma 7 2 2" xfId="1458"/>
    <cellStyle name="Comma 7 3" xfId="1457"/>
    <cellStyle name="Comma 70" xfId="456"/>
    <cellStyle name="Comma 70 2" xfId="1459"/>
    <cellStyle name="Comma 71" xfId="457"/>
    <cellStyle name="Comma 71 2" xfId="458"/>
    <cellStyle name="Comma 71 2 2" xfId="2001"/>
    <cellStyle name="Comma 71 2 3" xfId="1900"/>
    <cellStyle name="Comma 71 3" xfId="1460"/>
    <cellStyle name="Comma 72" xfId="459"/>
    <cellStyle name="Comma 72 2" xfId="460"/>
    <cellStyle name="Comma 72 2 2" xfId="2002"/>
    <cellStyle name="Comma 72 2 3" xfId="1901"/>
    <cellStyle name="Comma 72 3" xfId="1461"/>
    <cellStyle name="Comma 73" xfId="461"/>
    <cellStyle name="Comma 73 2" xfId="462"/>
    <cellStyle name="Comma 73 2 2" xfId="2003"/>
    <cellStyle name="Comma 73 2 3" xfId="1902"/>
    <cellStyle name="Comma 73 3" xfId="1462"/>
    <cellStyle name="Comma 74" xfId="463"/>
    <cellStyle name="Comma 74 2" xfId="464"/>
    <cellStyle name="Comma 74 2 2" xfId="2004"/>
    <cellStyle name="Comma 74 2 3" xfId="1903"/>
    <cellStyle name="Comma 74 3" xfId="1463"/>
    <cellStyle name="Comma 75" xfId="465"/>
    <cellStyle name="Comma 75 2" xfId="466"/>
    <cellStyle name="Comma 75 2 2" xfId="2005"/>
    <cellStyle name="Comma 75 2 3" xfId="1904"/>
    <cellStyle name="Comma 75 3" xfId="1464"/>
    <cellStyle name="Comma 76" xfId="467"/>
    <cellStyle name="Comma 76 2" xfId="468"/>
    <cellStyle name="Comma 76 2 2" xfId="2006"/>
    <cellStyle name="Comma 76 2 3" xfId="1905"/>
    <cellStyle name="Comma 76 3" xfId="1465"/>
    <cellStyle name="Comma 77" xfId="469"/>
    <cellStyle name="Comma 77 2" xfId="470"/>
    <cellStyle name="Comma 77 2 2" xfId="2007"/>
    <cellStyle name="Comma 77 2 3" xfId="1906"/>
    <cellStyle name="Comma 77 3" xfId="1466"/>
    <cellStyle name="Comma 78" xfId="471"/>
    <cellStyle name="Comma 78 2" xfId="472"/>
    <cellStyle name="Comma 78 2 2" xfId="2008"/>
    <cellStyle name="Comma 78 2 3" xfId="1907"/>
    <cellStyle name="Comma 78 3" xfId="1467"/>
    <cellStyle name="Comma 79" xfId="473"/>
    <cellStyle name="Comma 79 2" xfId="474"/>
    <cellStyle name="Comma 79 2 2" xfId="2009"/>
    <cellStyle name="Comma 79 2 3" xfId="1908"/>
    <cellStyle name="Comma 79 3" xfId="1468"/>
    <cellStyle name="Comma 8" xfId="475"/>
    <cellStyle name="Comma 8 2" xfId="476"/>
    <cellStyle name="Comma 8 2 2" xfId="1470"/>
    <cellStyle name="Comma 8 3" xfId="1469"/>
    <cellStyle name="Comma 80" xfId="477"/>
    <cellStyle name="Comma 80 2" xfId="478"/>
    <cellStyle name="Comma 80 2 2" xfId="2010"/>
    <cellStyle name="Comma 80 2 3" xfId="1909"/>
    <cellStyle name="Comma 80 3" xfId="1471"/>
    <cellStyle name="Comma 81" xfId="479"/>
    <cellStyle name="Comma 81 2" xfId="480"/>
    <cellStyle name="Comma 81 2 2" xfId="2011"/>
    <cellStyle name="Comma 81 2 3" xfId="1910"/>
    <cellStyle name="Comma 81 3" xfId="1472"/>
    <cellStyle name="Comma 82" xfId="481"/>
    <cellStyle name="Comma 82 2" xfId="2012"/>
    <cellStyle name="Comma 82 3" xfId="1911"/>
    <cellStyle name="Comma 83" xfId="482"/>
    <cellStyle name="Comma 83 2" xfId="2013"/>
    <cellStyle name="Comma 83 3" xfId="1912"/>
    <cellStyle name="Comma 84" xfId="483"/>
    <cellStyle name="Comma 84 2" xfId="2014"/>
    <cellStyle name="Comma 84 3" xfId="1913"/>
    <cellStyle name="Comma 85" xfId="484"/>
    <cellStyle name="Comma 85 2" xfId="2015"/>
    <cellStyle name="Comma 85 3" xfId="1914"/>
    <cellStyle name="Comma 86" xfId="485"/>
    <cellStyle name="Comma 86 2" xfId="2016"/>
    <cellStyle name="Comma 86 3" xfId="1915"/>
    <cellStyle name="Comma 87" xfId="486"/>
    <cellStyle name="Comma 87 2" xfId="2017"/>
    <cellStyle name="Comma 87 3" xfId="1916"/>
    <cellStyle name="Comma 88" xfId="487"/>
    <cellStyle name="Comma 88 2" xfId="2018"/>
    <cellStyle name="Comma 88 3" xfId="1917"/>
    <cellStyle name="Comma 89" xfId="488"/>
    <cellStyle name="Comma 89 2" xfId="2019"/>
    <cellStyle name="Comma 89 3" xfId="1918"/>
    <cellStyle name="Comma 9" xfId="489"/>
    <cellStyle name="Comma 9 2" xfId="490"/>
    <cellStyle name="Comma 9 2 2" xfId="491"/>
    <cellStyle name="Comma 9 2 2 2" xfId="1475"/>
    <cellStyle name="Comma 9 2 3" xfId="1474"/>
    <cellStyle name="Comma 9 3" xfId="492"/>
    <cellStyle name="Comma 9 3 2" xfId="493"/>
    <cellStyle name="Comma 9 3 2 2" xfId="1477"/>
    <cellStyle name="Comma 9 3 3" xfId="1476"/>
    <cellStyle name="Comma 9 4" xfId="494"/>
    <cellStyle name="Comma 9 4 2" xfId="1478"/>
    <cellStyle name="Comma 9 5" xfId="1473"/>
    <cellStyle name="Comma 90" xfId="1157"/>
    <cellStyle name="Comma 90 2" xfId="2058"/>
    <cellStyle name="Comma 90 3" xfId="1958"/>
    <cellStyle name="Comma 91" xfId="1158"/>
    <cellStyle name="Comma 91 2" xfId="2059"/>
    <cellStyle name="Comma 91 3" xfId="1959"/>
    <cellStyle name="Comma 92" xfId="1156"/>
    <cellStyle name="Comma 92 2" xfId="2057"/>
    <cellStyle name="Comma 92 3" xfId="1957"/>
    <cellStyle name="Comma 93" xfId="2685"/>
    <cellStyle name="Comma 93 2" xfId="4776"/>
    <cellStyle name="Comma 93 2 2" xfId="8927"/>
    <cellStyle name="Comma 93 3" xfId="6854"/>
    <cellStyle name="Comma 94" xfId="4059"/>
    <cellStyle name="Comma 94 2" xfId="6144"/>
    <cellStyle name="Comma 94 2 2" xfId="10295"/>
    <cellStyle name="Comma 94 3" xfId="8222"/>
    <cellStyle name="Comma 95" xfId="4071"/>
    <cellStyle name="Comma 95 2" xfId="6154"/>
    <cellStyle name="Comma 95 2 2" xfId="10305"/>
    <cellStyle name="Comma 95 3" xfId="8232"/>
    <cellStyle name="Comma 96" xfId="4063"/>
    <cellStyle name="Comma 96 2" xfId="6147"/>
    <cellStyle name="Comma 96 2 2" xfId="10298"/>
    <cellStyle name="Comma 96 3" xfId="8225"/>
    <cellStyle name="Comma 97" xfId="4077"/>
    <cellStyle name="Comma 97 2" xfId="6158"/>
    <cellStyle name="Comma 97 2 2" xfId="10309"/>
    <cellStyle name="Comma 97 3" xfId="8236"/>
    <cellStyle name="Comma 98" xfId="4041"/>
    <cellStyle name="Comma 98 2" xfId="6126"/>
    <cellStyle name="Comma 98 2 2" xfId="10277"/>
    <cellStyle name="Comma 98 3" xfId="8204"/>
    <cellStyle name="Comma 99" xfId="4042"/>
    <cellStyle name="Comma 99 2" xfId="6127"/>
    <cellStyle name="Comma 99 2 2" xfId="10278"/>
    <cellStyle name="Comma 99 3" xfId="8205"/>
    <cellStyle name="Comment" xfId="495"/>
    <cellStyle name="CompanyName" xfId="496"/>
    <cellStyle name="Currency" xfId="497" builtinId="4"/>
    <cellStyle name="Currency 10" xfId="498"/>
    <cellStyle name="Currency 10 2" xfId="1479"/>
    <cellStyle name="Currency 11" xfId="499"/>
    <cellStyle name="Currency 11 2" xfId="2020"/>
    <cellStyle name="Currency 11 3" xfId="1919"/>
    <cellStyle name="Currency 12" xfId="500"/>
    <cellStyle name="Currency 12 2" xfId="2021"/>
    <cellStyle name="Currency 12 3" xfId="1920"/>
    <cellStyle name="Currency 2" xfId="501"/>
    <cellStyle name="Currency 2 2" xfId="502"/>
    <cellStyle name="Currency 2 2 2" xfId="503"/>
    <cellStyle name="Currency 2 2 2 2" xfId="1482"/>
    <cellStyle name="Currency 2 2 3" xfId="1481"/>
    <cellStyle name="Currency 2 3" xfId="504"/>
    <cellStyle name="Currency 2 3 2" xfId="1483"/>
    <cellStyle name="Currency 2 4" xfId="1480"/>
    <cellStyle name="Currency 3" xfId="505"/>
    <cellStyle name="Currency 3 2" xfId="506"/>
    <cellStyle name="Currency 3 2 2" xfId="507"/>
    <cellStyle name="Currency 3 2 2 2" xfId="1486"/>
    <cellStyle name="Currency 3 2 3" xfId="1485"/>
    <cellStyle name="Currency 3 3" xfId="508"/>
    <cellStyle name="Currency 3 3 2" xfId="1487"/>
    <cellStyle name="Currency 3 4" xfId="1484"/>
    <cellStyle name="Currency 4" xfId="509"/>
    <cellStyle name="Currency 4 2" xfId="510"/>
    <cellStyle name="Currency 4 2 2" xfId="511"/>
    <cellStyle name="Currency 4 2 2 2" xfId="1490"/>
    <cellStyle name="Currency 4 2 3" xfId="1489"/>
    <cellStyle name="Currency 4 3" xfId="512"/>
    <cellStyle name="Currency 4 3 2" xfId="513"/>
    <cellStyle name="Currency 4 3 2 2" xfId="1492"/>
    <cellStyle name="Currency 4 3 3" xfId="1491"/>
    <cellStyle name="Currency 4 4" xfId="514"/>
    <cellStyle name="Currency 4 4 2" xfId="1493"/>
    <cellStyle name="Currency 4 5" xfId="515"/>
    <cellStyle name="Currency 4 5 2" xfId="1494"/>
    <cellStyle name="Currency 4 6" xfId="1488"/>
    <cellStyle name="Currency 5" xfId="516"/>
    <cellStyle name="Currency 5 2" xfId="517"/>
    <cellStyle name="Currency 5 2 2" xfId="518"/>
    <cellStyle name="Currency 5 2 2 2" xfId="1497"/>
    <cellStyle name="Currency 5 2 3" xfId="1496"/>
    <cellStyle name="Currency 5 3" xfId="519"/>
    <cellStyle name="Currency 5 3 2" xfId="1498"/>
    <cellStyle name="Currency 5 4" xfId="1495"/>
    <cellStyle name="Currency 6" xfId="520"/>
    <cellStyle name="Currency 6 2" xfId="521"/>
    <cellStyle name="Currency 6 2 2" xfId="1500"/>
    <cellStyle name="Currency 6 3" xfId="1499"/>
    <cellStyle name="Currency 7" xfId="522"/>
    <cellStyle name="Currency 7 2" xfId="523"/>
    <cellStyle name="Currency 7 2 2" xfId="1502"/>
    <cellStyle name="Currency 7 3" xfId="524"/>
    <cellStyle name="Currency 7 3 2" xfId="1503"/>
    <cellStyle name="Currency 7 4" xfId="1501"/>
    <cellStyle name="Currency 8" xfId="525"/>
    <cellStyle name="Currency 8 2" xfId="526"/>
    <cellStyle name="Currency 8 2 2" xfId="1505"/>
    <cellStyle name="Currency 8 3" xfId="1504"/>
    <cellStyle name="Currency 9" xfId="527"/>
    <cellStyle name="Currency 9 2" xfId="1506"/>
    <cellStyle name="Dash" xfId="528"/>
    <cellStyle name="Date" xfId="529"/>
    <cellStyle name="Date m-yy" xfId="530"/>
    <cellStyle name="Date m-yy 2" xfId="1507"/>
    <cellStyle name="Date2" xfId="531"/>
    <cellStyle name="Decimal" xfId="532"/>
    <cellStyle name="decimal 1" xfId="533"/>
    <cellStyle name="Dollar" xfId="534"/>
    <cellStyle name="Dollars" xfId="535"/>
    <cellStyle name="Dollars 2" xfId="536"/>
    <cellStyle name="Explanatory Text" xfId="537" builtinId="53" customBuiltin="1"/>
    <cellStyle name="Explanatory Text 2" xfId="538"/>
    <cellStyle name="Fail" xfId="539"/>
    <cellStyle name="Fail 2" xfId="540"/>
    <cellStyle name="FieldName" xfId="541"/>
    <cellStyle name="FiscalPeriod" xfId="542"/>
    <cellStyle name="FiscalPeriod 2" xfId="543"/>
    <cellStyle name="Fixed" xfId="544"/>
    <cellStyle name="Footnote" xfId="545"/>
    <cellStyle name="G02 Table Text" xfId="546"/>
    <cellStyle name="G02 Table Text 2" xfId="547"/>
    <cellStyle name="G04_Main head" xfId="548"/>
    <cellStyle name="G05 Tab Head Bold" xfId="549"/>
    <cellStyle name="G05 Tab Head Bold 2" xfId="550"/>
    <cellStyle name="G05 Tab Head Bold 2 2" xfId="551"/>
    <cellStyle name="G05 Tab Head Bold 2 2 2" xfId="552"/>
    <cellStyle name="G05 Tab Head Bold 2 2 2 2" xfId="1511"/>
    <cellStyle name="G05 Tab Head Bold 2 2 3" xfId="1510"/>
    <cellStyle name="G05 Tab Head Bold 2 3" xfId="553"/>
    <cellStyle name="G05 Tab Head Bold 2 3 2" xfId="1512"/>
    <cellStyle name="G05 Tab Head Bold 2 4" xfId="1509"/>
    <cellStyle name="G05 Tab Head Bold 3" xfId="554"/>
    <cellStyle name="G05 Tab Head Bold 3 2" xfId="555"/>
    <cellStyle name="G05 Tab Head Bold 3 2 2" xfId="1514"/>
    <cellStyle name="G05 Tab Head Bold 3 3" xfId="1513"/>
    <cellStyle name="G05 Tab Head Bold 4" xfId="556"/>
    <cellStyle name="G05 Tab Head Bold 4 2" xfId="1515"/>
    <cellStyle name="G05 Tab Head Bold 5" xfId="557"/>
    <cellStyle name="G05 Tab Head Bold 5 2" xfId="1516"/>
    <cellStyle name="G05 Tab Head Bold 6" xfId="1508"/>
    <cellStyle name="G05 Tab Head Light" xfId="558"/>
    <cellStyle name="G05 Tab Head Light 2" xfId="559"/>
    <cellStyle name="G05 Tab Head Light 2 2" xfId="560"/>
    <cellStyle name="G05 Tab Head Light 2 2 2" xfId="561"/>
    <cellStyle name="G05 Tab Head Light 2 2 2 2" xfId="1520"/>
    <cellStyle name="G05 Tab Head Light 2 2 3" xfId="1519"/>
    <cellStyle name="G05 Tab Head Light 2 3" xfId="562"/>
    <cellStyle name="G05 Tab Head Light 2 3 2" xfId="1521"/>
    <cellStyle name="G05 Tab Head Light 2 4" xfId="1518"/>
    <cellStyle name="G05 Tab Head Light 3" xfId="563"/>
    <cellStyle name="G05 Tab Head Light 3 2" xfId="564"/>
    <cellStyle name="G05 Tab Head Light 3 2 2" xfId="1523"/>
    <cellStyle name="G05 Tab Head Light 3 3" xfId="1522"/>
    <cellStyle name="G05 Tab Head Light 4" xfId="565"/>
    <cellStyle name="G05 Tab Head Light 4 2" xfId="1524"/>
    <cellStyle name="G05 Tab Head Light 5" xfId="566"/>
    <cellStyle name="G05 Tab Head Light 5 2" xfId="1525"/>
    <cellStyle name="G05 Tab Head Light 6" xfId="1517"/>
    <cellStyle name="Good" xfId="2647" builtinId="26" customBuiltin="1"/>
    <cellStyle name="Good 2" xfId="567"/>
    <cellStyle name="Good 3" xfId="568"/>
    <cellStyle name="Good 3 2" xfId="569"/>
    <cellStyle name="Green" xfId="570"/>
    <cellStyle name="Green 2" xfId="571"/>
    <cellStyle name="Green 2 2" xfId="572"/>
    <cellStyle name="Green 3" xfId="573"/>
    <cellStyle name="Grey" xfId="574"/>
    <cellStyle name="Grey 2" xfId="575"/>
    <cellStyle name="Grey 3" xfId="576"/>
    <cellStyle name="hard no" xfId="577"/>
    <cellStyle name="hard no 2" xfId="578"/>
    <cellStyle name="hard no 2 2" xfId="1527"/>
    <cellStyle name="hard no 3" xfId="1526"/>
    <cellStyle name="hardno" xfId="579"/>
    <cellStyle name="Header_FT Valuation " xfId="580"/>
    <cellStyle name="Header1" xfId="581"/>
    <cellStyle name="Header2" xfId="582"/>
    <cellStyle name="Heading 1" xfId="2643" builtinId="16" customBuiltin="1"/>
    <cellStyle name="Heading 1 2" xfId="583"/>
    <cellStyle name="Heading 1 3" xfId="584"/>
    <cellStyle name="Heading 1 3 2" xfId="585"/>
    <cellStyle name="Heading 2" xfId="2644" builtinId="17" customBuiltin="1"/>
    <cellStyle name="Heading 2 2" xfId="586"/>
    <cellStyle name="Heading 2 3" xfId="587"/>
    <cellStyle name="Heading 2 3 2" xfId="588"/>
    <cellStyle name="Heading 3" xfId="2645" builtinId="18" customBuiltin="1"/>
    <cellStyle name="Heading 3 2" xfId="589"/>
    <cellStyle name="Heading 3 3" xfId="590"/>
    <cellStyle name="Heading 3 3 2" xfId="591"/>
    <cellStyle name="Heading 4" xfId="2646" builtinId="19" customBuiltin="1"/>
    <cellStyle name="Heading 4 2" xfId="592"/>
    <cellStyle name="Heading 4 3" xfId="593"/>
    <cellStyle name="Heading 4 3 2" xfId="594"/>
    <cellStyle name="Hidden" xfId="595"/>
    <cellStyle name="Hidden 2" xfId="596"/>
    <cellStyle name="Hyperlink 2" xfId="597"/>
    <cellStyle name="Hyperlink 3" xfId="598"/>
    <cellStyle name="Hyperlink 4" xfId="599"/>
    <cellStyle name="Hyperlink 4 2" xfId="600"/>
    <cellStyle name="Hyperlink 4 2 2" xfId="601"/>
    <cellStyle name="Hyperlink 4 3" xfId="2686"/>
    <cellStyle name="Hyperlink 5" xfId="2677"/>
    <cellStyle name="Input" xfId="2650" builtinId="20" customBuiltin="1"/>
    <cellStyle name="Input [yellow]" xfId="602"/>
    <cellStyle name="Input [yellow] 2" xfId="603"/>
    <cellStyle name="Input [yellow] 3" xfId="604"/>
    <cellStyle name="Input 10" xfId="605"/>
    <cellStyle name="Input 11" xfId="606"/>
    <cellStyle name="Input 12" xfId="607"/>
    <cellStyle name="Input 13" xfId="608"/>
    <cellStyle name="Input 14" xfId="609"/>
    <cellStyle name="Input 15" xfId="610"/>
    <cellStyle name="Input 16" xfId="611"/>
    <cellStyle name="Input 17" xfId="612"/>
    <cellStyle name="Input 18" xfId="613"/>
    <cellStyle name="Input 19" xfId="614"/>
    <cellStyle name="Input 2" xfId="615"/>
    <cellStyle name="Input 20" xfId="616"/>
    <cellStyle name="Input 21" xfId="617"/>
    <cellStyle name="Input 22" xfId="618"/>
    <cellStyle name="Input 23" xfId="619"/>
    <cellStyle name="Input 24" xfId="620"/>
    <cellStyle name="Input 3" xfId="621"/>
    <cellStyle name="Input 4" xfId="622"/>
    <cellStyle name="Input 5" xfId="623"/>
    <cellStyle name="Input 6" xfId="624"/>
    <cellStyle name="Input 7" xfId="625"/>
    <cellStyle name="Input 8" xfId="626"/>
    <cellStyle name="Input 9" xfId="627"/>
    <cellStyle name="InputBlueFont" xfId="628"/>
    <cellStyle name="Integer" xfId="629"/>
    <cellStyle name="Invisible" xfId="630"/>
    <cellStyle name="KP_Normal" xfId="631"/>
    <cellStyle name="Linked Cell" xfId="2653" builtinId="24" customBuiltin="1"/>
    <cellStyle name="Linked Cell 2" xfId="632"/>
    <cellStyle name="Linked Cell 3" xfId="633"/>
    <cellStyle name="Linked Cell 3 2" xfId="634"/>
    <cellStyle name="MetricLabel" xfId="635"/>
    <cellStyle name="MetricLabel 2" xfId="636"/>
    <cellStyle name="MetricLabelBlue" xfId="637"/>
    <cellStyle name="MetricLabelBlue 2" xfId="638"/>
    <cellStyle name="MetricValue" xfId="639"/>
    <cellStyle name="MetricValue 2" xfId="640"/>
    <cellStyle name="MonthYears" xfId="641"/>
    <cellStyle name="MonthYears 2" xfId="642"/>
    <cellStyle name="MonthYears 3" xfId="643"/>
    <cellStyle name="Neutral" xfId="2649" builtinId="28" customBuiltin="1"/>
    <cellStyle name="Neutral 2" xfId="644"/>
    <cellStyle name="Neutral 3" xfId="645"/>
    <cellStyle name="NewColumnHeaderNormal" xfId="646"/>
    <cellStyle name="NewSectionHeaderNormal" xfId="647"/>
    <cellStyle name="NewTitleNormal" xfId="648"/>
    <cellStyle name="no dec" xfId="649"/>
    <cellStyle name="Normal" xfId="0" builtinId="0" customBuiltin="1"/>
    <cellStyle name="Normal - Style1" xfId="650"/>
    <cellStyle name="Normal 10" xfId="651"/>
    <cellStyle name="Normal 10 2" xfId="652"/>
    <cellStyle name="Normal 10 2 10" xfId="3380"/>
    <cellStyle name="Normal 10 2 10 2" xfId="5465"/>
    <cellStyle name="Normal 10 2 10 2 2" xfId="9616"/>
    <cellStyle name="Normal 10 2 10 3" xfId="7543"/>
    <cellStyle name="Normal 10 2 11" xfId="4095"/>
    <cellStyle name="Normal 10 2 11 2" xfId="8251"/>
    <cellStyle name="Normal 10 2 12" xfId="6178"/>
    <cellStyle name="Normal 10 2 2" xfId="653"/>
    <cellStyle name="Normal 10 2 2 2" xfId="1530"/>
    <cellStyle name="Normal 10 2 3" xfId="1529"/>
    <cellStyle name="Normal 10 2 3 10" xfId="6199"/>
    <cellStyle name="Normal 10 2 3 2" xfId="2076"/>
    <cellStyle name="Normal 10 2 3 2 2" xfId="2250"/>
    <cellStyle name="Normal 10 2 3 2 2 2" xfId="2591"/>
    <cellStyle name="Normal 10 2 3 2 2 2 2" xfId="3316"/>
    <cellStyle name="Normal 10 2 3 2 2 2 2 2" xfId="5402"/>
    <cellStyle name="Normal 10 2 3 2 2 2 2 2 2" xfId="9553"/>
    <cellStyle name="Normal 10 2 3 2 2 2 2 3" xfId="7480"/>
    <cellStyle name="Normal 10 2 3 2 2 2 3" xfId="3989"/>
    <cellStyle name="Normal 10 2 3 2 2 2 3 2" xfId="6074"/>
    <cellStyle name="Normal 10 2 3 2 2 2 3 2 2" xfId="10225"/>
    <cellStyle name="Normal 10 2 3 2 2 2 3 3" xfId="8152"/>
    <cellStyle name="Normal 10 2 3 2 2 2 4" xfId="4708"/>
    <cellStyle name="Normal 10 2 3 2 2 2 4 2" xfId="8860"/>
    <cellStyle name="Normal 10 2 3 2 2 2 5" xfId="6787"/>
    <cellStyle name="Normal 10 2 3 2 2 3" xfId="2980"/>
    <cellStyle name="Normal 10 2 3 2 2 3 2" xfId="5066"/>
    <cellStyle name="Normal 10 2 3 2 2 3 2 2" xfId="9217"/>
    <cellStyle name="Normal 10 2 3 2 2 3 3" xfId="7144"/>
    <cellStyle name="Normal 10 2 3 2 2 4" xfId="3653"/>
    <cellStyle name="Normal 10 2 3 2 2 4 2" xfId="5738"/>
    <cellStyle name="Normal 10 2 3 2 2 4 2 2" xfId="9889"/>
    <cellStyle name="Normal 10 2 3 2 2 4 3" xfId="7816"/>
    <cellStyle name="Normal 10 2 3 2 2 5" xfId="4372"/>
    <cellStyle name="Normal 10 2 3 2 2 5 2" xfId="8524"/>
    <cellStyle name="Normal 10 2 3 2 2 6" xfId="6451"/>
    <cellStyle name="Normal 10 2 3 2 3" xfId="2423"/>
    <cellStyle name="Normal 10 2 3 2 3 2" xfId="3148"/>
    <cellStyle name="Normal 10 2 3 2 3 2 2" xfId="5234"/>
    <cellStyle name="Normal 10 2 3 2 3 2 2 2" xfId="9385"/>
    <cellStyle name="Normal 10 2 3 2 3 2 3" xfId="7312"/>
    <cellStyle name="Normal 10 2 3 2 3 3" xfId="3821"/>
    <cellStyle name="Normal 10 2 3 2 3 3 2" xfId="5906"/>
    <cellStyle name="Normal 10 2 3 2 3 3 2 2" xfId="10057"/>
    <cellStyle name="Normal 10 2 3 2 3 3 3" xfId="7984"/>
    <cellStyle name="Normal 10 2 3 2 3 4" xfId="4540"/>
    <cellStyle name="Normal 10 2 3 2 3 4 2" xfId="8692"/>
    <cellStyle name="Normal 10 2 3 2 3 5" xfId="6619"/>
    <cellStyle name="Normal 10 2 3 2 4" xfId="2812"/>
    <cellStyle name="Normal 10 2 3 2 4 2" xfId="4898"/>
    <cellStyle name="Normal 10 2 3 2 4 2 2" xfId="9049"/>
    <cellStyle name="Normal 10 2 3 2 4 3" xfId="6976"/>
    <cellStyle name="Normal 10 2 3 2 5" xfId="3485"/>
    <cellStyle name="Normal 10 2 3 2 5 2" xfId="5570"/>
    <cellStyle name="Normal 10 2 3 2 5 2 2" xfId="9721"/>
    <cellStyle name="Normal 10 2 3 2 5 3" xfId="7648"/>
    <cellStyle name="Normal 10 2 3 2 6" xfId="4204"/>
    <cellStyle name="Normal 10 2 3 2 6 2" xfId="8356"/>
    <cellStyle name="Normal 10 2 3 2 7" xfId="6283"/>
    <cellStyle name="Normal 10 2 3 3" xfId="1977"/>
    <cellStyle name="Normal 10 2 3 3 2" xfId="2208"/>
    <cellStyle name="Normal 10 2 3 3 2 2" xfId="2549"/>
    <cellStyle name="Normal 10 2 3 3 2 2 2" xfId="3274"/>
    <cellStyle name="Normal 10 2 3 3 2 2 2 2" xfId="5360"/>
    <cellStyle name="Normal 10 2 3 3 2 2 2 2 2" xfId="9511"/>
    <cellStyle name="Normal 10 2 3 3 2 2 2 3" xfId="7438"/>
    <cellStyle name="Normal 10 2 3 3 2 2 3" xfId="3947"/>
    <cellStyle name="Normal 10 2 3 3 2 2 3 2" xfId="6032"/>
    <cellStyle name="Normal 10 2 3 3 2 2 3 2 2" xfId="10183"/>
    <cellStyle name="Normal 10 2 3 3 2 2 3 3" xfId="8110"/>
    <cellStyle name="Normal 10 2 3 3 2 2 4" xfId="4666"/>
    <cellStyle name="Normal 10 2 3 3 2 2 4 2" xfId="8818"/>
    <cellStyle name="Normal 10 2 3 3 2 2 5" xfId="6745"/>
    <cellStyle name="Normal 10 2 3 3 2 3" xfId="2938"/>
    <cellStyle name="Normal 10 2 3 3 2 3 2" xfId="5024"/>
    <cellStyle name="Normal 10 2 3 3 2 3 2 2" xfId="9175"/>
    <cellStyle name="Normal 10 2 3 3 2 3 3" xfId="7102"/>
    <cellStyle name="Normal 10 2 3 3 2 4" xfId="3611"/>
    <cellStyle name="Normal 10 2 3 3 2 4 2" xfId="5696"/>
    <cellStyle name="Normal 10 2 3 3 2 4 2 2" xfId="9847"/>
    <cellStyle name="Normal 10 2 3 3 2 4 3" xfId="7774"/>
    <cellStyle name="Normal 10 2 3 3 2 5" xfId="4330"/>
    <cellStyle name="Normal 10 2 3 3 2 5 2" xfId="8482"/>
    <cellStyle name="Normal 10 2 3 3 2 6" xfId="6409"/>
    <cellStyle name="Normal 10 2 3 3 3" xfId="2380"/>
    <cellStyle name="Normal 10 2 3 3 3 2" xfId="3106"/>
    <cellStyle name="Normal 10 2 3 3 3 2 2" xfId="5192"/>
    <cellStyle name="Normal 10 2 3 3 3 2 2 2" xfId="9343"/>
    <cellStyle name="Normal 10 2 3 3 3 2 3" xfId="7270"/>
    <cellStyle name="Normal 10 2 3 3 3 3" xfId="3779"/>
    <cellStyle name="Normal 10 2 3 3 3 3 2" xfId="5864"/>
    <cellStyle name="Normal 10 2 3 3 3 3 2 2" xfId="10015"/>
    <cellStyle name="Normal 10 2 3 3 3 3 3" xfId="7942"/>
    <cellStyle name="Normal 10 2 3 3 3 4" xfId="4498"/>
    <cellStyle name="Normal 10 2 3 3 3 4 2" xfId="8650"/>
    <cellStyle name="Normal 10 2 3 3 3 5" xfId="6577"/>
    <cellStyle name="Normal 10 2 3 3 4" xfId="2770"/>
    <cellStyle name="Normal 10 2 3 3 4 2" xfId="4856"/>
    <cellStyle name="Normal 10 2 3 3 4 2 2" xfId="9007"/>
    <cellStyle name="Normal 10 2 3 3 4 3" xfId="6934"/>
    <cellStyle name="Normal 10 2 3 3 5" xfId="3443"/>
    <cellStyle name="Normal 10 2 3 3 5 2" xfId="5528"/>
    <cellStyle name="Normal 10 2 3 3 5 2 2" xfId="9679"/>
    <cellStyle name="Normal 10 2 3 3 5 3" xfId="7606"/>
    <cellStyle name="Normal 10 2 3 3 6" xfId="4162"/>
    <cellStyle name="Normal 10 2 3 3 6 2" xfId="8314"/>
    <cellStyle name="Normal 10 2 3 3 7" xfId="6241"/>
    <cellStyle name="Normal 10 2 3 4" xfId="2119"/>
    <cellStyle name="Normal 10 2 3 4 2" xfId="2292"/>
    <cellStyle name="Normal 10 2 3 4 2 2" xfId="2633"/>
    <cellStyle name="Normal 10 2 3 4 2 2 2" xfId="3358"/>
    <cellStyle name="Normal 10 2 3 4 2 2 2 2" xfId="5444"/>
    <cellStyle name="Normal 10 2 3 4 2 2 2 2 2" xfId="9595"/>
    <cellStyle name="Normal 10 2 3 4 2 2 2 3" xfId="7522"/>
    <cellStyle name="Normal 10 2 3 4 2 2 3" xfId="4031"/>
    <cellStyle name="Normal 10 2 3 4 2 2 3 2" xfId="6116"/>
    <cellStyle name="Normal 10 2 3 4 2 2 3 2 2" xfId="10267"/>
    <cellStyle name="Normal 10 2 3 4 2 2 3 3" xfId="8194"/>
    <cellStyle name="Normal 10 2 3 4 2 2 4" xfId="4750"/>
    <cellStyle name="Normal 10 2 3 4 2 2 4 2" xfId="8902"/>
    <cellStyle name="Normal 10 2 3 4 2 2 5" xfId="6829"/>
    <cellStyle name="Normal 10 2 3 4 2 3" xfId="3022"/>
    <cellStyle name="Normal 10 2 3 4 2 3 2" xfId="5108"/>
    <cellStyle name="Normal 10 2 3 4 2 3 2 2" xfId="9259"/>
    <cellStyle name="Normal 10 2 3 4 2 3 3" xfId="7186"/>
    <cellStyle name="Normal 10 2 3 4 2 4" xfId="3695"/>
    <cellStyle name="Normal 10 2 3 4 2 4 2" xfId="5780"/>
    <cellStyle name="Normal 10 2 3 4 2 4 2 2" xfId="9931"/>
    <cellStyle name="Normal 10 2 3 4 2 4 3" xfId="7858"/>
    <cellStyle name="Normal 10 2 3 4 2 5" xfId="4414"/>
    <cellStyle name="Normal 10 2 3 4 2 5 2" xfId="8566"/>
    <cellStyle name="Normal 10 2 3 4 2 6" xfId="6493"/>
    <cellStyle name="Normal 10 2 3 4 3" xfId="2465"/>
    <cellStyle name="Normal 10 2 3 4 3 2" xfId="3190"/>
    <cellStyle name="Normal 10 2 3 4 3 2 2" xfId="5276"/>
    <cellStyle name="Normal 10 2 3 4 3 2 2 2" xfId="9427"/>
    <cellStyle name="Normal 10 2 3 4 3 2 3" xfId="7354"/>
    <cellStyle name="Normal 10 2 3 4 3 3" xfId="3863"/>
    <cellStyle name="Normal 10 2 3 4 3 3 2" xfId="5948"/>
    <cellStyle name="Normal 10 2 3 4 3 3 2 2" xfId="10099"/>
    <cellStyle name="Normal 10 2 3 4 3 3 3" xfId="8026"/>
    <cellStyle name="Normal 10 2 3 4 3 4" xfId="4582"/>
    <cellStyle name="Normal 10 2 3 4 3 4 2" xfId="8734"/>
    <cellStyle name="Normal 10 2 3 4 3 5" xfId="6661"/>
    <cellStyle name="Normal 10 2 3 4 4" xfId="2854"/>
    <cellStyle name="Normal 10 2 3 4 4 2" xfId="4940"/>
    <cellStyle name="Normal 10 2 3 4 4 2 2" xfId="9091"/>
    <cellStyle name="Normal 10 2 3 4 4 3" xfId="7018"/>
    <cellStyle name="Normal 10 2 3 4 5" xfId="3527"/>
    <cellStyle name="Normal 10 2 3 4 5 2" xfId="5612"/>
    <cellStyle name="Normal 10 2 3 4 5 2 2" xfId="9763"/>
    <cellStyle name="Normal 10 2 3 4 5 3" xfId="7690"/>
    <cellStyle name="Normal 10 2 3 4 6" xfId="4246"/>
    <cellStyle name="Normal 10 2 3 4 6 2" xfId="8398"/>
    <cellStyle name="Normal 10 2 3 4 7" xfId="6325"/>
    <cellStyle name="Normal 10 2 3 5" xfId="2165"/>
    <cellStyle name="Normal 10 2 3 5 2" xfId="2507"/>
    <cellStyle name="Normal 10 2 3 5 2 2" xfId="3232"/>
    <cellStyle name="Normal 10 2 3 5 2 2 2" xfId="5318"/>
    <cellStyle name="Normal 10 2 3 5 2 2 2 2" xfId="9469"/>
    <cellStyle name="Normal 10 2 3 5 2 2 3" xfId="7396"/>
    <cellStyle name="Normal 10 2 3 5 2 3" xfId="3905"/>
    <cellStyle name="Normal 10 2 3 5 2 3 2" xfId="5990"/>
    <cellStyle name="Normal 10 2 3 5 2 3 2 2" xfId="10141"/>
    <cellStyle name="Normal 10 2 3 5 2 3 3" xfId="8068"/>
    <cellStyle name="Normal 10 2 3 5 2 4" xfId="4624"/>
    <cellStyle name="Normal 10 2 3 5 2 4 2" xfId="8776"/>
    <cellStyle name="Normal 10 2 3 5 2 5" xfId="6703"/>
    <cellStyle name="Normal 10 2 3 5 3" xfId="2896"/>
    <cellStyle name="Normal 10 2 3 5 3 2" xfId="4982"/>
    <cellStyle name="Normal 10 2 3 5 3 2 2" xfId="9133"/>
    <cellStyle name="Normal 10 2 3 5 3 3" xfId="7060"/>
    <cellStyle name="Normal 10 2 3 5 4" xfId="3569"/>
    <cellStyle name="Normal 10 2 3 5 4 2" xfId="5654"/>
    <cellStyle name="Normal 10 2 3 5 4 2 2" xfId="9805"/>
    <cellStyle name="Normal 10 2 3 5 4 3" xfId="7732"/>
    <cellStyle name="Normal 10 2 3 5 5" xfId="4288"/>
    <cellStyle name="Normal 10 2 3 5 5 2" xfId="8440"/>
    <cellStyle name="Normal 10 2 3 5 6" xfId="6367"/>
    <cellStyle name="Normal 10 2 3 6" xfId="2338"/>
    <cellStyle name="Normal 10 2 3 6 2" xfId="3064"/>
    <cellStyle name="Normal 10 2 3 6 2 2" xfId="5150"/>
    <cellStyle name="Normal 10 2 3 6 2 2 2" xfId="9301"/>
    <cellStyle name="Normal 10 2 3 6 2 3" xfId="7228"/>
    <cellStyle name="Normal 10 2 3 6 3" xfId="3737"/>
    <cellStyle name="Normal 10 2 3 6 3 2" xfId="5822"/>
    <cellStyle name="Normal 10 2 3 6 3 2 2" xfId="9973"/>
    <cellStyle name="Normal 10 2 3 6 3 3" xfId="7900"/>
    <cellStyle name="Normal 10 2 3 6 4" xfId="4456"/>
    <cellStyle name="Normal 10 2 3 6 4 2" xfId="8608"/>
    <cellStyle name="Normal 10 2 3 6 5" xfId="6535"/>
    <cellStyle name="Normal 10 2 3 7" xfId="2728"/>
    <cellStyle name="Normal 10 2 3 7 2" xfId="4814"/>
    <cellStyle name="Normal 10 2 3 7 2 2" xfId="8965"/>
    <cellStyle name="Normal 10 2 3 7 3" xfId="6892"/>
    <cellStyle name="Normal 10 2 3 8" xfId="3401"/>
    <cellStyle name="Normal 10 2 3 8 2" xfId="5486"/>
    <cellStyle name="Normal 10 2 3 8 2 2" xfId="9637"/>
    <cellStyle name="Normal 10 2 3 8 3" xfId="7564"/>
    <cellStyle name="Normal 10 2 3 9" xfId="4118"/>
    <cellStyle name="Normal 10 2 3 9 2" xfId="8272"/>
    <cellStyle name="Normal 10 2 4" xfId="2022"/>
    <cellStyle name="Normal 10 2 4 2" xfId="2229"/>
    <cellStyle name="Normal 10 2 4 2 2" xfId="2570"/>
    <cellStyle name="Normal 10 2 4 2 2 2" xfId="3295"/>
    <cellStyle name="Normal 10 2 4 2 2 2 2" xfId="5381"/>
    <cellStyle name="Normal 10 2 4 2 2 2 2 2" xfId="9532"/>
    <cellStyle name="Normal 10 2 4 2 2 2 3" xfId="7459"/>
    <cellStyle name="Normal 10 2 4 2 2 3" xfId="3968"/>
    <cellStyle name="Normal 10 2 4 2 2 3 2" xfId="6053"/>
    <cellStyle name="Normal 10 2 4 2 2 3 2 2" xfId="10204"/>
    <cellStyle name="Normal 10 2 4 2 2 3 3" xfId="8131"/>
    <cellStyle name="Normal 10 2 4 2 2 4" xfId="4687"/>
    <cellStyle name="Normal 10 2 4 2 2 4 2" xfId="8839"/>
    <cellStyle name="Normal 10 2 4 2 2 5" xfId="6766"/>
    <cellStyle name="Normal 10 2 4 2 3" xfId="2959"/>
    <cellStyle name="Normal 10 2 4 2 3 2" xfId="5045"/>
    <cellStyle name="Normal 10 2 4 2 3 2 2" xfId="9196"/>
    <cellStyle name="Normal 10 2 4 2 3 3" xfId="7123"/>
    <cellStyle name="Normal 10 2 4 2 4" xfId="3632"/>
    <cellStyle name="Normal 10 2 4 2 4 2" xfId="5717"/>
    <cellStyle name="Normal 10 2 4 2 4 2 2" xfId="9868"/>
    <cellStyle name="Normal 10 2 4 2 4 3" xfId="7795"/>
    <cellStyle name="Normal 10 2 4 2 5" xfId="4351"/>
    <cellStyle name="Normal 10 2 4 2 5 2" xfId="8503"/>
    <cellStyle name="Normal 10 2 4 2 6" xfId="6430"/>
    <cellStyle name="Normal 10 2 4 3" xfId="2402"/>
    <cellStyle name="Normal 10 2 4 3 2" xfId="3127"/>
    <cellStyle name="Normal 10 2 4 3 2 2" xfId="5213"/>
    <cellStyle name="Normal 10 2 4 3 2 2 2" xfId="9364"/>
    <cellStyle name="Normal 10 2 4 3 2 3" xfId="7291"/>
    <cellStyle name="Normal 10 2 4 3 3" xfId="3800"/>
    <cellStyle name="Normal 10 2 4 3 3 2" xfId="5885"/>
    <cellStyle name="Normal 10 2 4 3 3 2 2" xfId="10036"/>
    <cellStyle name="Normal 10 2 4 3 3 3" xfId="7963"/>
    <cellStyle name="Normal 10 2 4 3 4" xfId="4519"/>
    <cellStyle name="Normal 10 2 4 3 4 2" xfId="8671"/>
    <cellStyle name="Normal 10 2 4 3 5" xfId="6598"/>
    <cellStyle name="Normal 10 2 4 4" xfId="2791"/>
    <cellStyle name="Normal 10 2 4 4 2" xfId="4877"/>
    <cellStyle name="Normal 10 2 4 4 2 2" xfId="9028"/>
    <cellStyle name="Normal 10 2 4 4 3" xfId="6955"/>
    <cellStyle name="Normal 10 2 4 5" xfId="3464"/>
    <cellStyle name="Normal 10 2 4 5 2" xfId="5549"/>
    <cellStyle name="Normal 10 2 4 5 2 2" xfId="9700"/>
    <cellStyle name="Normal 10 2 4 5 3" xfId="7627"/>
    <cellStyle name="Normal 10 2 4 6" xfId="4183"/>
    <cellStyle name="Normal 10 2 4 6 2" xfId="8335"/>
    <cellStyle name="Normal 10 2 4 7" xfId="6262"/>
    <cellStyle name="Normal 10 2 5" xfId="1921"/>
    <cellStyle name="Normal 10 2 5 2" xfId="2187"/>
    <cellStyle name="Normal 10 2 5 2 2" xfId="2528"/>
    <cellStyle name="Normal 10 2 5 2 2 2" xfId="3253"/>
    <cellStyle name="Normal 10 2 5 2 2 2 2" xfId="5339"/>
    <cellStyle name="Normal 10 2 5 2 2 2 2 2" xfId="9490"/>
    <cellStyle name="Normal 10 2 5 2 2 2 3" xfId="7417"/>
    <cellStyle name="Normal 10 2 5 2 2 3" xfId="3926"/>
    <cellStyle name="Normal 10 2 5 2 2 3 2" xfId="6011"/>
    <cellStyle name="Normal 10 2 5 2 2 3 2 2" xfId="10162"/>
    <cellStyle name="Normal 10 2 5 2 2 3 3" xfId="8089"/>
    <cellStyle name="Normal 10 2 5 2 2 4" xfId="4645"/>
    <cellStyle name="Normal 10 2 5 2 2 4 2" xfId="8797"/>
    <cellStyle name="Normal 10 2 5 2 2 5" xfId="6724"/>
    <cellStyle name="Normal 10 2 5 2 3" xfId="2917"/>
    <cellStyle name="Normal 10 2 5 2 3 2" xfId="5003"/>
    <cellStyle name="Normal 10 2 5 2 3 2 2" xfId="9154"/>
    <cellStyle name="Normal 10 2 5 2 3 3" xfId="7081"/>
    <cellStyle name="Normal 10 2 5 2 4" xfId="3590"/>
    <cellStyle name="Normal 10 2 5 2 4 2" xfId="5675"/>
    <cellStyle name="Normal 10 2 5 2 4 2 2" xfId="9826"/>
    <cellStyle name="Normal 10 2 5 2 4 3" xfId="7753"/>
    <cellStyle name="Normal 10 2 5 2 5" xfId="4309"/>
    <cellStyle name="Normal 10 2 5 2 5 2" xfId="8461"/>
    <cellStyle name="Normal 10 2 5 2 6" xfId="6388"/>
    <cellStyle name="Normal 10 2 5 3" xfId="2359"/>
    <cellStyle name="Normal 10 2 5 3 2" xfId="3085"/>
    <cellStyle name="Normal 10 2 5 3 2 2" xfId="5171"/>
    <cellStyle name="Normal 10 2 5 3 2 2 2" xfId="9322"/>
    <cellStyle name="Normal 10 2 5 3 2 3" xfId="7249"/>
    <cellStyle name="Normal 10 2 5 3 3" xfId="3758"/>
    <cellStyle name="Normal 10 2 5 3 3 2" xfId="5843"/>
    <cellStyle name="Normal 10 2 5 3 3 2 2" xfId="9994"/>
    <cellStyle name="Normal 10 2 5 3 3 3" xfId="7921"/>
    <cellStyle name="Normal 10 2 5 3 4" xfId="4477"/>
    <cellStyle name="Normal 10 2 5 3 4 2" xfId="8629"/>
    <cellStyle name="Normal 10 2 5 3 5" xfId="6556"/>
    <cellStyle name="Normal 10 2 5 4" xfId="2749"/>
    <cellStyle name="Normal 10 2 5 4 2" xfId="4835"/>
    <cellStyle name="Normal 10 2 5 4 2 2" xfId="8986"/>
    <cellStyle name="Normal 10 2 5 4 3" xfId="6913"/>
    <cellStyle name="Normal 10 2 5 5" xfId="3422"/>
    <cellStyle name="Normal 10 2 5 5 2" xfId="5507"/>
    <cellStyle name="Normal 10 2 5 5 2 2" xfId="9658"/>
    <cellStyle name="Normal 10 2 5 5 3" xfId="7585"/>
    <cellStyle name="Normal 10 2 5 6" xfId="4141"/>
    <cellStyle name="Normal 10 2 5 6 2" xfId="8293"/>
    <cellStyle name="Normal 10 2 5 7" xfId="6220"/>
    <cellStyle name="Normal 10 2 6" xfId="2098"/>
    <cellStyle name="Normal 10 2 6 2" xfId="2271"/>
    <cellStyle name="Normal 10 2 6 2 2" xfId="2612"/>
    <cellStyle name="Normal 10 2 6 2 2 2" xfId="3337"/>
    <cellStyle name="Normal 10 2 6 2 2 2 2" xfId="5423"/>
    <cellStyle name="Normal 10 2 6 2 2 2 2 2" xfId="9574"/>
    <cellStyle name="Normal 10 2 6 2 2 2 3" xfId="7501"/>
    <cellStyle name="Normal 10 2 6 2 2 3" xfId="4010"/>
    <cellStyle name="Normal 10 2 6 2 2 3 2" xfId="6095"/>
    <cellStyle name="Normal 10 2 6 2 2 3 2 2" xfId="10246"/>
    <cellStyle name="Normal 10 2 6 2 2 3 3" xfId="8173"/>
    <cellStyle name="Normal 10 2 6 2 2 4" xfId="4729"/>
    <cellStyle name="Normal 10 2 6 2 2 4 2" xfId="8881"/>
    <cellStyle name="Normal 10 2 6 2 2 5" xfId="6808"/>
    <cellStyle name="Normal 10 2 6 2 3" xfId="3001"/>
    <cellStyle name="Normal 10 2 6 2 3 2" xfId="5087"/>
    <cellStyle name="Normal 10 2 6 2 3 2 2" xfId="9238"/>
    <cellStyle name="Normal 10 2 6 2 3 3" xfId="7165"/>
    <cellStyle name="Normal 10 2 6 2 4" xfId="3674"/>
    <cellStyle name="Normal 10 2 6 2 4 2" xfId="5759"/>
    <cellStyle name="Normal 10 2 6 2 4 2 2" xfId="9910"/>
    <cellStyle name="Normal 10 2 6 2 4 3" xfId="7837"/>
    <cellStyle name="Normal 10 2 6 2 5" xfId="4393"/>
    <cellStyle name="Normal 10 2 6 2 5 2" xfId="8545"/>
    <cellStyle name="Normal 10 2 6 2 6" xfId="6472"/>
    <cellStyle name="Normal 10 2 6 3" xfId="2444"/>
    <cellStyle name="Normal 10 2 6 3 2" xfId="3169"/>
    <cellStyle name="Normal 10 2 6 3 2 2" xfId="5255"/>
    <cellStyle name="Normal 10 2 6 3 2 2 2" xfId="9406"/>
    <cellStyle name="Normal 10 2 6 3 2 3" xfId="7333"/>
    <cellStyle name="Normal 10 2 6 3 3" xfId="3842"/>
    <cellStyle name="Normal 10 2 6 3 3 2" xfId="5927"/>
    <cellStyle name="Normal 10 2 6 3 3 2 2" xfId="10078"/>
    <cellStyle name="Normal 10 2 6 3 3 3" xfId="8005"/>
    <cellStyle name="Normal 10 2 6 3 4" xfId="4561"/>
    <cellStyle name="Normal 10 2 6 3 4 2" xfId="8713"/>
    <cellStyle name="Normal 10 2 6 3 5" xfId="6640"/>
    <cellStyle name="Normal 10 2 6 4" xfId="2833"/>
    <cellStyle name="Normal 10 2 6 4 2" xfId="4919"/>
    <cellStyle name="Normal 10 2 6 4 2 2" xfId="9070"/>
    <cellStyle name="Normal 10 2 6 4 3" xfId="6997"/>
    <cellStyle name="Normal 10 2 6 5" xfId="3506"/>
    <cellStyle name="Normal 10 2 6 5 2" xfId="5591"/>
    <cellStyle name="Normal 10 2 6 5 2 2" xfId="9742"/>
    <cellStyle name="Normal 10 2 6 5 3" xfId="7669"/>
    <cellStyle name="Normal 10 2 6 6" xfId="4225"/>
    <cellStyle name="Normal 10 2 6 6 2" xfId="8377"/>
    <cellStyle name="Normal 10 2 6 7" xfId="6304"/>
    <cellStyle name="Normal 10 2 7" xfId="2142"/>
    <cellStyle name="Normal 10 2 7 2" xfId="2486"/>
    <cellStyle name="Normal 10 2 7 2 2" xfId="3211"/>
    <cellStyle name="Normal 10 2 7 2 2 2" xfId="5297"/>
    <cellStyle name="Normal 10 2 7 2 2 2 2" xfId="9448"/>
    <cellStyle name="Normal 10 2 7 2 2 3" xfId="7375"/>
    <cellStyle name="Normal 10 2 7 2 3" xfId="3884"/>
    <cellStyle name="Normal 10 2 7 2 3 2" xfId="5969"/>
    <cellStyle name="Normal 10 2 7 2 3 2 2" xfId="10120"/>
    <cellStyle name="Normal 10 2 7 2 3 3" xfId="8047"/>
    <cellStyle name="Normal 10 2 7 2 4" xfId="4603"/>
    <cellStyle name="Normal 10 2 7 2 4 2" xfId="8755"/>
    <cellStyle name="Normal 10 2 7 2 5" xfId="6682"/>
    <cellStyle name="Normal 10 2 7 3" xfId="2875"/>
    <cellStyle name="Normal 10 2 7 3 2" xfId="4961"/>
    <cellStyle name="Normal 10 2 7 3 2 2" xfId="9112"/>
    <cellStyle name="Normal 10 2 7 3 3" xfId="7039"/>
    <cellStyle name="Normal 10 2 7 4" xfId="3548"/>
    <cellStyle name="Normal 10 2 7 4 2" xfId="5633"/>
    <cellStyle name="Normal 10 2 7 4 2 2" xfId="9784"/>
    <cellStyle name="Normal 10 2 7 4 3" xfId="7711"/>
    <cellStyle name="Normal 10 2 7 5" xfId="4267"/>
    <cellStyle name="Normal 10 2 7 5 2" xfId="8419"/>
    <cellStyle name="Normal 10 2 7 6" xfId="6346"/>
    <cellStyle name="Normal 10 2 8" xfId="2316"/>
    <cellStyle name="Normal 10 2 8 2" xfId="3043"/>
    <cellStyle name="Normal 10 2 8 2 2" xfId="5129"/>
    <cellStyle name="Normal 10 2 8 2 2 2" xfId="9280"/>
    <cellStyle name="Normal 10 2 8 2 3" xfId="7207"/>
    <cellStyle name="Normal 10 2 8 3" xfId="3716"/>
    <cellStyle name="Normal 10 2 8 3 2" xfId="5801"/>
    <cellStyle name="Normal 10 2 8 3 2 2" xfId="9952"/>
    <cellStyle name="Normal 10 2 8 3 3" xfId="7879"/>
    <cellStyle name="Normal 10 2 8 4" xfId="4435"/>
    <cellStyle name="Normal 10 2 8 4 2" xfId="8587"/>
    <cellStyle name="Normal 10 2 8 5" xfId="6514"/>
    <cellStyle name="Normal 10 2 9" xfId="2706"/>
    <cellStyle name="Normal 10 2 9 2" xfId="4793"/>
    <cellStyle name="Normal 10 2 9 2 2" xfId="8944"/>
    <cellStyle name="Normal 10 2 9 3" xfId="6871"/>
    <cellStyle name="Normal 10 3" xfId="1528"/>
    <cellStyle name="Normal 10 4" xfId="2687"/>
    <cellStyle name="Normal 10 4 2" xfId="4777"/>
    <cellStyle name="Normal 10 4 2 2" xfId="8928"/>
    <cellStyle name="Normal 10 4 3" xfId="6855"/>
    <cellStyle name="Normal 10 5" xfId="4061"/>
    <cellStyle name="Normal 10 5 2" xfId="6145"/>
    <cellStyle name="Normal 10 5 2 2" xfId="10296"/>
    <cellStyle name="Normal 10 5 3" xfId="8223"/>
    <cellStyle name="Normal 100" xfId="4064"/>
    <cellStyle name="Normal 100 2" xfId="6148"/>
    <cellStyle name="Normal 100 2 2" xfId="10299"/>
    <cellStyle name="Normal 100 3" xfId="8226"/>
    <cellStyle name="Normal 101" xfId="4049"/>
    <cellStyle name="Normal 101 2" xfId="6134"/>
    <cellStyle name="Normal 101 2 2" xfId="10285"/>
    <cellStyle name="Normal 101 3" xfId="8212"/>
    <cellStyle name="Normal 102" xfId="4074"/>
    <cellStyle name="Normal 102 2" xfId="6156"/>
    <cellStyle name="Normal 102 2 2" xfId="10307"/>
    <cellStyle name="Normal 102 3" xfId="8234"/>
    <cellStyle name="Normal 103" xfId="4078"/>
    <cellStyle name="Normal 103 2" xfId="6159"/>
    <cellStyle name="Normal 103 2 2" xfId="10310"/>
    <cellStyle name="Normal 103 3" xfId="8237"/>
    <cellStyle name="Normal 104" xfId="4079"/>
    <cellStyle name="Normal 104 2" xfId="6160"/>
    <cellStyle name="Normal 104 2 2" xfId="10311"/>
    <cellStyle name="Normal 104 3" xfId="8238"/>
    <cellStyle name="Normal 105" xfId="4080"/>
    <cellStyle name="Normal 106" xfId="4104"/>
    <cellStyle name="Normal 107" xfId="4105"/>
    <cellStyle name="Normal 108" xfId="6163"/>
    <cellStyle name="Normal 109" xfId="6164"/>
    <cellStyle name="Normal 11" xfId="654"/>
    <cellStyle name="Normal 11 2" xfId="655"/>
    <cellStyle name="Normal 11 2 2" xfId="1532"/>
    <cellStyle name="Normal 11 3" xfId="1531"/>
    <cellStyle name="Normal 110" xfId="4094"/>
    <cellStyle name="Normal 111" xfId="6161"/>
    <cellStyle name="Normal 112" xfId="4119"/>
    <cellStyle name="Normal 113" xfId="6162"/>
    <cellStyle name="Normal 114" xfId="6165"/>
    <cellStyle name="Normal 115" xfId="4093"/>
    <cellStyle name="Normal 116" xfId="4769"/>
    <cellStyle name="Normal 117" xfId="4128"/>
    <cellStyle name="Normal 12" xfId="656"/>
    <cellStyle name="Normal 12 2" xfId="657"/>
    <cellStyle name="Normal 12 2 2" xfId="658"/>
    <cellStyle name="Normal 12 2 2 2" xfId="1535"/>
    <cellStyle name="Normal 12 2 3" xfId="1534"/>
    <cellStyle name="Normal 12 3" xfId="659"/>
    <cellStyle name="Normal 12 3 2" xfId="1536"/>
    <cellStyle name="Normal 12 4" xfId="1533"/>
    <cellStyle name="Normal 13" xfId="660"/>
    <cellStyle name="Normal 13 2" xfId="661"/>
    <cellStyle name="Normal 13 2 2" xfId="662"/>
    <cellStyle name="Normal 13 2 2 2" xfId="1539"/>
    <cellStyle name="Normal 13 2 3" xfId="1538"/>
    <cellStyle name="Normal 13 3" xfId="663"/>
    <cellStyle name="Normal 13 3 2" xfId="1540"/>
    <cellStyle name="Normal 13 4" xfId="1537"/>
    <cellStyle name="Normal 14" xfId="664"/>
    <cellStyle name="Normal 14 2" xfId="665"/>
    <cellStyle name="Normal 14 2 2" xfId="1542"/>
    <cellStyle name="Normal 14 3" xfId="666"/>
    <cellStyle name="Normal 14 3 2" xfId="1543"/>
    <cellStyle name="Normal 14 4" xfId="1541"/>
    <cellStyle name="Normal 15" xfId="667"/>
    <cellStyle name="Normal 15 2" xfId="668"/>
    <cellStyle name="Normal 15 2 2" xfId="1545"/>
    <cellStyle name="Normal 15 3" xfId="669"/>
    <cellStyle name="Normal 15 3 2" xfId="1546"/>
    <cellStyle name="Normal 15 4" xfId="1544"/>
    <cellStyle name="Normal 16" xfId="670"/>
    <cellStyle name="Normal 16 2" xfId="671"/>
    <cellStyle name="Normal 16 2 2" xfId="1548"/>
    <cellStyle name="Normal 16 3" xfId="1547"/>
    <cellStyle name="Normal 17" xfId="672"/>
    <cellStyle name="Normal 17 2" xfId="673"/>
    <cellStyle name="Normal 17 2 2" xfId="1550"/>
    <cellStyle name="Normal 17 3" xfId="1549"/>
    <cellStyle name="Normal 18" xfId="674"/>
    <cellStyle name="Normal 18 2" xfId="675"/>
    <cellStyle name="Normal 18 2 2" xfId="1552"/>
    <cellStyle name="Normal 18 3" xfId="1551"/>
    <cellStyle name="Normal 19" xfId="676"/>
    <cellStyle name="Normal 19 2" xfId="677"/>
    <cellStyle name="Normal 19 2 2" xfId="1554"/>
    <cellStyle name="Normal 19 3" xfId="1553"/>
    <cellStyle name="Normal 2" xfId="678"/>
    <cellStyle name="Normal 2 2" xfId="679"/>
    <cellStyle name="Normal 2 2 2" xfId="680"/>
    <cellStyle name="Normal 2 2 2 2" xfId="1557"/>
    <cellStyle name="Normal 2 2 3" xfId="681"/>
    <cellStyle name="Normal 2 2 3 2" xfId="1558"/>
    <cellStyle name="Normal 2 2 4" xfId="1556"/>
    <cellStyle name="Normal 2 3" xfId="682"/>
    <cellStyle name="Normal 2 3 2" xfId="683"/>
    <cellStyle name="Normal 2 3 2 2" xfId="1559"/>
    <cellStyle name="Normal 2 4" xfId="684"/>
    <cellStyle name="Normal 2 4 2" xfId="685"/>
    <cellStyle name="Normal 2 4 2 2" xfId="1561"/>
    <cellStyle name="Normal 2 4 3" xfId="1560"/>
    <cellStyle name="Normal 2 5" xfId="686"/>
    <cellStyle name="Normal 2 5 2" xfId="1562"/>
    <cellStyle name="Normal 2 6" xfId="687"/>
    <cellStyle name="Normal 2 6 2" xfId="1563"/>
    <cellStyle name="Normal 2 7" xfId="1555"/>
    <cellStyle name="Normal 20" xfId="688"/>
    <cellStyle name="Normal 20 2" xfId="689"/>
    <cellStyle name="Normal 20 2 2" xfId="1565"/>
    <cellStyle name="Normal 20 3" xfId="690"/>
    <cellStyle name="Normal 20 3 2" xfId="1566"/>
    <cellStyle name="Normal 20 4" xfId="1564"/>
    <cellStyle name="Normal 21" xfId="691"/>
    <cellStyle name="Normal 21 2" xfId="692"/>
    <cellStyle name="Normal 21 2 2" xfId="1568"/>
    <cellStyle name="Normal 21 3" xfId="1567"/>
    <cellStyle name="Normal 22" xfId="693"/>
    <cellStyle name="Normal 22 2" xfId="694"/>
    <cellStyle name="Normal 22 2 2" xfId="1570"/>
    <cellStyle name="Normal 22 3" xfId="1569"/>
    <cellStyle name="Normal 23" xfId="695"/>
    <cellStyle name="Normal 23 2" xfId="1571"/>
    <cellStyle name="Normal 24" xfId="696"/>
    <cellStyle name="Normal 24 2" xfId="1572"/>
    <cellStyle name="Normal 25" xfId="697"/>
    <cellStyle name="Normal 25 2" xfId="1573"/>
    <cellStyle name="Normal 26" xfId="698"/>
    <cellStyle name="Normal 26 2" xfId="1574"/>
    <cellStyle name="Normal 27" xfId="699"/>
    <cellStyle name="Normal 27 2" xfId="1575"/>
    <cellStyle name="Normal 28" xfId="700"/>
    <cellStyle name="Normal 28 2" xfId="1576"/>
    <cellStyle name="Normal 29" xfId="701"/>
    <cellStyle name="Normal 29 2" xfId="1577"/>
    <cellStyle name="Normal 3" xfId="702"/>
    <cellStyle name="Normal 3 2" xfId="703"/>
    <cellStyle name="Normal 3 2 2" xfId="704"/>
    <cellStyle name="Normal 3 2 2 2" xfId="1580"/>
    <cellStyle name="Normal 3 2 3" xfId="705"/>
    <cellStyle name="Normal 3 2 3 2" xfId="1581"/>
    <cellStyle name="Normal 3 2 4" xfId="1579"/>
    <cellStyle name="Normal 3 3" xfId="706"/>
    <cellStyle name="Normal 3 3 2" xfId="707"/>
    <cellStyle name="Normal 3 3 2 2" xfId="1583"/>
    <cellStyle name="Normal 3 3 3" xfId="1582"/>
    <cellStyle name="Normal 3 4" xfId="708"/>
    <cellStyle name="Normal 3 4 2" xfId="1584"/>
    <cellStyle name="Normal 3 5" xfId="709"/>
    <cellStyle name="Normal 3 5 10" xfId="4096"/>
    <cellStyle name="Normal 3 5 10 2" xfId="8252"/>
    <cellStyle name="Normal 3 5 11" xfId="6179"/>
    <cellStyle name="Normal 3 5 2" xfId="1585"/>
    <cellStyle name="Normal 3 5 2 10" xfId="6200"/>
    <cellStyle name="Normal 3 5 2 2" xfId="2077"/>
    <cellStyle name="Normal 3 5 2 2 2" xfId="2251"/>
    <cellStyle name="Normal 3 5 2 2 2 2" xfId="2592"/>
    <cellStyle name="Normal 3 5 2 2 2 2 2" xfId="3317"/>
    <cellStyle name="Normal 3 5 2 2 2 2 2 2" xfId="5403"/>
    <cellStyle name="Normal 3 5 2 2 2 2 2 2 2" xfId="9554"/>
    <cellStyle name="Normal 3 5 2 2 2 2 2 3" xfId="7481"/>
    <cellStyle name="Normal 3 5 2 2 2 2 3" xfId="3990"/>
    <cellStyle name="Normal 3 5 2 2 2 2 3 2" xfId="6075"/>
    <cellStyle name="Normal 3 5 2 2 2 2 3 2 2" xfId="10226"/>
    <cellStyle name="Normal 3 5 2 2 2 2 3 3" xfId="8153"/>
    <cellStyle name="Normal 3 5 2 2 2 2 4" xfId="4709"/>
    <cellStyle name="Normal 3 5 2 2 2 2 4 2" xfId="8861"/>
    <cellStyle name="Normal 3 5 2 2 2 2 5" xfId="6788"/>
    <cellStyle name="Normal 3 5 2 2 2 3" xfId="2981"/>
    <cellStyle name="Normal 3 5 2 2 2 3 2" xfId="5067"/>
    <cellStyle name="Normal 3 5 2 2 2 3 2 2" xfId="9218"/>
    <cellStyle name="Normal 3 5 2 2 2 3 3" xfId="7145"/>
    <cellStyle name="Normal 3 5 2 2 2 4" xfId="3654"/>
    <cellStyle name="Normal 3 5 2 2 2 4 2" xfId="5739"/>
    <cellStyle name="Normal 3 5 2 2 2 4 2 2" xfId="9890"/>
    <cellStyle name="Normal 3 5 2 2 2 4 3" xfId="7817"/>
    <cellStyle name="Normal 3 5 2 2 2 5" xfId="4373"/>
    <cellStyle name="Normal 3 5 2 2 2 5 2" xfId="8525"/>
    <cellStyle name="Normal 3 5 2 2 2 6" xfId="6452"/>
    <cellStyle name="Normal 3 5 2 2 3" xfId="2424"/>
    <cellStyle name="Normal 3 5 2 2 3 2" xfId="3149"/>
    <cellStyle name="Normal 3 5 2 2 3 2 2" xfId="5235"/>
    <cellStyle name="Normal 3 5 2 2 3 2 2 2" xfId="9386"/>
    <cellStyle name="Normal 3 5 2 2 3 2 3" xfId="7313"/>
    <cellStyle name="Normal 3 5 2 2 3 3" xfId="3822"/>
    <cellStyle name="Normal 3 5 2 2 3 3 2" xfId="5907"/>
    <cellStyle name="Normal 3 5 2 2 3 3 2 2" xfId="10058"/>
    <cellStyle name="Normal 3 5 2 2 3 3 3" xfId="7985"/>
    <cellStyle name="Normal 3 5 2 2 3 4" xfId="4541"/>
    <cellStyle name="Normal 3 5 2 2 3 4 2" xfId="8693"/>
    <cellStyle name="Normal 3 5 2 2 3 5" xfId="6620"/>
    <cellStyle name="Normal 3 5 2 2 4" xfId="2813"/>
    <cellStyle name="Normal 3 5 2 2 4 2" xfId="4899"/>
    <cellStyle name="Normal 3 5 2 2 4 2 2" xfId="9050"/>
    <cellStyle name="Normal 3 5 2 2 4 3" xfId="6977"/>
    <cellStyle name="Normal 3 5 2 2 5" xfId="3486"/>
    <cellStyle name="Normal 3 5 2 2 5 2" xfId="5571"/>
    <cellStyle name="Normal 3 5 2 2 5 2 2" xfId="9722"/>
    <cellStyle name="Normal 3 5 2 2 5 3" xfId="7649"/>
    <cellStyle name="Normal 3 5 2 2 6" xfId="4205"/>
    <cellStyle name="Normal 3 5 2 2 6 2" xfId="8357"/>
    <cellStyle name="Normal 3 5 2 2 7" xfId="6284"/>
    <cellStyle name="Normal 3 5 2 3" xfId="1978"/>
    <cellStyle name="Normal 3 5 2 3 2" xfId="2209"/>
    <cellStyle name="Normal 3 5 2 3 2 2" xfId="2550"/>
    <cellStyle name="Normal 3 5 2 3 2 2 2" xfId="3275"/>
    <cellStyle name="Normal 3 5 2 3 2 2 2 2" xfId="5361"/>
    <cellStyle name="Normal 3 5 2 3 2 2 2 2 2" xfId="9512"/>
    <cellStyle name="Normal 3 5 2 3 2 2 2 3" xfId="7439"/>
    <cellStyle name="Normal 3 5 2 3 2 2 3" xfId="3948"/>
    <cellStyle name="Normal 3 5 2 3 2 2 3 2" xfId="6033"/>
    <cellStyle name="Normal 3 5 2 3 2 2 3 2 2" xfId="10184"/>
    <cellStyle name="Normal 3 5 2 3 2 2 3 3" xfId="8111"/>
    <cellStyle name="Normal 3 5 2 3 2 2 4" xfId="4667"/>
    <cellStyle name="Normal 3 5 2 3 2 2 4 2" xfId="8819"/>
    <cellStyle name="Normal 3 5 2 3 2 2 5" xfId="6746"/>
    <cellStyle name="Normal 3 5 2 3 2 3" xfId="2939"/>
    <cellStyle name="Normal 3 5 2 3 2 3 2" xfId="5025"/>
    <cellStyle name="Normal 3 5 2 3 2 3 2 2" xfId="9176"/>
    <cellStyle name="Normal 3 5 2 3 2 3 3" xfId="7103"/>
    <cellStyle name="Normal 3 5 2 3 2 4" xfId="3612"/>
    <cellStyle name="Normal 3 5 2 3 2 4 2" xfId="5697"/>
    <cellStyle name="Normal 3 5 2 3 2 4 2 2" xfId="9848"/>
    <cellStyle name="Normal 3 5 2 3 2 4 3" xfId="7775"/>
    <cellStyle name="Normal 3 5 2 3 2 5" xfId="4331"/>
    <cellStyle name="Normal 3 5 2 3 2 5 2" xfId="8483"/>
    <cellStyle name="Normal 3 5 2 3 2 6" xfId="6410"/>
    <cellStyle name="Normal 3 5 2 3 3" xfId="2381"/>
    <cellStyle name="Normal 3 5 2 3 3 2" xfId="3107"/>
    <cellStyle name="Normal 3 5 2 3 3 2 2" xfId="5193"/>
    <cellStyle name="Normal 3 5 2 3 3 2 2 2" xfId="9344"/>
    <cellStyle name="Normal 3 5 2 3 3 2 3" xfId="7271"/>
    <cellStyle name="Normal 3 5 2 3 3 3" xfId="3780"/>
    <cellStyle name="Normal 3 5 2 3 3 3 2" xfId="5865"/>
    <cellStyle name="Normal 3 5 2 3 3 3 2 2" xfId="10016"/>
    <cellStyle name="Normal 3 5 2 3 3 3 3" xfId="7943"/>
    <cellStyle name="Normal 3 5 2 3 3 4" xfId="4499"/>
    <cellStyle name="Normal 3 5 2 3 3 4 2" xfId="8651"/>
    <cellStyle name="Normal 3 5 2 3 3 5" xfId="6578"/>
    <cellStyle name="Normal 3 5 2 3 4" xfId="2771"/>
    <cellStyle name="Normal 3 5 2 3 4 2" xfId="4857"/>
    <cellStyle name="Normal 3 5 2 3 4 2 2" xfId="9008"/>
    <cellStyle name="Normal 3 5 2 3 4 3" xfId="6935"/>
    <cellStyle name="Normal 3 5 2 3 5" xfId="3444"/>
    <cellStyle name="Normal 3 5 2 3 5 2" xfId="5529"/>
    <cellStyle name="Normal 3 5 2 3 5 2 2" xfId="9680"/>
    <cellStyle name="Normal 3 5 2 3 5 3" xfId="7607"/>
    <cellStyle name="Normal 3 5 2 3 6" xfId="4163"/>
    <cellStyle name="Normal 3 5 2 3 6 2" xfId="8315"/>
    <cellStyle name="Normal 3 5 2 3 7" xfId="6242"/>
    <cellStyle name="Normal 3 5 2 4" xfId="2120"/>
    <cellStyle name="Normal 3 5 2 4 2" xfId="2293"/>
    <cellStyle name="Normal 3 5 2 4 2 2" xfId="2634"/>
    <cellStyle name="Normal 3 5 2 4 2 2 2" xfId="3359"/>
    <cellStyle name="Normal 3 5 2 4 2 2 2 2" xfId="5445"/>
    <cellStyle name="Normal 3 5 2 4 2 2 2 2 2" xfId="9596"/>
    <cellStyle name="Normal 3 5 2 4 2 2 2 3" xfId="7523"/>
    <cellStyle name="Normal 3 5 2 4 2 2 3" xfId="4032"/>
    <cellStyle name="Normal 3 5 2 4 2 2 3 2" xfId="6117"/>
    <cellStyle name="Normal 3 5 2 4 2 2 3 2 2" xfId="10268"/>
    <cellStyle name="Normal 3 5 2 4 2 2 3 3" xfId="8195"/>
    <cellStyle name="Normal 3 5 2 4 2 2 4" xfId="4751"/>
    <cellStyle name="Normal 3 5 2 4 2 2 4 2" xfId="8903"/>
    <cellStyle name="Normal 3 5 2 4 2 2 5" xfId="6830"/>
    <cellStyle name="Normal 3 5 2 4 2 3" xfId="3023"/>
    <cellStyle name="Normal 3 5 2 4 2 3 2" xfId="5109"/>
    <cellStyle name="Normal 3 5 2 4 2 3 2 2" xfId="9260"/>
    <cellStyle name="Normal 3 5 2 4 2 3 3" xfId="7187"/>
    <cellStyle name="Normal 3 5 2 4 2 4" xfId="3696"/>
    <cellStyle name="Normal 3 5 2 4 2 4 2" xfId="5781"/>
    <cellStyle name="Normal 3 5 2 4 2 4 2 2" xfId="9932"/>
    <cellStyle name="Normal 3 5 2 4 2 4 3" xfId="7859"/>
    <cellStyle name="Normal 3 5 2 4 2 5" xfId="4415"/>
    <cellStyle name="Normal 3 5 2 4 2 5 2" xfId="8567"/>
    <cellStyle name="Normal 3 5 2 4 2 6" xfId="6494"/>
    <cellStyle name="Normal 3 5 2 4 3" xfId="2466"/>
    <cellStyle name="Normal 3 5 2 4 3 2" xfId="3191"/>
    <cellStyle name="Normal 3 5 2 4 3 2 2" xfId="5277"/>
    <cellStyle name="Normal 3 5 2 4 3 2 2 2" xfId="9428"/>
    <cellStyle name="Normal 3 5 2 4 3 2 3" xfId="7355"/>
    <cellStyle name="Normal 3 5 2 4 3 3" xfId="3864"/>
    <cellStyle name="Normal 3 5 2 4 3 3 2" xfId="5949"/>
    <cellStyle name="Normal 3 5 2 4 3 3 2 2" xfId="10100"/>
    <cellStyle name="Normal 3 5 2 4 3 3 3" xfId="8027"/>
    <cellStyle name="Normal 3 5 2 4 3 4" xfId="4583"/>
    <cellStyle name="Normal 3 5 2 4 3 4 2" xfId="8735"/>
    <cellStyle name="Normal 3 5 2 4 3 5" xfId="6662"/>
    <cellStyle name="Normal 3 5 2 4 4" xfId="2855"/>
    <cellStyle name="Normal 3 5 2 4 4 2" xfId="4941"/>
    <cellStyle name="Normal 3 5 2 4 4 2 2" xfId="9092"/>
    <cellStyle name="Normal 3 5 2 4 4 3" xfId="7019"/>
    <cellStyle name="Normal 3 5 2 4 5" xfId="3528"/>
    <cellStyle name="Normal 3 5 2 4 5 2" xfId="5613"/>
    <cellStyle name="Normal 3 5 2 4 5 2 2" xfId="9764"/>
    <cellStyle name="Normal 3 5 2 4 5 3" xfId="7691"/>
    <cellStyle name="Normal 3 5 2 4 6" xfId="4247"/>
    <cellStyle name="Normal 3 5 2 4 6 2" xfId="8399"/>
    <cellStyle name="Normal 3 5 2 4 7" xfId="6326"/>
    <cellStyle name="Normal 3 5 2 5" xfId="2166"/>
    <cellStyle name="Normal 3 5 2 5 2" xfId="2508"/>
    <cellStyle name="Normal 3 5 2 5 2 2" xfId="3233"/>
    <cellStyle name="Normal 3 5 2 5 2 2 2" xfId="5319"/>
    <cellStyle name="Normal 3 5 2 5 2 2 2 2" xfId="9470"/>
    <cellStyle name="Normal 3 5 2 5 2 2 3" xfId="7397"/>
    <cellStyle name="Normal 3 5 2 5 2 3" xfId="3906"/>
    <cellStyle name="Normal 3 5 2 5 2 3 2" xfId="5991"/>
    <cellStyle name="Normal 3 5 2 5 2 3 2 2" xfId="10142"/>
    <cellStyle name="Normal 3 5 2 5 2 3 3" xfId="8069"/>
    <cellStyle name="Normal 3 5 2 5 2 4" xfId="4625"/>
    <cellStyle name="Normal 3 5 2 5 2 4 2" xfId="8777"/>
    <cellStyle name="Normal 3 5 2 5 2 5" xfId="6704"/>
    <cellStyle name="Normal 3 5 2 5 3" xfId="2897"/>
    <cellStyle name="Normal 3 5 2 5 3 2" xfId="4983"/>
    <cellStyle name="Normal 3 5 2 5 3 2 2" xfId="9134"/>
    <cellStyle name="Normal 3 5 2 5 3 3" xfId="7061"/>
    <cellStyle name="Normal 3 5 2 5 4" xfId="3570"/>
    <cellStyle name="Normal 3 5 2 5 4 2" xfId="5655"/>
    <cellStyle name="Normal 3 5 2 5 4 2 2" xfId="9806"/>
    <cellStyle name="Normal 3 5 2 5 4 3" xfId="7733"/>
    <cellStyle name="Normal 3 5 2 5 5" xfId="4289"/>
    <cellStyle name="Normal 3 5 2 5 5 2" xfId="8441"/>
    <cellStyle name="Normal 3 5 2 5 6" xfId="6368"/>
    <cellStyle name="Normal 3 5 2 6" xfId="2339"/>
    <cellStyle name="Normal 3 5 2 6 2" xfId="3065"/>
    <cellStyle name="Normal 3 5 2 6 2 2" xfId="5151"/>
    <cellStyle name="Normal 3 5 2 6 2 2 2" xfId="9302"/>
    <cellStyle name="Normal 3 5 2 6 2 3" xfId="7229"/>
    <cellStyle name="Normal 3 5 2 6 3" xfId="3738"/>
    <cellStyle name="Normal 3 5 2 6 3 2" xfId="5823"/>
    <cellStyle name="Normal 3 5 2 6 3 2 2" xfId="9974"/>
    <cellStyle name="Normal 3 5 2 6 3 3" xfId="7901"/>
    <cellStyle name="Normal 3 5 2 6 4" xfId="4457"/>
    <cellStyle name="Normal 3 5 2 6 4 2" xfId="8609"/>
    <cellStyle name="Normal 3 5 2 6 5" xfId="6536"/>
    <cellStyle name="Normal 3 5 2 7" xfId="2729"/>
    <cellStyle name="Normal 3 5 2 7 2" xfId="4815"/>
    <cellStyle name="Normal 3 5 2 7 2 2" xfId="8966"/>
    <cellStyle name="Normal 3 5 2 7 3" xfId="6893"/>
    <cellStyle name="Normal 3 5 2 8" xfId="3402"/>
    <cellStyle name="Normal 3 5 2 8 2" xfId="5487"/>
    <cellStyle name="Normal 3 5 2 8 2 2" xfId="9638"/>
    <cellStyle name="Normal 3 5 2 8 3" xfId="7565"/>
    <cellStyle name="Normal 3 5 2 9" xfId="4120"/>
    <cellStyle name="Normal 3 5 2 9 2" xfId="8273"/>
    <cellStyle name="Normal 3 5 3" xfId="2023"/>
    <cellStyle name="Normal 3 5 3 2" xfId="2230"/>
    <cellStyle name="Normal 3 5 3 2 2" xfId="2571"/>
    <cellStyle name="Normal 3 5 3 2 2 2" xfId="3296"/>
    <cellStyle name="Normal 3 5 3 2 2 2 2" xfId="5382"/>
    <cellStyle name="Normal 3 5 3 2 2 2 2 2" xfId="9533"/>
    <cellStyle name="Normal 3 5 3 2 2 2 3" xfId="7460"/>
    <cellStyle name="Normal 3 5 3 2 2 3" xfId="3969"/>
    <cellStyle name="Normal 3 5 3 2 2 3 2" xfId="6054"/>
    <cellStyle name="Normal 3 5 3 2 2 3 2 2" xfId="10205"/>
    <cellStyle name="Normal 3 5 3 2 2 3 3" xfId="8132"/>
    <cellStyle name="Normal 3 5 3 2 2 4" xfId="4688"/>
    <cellStyle name="Normal 3 5 3 2 2 4 2" xfId="8840"/>
    <cellStyle name="Normal 3 5 3 2 2 5" xfId="6767"/>
    <cellStyle name="Normal 3 5 3 2 3" xfId="2960"/>
    <cellStyle name="Normal 3 5 3 2 3 2" xfId="5046"/>
    <cellStyle name="Normal 3 5 3 2 3 2 2" xfId="9197"/>
    <cellStyle name="Normal 3 5 3 2 3 3" xfId="7124"/>
    <cellStyle name="Normal 3 5 3 2 4" xfId="3633"/>
    <cellStyle name="Normal 3 5 3 2 4 2" xfId="5718"/>
    <cellStyle name="Normal 3 5 3 2 4 2 2" xfId="9869"/>
    <cellStyle name="Normal 3 5 3 2 4 3" xfId="7796"/>
    <cellStyle name="Normal 3 5 3 2 5" xfId="4352"/>
    <cellStyle name="Normal 3 5 3 2 5 2" xfId="8504"/>
    <cellStyle name="Normal 3 5 3 2 6" xfId="6431"/>
    <cellStyle name="Normal 3 5 3 3" xfId="2403"/>
    <cellStyle name="Normal 3 5 3 3 2" xfId="3128"/>
    <cellStyle name="Normal 3 5 3 3 2 2" xfId="5214"/>
    <cellStyle name="Normal 3 5 3 3 2 2 2" xfId="9365"/>
    <cellStyle name="Normal 3 5 3 3 2 3" xfId="7292"/>
    <cellStyle name="Normal 3 5 3 3 3" xfId="3801"/>
    <cellStyle name="Normal 3 5 3 3 3 2" xfId="5886"/>
    <cellStyle name="Normal 3 5 3 3 3 2 2" xfId="10037"/>
    <cellStyle name="Normal 3 5 3 3 3 3" xfId="7964"/>
    <cellStyle name="Normal 3 5 3 3 4" xfId="4520"/>
    <cellStyle name="Normal 3 5 3 3 4 2" xfId="8672"/>
    <cellStyle name="Normal 3 5 3 3 5" xfId="6599"/>
    <cellStyle name="Normal 3 5 3 4" xfId="2792"/>
    <cellStyle name="Normal 3 5 3 4 2" xfId="4878"/>
    <cellStyle name="Normal 3 5 3 4 2 2" xfId="9029"/>
    <cellStyle name="Normal 3 5 3 4 3" xfId="6956"/>
    <cellStyle name="Normal 3 5 3 5" xfId="3465"/>
    <cellStyle name="Normal 3 5 3 5 2" xfId="5550"/>
    <cellStyle name="Normal 3 5 3 5 2 2" xfId="9701"/>
    <cellStyle name="Normal 3 5 3 5 3" xfId="7628"/>
    <cellStyle name="Normal 3 5 3 6" xfId="4184"/>
    <cellStyle name="Normal 3 5 3 6 2" xfId="8336"/>
    <cellStyle name="Normal 3 5 3 7" xfId="6263"/>
    <cellStyle name="Normal 3 5 4" xfId="1922"/>
    <cellStyle name="Normal 3 5 4 2" xfId="2188"/>
    <cellStyle name="Normal 3 5 4 2 2" xfId="2529"/>
    <cellStyle name="Normal 3 5 4 2 2 2" xfId="3254"/>
    <cellStyle name="Normal 3 5 4 2 2 2 2" xfId="5340"/>
    <cellStyle name="Normal 3 5 4 2 2 2 2 2" xfId="9491"/>
    <cellStyle name="Normal 3 5 4 2 2 2 3" xfId="7418"/>
    <cellStyle name="Normal 3 5 4 2 2 3" xfId="3927"/>
    <cellStyle name="Normal 3 5 4 2 2 3 2" xfId="6012"/>
    <cellStyle name="Normal 3 5 4 2 2 3 2 2" xfId="10163"/>
    <cellStyle name="Normal 3 5 4 2 2 3 3" xfId="8090"/>
    <cellStyle name="Normal 3 5 4 2 2 4" xfId="4646"/>
    <cellStyle name="Normal 3 5 4 2 2 4 2" xfId="8798"/>
    <cellStyle name="Normal 3 5 4 2 2 5" xfId="6725"/>
    <cellStyle name="Normal 3 5 4 2 3" xfId="2918"/>
    <cellStyle name="Normal 3 5 4 2 3 2" xfId="5004"/>
    <cellStyle name="Normal 3 5 4 2 3 2 2" xfId="9155"/>
    <cellStyle name="Normal 3 5 4 2 3 3" xfId="7082"/>
    <cellStyle name="Normal 3 5 4 2 4" xfId="3591"/>
    <cellStyle name="Normal 3 5 4 2 4 2" xfId="5676"/>
    <cellStyle name="Normal 3 5 4 2 4 2 2" xfId="9827"/>
    <cellStyle name="Normal 3 5 4 2 4 3" xfId="7754"/>
    <cellStyle name="Normal 3 5 4 2 5" xfId="4310"/>
    <cellStyle name="Normal 3 5 4 2 5 2" xfId="8462"/>
    <cellStyle name="Normal 3 5 4 2 6" xfId="6389"/>
    <cellStyle name="Normal 3 5 4 3" xfId="2360"/>
    <cellStyle name="Normal 3 5 4 3 2" xfId="3086"/>
    <cellStyle name="Normal 3 5 4 3 2 2" xfId="5172"/>
    <cellStyle name="Normal 3 5 4 3 2 2 2" xfId="9323"/>
    <cellStyle name="Normal 3 5 4 3 2 3" xfId="7250"/>
    <cellStyle name="Normal 3 5 4 3 3" xfId="3759"/>
    <cellStyle name="Normal 3 5 4 3 3 2" xfId="5844"/>
    <cellStyle name="Normal 3 5 4 3 3 2 2" xfId="9995"/>
    <cellStyle name="Normal 3 5 4 3 3 3" xfId="7922"/>
    <cellStyle name="Normal 3 5 4 3 4" xfId="4478"/>
    <cellStyle name="Normal 3 5 4 3 4 2" xfId="8630"/>
    <cellStyle name="Normal 3 5 4 3 5" xfId="6557"/>
    <cellStyle name="Normal 3 5 4 4" xfId="2750"/>
    <cellStyle name="Normal 3 5 4 4 2" xfId="4836"/>
    <cellStyle name="Normal 3 5 4 4 2 2" xfId="8987"/>
    <cellStyle name="Normal 3 5 4 4 3" xfId="6914"/>
    <cellStyle name="Normal 3 5 4 5" xfId="3423"/>
    <cellStyle name="Normal 3 5 4 5 2" xfId="5508"/>
    <cellStyle name="Normal 3 5 4 5 2 2" xfId="9659"/>
    <cellStyle name="Normal 3 5 4 5 3" xfId="7586"/>
    <cellStyle name="Normal 3 5 4 6" xfId="4142"/>
    <cellStyle name="Normal 3 5 4 6 2" xfId="8294"/>
    <cellStyle name="Normal 3 5 4 7" xfId="6221"/>
    <cellStyle name="Normal 3 5 5" xfId="2099"/>
    <cellStyle name="Normal 3 5 5 2" xfId="2272"/>
    <cellStyle name="Normal 3 5 5 2 2" xfId="2613"/>
    <cellStyle name="Normal 3 5 5 2 2 2" xfId="3338"/>
    <cellStyle name="Normal 3 5 5 2 2 2 2" xfId="5424"/>
    <cellStyle name="Normal 3 5 5 2 2 2 2 2" xfId="9575"/>
    <cellStyle name="Normal 3 5 5 2 2 2 3" xfId="7502"/>
    <cellStyle name="Normal 3 5 5 2 2 3" xfId="4011"/>
    <cellStyle name="Normal 3 5 5 2 2 3 2" xfId="6096"/>
    <cellStyle name="Normal 3 5 5 2 2 3 2 2" xfId="10247"/>
    <cellStyle name="Normal 3 5 5 2 2 3 3" xfId="8174"/>
    <cellStyle name="Normal 3 5 5 2 2 4" xfId="4730"/>
    <cellStyle name="Normal 3 5 5 2 2 4 2" xfId="8882"/>
    <cellStyle name="Normal 3 5 5 2 2 5" xfId="6809"/>
    <cellStyle name="Normal 3 5 5 2 3" xfId="3002"/>
    <cellStyle name="Normal 3 5 5 2 3 2" xfId="5088"/>
    <cellStyle name="Normal 3 5 5 2 3 2 2" xfId="9239"/>
    <cellStyle name="Normal 3 5 5 2 3 3" xfId="7166"/>
    <cellStyle name="Normal 3 5 5 2 4" xfId="3675"/>
    <cellStyle name="Normal 3 5 5 2 4 2" xfId="5760"/>
    <cellStyle name="Normal 3 5 5 2 4 2 2" xfId="9911"/>
    <cellStyle name="Normal 3 5 5 2 4 3" xfId="7838"/>
    <cellStyle name="Normal 3 5 5 2 5" xfId="4394"/>
    <cellStyle name="Normal 3 5 5 2 5 2" xfId="8546"/>
    <cellStyle name="Normal 3 5 5 2 6" xfId="6473"/>
    <cellStyle name="Normal 3 5 5 3" xfId="2445"/>
    <cellStyle name="Normal 3 5 5 3 2" xfId="3170"/>
    <cellStyle name="Normal 3 5 5 3 2 2" xfId="5256"/>
    <cellStyle name="Normal 3 5 5 3 2 2 2" xfId="9407"/>
    <cellStyle name="Normal 3 5 5 3 2 3" xfId="7334"/>
    <cellStyle name="Normal 3 5 5 3 3" xfId="3843"/>
    <cellStyle name="Normal 3 5 5 3 3 2" xfId="5928"/>
    <cellStyle name="Normal 3 5 5 3 3 2 2" xfId="10079"/>
    <cellStyle name="Normal 3 5 5 3 3 3" xfId="8006"/>
    <cellStyle name="Normal 3 5 5 3 4" xfId="4562"/>
    <cellStyle name="Normal 3 5 5 3 4 2" xfId="8714"/>
    <cellStyle name="Normal 3 5 5 3 5" xfId="6641"/>
    <cellStyle name="Normal 3 5 5 4" xfId="2834"/>
    <cellStyle name="Normal 3 5 5 4 2" xfId="4920"/>
    <cellStyle name="Normal 3 5 5 4 2 2" xfId="9071"/>
    <cellStyle name="Normal 3 5 5 4 3" xfId="6998"/>
    <cellStyle name="Normal 3 5 5 5" xfId="3507"/>
    <cellStyle name="Normal 3 5 5 5 2" xfId="5592"/>
    <cellStyle name="Normal 3 5 5 5 2 2" xfId="9743"/>
    <cellStyle name="Normal 3 5 5 5 3" xfId="7670"/>
    <cellStyle name="Normal 3 5 5 6" xfId="4226"/>
    <cellStyle name="Normal 3 5 5 6 2" xfId="8378"/>
    <cellStyle name="Normal 3 5 5 7" xfId="6305"/>
    <cellStyle name="Normal 3 5 6" xfId="2143"/>
    <cellStyle name="Normal 3 5 6 2" xfId="2487"/>
    <cellStyle name="Normal 3 5 6 2 2" xfId="3212"/>
    <cellStyle name="Normal 3 5 6 2 2 2" xfId="5298"/>
    <cellStyle name="Normal 3 5 6 2 2 2 2" xfId="9449"/>
    <cellStyle name="Normal 3 5 6 2 2 3" xfId="7376"/>
    <cellStyle name="Normal 3 5 6 2 3" xfId="3885"/>
    <cellStyle name="Normal 3 5 6 2 3 2" xfId="5970"/>
    <cellStyle name="Normal 3 5 6 2 3 2 2" xfId="10121"/>
    <cellStyle name="Normal 3 5 6 2 3 3" xfId="8048"/>
    <cellStyle name="Normal 3 5 6 2 4" xfId="4604"/>
    <cellStyle name="Normal 3 5 6 2 4 2" xfId="8756"/>
    <cellStyle name="Normal 3 5 6 2 5" xfId="6683"/>
    <cellStyle name="Normal 3 5 6 3" xfId="2876"/>
    <cellStyle name="Normal 3 5 6 3 2" xfId="4962"/>
    <cellStyle name="Normal 3 5 6 3 2 2" xfId="9113"/>
    <cellStyle name="Normal 3 5 6 3 3" xfId="7040"/>
    <cellStyle name="Normal 3 5 6 4" xfId="3549"/>
    <cellStyle name="Normal 3 5 6 4 2" xfId="5634"/>
    <cellStyle name="Normal 3 5 6 4 2 2" xfId="9785"/>
    <cellStyle name="Normal 3 5 6 4 3" xfId="7712"/>
    <cellStyle name="Normal 3 5 6 5" xfId="4268"/>
    <cellStyle name="Normal 3 5 6 5 2" xfId="8420"/>
    <cellStyle name="Normal 3 5 6 6" xfId="6347"/>
    <cellStyle name="Normal 3 5 7" xfId="2317"/>
    <cellStyle name="Normal 3 5 7 2" xfId="3044"/>
    <cellStyle name="Normal 3 5 7 2 2" xfId="5130"/>
    <cellStyle name="Normal 3 5 7 2 2 2" xfId="9281"/>
    <cellStyle name="Normal 3 5 7 2 3" xfId="7208"/>
    <cellStyle name="Normal 3 5 7 3" xfId="3717"/>
    <cellStyle name="Normal 3 5 7 3 2" xfId="5802"/>
    <cellStyle name="Normal 3 5 7 3 2 2" xfId="9953"/>
    <cellStyle name="Normal 3 5 7 3 3" xfId="7880"/>
    <cellStyle name="Normal 3 5 7 4" xfId="4436"/>
    <cellStyle name="Normal 3 5 7 4 2" xfId="8588"/>
    <cellStyle name="Normal 3 5 7 5" xfId="6515"/>
    <cellStyle name="Normal 3 5 8" xfId="2707"/>
    <cellStyle name="Normal 3 5 8 2" xfId="4794"/>
    <cellStyle name="Normal 3 5 8 2 2" xfId="8945"/>
    <cellStyle name="Normal 3 5 8 3" xfId="6872"/>
    <cellStyle name="Normal 3 5 9" xfId="3381"/>
    <cellStyle name="Normal 3 5 9 2" xfId="5466"/>
    <cellStyle name="Normal 3 5 9 2 2" xfId="9617"/>
    <cellStyle name="Normal 3 5 9 3" xfId="7544"/>
    <cellStyle name="Normal 3 6" xfId="1578"/>
    <cellStyle name="Normal 3 7" xfId="2678"/>
    <cellStyle name="Normal 3 7 2" xfId="4770"/>
    <cellStyle name="Normal 3 7 2 2" xfId="8921"/>
    <cellStyle name="Normal 3 7 3" xfId="6848"/>
    <cellStyle name="Normal 3 8" xfId="4065"/>
    <cellStyle name="Normal 3 8 2" xfId="6149"/>
    <cellStyle name="Normal 3 8 2 2" xfId="10300"/>
    <cellStyle name="Normal 3 8 3" xfId="8227"/>
    <cellStyle name="Normal 30" xfId="710"/>
    <cellStyle name="Normal 30 2" xfId="1586"/>
    <cellStyle name="Normal 31" xfId="711"/>
    <cellStyle name="Normal 31 2" xfId="1587"/>
    <cellStyle name="Normal 32" xfId="712"/>
    <cellStyle name="Normal 32 2" xfId="1588"/>
    <cellStyle name="Normal 33" xfId="713"/>
    <cellStyle name="Normal 33 2" xfId="1589"/>
    <cellStyle name="Normal 34" xfId="714"/>
    <cellStyle name="Normal 34 2" xfId="715"/>
    <cellStyle name="Normal 34 2 2" xfId="1591"/>
    <cellStyle name="Normal 34 3" xfId="1590"/>
    <cellStyle name="Normal 35" xfId="716"/>
    <cellStyle name="Normal 35 2" xfId="717"/>
    <cellStyle name="Normal 35 2 2" xfId="1593"/>
    <cellStyle name="Normal 35 3" xfId="1592"/>
    <cellStyle name="Normal 36" xfId="718"/>
    <cellStyle name="Normal 36 2" xfId="719"/>
    <cellStyle name="Normal 36 2 2" xfId="1595"/>
    <cellStyle name="Normal 36 3" xfId="720"/>
    <cellStyle name="Normal 36 3 2" xfId="1596"/>
    <cellStyle name="Normal 36 4" xfId="1594"/>
    <cellStyle name="Normal 37" xfId="721"/>
    <cellStyle name="Normal 37 2" xfId="1597"/>
    <cellStyle name="Normal 38" xfId="722"/>
    <cellStyle name="Normal 38 2" xfId="1598"/>
    <cellStyle name="Normal 39" xfId="723"/>
    <cellStyle name="Normal 39 2" xfId="1599"/>
    <cellStyle name="Normal 4" xfId="724"/>
    <cellStyle name="Normal 4 2" xfId="725"/>
    <cellStyle name="Normal 4 2 2" xfId="1601"/>
    <cellStyle name="Normal 4 3" xfId="726"/>
    <cellStyle name="Normal 4 3 2" xfId="1602"/>
    <cellStyle name="Normal 4 4" xfId="727"/>
    <cellStyle name="Normal 4 4 2" xfId="1603"/>
    <cellStyle name="Normal 4 5" xfId="728"/>
    <cellStyle name="Normal 4 5 10" xfId="4097"/>
    <cellStyle name="Normal 4 5 10 2" xfId="8253"/>
    <cellStyle name="Normal 4 5 11" xfId="6180"/>
    <cellStyle name="Normal 4 5 2" xfId="1604"/>
    <cellStyle name="Normal 4 5 2 10" xfId="6201"/>
    <cellStyle name="Normal 4 5 2 2" xfId="2078"/>
    <cellStyle name="Normal 4 5 2 2 2" xfId="2252"/>
    <cellStyle name="Normal 4 5 2 2 2 2" xfId="2593"/>
    <cellStyle name="Normal 4 5 2 2 2 2 2" xfId="3318"/>
    <cellStyle name="Normal 4 5 2 2 2 2 2 2" xfId="5404"/>
    <cellStyle name="Normal 4 5 2 2 2 2 2 2 2" xfId="9555"/>
    <cellStyle name="Normal 4 5 2 2 2 2 2 3" xfId="7482"/>
    <cellStyle name="Normal 4 5 2 2 2 2 3" xfId="3991"/>
    <cellStyle name="Normal 4 5 2 2 2 2 3 2" xfId="6076"/>
    <cellStyle name="Normal 4 5 2 2 2 2 3 2 2" xfId="10227"/>
    <cellStyle name="Normal 4 5 2 2 2 2 3 3" xfId="8154"/>
    <cellStyle name="Normal 4 5 2 2 2 2 4" xfId="4710"/>
    <cellStyle name="Normal 4 5 2 2 2 2 4 2" xfId="8862"/>
    <cellStyle name="Normal 4 5 2 2 2 2 5" xfId="6789"/>
    <cellStyle name="Normal 4 5 2 2 2 3" xfId="2982"/>
    <cellStyle name="Normal 4 5 2 2 2 3 2" xfId="5068"/>
    <cellStyle name="Normal 4 5 2 2 2 3 2 2" xfId="9219"/>
    <cellStyle name="Normal 4 5 2 2 2 3 3" xfId="7146"/>
    <cellStyle name="Normal 4 5 2 2 2 4" xfId="3655"/>
    <cellStyle name="Normal 4 5 2 2 2 4 2" xfId="5740"/>
    <cellStyle name="Normal 4 5 2 2 2 4 2 2" xfId="9891"/>
    <cellStyle name="Normal 4 5 2 2 2 4 3" xfId="7818"/>
    <cellStyle name="Normal 4 5 2 2 2 5" xfId="4374"/>
    <cellStyle name="Normal 4 5 2 2 2 5 2" xfId="8526"/>
    <cellStyle name="Normal 4 5 2 2 2 6" xfId="6453"/>
    <cellStyle name="Normal 4 5 2 2 3" xfId="2425"/>
    <cellStyle name="Normal 4 5 2 2 3 2" xfId="3150"/>
    <cellStyle name="Normal 4 5 2 2 3 2 2" xfId="5236"/>
    <cellStyle name="Normal 4 5 2 2 3 2 2 2" xfId="9387"/>
    <cellStyle name="Normal 4 5 2 2 3 2 3" xfId="7314"/>
    <cellStyle name="Normal 4 5 2 2 3 3" xfId="3823"/>
    <cellStyle name="Normal 4 5 2 2 3 3 2" xfId="5908"/>
    <cellStyle name="Normal 4 5 2 2 3 3 2 2" xfId="10059"/>
    <cellStyle name="Normal 4 5 2 2 3 3 3" xfId="7986"/>
    <cellStyle name="Normal 4 5 2 2 3 4" xfId="4542"/>
    <cellStyle name="Normal 4 5 2 2 3 4 2" xfId="8694"/>
    <cellStyle name="Normal 4 5 2 2 3 5" xfId="6621"/>
    <cellStyle name="Normal 4 5 2 2 4" xfId="2814"/>
    <cellStyle name="Normal 4 5 2 2 4 2" xfId="4900"/>
    <cellStyle name="Normal 4 5 2 2 4 2 2" xfId="9051"/>
    <cellStyle name="Normal 4 5 2 2 4 3" xfId="6978"/>
    <cellStyle name="Normal 4 5 2 2 5" xfId="3487"/>
    <cellStyle name="Normal 4 5 2 2 5 2" xfId="5572"/>
    <cellStyle name="Normal 4 5 2 2 5 2 2" xfId="9723"/>
    <cellStyle name="Normal 4 5 2 2 5 3" xfId="7650"/>
    <cellStyle name="Normal 4 5 2 2 6" xfId="4206"/>
    <cellStyle name="Normal 4 5 2 2 6 2" xfId="8358"/>
    <cellStyle name="Normal 4 5 2 2 7" xfId="6285"/>
    <cellStyle name="Normal 4 5 2 3" xfId="1979"/>
    <cellStyle name="Normal 4 5 2 3 2" xfId="2210"/>
    <cellStyle name="Normal 4 5 2 3 2 2" xfId="2551"/>
    <cellStyle name="Normal 4 5 2 3 2 2 2" xfId="3276"/>
    <cellStyle name="Normal 4 5 2 3 2 2 2 2" xfId="5362"/>
    <cellStyle name="Normal 4 5 2 3 2 2 2 2 2" xfId="9513"/>
    <cellStyle name="Normal 4 5 2 3 2 2 2 3" xfId="7440"/>
    <cellStyle name="Normal 4 5 2 3 2 2 3" xfId="3949"/>
    <cellStyle name="Normal 4 5 2 3 2 2 3 2" xfId="6034"/>
    <cellStyle name="Normal 4 5 2 3 2 2 3 2 2" xfId="10185"/>
    <cellStyle name="Normal 4 5 2 3 2 2 3 3" xfId="8112"/>
    <cellStyle name="Normal 4 5 2 3 2 2 4" xfId="4668"/>
    <cellStyle name="Normal 4 5 2 3 2 2 4 2" xfId="8820"/>
    <cellStyle name="Normal 4 5 2 3 2 2 5" xfId="6747"/>
    <cellStyle name="Normal 4 5 2 3 2 3" xfId="2940"/>
    <cellStyle name="Normal 4 5 2 3 2 3 2" xfId="5026"/>
    <cellStyle name="Normal 4 5 2 3 2 3 2 2" xfId="9177"/>
    <cellStyle name="Normal 4 5 2 3 2 3 3" xfId="7104"/>
    <cellStyle name="Normal 4 5 2 3 2 4" xfId="3613"/>
    <cellStyle name="Normal 4 5 2 3 2 4 2" xfId="5698"/>
    <cellStyle name="Normal 4 5 2 3 2 4 2 2" xfId="9849"/>
    <cellStyle name="Normal 4 5 2 3 2 4 3" xfId="7776"/>
    <cellStyle name="Normal 4 5 2 3 2 5" xfId="4332"/>
    <cellStyle name="Normal 4 5 2 3 2 5 2" xfId="8484"/>
    <cellStyle name="Normal 4 5 2 3 2 6" xfId="6411"/>
    <cellStyle name="Normal 4 5 2 3 3" xfId="2382"/>
    <cellStyle name="Normal 4 5 2 3 3 2" xfId="3108"/>
    <cellStyle name="Normal 4 5 2 3 3 2 2" xfId="5194"/>
    <cellStyle name="Normal 4 5 2 3 3 2 2 2" xfId="9345"/>
    <cellStyle name="Normal 4 5 2 3 3 2 3" xfId="7272"/>
    <cellStyle name="Normal 4 5 2 3 3 3" xfId="3781"/>
    <cellStyle name="Normal 4 5 2 3 3 3 2" xfId="5866"/>
    <cellStyle name="Normal 4 5 2 3 3 3 2 2" xfId="10017"/>
    <cellStyle name="Normal 4 5 2 3 3 3 3" xfId="7944"/>
    <cellStyle name="Normal 4 5 2 3 3 4" xfId="4500"/>
    <cellStyle name="Normal 4 5 2 3 3 4 2" xfId="8652"/>
    <cellStyle name="Normal 4 5 2 3 3 5" xfId="6579"/>
    <cellStyle name="Normal 4 5 2 3 4" xfId="2772"/>
    <cellStyle name="Normal 4 5 2 3 4 2" xfId="4858"/>
    <cellStyle name="Normal 4 5 2 3 4 2 2" xfId="9009"/>
    <cellStyle name="Normal 4 5 2 3 4 3" xfId="6936"/>
    <cellStyle name="Normal 4 5 2 3 5" xfId="3445"/>
    <cellStyle name="Normal 4 5 2 3 5 2" xfId="5530"/>
    <cellStyle name="Normal 4 5 2 3 5 2 2" xfId="9681"/>
    <cellStyle name="Normal 4 5 2 3 5 3" xfId="7608"/>
    <cellStyle name="Normal 4 5 2 3 6" xfId="4164"/>
    <cellStyle name="Normal 4 5 2 3 6 2" xfId="8316"/>
    <cellStyle name="Normal 4 5 2 3 7" xfId="6243"/>
    <cellStyle name="Normal 4 5 2 4" xfId="2121"/>
    <cellStyle name="Normal 4 5 2 4 2" xfId="2294"/>
    <cellStyle name="Normal 4 5 2 4 2 2" xfId="2635"/>
    <cellStyle name="Normal 4 5 2 4 2 2 2" xfId="3360"/>
    <cellStyle name="Normal 4 5 2 4 2 2 2 2" xfId="5446"/>
    <cellStyle name="Normal 4 5 2 4 2 2 2 2 2" xfId="9597"/>
    <cellStyle name="Normal 4 5 2 4 2 2 2 3" xfId="7524"/>
    <cellStyle name="Normal 4 5 2 4 2 2 3" xfId="4033"/>
    <cellStyle name="Normal 4 5 2 4 2 2 3 2" xfId="6118"/>
    <cellStyle name="Normal 4 5 2 4 2 2 3 2 2" xfId="10269"/>
    <cellStyle name="Normal 4 5 2 4 2 2 3 3" xfId="8196"/>
    <cellStyle name="Normal 4 5 2 4 2 2 4" xfId="4752"/>
    <cellStyle name="Normal 4 5 2 4 2 2 4 2" xfId="8904"/>
    <cellStyle name="Normal 4 5 2 4 2 2 5" xfId="6831"/>
    <cellStyle name="Normal 4 5 2 4 2 3" xfId="3024"/>
    <cellStyle name="Normal 4 5 2 4 2 3 2" xfId="5110"/>
    <cellStyle name="Normal 4 5 2 4 2 3 2 2" xfId="9261"/>
    <cellStyle name="Normal 4 5 2 4 2 3 3" xfId="7188"/>
    <cellStyle name="Normal 4 5 2 4 2 4" xfId="3697"/>
    <cellStyle name="Normal 4 5 2 4 2 4 2" xfId="5782"/>
    <cellStyle name="Normal 4 5 2 4 2 4 2 2" xfId="9933"/>
    <cellStyle name="Normal 4 5 2 4 2 4 3" xfId="7860"/>
    <cellStyle name="Normal 4 5 2 4 2 5" xfId="4416"/>
    <cellStyle name="Normal 4 5 2 4 2 5 2" xfId="8568"/>
    <cellStyle name="Normal 4 5 2 4 2 6" xfId="6495"/>
    <cellStyle name="Normal 4 5 2 4 3" xfId="2467"/>
    <cellStyle name="Normal 4 5 2 4 3 2" xfId="3192"/>
    <cellStyle name="Normal 4 5 2 4 3 2 2" xfId="5278"/>
    <cellStyle name="Normal 4 5 2 4 3 2 2 2" xfId="9429"/>
    <cellStyle name="Normal 4 5 2 4 3 2 3" xfId="7356"/>
    <cellStyle name="Normal 4 5 2 4 3 3" xfId="3865"/>
    <cellStyle name="Normal 4 5 2 4 3 3 2" xfId="5950"/>
    <cellStyle name="Normal 4 5 2 4 3 3 2 2" xfId="10101"/>
    <cellStyle name="Normal 4 5 2 4 3 3 3" xfId="8028"/>
    <cellStyle name="Normal 4 5 2 4 3 4" xfId="4584"/>
    <cellStyle name="Normal 4 5 2 4 3 4 2" xfId="8736"/>
    <cellStyle name="Normal 4 5 2 4 3 5" xfId="6663"/>
    <cellStyle name="Normal 4 5 2 4 4" xfId="2856"/>
    <cellStyle name="Normal 4 5 2 4 4 2" xfId="4942"/>
    <cellStyle name="Normal 4 5 2 4 4 2 2" xfId="9093"/>
    <cellStyle name="Normal 4 5 2 4 4 3" xfId="7020"/>
    <cellStyle name="Normal 4 5 2 4 5" xfId="3529"/>
    <cellStyle name="Normal 4 5 2 4 5 2" xfId="5614"/>
    <cellStyle name="Normal 4 5 2 4 5 2 2" xfId="9765"/>
    <cellStyle name="Normal 4 5 2 4 5 3" xfId="7692"/>
    <cellStyle name="Normal 4 5 2 4 6" xfId="4248"/>
    <cellStyle name="Normal 4 5 2 4 6 2" xfId="8400"/>
    <cellStyle name="Normal 4 5 2 4 7" xfId="6327"/>
    <cellStyle name="Normal 4 5 2 5" xfId="2167"/>
    <cellStyle name="Normal 4 5 2 5 2" xfId="2509"/>
    <cellStyle name="Normal 4 5 2 5 2 2" xfId="3234"/>
    <cellStyle name="Normal 4 5 2 5 2 2 2" xfId="5320"/>
    <cellStyle name="Normal 4 5 2 5 2 2 2 2" xfId="9471"/>
    <cellStyle name="Normal 4 5 2 5 2 2 3" xfId="7398"/>
    <cellStyle name="Normal 4 5 2 5 2 3" xfId="3907"/>
    <cellStyle name="Normal 4 5 2 5 2 3 2" xfId="5992"/>
    <cellStyle name="Normal 4 5 2 5 2 3 2 2" xfId="10143"/>
    <cellStyle name="Normal 4 5 2 5 2 3 3" xfId="8070"/>
    <cellStyle name="Normal 4 5 2 5 2 4" xfId="4626"/>
    <cellStyle name="Normal 4 5 2 5 2 4 2" xfId="8778"/>
    <cellStyle name="Normal 4 5 2 5 2 5" xfId="6705"/>
    <cellStyle name="Normal 4 5 2 5 3" xfId="2898"/>
    <cellStyle name="Normal 4 5 2 5 3 2" xfId="4984"/>
    <cellStyle name="Normal 4 5 2 5 3 2 2" xfId="9135"/>
    <cellStyle name="Normal 4 5 2 5 3 3" xfId="7062"/>
    <cellStyle name="Normal 4 5 2 5 4" xfId="3571"/>
    <cellStyle name="Normal 4 5 2 5 4 2" xfId="5656"/>
    <cellStyle name="Normal 4 5 2 5 4 2 2" xfId="9807"/>
    <cellStyle name="Normal 4 5 2 5 4 3" xfId="7734"/>
    <cellStyle name="Normal 4 5 2 5 5" xfId="4290"/>
    <cellStyle name="Normal 4 5 2 5 5 2" xfId="8442"/>
    <cellStyle name="Normal 4 5 2 5 6" xfId="6369"/>
    <cellStyle name="Normal 4 5 2 6" xfId="2340"/>
    <cellStyle name="Normal 4 5 2 6 2" xfId="3066"/>
    <cellStyle name="Normal 4 5 2 6 2 2" xfId="5152"/>
    <cellStyle name="Normal 4 5 2 6 2 2 2" xfId="9303"/>
    <cellStyle name="Normal 4 5 2 6 2 3" xfId="7230"/>
    <cellStyle name="Normal 4 5 2 6 3" xfId="3739"/>
    <cellStyle name="Normal 4 5 2 6 3 2" xfId="5824"/>
    <cellStyle name="Normal 4 5 2 6 3 2 2" xfId="9975"/>
    <cellStyle name="Normal 4 5 2 6 3 3" xfId="7902"/>
    <cellStyle name="Normal 4 5 2 6 4" xfId="4458"/>
    <cellStyle name="Normal 4 5 2 6 4 2" xfId="8610"/>
    <cellStyle name="Normal 4 5 2 6 5" xfId="6537"/>
    <cellStyle name="Normal 4 5 2 7" xfId="2730"/>
    <cellStyle name="Normal 4 5 2 7 2" xfId="4816"/>
    <cellStyle name="Normal 4 5 2 7 2 2" xfId="8967"/>
    <cellStyle name="Normal 4 5 2 7 3" xfId="6894"/>
    <cellStyle name="Normal 4 5 2 8" xfId="3403"/>
    <cellStyle name="Normal 4 5 2 8 2" xfId="5488"/>
    <cellStyle name="Normal 4 5 2 8 2 2" xfId="9639"/>
    <cellStyle name="Normal 4 5 2 8 3" xfId="7566"/>
    <cellStyle name="Normal 4 5 2 9" xfId="4121"/>
    <cellStyle name="Normal 4 5 2 9 2" xfId="8274"/>
    <cellStyle name="Normal 4 5 3" xfId="2024"/>
    <cellStyle name="Normal 4 5 3 2" xfId="2231"/>
    <cellStyle name="Normal 4 5 3 2 2" xfId="2572"/>
    <cellStyle name="Normal 4 5 3 2 2 2" xfId="3297"/>
    <cellStyle name="Normal 4 5 3 2 2 2 2" xfId="5383"/>
    <cellStyle name="Normal 4 5 3 2 2 2 2 2" xfId="9534"/>
    <cellStyle name="Normal 4 5 3 2 2 2 3" xfId="7461"/>
    <cellStyle name="Normal 4 5 3 2 2 3" xfId="3970"/>
    <cellStyle name="Normal 4 5 3 2 2 3 2" xfId="6055"/>
    <cellStyle name="Normal 4 5 3 2 2 3 2 2" xfId="10206"/>
    <cellStyle name="Normal 4 5 3 2 2 3 3" xfId="8133"/>
    <cellStyle name="Normal 4 5 3 2 2 4" xfId="4689"/>
    <cellStyle name="Normal 4 5 3 2 2 4 2" xfId="8841"/>
    <cellStyle name="Normal 4 5 3 2 2 5" xfId="6768"/>
    <cellStyle name="Normal 4 5 3 2 3" xfId="2961"/>
    <cellStyle name="Normal 4 5 3 2 3 2" xfId="5047"/>
    <cellStyle name="Normal 4 5 3 2 3 2 2" xfId="9198"/>
    <cellStyle name="Normal 4 5 3 2 3 3" xfId="7125"/>
    <cellStyle name="Normal 4 5 3 2 4" xfId="3634"/>
    <cellStyle name="Normal 4 5 3 2 4 2" xfId="5719"/>
    <cellStyle name="Normal 4 5 3 2 4 2 2" xfId="9870"/>
    <cellStyle name="Normal 4 5 3 2 4 3" xfId="7797"/>
    <cellStyle name="Normal 4 5 3 2 5" xfId="4353"/>
    <cellStyle name="Normal 4 5 3 2 5 2" xfId="8505"/>
    <cellStyle name="Normal 4 5 3 2 6" xfId="6432"/>
    <cellStyle name="Normal 4 5 3 3" xfId="2404"/>
    <cellStyle name="Normal 4 5 3 3 2" xfId="3129"/>
    <cellStyle name="Normal 4 5 3 3 2 2" xfId="5215"/>
    <cellStyle name="Normal 4 5 3 3 2 2 2" xfId="9366"/>
    <cellStyle name="Normal 4 5 3 3 2 3" xfId="7293"/>
    <cellStyle name="Normal 4 5 3 3 3" xfId="3802"/>
    <cellStyle name="Normal 4 5 3 3 3 2" xfId="5887"/>
    <cellStyle name="Normal 4 5 3 3 3 2 2" xfId="10038"/>
    <cellStyle name="Normal 4 5 3 3 3 3" xfId="7965"/>
    <cellStyle name="Normal 4 5 3 3 4" xfId="4521"/>
    <cellStyle name="Normal 4 5 3 3 4 2" xfId="8673"/>
    <cellStyle name="Normal 4 5 3 3 5" xfId="6600"/>
    <cellStyle name="Normal 4 5 3 4" xfId="2793"/>
    <cellStyle name="Normal 4 5 3 4 2" xfId="4879"/>
    <cellStyle name="Normal 4 5 3 4 2 2" xfId="9030"/>
    <cellStyle name="Normal 4 5 3 4 3" xfId="6957"/>
    <cellStyle name="Normal 4 5 3 5" xfId="3466"/>
    <cellStyle name="Normal 4 5 3 5 2" xfId="5551"/>
    <cellStyle name="Normal 4 5 3 5 2 2" xfId="9702"/>
    <cellStyle name="Normal 4 5 3 5 3" xfId="7629"/>
    <cellStyle name="Normal 4 5 3 6" xfId="4185"/>
    <cellStyle name="Normal 4 5 3 6 2" xfId="8337"/>
    <cellStyle name="Normal 4 5 3 7" xfId="6264"/>
    <cellStyle name="Normal 4 5 4" xfId="1923"/>
    <cellStyle name="Normal 4 5 4 2" xfId="2189"/>
    <cellStyle name="Normal 4 5 4 2 2" xfId="2530"/>
    <cellStyle name="Normal 4 5 4 2 2 2" xfId="3255"/>
    <cellStyle name="Normal 4 5 4 2 2 2 2" xfId="5341"/>
    <cellStyle name="Normal 4 5 4 2 2 2 2 2" xfId="9492"/>
    <cellStyle name="Normal 4 5 4 2 2 2 3" xfId="7419"/>
    <cellStyle name="Normal 4 5 4 2 2 3" xfId="3928"/>
    <cellStyle name="Normal 4 5 4 2 2 3 2" xfId="6013"/>
    <cellStyle name="Normal 4 5 4 2 2 3 2 2" xfId="10164"/>
    <cellStyle name="Normal 4 5 4 2 2 3 3" xfId="8091"/>
    <cellStyle name="Normal 4 5 4 2 2 4" xfId="4647"/>
    <cellStyle name="Normal 4 5 4 2 2 4 2" xfId="8799"/>
    <cellStyle name="Normal 4 5 4 2 2 5" xfId="6726"/>
    <cellStyle name="Normal 4 5 4 2 3" xfId="2919"/>
    <cellStyle name="Normal 4 5 4 2 3 2" xfId="5005"/>
    <cellStyle name="Normal 4 5 4 2 3 2 2" xfId="9156"/>
    <cellStyle name="Normal 4 5 4 2 3 3" xfId="7083"/>
    <cellStyle name="Normal 4 5 4 2 4" xfId="3592"/>
    <cellStyle name="Normal 4 5 4 2 4 2" xfId="5677"/>
    <cellStyle name="Normal 4 5 4 2 4 2 2" xfId="9828"/>
    <cellStyle name="Normal 4 5 4 2 4 3" xfId="7755"/>
    <cellStyle name="Normal 4 5 4 2 5" xfId="4311"/>
    <cellStyle name="Normal 4 5 4 2 5 2" xfId="8463"/>
    <cellStyle name="Normal 4 5 4 2 6" xfId="6390"/>
    <cellStyle name="Normal 4 5 4 3" xfId="2361"/>
    <cellStyle name="Normal 4 5 4 3 2" xfId="3087"/>
    <cellStyle name="Normal 4 5 4 3 2 2" xfId="5173"/>
    <cellStyle name="Normal 4 5 4 3 2 2 2" xfId="9324"/>
    <cellStyle name="Normal 4 5 4 3 2 3" xfId="7251"/>
    <cellStyle name="Normal 4 5 4 3 3" xfId="3760"/>
    <cellStyle name="Normal 4 5 4 3 3 2" xfId="5845"/>
    <cellStyle name="Normal 4 5 4 3 3 2 2" xfId="9996"/>
    <cellStyle name="Normal 4 5 4 3 3 3" xfId="7923"/>
    <cellStyle name="Normal 4 5 4 3 4" xfId="4479"/>
    <cellStyle name="Normal 4 5 4 3 4 2" xfId="8631"/>
    <cellStyle name="Normal 4 5 4 3 5" xfId="6558"/>
    <cellStyle name="Normal 4 5 4 4" xfId="2751"/>
    <cellStyle name="Normal 4 5 4 4 2" xfId="4837"/>
    <cellStyle name="Normal 4 5 4 4 2 2" xfId="8988"/>
    <cellStyle name="Normal 4 5 4 4 3" xfId="6915"/>
    <cellStyle name="Normal 4 5 4 5" xfId="3424"/>
    <cellStyle name="Normal 4 5 4 5 2" xfId="5509"/>
    <cellStyle name="Normal 4 5 4 5 2 2" xfId="9660"/>
    <cellStyle name="Normal 4 5 4 5 3" xfId="7587"/>
    <cellStyle name="Normal 4 5 4 6" xfId="4143"/>
    <cellStyle name="Normal 4 5 4 6 2" xfId="8295"/>
    <cellStyle name="Normal 4 5 4 7" xfId="6222"/>
    <cellStyle name="Normal 4 5 5" xfId="2100"/>
    <cellStyle name="Normal 4 5 5 2" xfId="2273"/>
    <cellStyle name="Normal 4 5 5 2 2" xfId="2614"/>
    <cellStyle name="Normal 4 5 5 2 2 2" xfId="3339"/>
    <cellStyle name="Normal 4 5 5 2 2 2 2" xfId="5425"/>
    <cellStyle name="Normal 4 5 5 2 2 2 2 2" xfId="9576"/>
    <cellStyle name="Normal 4 5 5 2 2 2 3" xfId="7503"/>
    <cellStyle name="Normal 4 5 5 2 2 3" xfId="4012"/>
    <cellStyle name="Normal 4 5 5 2 2 3 2" xfId="6097"/>
    <cellStyle name="Normal 4 5 5 2 2 3 2 2" xfId="10248"/>
    <cellStyle name="Normal 4 5 5 2 2 3 3" xfId="8175"/>
    <cellStyle name="Normal 4 5 5 2 2 4" xfId="4731"/>
    <cellStyle name="Normal 4 5 5 2 2 4 2" xfId="8883"/>
    <cellStyle name="Normal 4 5 5 2 2 5" xfId="6810"/>
    <cellStyle name="Normal 4 5 5 2 3" xfId="3003"/>
    <cellStyle name="Normal 4 5 5 2 3 2" xfId="5089"/>
    <cellStyle name="Normal 4 5 5 2 3 2 2" xfId="9240"/>
    <cellStyle name="Normal 4 5 5 2 3 3" xfId="7167"/>
    <cellStyle name="Normal 4 5 5 2 4" xfId="3676"/>
    <cellStyle name="Normal 4 5 5 2 4 2" xfId="5761"/>
    <cellStyle name="Normal 4 5 5 2 4 2 2" xfId="9912"/>
    <cellStyle name="Normal 4 5 5 2 4 3" xfId="7839"/>
    <cellStyle name="Normal 4 5 5 2 5" xfId="4395"/>
    <cellStyle name="Normal 4 5 5 2 5 2" xfId="8547"/>
    <cellStyle name="Normal 4 5 5 2 6" xfId="6474"/>
    <cellStyle name="Normal 4 5 5 3" xfId="2446"/>
    <cellStyle name="Normal 4 5 5 3 2" xfId="3171"/>
    <cellStyle name="Normal 4 5 5 3 2 2" xfId="5257"/>
    <cellStyle name="Normal 4 5 5 3 2 2 2" xfId="9408"/>
    <cellStyle name="Normal 4 5 5 3 2 3" xfId="7335"/>
    <cellStyle name="Normal 4 5 5 3 3" xfId="3844"/>
    <cellStyle name="Normal 4 5 5 3 3 2" xfId="5929"/>
    <cellStyle name="Normal 4 5 5 3 3 2 2" xfId="10080"/>
    <cellStyle name="Normal 4 5 5 3 3 3" xfId="8007"/>
    <cellStyle name="Normal 4 5 5 3 4" xfId="4563"/>
    <cellStyle name="Normal 4 5 5 3 4 2" xfId="8715"/>
    <cellStyle name="Normal 4 5 5 3 5" xfId="6642"/>
    <cellStyle name="Normal 4 5 5 4" xfId="2835"/>
    <cellStyle name="Normal 4 5 5 4 2" xfId="4921"/>
    <cellStyle name="Normal 4 5 5 4 2 2" xfId="9072"/>
    <cellStyle name="Normal 4 5 5 4 3" xfId="6999"/>
    <cellStyle name="Normal 4 5 5 5" xfId="3508"/>
    <cellStyle name="Normal 4 5 5 5 2" xfId="5593"/>
    <cellStyle name="Normal 4 5 5 5 2 2" xfId="9744"/>
    <cellStyle name="Normal 4 5 5 5 3" xfId="7671"/>
    <cellStyle name="Normal 4 5 5 6" xfId="4227"/>
    <cellStyle name="Normal 4 5 5 6 2" xfId="8379"/>
    <cellStyle name="Normal 4 5 5 7" xfId="6306"/>
    <cellStyle name="Normal 4 5 6" xfId="2144"/>
    <cellStyle name="Normal 4 5 6 2" xfId="2488"/>
    <cellStyle name="Normal 4 5 6 2 2" xfId="3213"/>
    <cellStyle name="Normal 4 5 6 2 2 2" xfId="5299"/>
    <cellStyle name="Normal 4 5 6 2 2 2 2" xfId="9450"/>
    <cellStyle name="Normal 4 5 6 2 2 3" xfId="7377"/>
    <cellStyle name="Normal 4 5 6 2 3" xfId="3886"/>
    <cellStyle name="Normal 4 5 6 2 3 2" xfId="5971"/>
    <cellStyle name="Normal 4 5 6 2 3 2 2" xfId="10122"/>
    <cellStyle name="Normal 4 5 6 2 3 3" xfId="8049"/>
    <cellStyle name="Normal 4 5 6 2 4" xfId="4605"/>
    <cellStyle name="Normal 4 5 6 2 4 2" xfId="8757"/>
    <cellStyle name="Normal 4 5 6 2 5" xfId="6684"/>
    <cellStyle name="Normal 4 5 6 3" xfId="2877"/>
    <cellStyle name="Normal 4 5 6 3 2" xfId="4963"/>
    <cellStyle name="Normal 4 5 6 3 2 2" xfId="9114"/>
    <cellStyle name="Normal 4 5 6 3 3" xfId="7041"/>
    <cellStyle name="Normal 4 5 6 4" xfId="3550"/>
    <cellStyle name="Normal 4 5 6 4 2" xfId="5635"/>
    <cellStyle name="Normal 4 5 6 4 2 2" xfId="9786"/>
    <cellStyle name="Normal 4 5 6 4 3" xfId="7713"/>
    <cellStyle name="Normal 4 5 6 5" xfId="4269"/>
    <cellStyle name="Normal 4 5 6 5 2" xfId="8421"/>
    <cellStyle name="Normal 4 5 6 6" xfId="6348"/>
    <cellStyle name="Normal 4 5 7" xfId="2318"/>
    <cellStyle name="Normal 4 5 7 2" xfId="3045"/>
    <cellStyle name="Normal 4 5 7 2 2" xfId="5131"/>
    <cellStyle name="Normal 4 5 7 2 2 2" xfId="9282"/>
    <cellStyle name="Normal 4 5 7 2 3" xfId="7209"/>
    <cellStyle name="Normal 4 5 7 3" xfId="3718"/>
    <cellStyle name="Normal 4 5 7 3 2" xfId="5803"/>
    <cellStyle name="Normal 4 5 7 3 2 2" xfId="9954"/>
    <cellStyle name="Normal 4 5 7 3 3" xfId="7881"/>
    <cellStyle name="Normal 4 5 7 4" xfId="4437"/>
    <cellStyle name="Normal 4 5 7 4 2" xfId="8589"/>
    <cellStyle name="Normal 4 5 7 5" xfId="6516"/>
    <cellStyle name="Normal 4 5 8" xfId="2708"/>
    <cellStyle name="Normal 4 5 8 2" xfId="4795"/>
    <cellStyle name="Normal 4 5 8 2 2" xfId="8946"/>
    <cellStyle name="Normal 4 5 8 3" xfId="6873"/>
    <cellStyle name="Normal 4 5 9" xfId="3382"/>
    <cellStyle name="Normal 4 5 9 2" xfId="5467"/>
    <cellStyle name="Normal 4 5 9 2 2" xfId="9618"/>
    <cellStyle name="Normal 4 5 9 3" xfId="7545"/>
    <cellStyle name="Normal 4 6" xfId="1600"/>
    <cellStyle name="Normal 4 7" xfId="2688"/>
    <cellStyle name="Normal 4 7 2" xfId="4778"/>
    <cellStyle name="Normal 4 7 2 2" xfId="8929"/>
    <cellStyle name="Normal 4 7 3" xfId="6856"/>
    <cellStyle name="Normal 4 8" xfId="4066"/>
    <cellStyle name="Normal 4 8 2" xfId="6150"/>
    <cellStyle name="Normal 4 8 2 2" xfId="10301"/>
    <cellStyle name="Normal 4 8 3" xfId="8228"/>
    <cellStyle name="Normal 40" xfId="729"/>
    <cellStyle name="Normal 40 2" xfId="1605"/>
    <cellStyle name="Normal 41" xfId="730"/>
    <cellStyle name="Normal 41 2" xfId="1606"/>
    <cellStyle name="Normal 42" xfId="731"/>
    <cellStyle name="Normal 42 2" xfId="1607"/>
    <cellStyle name="Normal 43" xfId="732"/>
    <cellStyle name="Normal 43 2" xfId="1608"/>
    <cellStyle name="Normal 44" xfId="733"/>
    <cellStyle name="Normal 44 2" xfId="1609"/>
    <cellStyle name="Normal 45" xfId="734"/>
    <cellStyle name="Normal 45 2" xfId="1610"/>
    <cellStyle name="Normal 46" xfId="735"/>
    <cellStyle name="Normal 46 2" xfId="736"/>
    <cellStyle name="Normal 46 2 2" xfId="1612"/>
    <cellStyle name="Normal 46 3" xfId="1611"/>
    <cellStyle name="Normal 47" xfId="737"/>
    <cellStyle name="Normal 47 2" xfId="738"/>
    <cellStyle name="Normal 47 2 2" xfId="1614"/>
    <cellStyle name="Normal 47 3" xfId="1613"/>
    <cellStyle name="Normal 48" xfId="739"/>
    <cellStyle name="Normal 48 2" xfId="740"/>
    <cellStyle name="Normal 48 2 2" xfId="1616"/>
    <cellStyle name="Normal 48 3" xfId="1615"/>
    <cellStyle name="Normal 49" xfId="741"/>
    <cellStyle name="Normal 49 2" xfId="742"/>
    <cellStyle name="Normal 49 2 2" xfId="1618"/>
    <cellStyle name="Normal 49 3" xfId="1617"/>
    <cellStyle name="Normal 5" xfId="743"/>
    <cellStyle name="Normal 5 2" xfId="744"/>
    <cellStyle name="Normal 5 2 2" xfId="1620"/>
    <cellStyle name="Normal 5 3" xfId="745"/>
    <cellStyle name="Normal 5 3 2" xfId="1621"/>
    <cellStyle name="Normal 5 4" xfId="746"/>
    <cellStyle name="Normal 5 4 2" xfId="1622"/>
    <cellStyle name="Normal 5 5" xfId="747"/>
    <cellStyle name="Normal 5 5 10" xfId="4098"/>
    <cellStyle name="Normal 5 5 10 2" xfId="8254"/>
    <cellStyle name="Normal 5 5 11" xfId="6181"/>
    <cellStyle name="Normal 5 5 2" xfId="1623"/>
    <cellStyle name="Normal 5 5 2 10" xfId="6202"/>
    <cellStyle name="Normal 5 5 2 2" xfId="2079"/>
    <cellStyle name="Normal 5 5 2 2 2" xfId="2253"/>
    <cellStyle name="Normal 5 5 2 2 2 2" xfId="2594"/>
    <cellStyle name="Normal 5 5 2 2 2 2 2" xfId="3319"/>
    <cellStyle name="Normal 5 5 2 2 2 2 2 2" xfId="5405"/>
    <cellStyle name="Normal 5 5 2 2 2 2 2 2 2" xfId="9556"/>
    <cellStyle name="Normal 5 5 2 2 2 2 2 3" xfId="7483"/>
    <cellStyle name="Normal 5 5 2 2 2 2 3" xfId="3992"/>
    <cellStyle name="Normal 5 5 2 2 2 2 3 2" xfId="6077"/>
    <cellStyle name="Normal 5 5 2 2 2 2 3 2 2" xfId="10228"/>
    <cellStyle name="Normal 5 5 2 2 2 2 3 3" xfId="8155"/>
    <cellStyle name="Normal 5 5 2 2 2 2 4" xfId="4711"/>
    <cellStyle name="Normal 5 5 2 2 2 2 4 2" xfId="8863"/>
    <cellStyle name="Normal 5 5 2 2 2 2 5" xfId="6790"/>
    <cellStyle name="Normal 5 5 2 2 2 3" xfId="2983"/>
    <cellStyle name="Normal 5 5 2 2 2 3 2" xfId="5069"/>
    <cellStyle name="Normal 5 5 2 2 2 3 2 2" xfId="9220"/>
    <cellStyle name="Normal 5 5 2 2 2 3 3" xfId="7147"/>
    <cellStyle name="Normal 5 5 2 2 2 4" xfId="3656"/>
    <cellStyle name="Normal 5 5 2 2 2 4 2" xfId="5741"/>
    <cellStyle name="Normal 5 5 2 2 2 4 2 2" xfId="9892"/>
    <cellStyle name="Normal 5 5 2 2 2 4 3" xfId="7819"/>
    <cellStyle name="Normal 5 5 2 2 2 5" xfId="4375"/>
    <cellStyle name="Normal 5 5 2 2 2 5 2" xfId="8527"/>
    <cellStyle name="Normal 5 5 2 2 2 6" xfId="6454"/>
    <cellStyle name="Normal 5 5 2 2 3" xfId="2426"/>
    <cellStyle name="Normal 5 5 2 2 3 2" xfId="3151"/>
    <cellStyle name="Normal 5 5 2 2 3 2 2" xfId="5237"/>
    <cellStyle name="Normal 5 5 2 2 3 2 2 2" xfId="9388"/>
    <cellStyle name="Normal 5 5 2 2 3 2 3" xfId="7315"/>
    <cellStyle name="Normal 5 5 2 2 3 3" xfId="3824"/>
    <cellStyle name="Normal 5 5 2 2 3 3 2" xfId="5909"/>
    <cellStyle name="Normal 5 5 2 2 3 3 2 2" xfId="10060"/>
    <cellStyle name="Normal 5 5 2 2 3 3 3" xfId="7987"/>
    <cellStyle name="Normal 5 5 2 2 3 4" xfId="4543"/>
    <cellStyle name="Normal 5 5 2 2 3 4 2" xfId="8695"/>
    <cellStyle name="Normal 5 5 2 2 3 5" xfId="6622"/>
    <cellStyle name="Normal 5 5 2 2 4" xfId="2815"/>
    <cellStyle name="Normal 5 5 2 2 4 2" xfId="4901"/>
    <cellStyle name="Normal 5 5 2 2 4 2 2" xfId="9052"/>
    <cellStyle name="Normal 5 5 2 2 4 3" xfId="6979"/>
    <cellStyle name="Normal 5 5 2 2 5" xfId="3488"/>
    <cellStyle name="Normal 5 5 2 2 5 2" xfId="5573"/>
    <cellStyle name="Normal 5 5 2 2 5 2 2" xfId="9724"/>
    <cellStyle name="Normal 5 5 2 2 5 3" xfId="7651"/>
    <cellStyle name="Normal 5 5 2 2 6" xfId="4207"/>
    <cellStyle name="Normal 5 5 2 2 6 2" xfId="8359"/>
    <cellStyle name="Normal 5 5 2 2 7" xfId="6286"/>
    <cellStyle name="Normal 5 5 2 3" xfId="1980"/>
    <cellStyle name="Normal 5 5 2 3 2" xfId="2211"/>
    <cellStyle name="Normal 5 5 2 3 2 2" xfId="2552"/>
    <cellStyle name="Normal 5 5 2 3 2 2 2" xfId="3277"/>
    <cellStyle name="Normal 5 5 2 3 2 2 2 2" xfId="5363"/>
    <cellStyle name="Normal 5 5 2 3 2 2 2 2 2" xfId="9514"/>
    <cellStyle name="Normal 5 5 2 3 2 2 2 3" xfId="7441"/>
    <cellStyle name="Normal 5 5 2 3 2 2 3" xfId="3950"/>
    <cellStyle name="Normal 5 5 2 3 2 2 3 2" xfId="6035"/>
    <cellStyle name="Normal 5 5 2 3 2 2 3 2 2" xfId="10186"/>
    <cellStyle name="Normal 5 5 2 3 2 2 3 3" xfId="8113"/>
    <cellStyle name="Normal 5 5 2 3 2 2 4" xfId="4669"/>
    <cellStyle name="Normal 5 5 2 3 2 2 4 2" xfId="8821"/>
    <cellStyle name="Normal 5 5 2 3 2 2 5" xfId="6748"/>
    <cellStyle name="Normal 5 5 2 3 2 3" xfId="2941"/>
    <cellStyle name="Normal 5 5 2 3 2 3 2" xfId="5027"/>
    <cellStyle name="Normal 5 5 2 3 2 3 2 2" xfId="9178"/>
    <cellStyle name="Normal 5 5 2 3 2 3 3" xfId="7105"/>
    <cellStyle name="Normal 5 5 2 3 2 4" xfId="3614"/>
    <cellStyle name="Normal 5 5 2 3 2 4 2" xfId="5699"/>
    <cellStyle name="Normal 5 5 2 3 2 4 2 2" xfId="9850"/>
    <cellStyle name="Normal 5 5 2 3 2 4 3" xfId="7777"/>
    <cellStyle name="Normal 5 5 2 3 2 5" xfId="4333"/>
    <cellStyle name="Normal 5 5 2 3 2 5 2" xfId="8485"/>
    <cellStyle name="Normal 5 5 2 3 2 6" xfId="6412"/>
    <cellStyle name="Normal 5 5 2 3 3" xfId="2383"/>
    <cellStyle name="Normal 5 5 2 3 3 2" xfId="3109"/>
    <cellStyle name="Normal 5 5 2 3 3 2 2" xfId="5195"/>
    <cellStyle name="Normal 5 5 2 3 3 2 2 2" xfId="9346"/>
    <cellStyle name="Normal 5 5 2 3 3 2 3" xfId="7273"/>
    <cellStyle name="Normal 5 5 2 3 3 3" xfId="3782"/>
    <cellStyle name="Normal 5 5 2 3 3 3 2" xfId="5867"/>
    <cellStyle name="Normal 5 5 2 3 3 3 2 2" xfId="10018"/>
    <cellStyle name="Normal 5 5 2 3 3 3 3" xfId="7945"/>
    <cellStyle name="Normal 5 5 2 3 3 4" xfId="4501"/>
    <cellStyle name="Normal 5 5 2 3 3 4 2" xfId="8653"/>
    <cellStyle name="Normal 5 5 2 3 3 5" xfId="6580"/>
    <cellStyle name="Normal 5 5 2 3 4" xfId="2773"/>
    <cellStyle name="Normal 5 5 2 3 4 2" xfId="4859"/>
    <cellStyle name="Normal 5 5 2 3 4 2 2" xfId="9010"/>
    <cellStyle name="Normal 5 5 2 3 4 3" xfId="6937"/>
    <cellStyle name="Normal 5 5 2 3 5" xfId="3446"/>
    <cellStyle name="Normal 5 5 2 3 5 2" xfId="5531"/>
    <cellStyle name="Normal 5 5 2 3 5 2 2" xfId="9682"/>
    <cellStyle name="Normal 5 5 2 3 5 3" xfId="7609"/>
    <cellStyle name="Normal 5 5 2 3 6" xfId="4165"/>
    <cellStyle name="Normal 5 5 2 3 6 2" xfId="8317"/>
    <cellStyle name="Normal 5 5 2 3 7" xfId="6244"/>
    <cellStyle name="Normal 5 5 2 4" xfId="2122"/>
    <cellStyle name="Normal 5 5 2 4 2" xfId="2295"/>
    <cellStyle name="Normal 5 5 2 4 2 2" xfId="2636"/>
    <cellStyle name="Normal 5 5 2 4 2 2 2" xfId="3361"/>
    <cellStyle name="Normal 5 5 2 4 2 2 2 2" xfId="5447"/>
    <cellStyle name="Normal 5 5 2 4 2 2 2 2 2" xfId="9598"/>
    <cellStyle name="Normal 5 5 2 4 2 2 2 3" xfId="7525"/>
    <cellStyle name="Normal 5 5 2 4 2 2 3" xfId="4034"/>
    <cellStyle name="Normal 5 5 2 4 2 2 3 2" xfId="6119"/>
    <cellStyle name="Normal 5 5 2 4 2 2 3 2 2" xfId="10270"/>
    <cellStyle name="Normal 5 5 2 4 2 2 3 3" xfId="8197"/>
    <cellStyle name="Normal 5 5 2 4 2 2 4" xfId="4753"/>
    <cellStyle name="Normal 5 5 2 4 2 2 4 2" xfId="8905"/>
    <cellStyle name="Normal 5 5 2 4 2 2 5" xfId="6832"/>
    <cellStyle name="Normal 5 5 2 4 2 3" xfId="3025"/>
    <cellStyle name="Normal 5 5 2 4 2 3 2" xfId="5111"/>
    <cellStyle name="Normal 5 5 2 4 2 3 2 2" xfId="9262"/>
    <cellStyle name="Normal 5 5 2 4 2 3 3" xfId="7189"/>
    <cellStyle name="Normal 5 5 2 4 2 4" xfId="3698"/>
    <cellStyle name="Normal 5 5 2 4 2 4 2" xfId="5783"/>
    <cellStyle name="Normal 5 5 2 4 2 4 2 2" xfId="9934"/>
    <cellStyle name="Normal 5 5 2 4 2 4 3" xfId="7861"/>
    <cellStyle name="Normal 5 5 2 4 2 5" xfId="4417"/>
    <cellStyle name="Normal 5 5 2 4 2 5 2" xfId="8569"/>
    <cellStyle name="Normal 5 5 2 4 2 6" xfId="6496"/>
    <cellStyle name="Normal 5 5 2 4 3" xfId="2468"/>
    <cellStyle name="Normal 5 5 2 4 3 2" xfId="3193"/>
    <cellStyle name="Normal 5 5 2 4 3 2 2" xfId="5279"/>
    <cellStyle name="Normal 5 5 2 4 3 2 2 2" xfId="9430"/>
    <cellStyle name="Normal 5 5 2 4 3 2 3" xfId="7357"/>
    <cellStyle name="Normal 5 5 2 4 3 3" xfId="3866"/>
    <cellStyle name="Normal 5 5 2 4 3 3 2" xfId="5951"/>
    <cellStyle name="Normal 5 5 2 4 3 3 2 2" xfId="10102"/>
    <cellStyle name="Normal 5 5 2 4 3 3 3" xfId="8029"/>
    <cellStyle name="Normal 5 5 2 4 3 4" xfId="4585"/>
    <cellStyle name="Normal 5 5 2 4 3 4 2" xfId="8737"/>
    <cellStyle name="Normal 5 5 2 4 3 5" xfId="6664"/>
    <cellStyle name="Normal 5 5 2 4 4" xfId="2857"/>
    <cellStyle name="Normal 5 5 2 4 4 2" xfId="4943"/>
    <cellStyle name="Normal 5 5 2 4 4 2 2" xfId="9094"/>
    <cellStyle name="Normal 5 5 2 4 4 3" xfId="7021"/>
    <cellStyle name="Normal 5 5 2 4 5" xfId="3530"/>
    <cellStyle name="Normal 5 5 2 4 5 2" xfId="5615"/>
    <cellStyle name="Normal 5 5 2 4 5 2 2" xfId="9766"/>
    <cellStyle name="Normal 5 5 2 4 5 3" xfId="7693"/>
    <cellStyle name="Normal 5 5 2 4 6" xfId="4249"/>
    <cellStyle name="Normal 5 5 2 4 6 2" xfId="8401"/>
    <cellStyle name="Normal 5 5 2 4 7" xfId="6328"/>
    <cellStyle name="Normal 5 5 2 5" xfId="2168"/>
    <cellStyle name="Normal 5 5 2 5 2" xfId="2510"/>
    <cellStyle name="Normal 5 5 2 5 2 2" xfId="3235"/>
    <cellStyle name="Normal 5 5 2 5 2 2 2" xfId="5321"/>
    <cellStyle name="Normal 5 5 2 5 2 2 2 2" xfId="9472"/>
    <cellStyle name="Normal 5 5 2 5 2 2 3" xfId="7399"/>
    <cellStyle name="Normal 5 5 2 5 2 3" xfId="3908"/>
    <cellStyle name="Normal 5 5 2 5 2 3 2" xfId="5993"/>
    <cellStyle name="Normal 5 5 2 5 2 3 2 2" xfId="10144"/>
    <cellStyle name="Normal 5 5 2 5 2 3 3" xfId="8071"/>
    <cellStyle name="Normal 5 5 2 5 2 4" xfId="4627"/>
    <cellStyle name="Normal 5 5 2 5 2 4 2" xfId="8779"/>
    <cellStyle name="Normal 5 5 2 5 2 5" xfId="6706"/>
    <cellStyle name="Normal 5 5 2 5 3" xfId="2899"/>
    <cellStyle name="Normal 5 5 2 5 3 2" xfId="4985"/>
    <cellStyle name="Normal 5 5 2 5 3 2 2" xfId="9136"/>
    <cellStyle name="Normal 5 5 2 5 3 3" xfId="7063"/>
    <cellStyle name="Normal 5 5 2 5 4" xfId="3572"/>
    <cellStyle name="Normal 5 5 2 5 4 2" xfId="5657"/>
    <cellStyle name="Normal 5 5 2 5 4 2 2" xfId="9808"/>
    <cellStyle name="Normal 5 5 2 5 4 3" xfId="7735"/>
    <cellStyle name="Normal 5 5 2 5 5" xfId="4291"/>
    <cellStyle name="Normal 5 5 2 5 5 2" xfId="8443"/>
    <cellStyle name="Normal 5 5 2 5 6" xfId="6370"/>
    <cellStyle name="Normal 5 5 2 6" xfId="2341"/>
    <cellStyle name="Normal 5 5 2 6 2" xfId="3067"/>
    <cellStyle name="Normal 5 5 2 6 2 2" xfId="5153"/>
    <cellStyle name="Normal 5 5 2 6 2 2 2" xfId="9304"/>
    <cellStyle name="Normal 5 5 2 6 2 3" xfId="7231"/>
    <cellStyle name="Normal 5 5 2 6 3" xfId="3740"/>
    <cellStyle name="Normal 5 5 2 6 3 2" xfId="5825"/>
    <cellStyle name="Normal 5 5 2 6 3 2 2" xfId="9976"/>
    <cellStyle name="Normal 5 5 2 6 3 3" xfId="7903"/>
    <cellStyle name="Normal 5 5 2 6 4" xfId="4459"/>
    <cellStyle name="Normal 5 5 2 6 4 2" xfId="8611"/>
    <cellStyle name="Normal 5 5 2 6 5" xfId="6538"/>
    <cellStyle name="Normal 5 5 2 7" xfId="2731"/>
    <cellStyle name="Normal 5 5 2 7 2" xfId="4817"/>
    <cellStyle name="Normal 5 5 2 7 2 2" xfId="8968"/>
    <cellStyle name="Normal 5 5 2 7 3" xfId="6895"/>
    <cellStyle name="Normal 5 5 2 8" xfId="3404"/>
    <cellStyle name="Normal 5 5 2 8 2" xfId="5489"/>
    <cellStyle name="Normal 5 5 2 8 2 2" xfId="9640"/>
    <cellStyle name="Normal 5 5 2 8 3" xfId="7567"/>
    <cellStyle name="Normal 5 5 2 9" xfId="4122"/>
    <cellStyle name="Normal 5 5 2 9 2" xfId="8275"/>
    <cellStyle name="Normal 5 5 3" xfId="2025"/>
    <cellStyle name="Normal 5 5 3 2" xfId="2232"/>
    <cellStyle name="Normal 5 5 3 2 2" xfId="2573"/>
    <cellStyle name="Normal 5 5 3 2 2 2" xfId="3298"/>
    <cellStyle name="Normal 5 5 3 2 2 2 2" xfId="5384"/>
    <cellStyle name="Normal 5 5 3 2 2 2 2 2" xfId="9535"/>
    <cellStyle name="Normal 5 5 3 2 2 2 3" xfId="7462"/>
    <cellStyle name="Normal 5 5 3 2 2 3" xfId="3971"/>
    <cellStyle name="Normal 5 5 3 2 2 3 2" xfId="6056"/>
    <cellStyle name="Normal 5 5 3 2 2 3 2 2" xfId="10207"/>
    <cellStyle name="Normal 5 5 3 2 2 3 3" xfId="8134"/>
    <cellStyle name="Normal 5 5 3 2 2 4" xfId="4690"/>
    <cellStyle name="Normal 5 5 3 2 2 4 2" xfId="8842"/>
    <cellStyle name="Normal 5 5 3 2 2 5" xfId="6769"/>
    <cellStyle name="Normal 5 5 3 2 3" xfId="2962"/>
    <cellStyle name="Normal 5 5 3 2 3 2" xfId="5048"/>
    <cellStyle name="Normal 5 5 3 2 3 2 2" xfId="9199"/>
    <cellStyle name="Normal 5 5 3 2 3 3" xfId="7126"/>
    <cellStyle name="Normal 5 5 3 2 4" xfId="3635"/>
    <cellStyle name="Normal 5 5 3 2 4 2" xfId="5720"/>
    <cellStyle name="Normal 5 5 3 2 4 2 2" xfId="9871"/>
    <cellStyle name="Normal 5 5 3 2 4 3" xfId="7798"/>
    <cellStyle name="Normal 5 5 3 2 5" xfId="4354"/>
    <cellStyle name="Normal 5 5 3 2 5 2" xfId="8506"/>
    <cellStyle name="Normal 5 5 3 2 6" xfId="6433"/>
    <cellStyle name="Normal 5 5 3 3" xfId="2405"/>
    <cellStyle name="Normal 5 5 3 3 2" xfId="3130"/>
    <cellStyle name="Normal 5 5 3 3 2 2" xfId="5216"/>
    <cellStyle name="Normal 5 5 3 3 2 2 2" xfId="9367"/>
    <cellStyle name="Normal 5 5 3 3 2 3" xfId="7294"/>
    <cellStyle name="Normal 5 5 3 3 3" xfId="3803"/>
    <cellStyle name="Normal 5 5 3 3 3 2" xfId="5888"/>
    <cellStyle name="Normal 5 5 3 3 3 2 2" xfId="10039"/>
    <cellStyle name="Normal 5 5 3 3 3 3" xfId="7966"/>
    <cellStyle name="Normal 5 5 3 3 4" xfId="4522"/>
    <cellStyle name="Normal 5 5 3 3 4 2" xfId="8674"/>
    <cellStyle name="Normal 5 5 3 3 5" xfId="6601"/>
    <cellStyle name="Normal 5 5 3 4" xfId="2794"/>
    <cellStyle name="Normal 5 5 3 4 2" xfId="4880"/>
    <cellStyle name="Normal 5 5 3 4 2 2" xfId="9031"/>
    <cellStyle name="Normal 5 5 3 4 3" xfId="6958"/>
    <cellStyle name="Normal 5 5 3 5" xfId="3467"/>
    <cellStyle name="Normal 5 5 3 5 2" xfId="5552"/>
    <cellStyle name="Normal 5 5 3 5 2 2" xfId="9703"/>
    <cellStyle name="Normal 5 5 3 5 3" xfId="7630"/>
    <cellStyle name="Normal 5 5 3 6" xfId="4186"/>
    <cellStyle name="Normal 5 5 3 6 2" xfId="8338"/>
    <cellStyle name="Normal 5 5 3 7" xfId="6265"/>
    <cellStyle name="Normal 5 5 4" xfId="1924"/>
    <cellStyle name="Normal 5 5 4 2" xfId="2190"/>
    <cellStyle name="Normal 5 5 4 2 2" xfId="2531"/>
    <cellStyle name="Normal 5 5 4 2 2 2" xfId="3256"/>
    <cellStyle name="Normal 5 5 4 2 2 2 2" xfId="5342"/>
    <cellStyle name="Normal 5 5 4 2 2 2 2 2" xfId="9493"/>
    <cellStyle name="Normal 5 5 4 2 2 2 3" xfId="7420"/>
    <cellStyle name="Normal 5 5 4 2 2 3" xfId="3929"/>
    <cellStyle name="Normal 5 5 4 2 2 3 2" xfId="6014"/>
    <cellStyle name="Normal 5 5 4 2 2 3 2 2" xfId="10165"/>
    <cellStyle name="Normal 5 5 4 2 2 3 3" xfId="8092"/>
    <cellStyle name="Normal 5 5 4 2 2 4" xfId="4648"/>
    <cellStyle name="Normal 5 5 4 2 2 4 2" xfId="8800"/>
    <cellStyle name="Normal 5 5 4 2 2 5" xfId="6727"/>
    <cellStyle name="Normal 5 5 4 2 3" xfId="2920"/>
    <cellStyle name="Normal 5 5 4 2 3 2" xfId="5006"/>
    <cellStyle name="Normal 5 5 4 2 3 2 2" xfId="9157"/>
    <cellStyle name="Normal 5 5 4 2 3 3" xfId="7084"/>
    <cellStyle name="Normal 5 5 4 2 4" xfId="3593"/>
    <cellStyle name="Normal 5 5 4 2 4 2" xfId="5678"/>
    <cellStyle name="Normal 5 5 4 2 4 2 2" xfId="9829"/>
    <cellStyle name="Normal 5 5 4 2 4 3" xfId="7756"/>
    <cellStyle name="Normal 5 5 4 2 5" xfId="4312"/>
    <cellStyle name="Normal 5 5 4 2 5 2" xfId="8464"/>
    <cellStyle name="Normal 5 5 4 2 6" xfId="6391"/>
    <cellStyle name="Normal 5 5 4 3" xfId="2362"/>
    <cellStyle name="Normal 5 5 4 3 2" xfId="3088"/>
    <cellStyle name="Normal 5 5 4 3 2 2" xfId="5174"/>
    <cellStyle name="Normal 5 5 4 3 2 2 2" xfId="9325"/>
    <cellStyle name="Normal 5 5 4 3 2 3" xfId="7252"/>
    <cellStyle name="Normal 5 5 4 3 3" xfId="3761"/>
    <cellStyle name="Normal 5 5 4 3 3 2" xfId="5846"/>
    <cellStyle name="Normal 5 5 4 3 3 2 2" xfId="9997"/>
    <cellStyle name="Normal 5 5 4 3 3 3" xfId="7924"/>
    <cellStyle name="Normal 5 5 4 3 4" xfId="4480"/>
    <cellStyle name="Normal 5 5 4 3 4 2" xfId="8632"/>
    <cellStyle name="Normal 5 5 4 3 5" xfId="6559"/>
    <cellStyle name="Normal 5 5 4 4" xfId="2752"/>
    <cellStyle name="Normal 5 5 4 4 2" xfId="4838"/>
    <cellStyle name="Normal 5 5 4 4 2 2" xfId="8989"/>
    <cellStyle name="Normal 5 5 4 4 3" xfId="6916"/>
    <cellStyle name="Normal 5 5 4 5" xfId="3425"/>
    <cellStyle name="Normal 5 5 4 5 2" xfId="5510"/>
    <cellStyle name="Normal 5 5 4 5 2 2" xfId="9661"/>
    <cellStyle name="Normal 5 5 4 5 3" xfId="7588"/>
    <cellStyle name="Normal 5 5 4 6" xfId="4144"/>
    <cellStyle name="Normal 5 5 4 6 2" xfId="8296"/>
    <cellStyle name="Normal 5 5 4 7" xfId="6223"/>
    <cellStyle name="Normal 5 5 5" xfId="2101"/>
    <cellStyle name="Normal 5 5 5 2" xfId="2274"/>
    <cellStyle name="Normal 5 5 5 2 2" xfId="2615"/>
    <cellStyle name="Normal 5 5 5 2 2 2" xfId="3340"/>
    <cellStyle name="Normal 5 5 5 2 2 2 2" xfId="5426"/>
    <cellStyle name="Normal 5 5 5 2 2 2 2 2" xfId="9577"/>
    <cellStyle name="Normal 5 5 5 2 2 2 3" xfId="7504"/>
    <cellStyle name="Normal 5 5 5 2 2 3" xfId="4013"/>
    <cellStyle name="Normal 5 5 5 2 2 3 2" xfId="6098"/>
    <cellStyle name="Normal 5 5 5 2 2 3 2 2" xfId="10249"/>
    <cellStyle name="Normal 5 5 5 2 2 3 3" xfId="8176"/>
    <cellStyle name="Normal 5 5 5 2 2 4" xfId="4732"/>
    <cellStyle name="Normal 5 5 5 2 2 4 2" xfId="8884"/>
    <cellStyle name="Normal 5 5 5 2 2 5" xfId="6811"/>
    <cellStyle name="Normal 5 5 5 2 3" xfId="3004"/>
    <cellStyle name="Normal 5 5 5 2 3 2" xfId="5090"/>
    <cellStyle name="Normal 5 5 5 2 3 2 2" xfId="9241"/>
    <cellStyle name="Normal 5 5 5 2 3 3" xfId="7168"/>
    <cellStyle name="Normal 5 5 5 2 4" xfId="3677"/>
    <cellStyle name="Normal 5 5 5 2 4 2" xfId="5762"/>
    <cellStyle name="Normal 5 5 5 2 4 2 2" xfId="9913"/>
    <cellStyle name="Normal 5 5 5 2 4 3" xfId="7840"/>
    <cellStyle name="Normal 5 5 5 2 5" xfId="4396"/>
    <cellStyle name="Normal 5 5 5 2 5 2" xfId="8548"/>
    <cellStyle name="Normal 5 5 5 2 6" xfId="6475"/>
    <cellStyle name="Normal 5 5 5 3" xfId="2447"/>
    <cellStyle name="Normal 5 5 5 3 2" xfId="3172"/>
    <cellStyle name="Normal 5 5 5 3 2 2" xfId="5258"/>
    <cellStyle name="Normal 5 5 5 3 2 2 2" xfId="9409"/>
    <cellStyle name="Normal 5 5 5 3 2 3" xfId="7336"/>
    <cellStyle name="Normal 5 5 5 3 3" xfId="3845"/>
    <cellStyle name="Normal 5 5 5 3 3 2" xfId="5930"/>
    <cellStyle name="Normal 5 5 5 3 3 2 2" xfId="10081"/>
    <cellStyle name="Normal 5 5 5 3 3 3" xfId="8008"/>
    <cellStyle name="Normal 5 5 5 3 4" xfId="4564"/>
    <cellStyle name="Normal 5 5 5 3 4 2" xfId="8716"/>
    <cellStyle name="Normal 5 5 5 3 5" xfId="6643"/>
    <cellStyle name="Normal 5 5 5 4" xfId="2836"/>
    <cellStyle name="Normal 5 5 5 4 2" xfId="4922"/>
    <cellStyle name="Normal 5 5 5 4 2 2" xfId="9073"/>
    <cellStyle name="Normal 5 5 5 4 3" xfId="7000"/>
    <cellStyle name="Normal 5 5 5 5" xfId="3509"/>
    <cellStyle name="Normal 5 5 5 5 2" xfId="5594"/>
    <cellStyle name="Normal 5 5 5 5 2 2" xfId="9745"/>
    <cellStyle name="Normal 5 5 5 5 3" xfId="7672"/>
    <cellStyle name="Normal 5 5 5 6" xfId="4228"/>
    <cellStyle name="Normal 5 5 5 6 2" xfId="8380"/>
    <cellStyle name="Normal 5 5 5 7" xfId="6307"/>
    <cellStyle name="Normal 5 5 6" xfId="2145"/>
    <cellStyle name="Normal 5 5 6 2" xfId="2489"/>
    <cellStyle name="Normal 5 5 6 2 2" xfId="3214"/>
    <cellStyle name="Normal 5 5 6 2 2 2" xfId="5300"/>
    <cellStyle name="Normal 5 5 6 2 2 2 2" xfId="9451"/>
    <cellStyle name="Normal 5 5 6 2 2 3" xfId="7378"/>
    <cellStyle name="Normal 5 5 6 2 3" xfId="3887"/>
    <cellStyle name="Normal 5 5 6 2 3 2" xfId="5972"/>
    <cellStyle name="Normal 5 5 6 2 3 2 2" xfId="10123"/>
    <cellStyle name="Normal 5 5 6 2 3 3" xfId="8050"/>
    <cellStyle name="Normal 5 5 6 2 4" xfId="4606"/>
    <cellStyle name="Normal 5 5 6 2 4 2" xfId="8758"/>
    <cellStyle name="Normal 5 5 6 2 5" xfId="6685"/>
    <cellStyle name="Normal 5 5 6 3" xfId="2878"/>
    <cellStyle name="Normal 5 5 6 3 2" xfId="4964"/>
    <cellStyle name="Normal 5 5 6 3 2 2" xfId="9115"/>
    <cellStyle name="Normal 5 5 6 3 3" xfId="7042"/>
    <cellStyle name="Normal 5 5 6 4" xfId="3551"/>
    <cellStyle name="Normal 5 5 6 4 2" xfId="5636"/>
    <cellStyle name="Normal 5 5 6 4 2 2" xfId="9787"/>
    <cellStyle name="Normal 5 5 6 4 3" xfId="7714"/>
    <cellStyle name="Normal 5 5 6 5" xfId="4270"/>
    <cellStyle name="Normal 5 5 6 5 2" xfId="8422"/>
    <cellStyle name="Normal 5 5 6 6" xfId="6349"/>
    <cellStyle name="Normal 5 5 7" xfId="2319"/>
    <cellStyle name="Normal 5 5 7 2" xfId="3046"/>
    <cellStyle name="Normal 5 5 7 2 2" xfId="5132"/>
    <cellStyle name="Normal 5 5 7 2 2 2" xfId="9283"/>
    <cellStyle name="Normal 5 5 7 2 3" xfId="7210"/>
    <cellStyle name="Normal 5 5 7 3" xfId="3719"/>
    <cellStyle name="Normal 5 5 7 3 2" xfId="5804"/>
    <cellStyle name="Normal 5 5 7 3 2 2" xfId="9955"/>
    <cellStyle name="Normal 5 5 7 3 3" xfId="7882"/>
    <cellStyle name="Normal 5 5 7 4" xfId="4438"/>
    <cellStyle name="Normal 5 5 7 4 2" xfId="8590"/>
    <cellStyle name="Normal 5 5 7 5" xfId="6517"/>
    <cellStyle name="Normal 5 5 8" xfId="2709"/>
    <cellStyle name="Normal 5 5 8 2" xfId="4796"/>
    <cellStyle name="Normal 5 5 8 2 2" xfId="8947"/>
    <cellStyle name="Normal 5 5 8 3" xfId="6874"/>
    <cellStyle name="Normal 5 5 9" xfId="3383"/>
    <cellStyle name="Normal 5 5 9 2" xfId="5468"/>
    <cellStyle name="Normal 5 5 9 2 2" xfId="9619"/>
    <cellStyle name="Normal 5 5 9 3" xfId="7546"/>
    <cellStyle name="Normal 5 6" xfId="1619"/>
    <cellStyle name="Normal 5 7" xfId="2689"/>
    <cellStyle name="Normal 5 7 2" xfId="4779"/>
    <cellStyle name="Normal 5 7 2 2" xfId="8930"/>
    <cellStyle name="Normal 5 7 3" xfId="6857"/>
    <cellStyle name="Normal 5 8" xfId="4067"/>
    <cellStyle name="Normal 5 8 2" xfId="6151"/>
    <cellStyle name="Normal 5 8 2 2" xfId="10302"/>
    <cellStyle name="Normal 5 8 3" xfId="8229"/>
    <cellStyle name="Normal 50" xfId="748"/>
    <cellStyle name="Normal 50 2" xfId="749"/>
    <cellStyle name="Normal 50 2 2" xfId="1625"/>
    <cellStyle name="Normal 50 3" xfId="1624"/>
    <cellStyle name="Normal 51" xfId="750"/>
    <cellStyle name="Normal 51 2" xfId="751"/>
    <cellStyle name="Normal 51 2 2" xfId="1627"/>
    <cellStyle name="Normal 51 3" xfId="1626"/>
    <cellStyle name="Normal 52" xfId="752"/>
    <cellStyle name="Normal 52 2" xfId="753"/>
    <cellStyle name="Normal 52 2 2" xfId="1629"/>
    <cellStyle name="Normal 52 3" xfId="1628"/>
    <cellStyle name="Normal 53" xfId="754"/>
    <cellStyle name="Normal 53 2" xfId="755"/>
    <cellStyle name="Normal 53 2 2" xfId="1631"/>
    <cellStyle name="Normal 53 3" xfId="1630"/>
    <cellStyle name="Normal 54" xfId="756"/>
    <cellStyle name="Normal 54 2" xfId="757"/>
    <cellStyle name="Normal 54 2 2" xfId="1633"/>
    <cellStyle name="Normal 54 3" xfId="1632"/>
    <cellStyle name="Normal 55" xfId="758"/>
    <cellStyle name="Normal 55 2" xfId="759"/>
    <cellStyle name="Normal 55 2 2" xfId="1635"/>
    <cellStyle name="Normal 55 3" xfId="1634"/>
    <cellStyle name="Normal 56" xfId="760"/>
    <cellStyle name="Normal 56 2" xfId="761"/>
    <cellStyle name="Normal 56 2 2" xfId="1637"/>
    <cellStyle name="Normal 56 3" xfId="1636"/>
    <cellStyle name="Normal 57" xfId="762"/>
    <cellStyle name="Normal 57 2" xfId="763"/>
    <cellStyle name="Normal 57 2 2" xfId="1639"/>
    <cellStyle name="Normal 57 3" xfId="1638"/>
    <cellStyle name="Normal 58" xfId="764"/>
    <cellStyle name="Normal 58 2" xfId="765"/>
    <cellStyle name="Normal 58 2 2" xfId="1641"/>
    <cellStyle name="Normal 58 3" xfId="1640"/>
    <cellStyle name="Normal 59" xfId="766"/>
    <cellStyle name="Normal 59 2" xfId="1642"/>
    <cellStyle name="Normal 6" xfId="767"/>
    <cellStyle name="Normal 6 2" xfId="768"/>
    <cellStyle name="Normal 6 2 2" xfId="1644"/>
    <cellStyle name="Normal 6 3" xfId="769"/>
    <cellStyle name="Normal 6 3 2" xfId="1645"/>
    <cellStyle name="Normal 6 4" xfId="770"/>
    <cellStyle name="Normal 6 4 2" xfId="1646"/>
    <cellStyle name="Normal 6 5" xfId="1643"/>
    <cellStyle name="Normal 60" xfId="771"/>
    <cellStyle name="Normal 60 2" xfId="1647"/>
    <cellStyle name="Normal 61" xfId="772"/>
    <cellStyle name="Normal 61 2" xfId="1648"/>
    <cellStyle name="Normal 62" xfId="773"/>
    <cellStyle name="Normal 62 2" xfId="1649"/>
    <cellStyle name="Normal 63" xfId="774"/>
    <cellStyle name="Normal 63 2" xfId="1650"/>
    <cellStyle name="Normal 64" xfId="775"/>
    <cellStyle name="Normal 64 10" xfId="4099"/>
    <cellStyle name="Normal 64 10 2" xfId="8255"/>
    <cellStyle name="Normal 64 11" xfId="6182"/>
    <cellStyle name="Normal 64 2" xfId="1651"/>
    <cellStyle name="Normal 64 2 10" xfId="6203"/>
    <cellStyle name="Normal 64 2 2" xfId="2080"/>
    <cellStyle name="Normal 64 2 2 2" xfId="2254"/>
    <cellStyle name="Normal 64 2 2 2 2" xfId="2595"/>
    <cellStyle name="Normal 64 2 2 2 2 2" xfId="3320"/>
    <cellStyle name="Normal 64 2 2 2 2 2 2" xfId="5406"/>
    <cellStyle name="Normal 64 2 2 2 2 2 2 2" xfId="9557"/>
    <cellStyle name="Normal 64 2 2 2 2 2 3" xfId="7484"/>
    <cellStyle name="Normal 64 2 2 2 2 3" xfId="3993"/>
    <cellStyle name="Normal 64 2 2 2 2 3 2" xfId="6078"/>
    <cellStyle name="Normal 64 2 2 2 2 3 2 2" xfId="10229"/>
    <cellStyle name="Normal 64 2 2 2 2 3 3" xfId="8156"/>
    <cellStyle name="Normal 64 2 2 2 2 4" xfId="4712"/>
    <cellStyle name="Normal 64 2 2 2 2 4 2" xfId="8864"/>
    <cellStyle name="Normal 64 2 2 2 2 5" xfId="6791"/>
    <cellStyle name="Normal 64 2 2 2 3" xfId="2984"/>
    <cellStyle name="Normal 64 2 2 2 3 2" xfId="5070"/>
    <cellStyle name="Normal 64 2 2 2 3 2 2" xfId="9221"/>
    <cellStyle name="Normal 64 2 2 2 3 3" xfId="7148"/>
    <cellStyle name="Normal 64 2 2 2 4" xfId="3657"/>
    <cellStyle name="Normal 64 2 2 2 4 2" xfId="5742"/>
    <cellStyle name="Normal 64 2 2 2 4 2 2" xfId="9893"/>
    <cellStyle name="Normal 64 2 2 2 4 3" xfId="7820"/>
    <cellStyle name="Normal 64 2 2 2 5" xfId="4376"/>
    <cellStyle name="Normal 64 2 2 2 5 2" xfId="8528"/>
    <cellStyle name="Normal 64 2 2 2 6" xfId="6455"/>
    <cellStyle name="Normal 64 2 2 3" xfId="2427"/>
    <cellStyle name="Normal 64 2 2 3 2" xfId="3152"/>
    <cellStyle name="Normal 64 2 2 3 2 2" xfId="5238"/>
    <cellStyle name="Normal 64 2 2 3 2 2 2" xfId="9389"/>
    <cellStyle name="Normal 64 2 2 3 2 3" xfId="7316"/>
    <cellStyle name="Normal 64 2 2 3 3" xfId="3825"/>
    <cellStyle name="Normal 64 2 2 3 3 2" xfId="5910"/>
    <cellStyle name="Normal 64 2 2 3 3 2 2" xfId="10061"/>
    <cellStyle name="Normal 64 2 2 3 3 3" xfId="7988"/>
    <cellStyle name="Normal 64 2 2 3 4" xfId="4544"/>
    <cellStyle name="Normal 64 2 2 3 4 2" xfId="8696"/>
    <cellStyle name="Normal 64 2 2 3 5" xfId="6623"/>
    <cellStyle name="Normal 64 2 2 4" xfId="2816"/>
    <cellStyle name="Normal 64 2 2 4 2" xfId="4902"/>
    <cellStyle name="Normal 64 2 2 4 2 2" xfId="9053"/>
    <cellStyle name="Normal 64 2 2 4 3" xfId="6980"/>
    <cellStyle name="Normal 64 2 2 5" xfId="3489"/>
    <cellStyle name="Normal 64 2 2 5 2" xfId="5574"/>
    <cellStyle name="Normal 64 2 2 5 2 2" xfId="9725"/>
    <cellStyle name="Normal 64 2 2 5 3" xfId="7652"/>
    <cellStyle name="Normal 64 2 2 6" xfId="4208"/>
    <cellStyle name="Normal 64 2 2 6 2" xfId="8360"/>
    <cellStyle name="Normal 64 2 2 7" xfId="6287"/>
    <cellStyle name="Normal 64 2 3" xfId="1981"/>
    <cellStyle name="Normal 64 2 3 2" xfId="2212"/>
    <cellStyle name="Normal 64 2 3 2 2" xfId="2553"/>
    <cellStyle name="Normal 64 2 3 2 2 2" xfId="3278"/>
    <cellStyle name="Normal 64 2 3 2 2 2 2" xfId="5364"/>
    <cellStyle name="Normal 64 2 3 2 2 2 2 2" xfId="9515"/>
    <cellStyle name="Normal 64 2 3 2 2 2 3" xfId="7442"/>
    <cellStyle name="Normal 64 2 3 2 2 3" xfId="3951"/>
    <cellStyle name="Normal 64 2 3 2 2 3 2" xfId="6036"/>
    <cellStyle name="Normal 64 2 3 2 2 3 2 2" xfId="10187"/>
    <cellStyle name="Normal 64 2 3 2 2 3 3" xfId="8114"/>
    <cellStyle name="Normal 64 2 3 2 2 4" xfId="4670"/>
    <cellStyle name="Normal 64 2 3 2 2 4 2" xfId="8822"/>
    <cellStyle name="Normal 64 2 3 2 2 5" xfId="6749"/>
    <cellStyle name="Normal 64 2 3 2 3" xfId="2942"/>
    <cellStyle name="Normal 64 2 3 2 3 2" xfId="5028"/>
    <cellStyle name="Normal 64 2 3 2 3 2 2" xfId="9179"/>
    <cellStyle name="Normal 64 2 3 2 3 3" xfId="7106"/>
    <cellStyle name="Normal 64 2 3 2 4" xfId="3615"/>
    <cellStyle name="Normal 64 2 3 2 4 2" xfId="5700"/>
    <cellStyle name="Normal 64 2 3 2 4 2 2" xfId="9851"/>
    <cellStyle name="Normal 64 2 3 2 4 3" xfId="7778"/>
    <cellStyle name="Normal 64 2 3 2 5" xfId="4334"/>
    <cellStyle name="Normal 64 2 3 2 5 2" xfId="8486"/>
    <cellStyle name="Normal 64 2 3 2 6" xfId="6413"/>
    <cellStyle name="Normal 64 2 3 3" xfId="2384"/>
    <cellStyle name="Normal 64 2 3 3 2" xfId="3110"/>
    <cellStyle name="Normal 64 2 3 3 2 2" xfId="5196"/>
    <cellStyle name="Normal 64 2 3 3 2 2 2" xfId="9347"/>
    <cellStyle name="Normal 64 2 3 3 2 3" xfId="7274"/>
    <cellStyle name="Normal 64 2 3 3 3" xfId="3783"/>
    <cellStyle name="Normal 64 2 3 3 3 2" xfId="5868"/>
    <cellStyle name="Normal 64 2 3 3 3 2 2" xfId="10019"/>
    <cellStyle name="Normal 64 2 3 3 3 3" xfId="7946"/>
    <cellStyle name="Normal 64 2 3 3 4" xfId="4502"/>
    <cellStyle name="Normal 64 2 3 3 4 2" xfId="8654"/>
    <cellStyle name="Normal 64 2 3 3 5" xfId="6581"/>
    <cellStyle name="Normal 64 2 3 4" xfId="2774"/>
    <cellStyle name="Normal 64 2 3 4 2" xfId="4860"/>
    <cellStyle name="Normal 64 2 3 4 2 2" xfId="9011"/>
    <cellStyle name="Normal 64 2 3 4 3" xfId="6938"/>
    <cellStyle name="Normal 64 2 3 5" xfId="3447"/>
    <cellStyle name="Normal 64 2 3 5 2" xfId="5532"/>
    <cellStyle name="Normal 64 2 3 5 2 2" xfId="9683"/>
    <cellStyle name="Normal 64 2 3 5 3" xfId="7610"/>
    <cellStyle name="Normal 64 2 3 6" xfId="4166"/>
    <cellStyle name="Normal 64 2 3 6 2" xfId="8318"/>
    <cellStyle name="Normal 64 2 3 7" xfId="6245"/>
    <cellStyle name="Normal 64 2 4" xfId="2123"/>
    <cellStyle name="Normal 64 2 4 2" xfId="2296"/>
    <cellStyle name="Normal 64 2 4 2 2" xfId="2637"/>
    <cellStyle name="Normal 64 2 4 2 2 2" xfId="3362"/>
    <cellStyle name="Normal 64 2 4 2 2 2 2" xfId="5448"/>
    <cellStyle name="Normal 64 2 4 2 2 2 2 2" xfId="9599"/>
    <cellStyle name="Normal 64 2 4 2 2 2 3" xfId="7526"/>
    <cellStyle name="Normal 64 2 4 2 2 3" xfId="4035"/>
    <cellStyle name="Normal 64 2 4 2 2 3 2" xfId="6120"/>
    <cellStyle name="Normal 64 2 4 2 2 3 2 2" xfId="10271"/>
    <cellStyle name="Normal 64 2 4 2 2 3 3" xfId="8198"/>
    <cellStyle name="Normal 64 2 4 2 2 4" xfId="4754"/>
    <cellStyle name="Normal 64 2 4 2 2 4 2" xfId="8906"/>
    <cellStyle name="Normal 64 2 4 2 2 5" xfId="6833"/>
    <cellStyle name="Normal 64 2 4 2 3" xfId="3026"/>
    <cellStyle name="Normal 64 2 4 2 3 2" xfId="5112"/>
    <cellStyle name="Normal 64 2 4 2 3 2 2" xfId="9263"/>
    <cellStyle name="Normal 64 2 4 2 3 3" xfId="7190"/>
    <cellStyle name="Normal 64 2 4 2 4" xfId="3699"/>
    <cellStyle name="Normal 64 2 4 2 4 2" xfId="5784"/>
    <cellStyle name="Normal 64 2 4 2 4 2 2" xfId="9935"/>
    <cellStyle name="Normal 64 2 4 2 4 3" xfId="7862"/>
    <cellStyle name="Normal 64 2 4 2 5" xfId="4418"/>
    <cellStyle name="Normal 64 2 4 2 5 2" xfId="8570"/>
    <cellStyle name="Normal 64 2 4 2 6" xfId="6497"/>
    <cellStyle name="Normal 64 2 4 3" xfId="2469"/>
    <cellStyle name="Normal 64 2 4 3 2" xfId="3194"/>
    <cellStyle name="Normal 64 2 4 3 2 2" xfId="5280"/>
    <cellStyle name="Normal 64 2 4 3 2 2 2" xfId="9431"/>
    <cellStyle name="Normal 64 2 4 3 2 3" xfId="7358"/>
    <cellStyle name="Normal 64 2 4 3 3" xfId="3867"/>
    <cellStyle name="Normal 64 2 4 3 3 2" xfId="5952"/>
    <cellStyle name="Normal 64 2 4 3 3 2 2" xfId="10103"/>
    <cellStyle name="Normal 64 2 4 3 3 3" xfId="8030"/>
    <cellStyle name="Normal 64 2 4 3 4" xfId="4586"/>
    <cellStyle name="Normal 64 2 4 3 4 2" xfId="8738"/>
    <cellStyle name="Normal 64 2 4 3 5" xfId="6665"/>
    <cellStyle name="Normal 64 2 4 4" xfId="2858"/>
    <cellStyle name="Normal 64 2 4 4 2" xfId="4944"/>
    <cellStyle name="Normal 64 2 4 4 2 2" xfId="9095"/>
    <cellStyle name="Normal 64 2 4 4 3" xfId="7022"/>
    <cellStyle name="Normal 64 2 4 5" xfId="3531"/>
    <cellStyle name="Normal 64 2 4 5 2" xfId="5616"/>
    <cellStyle name="Normal 64 2 4 5 2 2" xfId="9767"/>
    <cellStyle name="Normal 64 2 4 5 3" xfId="7694"/>
    <cellStyle name="Normal 64 2 4 6" xfId="4250"/>
    <cellStyle name="Normal 64 2 4 6 2" xfId="8402"/>
    <cellStyle name="Normal 64 2 4 7" xfId="6329"/>
    <cellStyle name="Normal 64 2 5" xfId="2169"/>
    <cellStyle name="Normal 64 2 5 2" xfId="2511"/>
    <cellStyle name="Normal 64 2 5 2 2" xfId="3236"/>
    <cellStyle name="Normal 64 2 5 2 2 2" xfId="5322"/>
    <cellStyle name="Normal 64 2 5 2 2 2 2" xfId="9473"/>
    <cellStyle name="Normal 64 2 5 2 2 3" xfId="7400"/>
    <cellStyle name="Normal 64 2 5 2 3" xfId="3909"/>
    <cellStyle name="Normal 64 2 5 2 3 2" xfId="5994"/>
    <cellStyle name="Normal 64 2 5 2 3 2 2" xfId="10145"/>
    <cellStyle name="Normal 64 2 5 2 3 3" xfId="8072"/>
    <cellStyle name="Normal 64 2 5 2 4" xfId="4628"/>
    <cellStyle name="Normal 64 2 5 2 4 2" xfId="8780"/>
    <cellStyle name="Normal 64 2 5 2 5" xfId="6707"/>
    <cellStyle name="Normal 64 2 5 3" xfId="2900"/>
    <cellStyle name="Normal 64 2 5 3 2" xfId="4986"/>
    <cellStyle name="Normal 64 2 5 3 2 2" xfId="9137"/>
    <cellStyle name="Normal 64 2 5 3 3" xfId="7064"/>
    <cellStyle name="Normal 64 2 5 4" xfId="3573"/>
    <cellStyle name="Normal 64 2 5 4 2" xfId="5658"/>
    <cellStyle name="Normal 64 2 5 4 2 2" xfId="9809"/>
    <cellStyle name="Normal 64 2 5 4 3" xfId="7736"/>
    <cellStyle name="Normal 64 2 5 5" xfId="4292"/>
    <cellStyle name="Normal 64 2 5 5 2" xfId="8444"/>
    <cellStyle name="Normal 64 2 5 6" xfId="6371"/>
    <cellStyle name="Normal 64 2 6" xfId="2342"/>
    <cellStyle name="Normal 64 2 6 2" xfId="3068"/>
    <cellStyle name="Normal 64 2 6 2 2" xfId="5154"/>
    <cellStyle name="Normal 64 2 6 2 2 2" xfId="9305"/>
    <cellStyle name="Normal 64 2 6 2 3" xfId="7232"/>
    <cellStyle name="Normal 64 2 6 3" xfId="3741"/>
    <cellStyle name="Normal 64 2 6 3 2" xfId="5826"/>
    <cellStyle name="Normal 64 2 6 3 2 2" xfId="9977"/>
    <cellStyle name="Normal 64 2 6 3 3" xfId="7904"/>
    <cellStyle name="Normal 64 2 6 4" xfId="4460"/>
    <cellStyle name="Normal 64 2 6 4 2" xfId="8612"/>
    <cellStyle name="Normal 64 2 6 5" xfId="6539"/>
    <cellStyle name="Normal 64 2 7" xfId="2732"/>
    <cellStyle name="Normal 64 2 7 2" xfId="4818"/>
    <cellStyle name="Normal 64 2 7 2 2" xfId="8969"/>
    <cellStyle name="Normal 64 2 7 3" xfId="6896"/>
    <cellStyle name="Normal 64 2 8" xfId="3405"/>
    <cellStyle name="Normal 64 2 8 2" xfId="5490"/>
    <cellStyle name="Normal 64 2 8 2 2" xfId="9641"/>
    <cellStyle name="Normal 64 2 8 3" xfId="7568"/>
    <cellStyle name="Normal 64 2 9" xfId="4123"/>
    <cellStyle name="Normal 64 2 9 2" xfId="8276"/>
    <cellStyle name="Normal 64 3" xfId="2026"/>
    <cellStyle name="Normal 64 3 2" xfId="2233"/>
    <cellStyle name="Normal 64 3 2 2" xfId="2574"/>
    <cellStyle name="Normal 64 3 2 2 2" xfId="3299"/>
    <cellStyle name="Normal 64 3 2 2 2 2" xfId="5385"/>
    <cellStyle name="Normal 64 3 2 2 2 2 2" xfId="9536"/>
    <cellStyle name="Normal 64 3 2 2 2 3" xfId="7463"/>
    <cellStyle name="Normal 64 3 2 2 3" xfId="3972"/>
    <cellStyle name="Normal 64 3 2 2 3 2" xfId="6057"/>
    <cellStyle name="Normal 64 3 2 2 3 2 2" xfId="10208"/>
    <cellStyle name="Normal 64 3 2 2 3 3" xfId="8135"/>
    <cellStyle name="Normal 64 3 2 2 4" xfId="4691"/>
    <cellStyle name="Normal 64 3 2 2 4 2" xfId="8843"/>
    <cellStyle name="Normal 64 3 2 2 5" xfId="6770"/>
    <cellStyle name="Normal 64 3 2 3" xfId="2963"/>
    <cellStyle name="Normal 64 3 2 3 2" xfId="5049"/>
    <cellStyle name="Normal 64 3 2 3 2 2" xfId="9200"/>
    <cellStyle name="Normal 64 3 2 3 3" xfId="7127"/>
    <cellStyle name="Normal 64 3 2 4" xfId="3636"/>
    <cellStyle name="Normal 64 3 2 4 2" xfId="5721"/>
    <cellStyle name="Normal 64 3 2 4 2 2" xfId="9872"/>
    <cellStyle name="Normal 64 3 2 4 3" xfId="7799"/>
    <cellStyle name="Normal 64 3 2 5" xfId="4355"/>
    <cellStyle name="Normal 64 3 2 5 2" xfId="8507"/>
    <cellStyle name="Normal 64 3 2 6" xfId="6434"/>
    <cellStyle name="Normal 64 3 3" xfId="2406"/>
    <cellStyle name="Normal 64 3 3 2" xfId="3131"/>
    <cellStyle name="Normal 64 3 3 2 2" xfId="5217"/>
    <cellStyle name="Normal 64 3 3 2 2 2" xfId="9368"/>
    <cellStyle name="Normal 64 3 3 2 3" xfId="7295"/>
    <cellStyle name="Normal 64 3 3 3" xfId="3804"/>
    <cellStyle name="Normal 64 3 3 3 2" xfId="5889"/>
    <cellStyle name="Normal 64 3 3 3 2 2" xfId="10040"/>
    <cellStyle name="Normal 64 3 3 3 3" xfId="7967"/>
    <cellStyle name="Normal 64 3 3 4" xfId="4523"/>
    <cellStyle name="Normal 64 3 3 4 2" xfId="8675"/>
    <cellStyle name="Normal 64 3 3 5" xfId="6602"/>
    <cellStyle name="Normal 64 3 4" xfId="2795"/>
    <cellStyle name="Normal 64 3 4 2" xfId="4881"/>
    <cellStyle name="Normal 64 3 4 2 2" xfId="9032"/>
    <cellStyle name="Normal 64 3 4 3" xfId="6959"/>
    <cellStyle name="Normal 64 3 5" xfId="3468"/>
    <cellStyle name="Normal 64 3 5 2" xfId="5553"/>
    <cellStyle name="Normal 64 3 5 2 2" xfId="9704"/>
    <cellStyle name="Normal 64 3 5 3" xfId="7631"/>
    <cellStyle name="Normal 64 3 6" xfId="4187"/>
    <cellStyle name="Normal 64 3 6 2" xfId="8339"/>
    <cellStyle name="Normal 64 3 7" xfId="6266"/>
    <cellStyle name="Normal 64 4" xfId="1925"/>
    <cellStyle name="Normal 64 4 2" xfId="2191"/>
    <cellStyle name="Normal 64 4 2 2" xfId="2532"/>
    <cellStyle name="Normal 64 4 2 2 2" xfId="3257"/>
    <cellStyle name="Normal 64 4 2 2 2 2" xfId="5343"/>
    <cellStyle name="Normal 64 4 2 2 2 2 2" xfId="9494"/>
    <cellStyle name="Normal 64 4 2 2 2 3" xfId="7421"/>
    <cellStyle name="Normal 64 4 2 2 3" xfId="3930"/>
    <cellStyle name="Normal 64 4 2 2 3 2" xfId="6015"/>
    <cellStyle name="Normal 64 4 2 2 3 2 2" xfId="10166"/>
    <cellStyle name="Normal 64 4 2 2 3 3" xfId="8093"/>
    <cellStyle name="Normal 64 4 2 2 4" xfId="4649"/>
    <cellStyle name="Normal 64 4 2 2 4 2" xfId="8801"/>
    <cellStyle name="Normal 64 4 2 2 5" xfId="6728"/>
    <cellStyle name="Normal 64 4 2 3" xfId="2921"/>
    <cellStyle name="Normal 64 4 2 3 2" xfId="5007"/>
    <cellStyle name="Normal 64 4 2 3 2 2" xfId="9158"/>
    <cellStyle name="Normal 64 4 2 3 3" xfId="7085"/>
    <cellStyle name="Normal 64 4 2 4" xfId="3594"/>
    <cellStyle name="Normal 64 4 2 4 2" xfId="5679"/>
    <cellStyle name="Normal 64 4 2 4 2 2" xfId="9830"/>
    <cellStyle name="Normal 64 4 2 4 3" xfId="7757"/>
    <cellStyle name="Normal 64 4 2 5" xfId="4313"/>
    <cellStyle name="Normal 64 4 2 5 2" xfId="8465"/>
    <cellStyle name="Normal 64 4 2 6" xfId="6392"/>
    <cellStyle name="Normal 64 4 3" xfId="2363"/>
    <cellStyle name="Normal 64 4 3 2" xfId="3089"/>
    <cellStyle name="Normal 64 4 3 2 2" xfId="5175"/>
    <cellStyle name="Normal 64 4 3 2 2 2" xfId="9326"/>
    <cellStyle name="Normal 64 4 3 2 3" xfId="7253"/>
    <cellStyle name="Normal 64 4 3 3" xfId="3762"/>
    <cellStyle name="Normal 64 4 3 3 2" xfId="5847"/>
    <cellStyle name="Normal 64 4 3 3 2 2" xfId="9998"/>
    <cellStyle name="Normal 64 4 3 3 3" xfId="7925"/>
    <cellStyle name="Normal 64 4 3 4" xfId="4481"/>
    <cellStyle name="Normal 64 4 3 4 2" xfId="8633"/>
    <cellStyle name="Normal 64 4 3 5" xfId="6560"/>
    <cellStyle name="Normal 64 4 4" xfId="2753"/>
    <cellStyle name="Normal 64 4 4 2" xfId="4839"/>
    <cellStyle name="Normal 64 4 4 2 2" xfId="8990"/>
    <cellStyle name="Normal 64 4 4 3" xfId="6917"/>
    <cellStyle name="Normal 64 4 5" xfId="3426"/>
    <cellStyle name="Normal 64 4 5 2" xfId="5511"/>
    <cellStyle name="Normal 64 4 5 2 2" xfId="9662"/>
    <cellStyle name="Normal 64 4 5 3" xfId="7589"/>
    <cellStyle name="Normal 64 4 6" xfId="4145"/>
    <cellStyle name="Normal 64 4 6 2" xfId="8297"/>
    <cellStyle name="Normal 64 4 7" xfId="6224"/>
    <cellStyle name="Normal 64 5" xfId="2102"/>
    <cellStyle name="Normal 64 5 2" xfId="2275"/>
    <cellStyle name="Normal 64 5 2 2" xfId="2616"/>
    <cellStyle name="Normal 64 5 2 2 2" xfId="3341"/>
    <cellStyle name="Normal 64 5 2 2 2 2" xfId="5427"/>
    <cellStyle name="Normal 64 5 2 2 2 2 2" xfId="9578"/>
    <cellStyle name="Normal 64 5 2 2 2 3" xfId="7505"/>
    <cellStyle name="Normal 64 5 2 2 3" xfId="4014"/>
    <cellStyle name="Normal 64 5 2 2 3 2" xfId="6099"/>
    <cellStyle name="Normal 64 5 2 2 3 2 2" xfId="10250"/>
    <cellStyle name="Normal 64 5 2 2 3 3" xfId="8177"/>
    <cellStyle name="Normal 64 5 2 2 4" xfId="4733"/>
    <cellStyle name="Normal 64 5 2 2 4 2" xfId="8885"/>
    <cellStyle name="Normal 64 5 2 2 5" xfId="6812"/>
    <cellStyle name="Normal 64 5 2 3" xfId="3005"/>
    <cellStyle name="Normal 64 5 2 3 2" xfId="5091"/>
    <cellStyle name="Normal 64 5 2 3 2 2" xfId="9242"/>
    <cellStyle name="Normal 64 5 2 3 3" xfId="7169"/>
    <cellStyle name="Normal 64 5 2 4" xfId="3678"/>
    <cellStyle name="Normal 64 5 2 4 2" xfId="5763"/>
    <cellStyle name="Normal 64 5 2 4 2 2" xfId="9914"/>
    <cellStyle name="Normal 64 5 2 4 3" xfId="7841"/>
    <cellStyle name="Normal 64 5 2 5" xfId="4397"/>
    <cellStyle name="Normal 64 5 2 5 2" xfId="8549"/>
    <cellStyle name="Normal 64 5 2 6" xfId="6476"/>
    <cellStyle name="Normal 64 5 3" xfId="2448"/>
    <cellStyle name="Normal 64 5 3 2" xfId="3173"/>
    <cellStyle name="Normal 64 5 3 2 2" xfId="5259"/>
    <cellStyle name="Normal 64 5 3 2 2 2" xfId="9410"/>
    <cellStyle name="Normal 64 5 3 2 3" xfId="7337"/>
    <cellStyle name="Normal 64 5 3 3" xfId="3846"/>
    <cellStyle name="Normal 64 5 3 3 2" xfId="5931"/>
    <cellStyle name="Normal 64 5 3 3 2 2" xfId="10082"/>
    <cellStyle name="Normal 64 5 3 3 3" xfId="8009"/>
    <cellStyle name="Normal 64 5 3 4" xfId="4565"/>
    <cellStyle name="Normal 64 5 3 4 2" xfId="8717"/>
    <cellStyle name="Normal 64 5 3 5" xfId="6644"/>
    <cellStyle name="Normal 64 5 4" xfId="2837"/>
    <cellStyle name="Normal 64 5 4 2" xfId="4923"/>
    <cellStyle name="Normal 64 5 4 2 2" xfId="9074"/>
    <cellStyle name="Normal 64 5 4 3" xfId="7001"/>
    <cellStyle name="Normal 64 5 5" xfId="3510"/>
    <cellStyle name="Normal 64 5 5 2" xfId="5595"/>
    <cellStyle name="Normal 64 5 5 2 2" xfId="9746"/>
    <cellStyle name="Normal 64 5 5 3" xfId="7673"/>
    <cellStyle name="Normal 64 5 6" xfId="4229"/>
    <cellStyle name="Normal 64 5 6 2" xfId="8381"/>
    <cellStyle name="Normal 64 5 7" xfId="6308"/>
    <cellStyle name="Normal 64 6" xfId="2146"/>
    <cellStyle name="Normal 64 6 2" xfId="2490"/>
    <cellStyle name="Normal 64 6 2 2" xfId="3215"/>
    <cellStyle name="Normal 64 6 2 2 2" xfId="5301"/>
    <cellStyle name="Normal 64 6 2 2 2 2" xfId="9452"/>
    <cellStyle name="Normal 64 6 2 2 3" xfId="7379"/>
    <cellStyle name="Normal 64 6 2 3" xfId="3888"/>
    <cellStyle name="Normal 64 6 2 3 2" xfId="5973"/>
    <cellStyle name="Normal 64 6 2 3 2 2" xfId="10124"/>
    <cellStyle name="Normal 64 6 2 3 3" xfId="8051"/>
    <cellStyle name="Normal 64 6 2 4" xfId="4607"/>
    <cellStyle name="Normal 64 6 2 4 2" xfId="8759"/>
    <cellStyle name="Normal 64 6 2 5" xfId="6686"/>
    <cellStyle name="Normal 64 6 3" xfId="2879"/>
    <cellStyle name="Normal 64 6 3 2" xfId="4965"/>
    <cellStyle name="Normal 64 6 3 2 2" xfId="9116"/>
    <cellStyle name="Normal 64 6 3 3" xfId="7043"/>
    <cellStyle name="Normal 64 6 4" xfId="3552"/>
    <cellStyle name="Normal 64 6 4 2" xfId="5637"/>
    <cellStyle name="Normal 64 6 4 2 2" xfId="9788"/>
    <cellStyle name="Normal 64 6 4 3" xfId="7715"/>
    <cellStyle name="Normal 64 6 5" xfId="4271"/>
    <cellStyle name="Normal 64 6 5 2" xfId="8423"/>
    <cellStyle name="Normal 64 6 6" xfId="6350"/>
    <cellStyle name="Normal 64 7" xfId="2320"/>
    <cellStyle name="Normal 64 7 2" xfId="3047"/>
    <cellStyle name="Normal 64 7 2 2" xfId="5133"/>
    <cellStyle name="Normal 64 7 2 2 2" xfId="9284"/>
    <cellStyle name="Normal 64 7 2 3" xfId="7211"/>
    <cellStyle name="Normal 64 7 3" xfId="3720"/>
    <cellStyle name="Normal 64 7 3 2" xfId="5805"/>
    <cellStyle name="Normal 64 7 3 2 2" xfId="9956"/>
    <cellStyle name="Normal 64 7 3 3" xfId="7883"/>
    <cellStyle name="Normal 64 7 4" xfId="4439"/>
    <cellStyle name="Normal 64 7 4 2" xfId="8591"/>
    <cellStyle name="Normal 64 7 5" xfId="6518"/>
    <cellStyle name="Normal 64 8" xfId="2710"/>
    <cellStyle name="Normal 64 8 2" xfId="4797"/>
    <cellStyle name="Normal 64 8 2 2" xfId="8948"/>
    <cellStyle name="Normal 64 8 3" xfId="6875"/>
    <cellStyle name="Normal 64 9" xfId="3384"/>
    <cellStyle name="Normal 64 9 2" xfId="5469"/>
    <cellStyle name="Normal 64 9 2 2" xfId="9620"/>
    <cellStyle name="Normal 64 9 3" xfId="7547"/>
    <cellStyle name="Normal 65" xfId="776"/>
    <cellStyle name="Normal 65 10" xfId="4100"/>
    <cellStyle name="Normal 65 10 2" xfId="8256"/>
    <cellStyle name="Normal 65 11" xfId="6183"/>
    <cellStyle name="Normal 65 2" xfId="1652"/>
    <cellStyle name="Normal 65 2 10" xfId="6204"/>
    <cellStyle name="Normal 65 2 2" xfId="2081"/>
    <cellStyle name="Normal 65 2 2 2" xfId="2255"/>
    <cellStyle name="Normal 65 2 2 2 2" xfId="2596"/>
    <cellStyle name="Normal 65 2 2 2 2 2" xfId="3321"/>
    <cellStyle name="Normal 65 2 2 2 2 2 2" xfId="5407"/>
    <cellStyle name="Normal 65 2 2 2 2 2 2 2" xfId="9558"/>
    <cellStyle name="Normal 65 2 2 2 2 2 3" xfId="7485"/>
    <cellStyle name="Normal 65 2 2 2 2 3" xfId="3994"/>
    <cellStyle name="Normal 65 2 2 2 2 3 2" xfId="6079"/>
    <cellStyle name="Normal 65 2 2 2 2 3 2 2" xfId="10230"/>
    <cellStyle name="Normal 65 2 2 2 2 3 3" xfId="8157"/>
    <cellStyle name="Normal 65 2 2 2 2 4" xfId="4713"/>
    <cellStyle name="Normal 65 2 2 2 2 4 2" xfId="8865"/>
    <cellStyle name="Normal 65 2 2 2 2 5" xfId="6792"/>
    <cellStyle name="Normal 65 2 2 2 3" xfId="2985"/>
    <cellStyle name="Normal 65 2 2 2 3 2" xfId="5071"/>
    <cellStyle name="Normal 65 2 2 2 3 2 2" xfId="9222"/>
    <cellStyle name="Normal 65 2 2 2 3 3" xfId="7149"/>
    <cellStyle name="Normal 65 2 2 2 4" xfId="3658"/>
    <cellStyle name="Normal 65 2 2 2 4 2" xfId="5743"/>
    <cellStyle name="Normal 65 2 2 2 4 2 2" xfId="9894"/>
    <cellStyle name="Normal 65 2 2 2 4 3" xfId="7821"/>
    <cellStyle name="Normal 65 2 2 2 5" xfId="4377"/>
    <cellStyle name="Normal 65 2 2 2 5 2" xfId="8529"/>
    <cellStyle name="Normal 65 2 2 2 6" xfId="6456"/>
    <cellStyle name="Normal 65 2 2 3" xfId="2428"/>
    <cellStyle name="Normal 65 2 2 3 2" xfId="3153"/>
    <cellStyle name="Normal 65 2 2 3 2 2" xfId="5239"/>
    <cellStyle name="Normal 65 2 2 3 2 2 2" xfId="9390"/>
    <cellStyle name="Normal 65 2 2 3 2 3" xfId="7317"/>
    <cellStyle name="Normal 65 2 2 3 3" xfId="3826"/>
    <cellStyle name="Normal 65 2 2 3 3 2" xfId="5911"/>
    <cellStyle name="Normal 65 2 2 3 3 2 2" xfId="10062"/>
    <cellStyle name="Normal 65 2 2 3 3 3" xfId="7989"/>
    <cellStyle name="Normal 65 2 2 3 4" xfId="4545"/>
    <cellStyle name="Normal 65 2 2 3 4 2" xfId="8697"/>
    <cellStyle name="Normal 65 2 2 3 5" xfId="6624"/>
    <cellStyle name="Normal 65 2 2 4" xfId="2817"/>
    <cellStyle name="Normal 65 2 2 4 2" xfId="4903"/>
    <cellStyle name="Normal 65 2 2 4 2 2" xfId="9054"/>
    <cellStyle name="Normal 65 2 2 4 3" xfId="6981"/>
    <cellStyle name="Normal 65 2 2 5" xfId="3490"/>
    <cellStyle name="Normal 65 2 2 5 2" xfId="5575"/>
    <cellStyle name="Normal 65 2 2 5 2 2" xfId="9726"/>
    <cellStyle name="Normal 65 2 2 5 3" xfId="7653"/>
    <cellStyle name="Normal 65 2 2 6" xfId="4209"/>
    <cellStyle name="Normal 65 2 2 6 2" xfId="8361"/>
    <cellStyle name="Normal 65 2 2 7" xfId="6288"/>
    <cellStyle name="Normal 65 2 3" xfId="1982"/>
    <cellStyle name="Normal 65 2 3 2" xfId="2213"/>
    <cellStyle name="Normal 65 2 3 2 2" xfId="2554"/>
    <cellStyle name="Normal 65 2 3 2 2 2" xfId="3279"/>
    <cellStyle name="Normal 65 2 3 2 2 2 2" xfId="5365"/>
    <cellStyle name="Normal 65 2 3 2 2 2 2 2" xfId="9516"/>
    <cellStyle name="Normal 65 2 3 2 2 2 3" xfId="7443"/>
    <cellStyle name="Normal 65 2 3 2 2 3" xfId="3952"/>
    <cellStyle name="Normal 65 2 3 2 2 3 2" xfId="6037"/>
    <cellStyle name="Normal 65 2 3 2 2 3 2 2" xfId="10188"/>
    <cellStyle name="Normal 65 2 3 2 2 3 3" xfId="8115"/>
    <cellStyle name="Normal 65 2 3 2 2 4" xfId="4671"/>
    <cellStyle name="Normal 65 2 3 2 2 4 2" xfId="8823"/>
    <cellStyle name="Normal 65 2 3 2 2 5" xfId="6750"/>
    <cellStyle name="Normal 65 2 3 2 3" xfId="2943"/>
    <cellStyle name="Normal 65 2 3 2 3 2" xfId="5029"/>
    <cellStyle name="Normal 65 2 3 2 3 2 2" xfId="9180"/>
    <cellStyle name="Normal 65 2 3 2 3 3" xfId="7107"/>
    <cellStyle name="Normal 65 2 3 2 4" xfId="3616"/>
    <cellStyle name="Normal 65 2 3 2 4 2" xfId="5701"/>
    <cellStyle name="Normal 65 2 3 2 4 2 2" xfId="9852"/>
    <cellStyle name="Normal 65 2 3 2 4 3" xfId="7779"/>
    <cellStyle name="Normal 65 2 3 2 5" xfId="4335"/>
    <cellStyle name="Normal 65 2 3 2 5 2" xfId="8487"/>
    <cellStyle name="Normal 65 2 3 2 6" xfId="6414"/>
    <cellStyle name="Normal 65 2 3 3" xfId="2385"/>
    <cellStyle name="Normal 65 2 3 3 2" xfId="3111"/>
    <cellStyle name="Normal 65 2 3 3 2 2" xfId="5197"/>
    <cellStyle name="Normal 65 2 3 3 2 2 2" xfId="9348"/>
    <cellStyle name="Normal 65 2 3 3 2 3" xfId="7275"/>
    <cellStyle name="Normal 65 2 3 3 3" xfId="3784"/>
    <cellStyle name="Normal 65 2 3 3 3 2" xfId="5869"/>
    <cellStyle name="Normal 65 2 3 3 3 2 2" xfId="10020"/>
    <cellStyle name="Normal 65 2 3 3 3 3" xfId="7947"/>
    <cellStyle name="Normal 65 2 3 3 4" xfId="4503"/>
    <cellStyle name="Normal 65 2 3 3 4 2" xfId="8655"/>
    <cellStyle name="Normal 65 2 3 3 5" xfId="6582"/>
    <cellStyle name="Normal 65 2 3 4" xfId="2775"/>
    <cellStyle name="Normal 65 2 3 4 2" xfId="4861"/>
    <cellStyle name="Normal 65 2 3 4 2 2" xfId="9012"/>
    <cellStyle name="Normal 65 2 3 4 3" xfId="6939"/>
    <cellStyle name="Normal 65 2 3 5" xfId="3448"/>
    <cellStyle name="Normal 65 2 3 5 2" xfId="5533"/>
    <cellStyle name="Normal 65 2 3 5 2 2" xfId="9684"/>
    <cellStyle name="Normal 65 2 3 5 3" xfId="7611"/>
    <cellStyle name="Normal 65 2 3 6" xfId="4167"/>
    <cellStyle name="Normal 65 2 3 6 2" xfId="8319"/>
    <cellStyle name="Normal 65 2 3 7" xfId="6246"/>
    <cellStyle name="Normal 65 2 4" xfId="2124"/>
    <cellStyle name="Normal 65 2 4 2" xfId="2297"/>
    <cellStyle name="Normal 65 2 4 2 2" xfId="2638"/>
    <cellStyle name="Normal 65 2 4 2 2 2" xfId="3363"/>
    <cellStyle name="Normal 65 2 4 2 2 2 2" xfId="5449"/>
    <cellStyle name="Normal 65 2 4 2 2 2 2 2" xfId="9600"/>
    <cellStyle name="Normal 65 2 4 2 2 2 3" xfId="7527"/>
    <cellStyle name="Normal 65 2 4 2 2 3" xfId="4036"/>
    <cellStyle name="Normal 65 2 4 2 2 3 2" xfId="6121"/>
    <cellStyle name="Normal 65 2 4 2 2 3 2 2" xfId="10272"/>
    <cellStyle name="Normal 65 2 4 2 2 3 3" xfId="8199"/>
    <cellStyle name="Normal 65 2 4 2 2 4" xfId="4755"/>
    <cellStyle name="Normal 65 2 4 2 2 4 2" xfId="8907"/>
    <cellStyle name="Normal 65 2 4 2 2 5" xfId="6834"/>
    <cellStyle name="Normal 65 2 4 2 3" xfId="3027"/>
    <cellStyle name="Normal 65 2 4 2 3 2" xfId="5113"/>
    <cellStyle name="Normal 65 2 4 2 3 2 2" xfId="9264"/>
    <cellStyle name="Normal 65 2 4 2 3 3" xfId="7191"/>
    <cellStyle name="Normal 65 2 4 2 4" xfId="3700"/>
    <cellStyle name="Normal 65 2 4 2 4 2" xfId="5785"/>
    <cellStyle name="Normal 65 2 4 2 4 2 2" xfId="9936"/>
    <cellStyle name="Normal 65 2 4 2 4 3" xfId="7863"/>
    <cellStyle name="Normal 65 2 4 2 5" xfId="4419"/>
    <cellStyle name="Normal 65 2 4 2 5 2" xfId="8571"/>
    <cellStyle name="Normal 65 2 4 2 6" xfId="6498"/>
    <cellStyle name="Normal 65 2 4 3" xfId="2470"/>
    <cellStyle name="Normal 65 2 4 3 2" xfId="3195"/>
    <cellStyle name="Normal 65 2 4 3 2 2" xfId="5281"/>
    <cellStyle name="Normal 65 2 4 3 2 2 2" xfId="9432"/>
    <cellStyle name="Normal 65 2 4 3 2 3" xfId="7359"/>
    <cellStyle name="Normal 65 2 4 3 3" xfId="3868"/>
    <cellStyle name="Normal 65 2 4 3 3 2" xfId="5953"/>
    <cellStyle name="Normal 65 2 4 3 3 2 2" xfId="10104"/>
    <cellStyle name="Normal 65 2 4 3 3 3" xfId="8031"/>
    <cellStyle name="Normal 65 2 4 3 4" xfId="4587"/>
    <cellStyle name="Normal 65 2 4 3 4 2" xfId="8739"/>
    <cellStyle name="Normal 65 2 4 3 5" xfId="6666"/>
    <cellStyle name="Normal 65 2 4 4" xfId="2859"/>
    <cellStyle name="Normal 65 2 4 4 2" xfId="4945"/>
    <cellStyle name="Normal 65 2 4 4 2 2" xfId="9096"/>
    <cellStyle name="Normal 65 2 4 4 3" xfId="7023"/>
    <cellStyle name="Normal 65 2 4 5" xfId="3532"/>
    <cellStyle name="Normal 65 2 4 5 2" xfId="5617"/>
    <cellStyle name="Normal 65 2 4 5 2 2" xfId="9768"/>
    <cellStyle name="Normal 65 2 4 5 3" xfId="7695"/>
    <cellStyle name="Normal 65 2 4 6" xfId="4251"/>
    <cellStyle name="Normal 65 2 4 6 2" xfId="8403"/>
    <cellStyle name="Normal 65 2 4 7" xfId="6330"/>
    <cellStyle name="Normal 65 2 5" xfId="2170"/>
    <cellStyle name="Normal 65 2 5 2" xfId="2512"/>
    <cellStyle name="Normal 65 2 5 2 2" xfId="3237"/>
    <cellStyle name="Normal 65 2 5 2 2 2" xfId="5323"/>
    <cellStyle name="Normal 65 2 5 2 2 2 2" xfId="9474"/>
    <cellStyle name="Normal 65 2 5 2 2 3" xfId="7401"/>
    <cellStyle name="Normal 65 2 5 2 3" xfId="3910"/>
    <cellStyle name="Normal 65 2 5 2 3 2" xfId="5995"/>
    <cellStyle name="Normal 65 2 5 2 3 2 2" xfId="10146"/>
    <cellStyle name="Normal 65 2 5 2 3 3" xfId="8073"/>
    <cellStyle name="Normal 65 2 5 2 4" xfId="4629"/>
    <cellStyle name="Normal 65 2 5 2 4 2" xfId="8781"/>
    <cellStyle name="Normal 65 2 5 2 5" xfId="6708"/>
    <cellStyle name="Normal 65 2 5 3" xfId="2901"/>
    <cellStyle name="Normal 65 2 5 3 2" xfId="4987"/>
    <cellStyle name="Normal 65 2 5 3 2 2" xfId="9138"/>
    <cellStyle name="Normal 65 2 5 3 3" xfId="7065"/>
    <cellStyle name="Normal 65 2 5 4" xfId="3574"/>
    <cellStyle name="Normal 65 2 5 4 2" xfId="5659"/>
    <cellStyle name="Normal 65 2 5 4 2 2" xfId="9810"/>
    <cellStyle name="Normal 65 2 5 4 3" xfId="7737"/>
    <cellStyle name="Normal 65 2 5 5" xfId="4293"/>
    <cellStyle name="Normal 65 2 5 5 2" xfId="8445"/>
    <cellStyle name="Normal 65 2 5 6" xfId="6372"/>
    <cellStyle name="Normal 65 2 6" xfId="2343"/>
    <cellStyle name="Normal 65 2 6 2" xfId="3069"/>
    <cellStyle name="Normal 65 2 6 2 2" xfId="5155"/>
    <cellStyle name="Normal 65 2 6 2 2 2" xfId="9306"/>
    <cellStyle name="Normal 65 2 6 2 3" xfId="7233"/>
    <cellStyle name="Normal 65 2 6 3" xfId="3742"/>
    <cellStyle name="Normal 65 2 6 3 2" xfId="5827"/>
    <cellStyle name="Normal 65 2 6 3 2 2" xfId="9978"/>
    <cellStyle name="Normal 65 2 6 3 3" xfId="7905"/>
    <cellStyle name="Normal 65 2 6 4" xfId="4461"/>
    <cellStyle name="Normal 65 2 6 4 2" xfId="8613"/>
    <cellStyle name="Normal 65 2 6 5" xfId="6540"/>
    <cellStyle name="Normal 65 2 7" xfId="2733"/>
    <cellStyle name="Normal 65 2 7 2" xfId="4819"/>
    <cellStyle name="Normal 65 2 7 2 2" xfId="8970"/>
    <cellStyle name="Normal 65 2 7 3" xfId="6897"/>
    <cellStyle name="Normal 65 2 8" xfId="3406"/>
    <cellStyle name="Normal 65 2 8 2" xfId="5491"/>
    <cellStyle name="Normal 65 2 8 2 2" xfId="9642"/>
    <cellStyle name="Normal 65 2 8 3" xfId="7569"/>
    <cellStyle name="Normal 65 2 9" xfId="4124"/>
    <cellStyle name="Normal 65 2 9 2" xfId="8277"/>
    <cellStyle name="Normal 65 3" xfId="2027"/>
    <cellStyle name="Normal 65 3 2" xfId="2234"/>
    <cellStyle name="Normal 65 3 2 2" xfId="2575"/>
    <cellStyle name="Normal 65 3 2 2 2" xfId="3300"/>
    <cellStyle name="Normal 65 3 2 2 2 2" xfId="5386"/>
    <cellStyle name="Normal 65 3 2 2 2 2 2" xfId="9537"/>
    <cellStyle name="Normal 65 3 2 2 2 3" xfId="7464"/>
    <cellStyle name="Normal 65 3 2 2 3" xfId="3973"/>
    <cellStyle name="Normal 65 3 2 2 3 2" xfId="6058"/>
    <cellStyle name="Normal 65 3 2 2 3 2 2" xfId="10209"/>
    <cellStyle name="Normal 65 3 2 2 3 3" xfId="8136"/>
    <cellStyle name="Normal 65 3 2 2 4" xfId="4692"/>
    <cellStyle name="Normal 65 3 2 2 4 2" xfId="8844"/>
    <cellStyle name="Normal 65 3 2 2 5" xfId="6771"/>
    <cellStyle name="Normal 65 3 2 3" xfId="2964"/>
    <cellStyle name="Normal 65 3 2 3 2" xfId="5050"/>
    <cellStyle name="Normal 65 3 2 3 2 2" xfId="9201"/>
    <cellStyle name="Normal 65 3 2 3 3" xfId="7128"/>
    <cellStyle name="Normal 65 3 2 4" xfId="3637"/>
    <cellStyle name="Normal 65 3 2 4 2" xfId="5722"/>
    <cellStyle name="Normal 65 3 2 4 2 2" xfId="9873"/>
    <cellStyle name="Normal 65 3 2 4 3" xfId="7800"/>
    <cellStyle name="Normal 65 3 2 5" xfId="4356"/>
    <cellStyle name="Normal 65 3 2 5 2" xfId="8508"/>
    <cellStyle name="Normal 65 3 2 6" xfId="6435"/>
    <cellStyle name="Normal 65 3 3" xfId="2407"/>
    <cellStyle name="Normal 65 3 3 2" xfId="3132"/>
    <cellStyle name="Normal 65 3 3 2 2" xfId="5218"/>
    <cellStyle name="Normal 65 3 3 2 2 2" xfId="9369"/>
    <cellStyle name="Normal 65 3 3 2 3" xfId="7296"/>
    <cellStyle name="Normal 65 3 3 3" xfId="3805"/>
    <cellStyle name="Normal 65 3 3 3 2" xfId="5890"/>
    <cellStyle name="Normal 65 3 3 3 2 2" xfId="10041"/>
    <cellStyle name="Normal 65 3 3 3 3" xfId="7968"/>
    <cellStyle name="Normal 65 3 3 4" xfId="4524"/>
    <cellStyle name="Normal 65 3 3 4 2" xfId="8676"/>
    <cellStyle name="Normal 65 3 3 5" xfId="6603"/>
    <cellStyle name="Normal 65 3 4" xfId="2796"/>
    <cellStyle name="Normal 65 3 4 2" xfId="4882"/>
    <cellStyle name="Normal 65 3 4 2 2" xfId="9033"/>
    <cellStyle name="Normal 65 3 4 3" xfId="6960"/>
    <cellStyle name="Normal 65 3 5" xfId="3469"/>
    <cellStyle name="Normal 65 3 5 2" xfId="5554"/>
    <cellStyle name="Normal 65 3 5 2 2" xfId="9705"/>
    <cellStyle name="Normal 65 3 5 3" xfId="7632"/>
    <cellStyle name="Normal 65 3 6" xfId="4188"/>
    <cellStyle name="Normal 65 3 6 2" xfId="8340"/>
    <cellStyle name="Normal 65 3 7" xfId="6267"/>
    <cellStyle name="Normal 65 4" xfId="1926"/>
    <cellStyle name="Normal 65 4 2" xfId="2192"/>
    <cellStyle name="Normal 65 4 2 2" xfId="2533"/>
    <cellStyle name="Normal 65 4 2 2 2" xfId="3258"/>
    <cellStyle name="Normal 65 4 2 2 2 2" xfId="5344"/>
    <cellStyle name="Normal 65 4 2 2 2 2 2" xfId="9495"/>
    <cellStyle name="Normal 65 4 2 2 2 3" xfId="7422"/>
    <cellStyle name="Normal 65 4 2 2 3" xfId="3931"/>
    <cellStyle name="Normal 65 4 2 2 3 2" xfId="6016"/>
    <cellStyle name="Normal 65 4 2 2 3 2 2" xfId="10167"/>
    <cellStyle name="Normal 65 4 2 2 3 3" xfId="8094"/>
    <cellStyle name="Normal 65 4 2 2 4" xfId="4650"/>
    <cellStyle name="Normal 65 4 2 2 4 2" xfId="8802"/>
    <cellStyle name="Normal 65 4 2 2 5" xfId="6729"/>
    <cellStyle name="Normal 65 4 2 3" xfId="2922"/>
    <cellStyle name="Normal 65 4 2 3 2" xfId="5008"/>
    <cellStyle name="Normal 65 4 2 3 2 2" xfId="9159"/>
    <cellStyle name="Normal 65 4 2 3 3" xfId="7086"/>
    <cellStyle name="Normal 65 4 2 4" xfId="3595"/>
    <cellStyle name="Normal 65 4 2 4 2" xfId="5680"/>
    <cellStyle name="Normal 65 4 2 4 2 2" xfId="9831"/>
    <cellStyle name="Normal 65 4 2 4 3" xfId="7758"/>
    <cellStyle name="Normal 65 4 2 5" xfId="4314"/>
    <cellStyle name="Normal 65 4 2 5 2" xfId="8466"/>
    <cellStyle name="Normal 65 4 2 6" xfId="6393"/>
    <cellStyle name="Normal 65 4 3" xfId="2364"/>
    <cellStyle name="Normal 65 4 3 2" xfId="3090"/>
    <cellStyle name="Normal 65 4 3 2 2" xfId="5176"/>
    <cellStyle name="Normal 65 4 3 2 2 2" xfId="9327"/>
    <cellStyle name="Normal 65 4 3 2 3" xfId="7254"/>
    <cellStyle name="Normal 65 4 3 3" xfId="3763"/>
    <cellStyle name="Normal 65 4 3 3 2" xfId="5848"/>
    <cellStyle name="Normal 65 4 3 3 2 2" xfId="9999"/>
    <cellStyle name="Normal 65 4 3 3 3" xfId="7926"/>
    <cellStyle name="Normal 65 4 3 4" xfId="4482"/>
    <cellStyle name="Normal 65 4 3 4 2" xfId="8634"/>
    <cellStyle name="Normal 65 4 3 5" xfId="6561"/>
    <cellStyle name="Normal 65 4 4" xfId="2754"/>
    <cellStyle name="Normal 65 4 4 2" xfId="4840"/>
    <cellStyle name="Normal 65 4 4 2 2" xfId="8991"/>
    <cellStyle name="Normal 65 4 4 3" xfId="6918"/>
    <cellStyle name="Normal 65 4 5" xfId="3427"/>
    <cellStyle name="Normal 65 4 5 2" xfId="5512"/>
    <cellStyle name="Normal 65 4 5 2 2" xfId="9663"/>
    <cellStyle name="Normal 65 4 5 3" xfId="7590"/>
    <cellStyle name="Normal 65 4 6" xfId="4146"/>
    <cellStyle name="Normal 65 4 6 2" xfId="8298"/>
    <cellStyle name="Normal 65 4 7" xfId="6225"/>
    <cellStyle name="Normal 65 5" xfId="2103"/>
    <cellStyle name="Normal 65 5 2" xfId="2276"/>
    <cellStyle name="Normal 65 5 2 2" xfId="2617"/>
    <cellStyle name="Normal 65 5 2 2 2" xfId="3342"/>
    <cellStyle name="Normal 65 5 2 2 2 2" xfId="5428"/>
    <cellStyle name="Normal 65 5 2 2 2 2 2" xfId="9579"/>
    <cellStyle name="Normal 65 5 2 2 2 3" xfId="7506"/>
    <cellStyle name="Normal 65 5 2 2 3" xfId="4015"/>
    <cellStyle name="Normal 65 5 2 2 3 2" xfId="6100"/>
    <cellStyle name="Normal 65 5 2 2 3 2 2" xfId="10251"/>
    <cellStyle name="Normal 65 5 2 2 3 3" xfId="8178"/>
    <cellStyle name="Normal 65 5 2 2 4" xfId="4734"/>
    <cellStyle name="Normal 65 5 2 2 4 2" xfId="8886"/>
    <cellStyle name="Normal 65 5 2 2 5" xfId="6813"/>
    <cellStyle name="Normal 65 5 2 3" xfId="3006"/>
    <cellStyle name="Normal 65 5 2 3 2" xfId="5092"/>
    <cellStyle name="Normal 65 5 2 3 2 2" xfId="9243"/>
    <cellStyle name="Normal 65 5 2 3 3" xfId="7170"/>
    <cellStyle name="Normal 65 5 2 4" xfId="3679"/>
    <cellStyle name="Normal 65 5 2 4 2" xfId="5764"/>
    <cellStyle name="Normal 65 5 2 4 2 2" xfId="9915"/>
    <cellStyle name="Normal 65 5 2 4 3" xfId="7842"/>
    <cellStyle name="Normal 65 5 2 5" xfId="4398"/>
    <cellStyle name="Normal 65 5 2 5 2" xfId="8550"/>
    <cellStyle name="Normal 65 5 2 6" xfId="6477"/>
    <cellStyle name="Normal 65 5 3" xfId="2449"/>
    <cellStyle name="Normal 65 5 3 2" xfId="3174"/>
    <cellStyle name="Normal 65 5 3 2 2" xfId="5260"/>
    <cellStyle name="Normal 65 5 3 2 2 2" xfId="9411"/>
    <cellStyle name="Normal 65 5 3 2 3" xfId="7338"/>
    <cellStyle name="Normal 65 5 3 3" xfId="3847"/>
    <cellStyle name="Normal 65 5 3 3 2" xfId="5932"/>
    <cellStyle name="Normal 65 5 3 3 2 2" xfId="10083"/>
    <cellStyle name="Normal 65 5 3 3 3" xfId="8010"/>
    <cellStyle name="Normal 65 5 3 4" xfId="4566"/>
    <cellStyle name="Normal 65 5 3 4 2" xfId="8718"/>
    <cellStyle name="Normal 65 5 3 5" xfId="6645"/>
    <cellStyle name="Normal 65 5 4" xfId="2838"/>
    <cellStyle name="Normal 65 5 4 2" xfId="4924"/>
    <cellStyle name="Normal 65 5 4 2 2" xfId="9075"/>
    <cellStyle name="Normal 65 5 4 3" xfId="7002"/>
    <cellStyle name="Normal 65 5 5" xfId="3511"/>
    <cellStyle name="Normal 65 5 5 2" xfId="5596"/>
    <cellStyle name="Normal 65 5 5 2 2" xfId="9747"/>
    <cellStyle name="Normal 65 5 5 3" xfId="7674"/>
    <cellStyle name="Normal 65 5 6" xfId="4230"/>
    <cellStyle name="Normal 65 5 6 2" xfId="8382"/>
    <cellStyle name="Normal 65 5 7" xfId="6309"/>
    <cellStyle name="Normal 65 6" xfId="2147"/>
    <cellStyle name="Normal 65 6 2" xfId="2491"/>
    <cellStyle name="Normal 65 6 2 2" xfId="3216"/>
    <cellStyle name="Normal 65 6 2 2 2" xfId="5302"/>
    <cellStyle name="Normal 65 6 2 2 2 2" xfId="9453"/>
    <cellStyle name="Normal 65 6 2 2 3" xfId="7380"/>
    <cellStyle name="Normal 65 6 2 3" xfId="3889"/>
    <cellStyle name="Normal 65 6 2 3 2" xfId="5974"/>
    <cellStyle name="Normal 65 6 2 3 2 2" xfId="10125"/>
    <cellStyle name="Normal 65 6 2 3 3" xfId="8052"/>
    <cellStyle name="Normal 65 6 2 4" xfId="4608"/>
    <cellStyle name="Normal 65 6 2 4 2" xfId="8760"/>
    <cellStyle name="Normal 65 6 2 5" xfId="6687"/>
    <cellStyle name="Normal 65 6 3" xfId="2880"/>
    <cellStyle name="Normal 65 6 3 2" xfId="4966"/>
    <cellStyle name="Normal 65 6 3 2 2" xfId="9117"/>
    <cellStyle name="Normal 65 6 3 3" xfId="7044"/>
    <cellStyle name="Normal 65 6 4" xfId="3553"/>
    <cellStyle name="Normal 65 6 4 2" xfId="5638"/>
    <cellStyle name="Normal 65 6 4 2 2" xfId="9789"/>
    <cellStyle name="Normal 65 6 4 3" xfId="7716"/>
    <cellStyle name="Normal 65 6 5" xfId="4272"/>
    <cellStyle name="Normal 65 6 5 2" xfId="8424"/>
    <cellStyle name="Normal 65 6 6" xfId="6351"/>
    <cellStyle name="Normal 65 7" xfId="2321"/>
    <cellStyle name="Normal 65 7 2" xfId="3048"/>
    <cellStyle name="Normal 65 7 2 2" xfId="5134"/>
    <cellStyle name="Normal 65 7 2 2 2" xfId="9285"/>
    <cellStyle name="Normal 65 7 2 3" xfId="7212"/>
    <cellStyle name="Normal 65 7 3" xfId="3721"/>
    <cellStyle name="Normal 65 7 3 2" xfId="5806"/>
    <cellStyle name="Normal 65 7 3 2 2" xfId="9957"/>
    <cellStyle name="Normal 65 7 3 3" xfId="7884"/>
    <cellStyle name="Normal 65 7 4" xfId="4440"/>
    <cellStyle name="Normal 65 7 4 2" xfId="8592"/>
    <cellStyle name="Normal 65 7 5" xfId="6519"/>
    <cellStyle name="Normal 65 8" xfId="2711"/>
    <cellStyle name="Normal 65 8 2" xfId="4798"/>
    <cellStyle name="Normal 65 8 2 2" xfId="8949"/>
    <cellStyle name="Normal 65 8 3" xfId="6876"/>
    <cellStyle name="Normal 65 9" xfId="3385"/>
    <cellStyle name="Normal 65 9 2" xfId="5470"/>
    <cellStyle name="Normal 65 9 2 2" xfId="9621"/>
    <cellStyle name="Normal 65 9 3" xfId="7548"/>
    <cellStyle name="Normal 66" xfId="777"/>
    <cellStyle name="Normal 66 10" xfId="4101"/>
    <cellStyle name="Normal 66 10 2" xfId="8257"/>
    <cellStyle name="Normal 66 11" xfId="6184"/>
    <cellStyle name="Normal 66 2" xfId="1653"/>
    <cellStyle name="Normal 66 2 10" xfId="6205"/>
    <cellStyle name="Normal 66 2 2" xfId="2082"/>
    <cellStyle name="Normal 66 2 2 2" xfId="2256"/>
    <cellStyle name="Normal 66 2 2 2 2" xfId="2597"/>
    <cellStyle name="Normal 66 2 2 2 2 2" xfId="3322"/>
    <cellStyle name="Normal 66 2 2 2 2 2 2" xfId="5408"/>
    <cellStyle name="Normal 66 2 2 2 2 2 2 2" xfId="9559"/>
    <cellStyle name="Normal 66 2 2 2 2 2 3" xfId="7486"/>
    <cellStyle name="Normal 66 2 2 2 2 3" xfId="3995"/>
    <cellStyle name="Normal 66 2 2 2 2 3 2" xfId="6080"/>
    <cellStyle name="Normal 66 2 2 2 2 3 2 2" xfId="10231"/>
    <cellStyle name="Normal 66 2 2 2 2 3 3" xfId="8158"/>
    <cellStyle name="Normal 66 2 2 2 2 4" xfId="4714"/>
    <cellStyle name="Normal 66 2 2 2 2 4 2" xfId="8866"/>
    <cellStyle name="Normal 66 2 2 2 2 5" xfId="6793"/>
    <cellStyle name="Normal 66 2 2 2 3" xfId="2986"/>
    <cellStyle name="Normal 66 2 2 2 3 2" xfId="5072"/>
    <cellStyle name="Normal 66 2 2 2 3 2 2" xfId="9223"/>
    <cellStyle name="Normal 66 2 2 2 3 3" xfId="7150"/>
    <cellStyle name="Normal 66 2 2 2 4" xfId="3659"/>
    <cellStyle name="Normal 66 2 2 2 4 2" xfId="5744"/>
    <cellStyle name="Normal 66 2 2 2 4 2 2" xfId="9895"/>
    <cellStyle name="Normal 66 2 2 2 4 3" xfId="7822"/>
    <cellStyle name="Normal 66 2 2 2 5" xfId="4378"/>
    <cellStyle name="Normal 66 2 2 2 5 2" xfId="8530"/>
    <cellStyle name="Normal 66 2 2 2 6" xfId="6457"/>
    <cellStyle name="Normal 66 2 2 3" xfId="2429"/>
    <cellStyle name="Normal 66 2 2 3 2" xfId="3154"/>
    <cellStyle name="Normal 66 2 2 3 2 2" xfId="5240"/>
    <cellStyle name="Normal 66 2 2 3 2 2 2" xfId="9391"/>
    <cellStyle name="Normal 66 2 2 3 2 3" xfId="7318"/>
    <cellStyle name="Normal 66 2 2 3 3" xfId="3827"/>
    <cellStyle name="Normal 66 2 2 3 3 2" xfId="5912"/>
    <cellStyle name="Normal 66 2 2 3 3 2 2" xfId="10063"/>
    <cellStyle name="Normal 66 2 2 3 3 3" xfId="7990"/>
    <cellStyle name="Normal 66 2 2 3 4" xfId="4546"/>
    <cellStyle name="Normal 66 2 2 3 4 2" xfId="8698"/>
    <cellStyle name="Normal 66 2 2 3 5" xfId="6625"/>
    <cellStyle name="Normal 66 2 2 4" xfId="2818"/>
    <cellStyle name="Normal 66 2 2 4 2" xfId="4904"/>
    <cellStyle name="Normal 66 2 2 4 2 2" xfId="9055"/>
    <cellStyle name="Normal 66 2 2 4 3" xfId="6982"/>
    <cellStyle name="Normal 66 2 2 5" xfId="3491"/>
    <cellStyle name="Normal 66 2 2 5 2" xfId="5576"/>
    <cellStyle name="Normal 66 2 2 5 2 2" xfId="9727"/>
    <cellStyle name="Normal 66 2 2 5 3" xfId="7654"/>
    <cellStyle name="Normal 66 2 2 6" xfId="4210"/>
    <cellStyle name="Normal 66 2 2 6 2" xfId="8362"/>
    <cellStyle name="Normal 66 2 2 7" xfId="6289"/>
    <cellStyle name="Normal 66 2 3" xfId="1983"/>
    <cellStyle name="Normal 66 2 3 2" xfId="2214"/>
    <cellStyle name="Normal 66 2 3 2 2" xfId="2555"/>
    <cellStyle name="Normal 66 2 3 2 2 2" xfId="3280"/>
    <cellStyle name="Normal 66 2 3 2 2 2 2" xfId="5366"/>
    <cellStyle name="Normal 66 2 3 2 2 2 2 2" xfId="9517"/>
    <cellStyle name="Normal 66 2 3 2 2 2 3" xfId="7444"/>
    <cellStyle name="Normal 66 2 3 2 2 3" xfId="3953"/>
    <cellStyle name="Normal 66 2 3 2 2 3 2" xfId="6038"/>
    <cellStyle name="Normal 66 2 3 2 2 3 2 2" xfId="10189"/>
    <cellStyle name="Normal 66 2 3 2 2 3 3" xfId="8116"/>
    <cellStyle name="Normal 66 2 3 2 2 4" xfId="4672"/>
    <cellStyle name="Normal 66 2 3 2 2 4 2" xfId="8824"/>
    <cellStyle name="Normal 66 2 3 2 2 5" xfId="6751"/>
    <cellStyle name="Normal 66 2 3 2 3" xfId="2944"/>
    <cellStyle name="Normal 66 2 3 2 3 2" xfId="5030"/>
    <cellStyle name="Normal 66 2 3 2 3 2 2" xfId="9181"/>
    <cellStyle name="Normal 66 2 3 2 3 3" xfId="7108"/>
    <cellStyle name="Normal 66 2 3 2 4" xfId="3617"/>
    <cellStyle name="Normal 66 2 3 2 4 2" xfId="5702"/>
    <cellStyle name="Normal 66 2 3 2 4 2 2" xfId="9853"/>
    <cellStyle name="Normal 66 2 3 2 4 3" xfId="7780"/>
    <cellStyle name="Normal 66 2 3 2 5" xfId="4336"/>
    <cellStyle name="Normal 66 2 3 2 5 2" xfId="8488"/>
    <cellStyle name="Normal 66 2 3 2 6" xfId="6415"/>
    <cellStyle name="Normal 66 2 3 3" xfId="2386"/>
    <cellStyle name="Normal 66 2 3 3 2" xfId="3112"/>
    <cellStyle name="Normal 66 2 3 3 2 2" xfId="5198"/>
    <cellStyle name="Normal 66 2 3 3 2 2 2" xfId="9349"/>
    <cellStyle name="Normal 66 2 3 3 2 3" xfId="7276"/>
    <cellStyle name="Normal 66 2 3 3 3" xfId="3785"/>
    <cellStyle name="Normal 66 2 3 3 3 2" xfId="5870"/>
    <cellStyle name="Normal 66 2 3 3 3 2 2" xfId="10021"/>
    <cellStyle name="Normal 66 2 3 3 3 3" xfId="7948"/>
    <cellStyle name="Normal 66 2 3 3 4" xfId="4504"/>
    <cellStyle name="Normal 66 2 3 3 4 2" xfId="8656"/>
    <cellStyle name="Normal 66 2 3 3 5" xfId="6583"/>
    <cellStyle name="Normal 66 2 3 4" xfId="2776"/>
    <cellStyle name="Normal 66 2 3 4 2" xfId="4862"/>
    <cellStyle name="Normal 66 2 3 4 2 2" xfId="9013"/>
    <cellStyle name="Normal 66 2 3 4 3" xfId="6940"/>
    <cellStyle name="Normal 66 2 3 5" xfId="3449"/>
    <cellStyle name="Normal 66 2 3 5 2" xfId="5534"/>
    <cellStyle name="Normal 66 2 3 5 2 2" xfId="9685"/>
    <cellStyle name="Normal 66 2 3 5 3" xfId="7612"/>
    <cellStyle name="Normal 66 2 3 6" xfId="4168"/>
    <cellStyle name="Normal 66 2 3 6 2" xfId="8320"/>
    <cellStyle name="Normal 66 2 3 7" xfId="6247"/>
    <cellStyle name="Normal 66 2 4" xfId="2125"/>
    <cellStyle name="Normal 66 2 4 2" xfId="2298"/>
    <cellStyle name="Normal 66 2 4 2 2" xfId="2639"/>
    <cellStyle name="Normal 66 2 4 2 2 2" xfId="3364"/>
    <cellStyle name="Normal 66 2 4 2 2 2 2" xfId="5450"/>
    <cellStyle name="Normal 66 2 4 2 2 2 2 2" xfId="9601"/>
    <cellStyle name="Normal 66 2 4 2 2 2 3" xfId="7528"/>
    <cellStyle name="Normal 66 2 4 2 2 3" xfId="4037"/>
    <cellStyle name="Normal 66 2 4 2 2 3 2" xfId="6122"/>
    <cellStyle name="Normal 66 2 4 2 2 3 2 2" xfId="10273"/>
    <cellStyle name="Normal 66 2 4 2 2 3 3" xfId="8200"/>
    <cellStyle name="Normal 66 2 4 2 2 4" xfId="4756"/>
    <cellStyle name="Normal 66 2 4 2 2 4 2" xfId="8908"/>
    <cellStyle name="Normal 66 2 4 2 2 5" xfId="6835"/>
    <cellStyle name="Normal 66 2 4 2 3" xfId="3028"/>
    <cellStyle name="Normal 66 2 4 2 3 2" xfId="5114"/>
    <cellStyle name="Normal 66 2 4 2 3 2 2" xfId="9265"/>
    <cellStyle name="Normal 66 2 4 2 3 3" xfId="7192"/>
    <cellStyle name="Normal 66 2 4 2 4" xfId="3701"/>
    <cellStyle name="Normal 66 2 4 2 4 2" xfId="5786"/>
    <cellStyle name="Normal 66 2 4 2 4 2 2" xfId="9937"/>
    <cellStyle name="Normal 66 2 4 2 4 3" xfId="7864"/>
    <cellStyle name="Normal 66 2 4 2 5" xfId="4420"/>
    <cellStyle name="Normal 66 2 4 2 5 2" xfId="8572"/>
    <cellStyle name="Normal 66 2 4 2 6" xfId="6499"/>
    <cellStyle name="Normal 66 2 4 3" xfId="2471"/>
    <cellStyle name="Normal 66 2 4 3 2" xfId="3196"/>
    <cellStyle name="Normal 66 2 4 3 2 2" xfId="5282"/>
    <cellStyle name="Normal 66 2 4 3 2 2 2" xfId="9433"/>
    <cellStyle name="Normal 66 2 4 3 2 3" xfId="7360"/>
    <cellStyle name="Normal 66 2 4 3 3" xfId="3869"/>
    <cellStyle name="Normal 66 2 4 3 3 2" xfId="5954"/>
    <cellStyle name="Normal 66 2 4 3 3 2 2" xfId="10105"/>
    <cellStyle name="Normal 66 2 4 3 3 3" xfId="8032"/>
    <cellStyle name="Normal 66 2 4 3 4" xfId="4588"/>
    <cellStyle name="Normal 66 2 4 3 4 2" xfId="8740"/>
    <cellStyle name="Normal 66 2 4 3 5" xfId="6667"/>
    <cellStyle name="Normal 66 2 4 4" xfId="2860"/>
    <cellStyle name="Normal 66 2 4 4 2" xfId="4946"/>
    <cellStyle name="Normal 66 2 4 4 2 2" xfId="9097"/>
    <cellStyle name="Normal 66 2 4 4 3" xfId="7024"/>
    <cellStyle name="Normal 66 2 4 5" xfId="3533"/>
    <cellStyle name="Normal 66 2 4 5 2" xfId="5618"/>
    <cellStyle name="Normal 66 2 4 5 2 2" xfId="9769"/>
    <cellStyle name="Normal 66 2 4 5 3" xfId="7696"/>
    <cellStyle name="Normal 66 2 4 6" xfId="4252"/>
    <cellStyle name="Normal 66 2 4 6 2" xfId="8404"/>
    <cellStyle name="Normal 66 2 4 7" xfId="6331"/>
    <cellStyle name="Normal 66 2 5" xfId="2171"/>
    <cellStyle name="Normal 66 2 5 2" xfId="2513"/>
    <cellStyle name="Normal 66 2 5 2 2" xfId="3238"/>
    <cellStyle name="Normal 66 2 5 2 2 2" xfId="5324"/>
    <cellStyle name="Normal 66 2 5 2 2 2 2" xfId="9475"/>
    <cellStyle name="Normal 66 2 5 2 2 3" xfId="7402"/>
    <cellStyle name="Normal 66 2 5 2 3" xfId="3911"/>
    <cellStyle name="Normal 66 2 5 2 3 2" xfId="5996"/>
    <cellStyle name="Normal 66 2 5 2 3 2 2" xfId="10147"/>
    <cellStyle name="Normal 66 2 5 2 3 3" xfId="8074"/>
    <cellStyle name="Normal 66 2 5 2 4" xfId="4630"/>
    <cellStyle name="Normal 66 2 5 2 4 2" xfId="8782"/>
    <cellStyle name="Normal 66 2 5 2 5" xfId="6709"/>
    <cellStyle name="Normal 66 2 5 3" xfId="2902"/>
    <cellStyle name="Normal 66 2 5 3 2" xfId="4988"/>
    <cellStyle name="Normal 66 2 5 3 2 2" xfId="9139"/>
    <cellStyle name="Normal 66 2 5 3 3" xfId="7066"/>
    <cellStyle name="Normal 66 2 5 4" xfId="3575"/>
    <cellStyle name="Normal 66 2 5 4 2" xfId="5660"/>
    <cellStyle name="Normal 66 2 5 4 2 2" xfId="9811"/>
    <cellStyle name="Normal 66 2 5 4 3" xfId="7738"/>
    <cellStyle name="Normal 66 2 5 5" xfId="4294"/>
    <cellStyle name="Normal 66 2 5 5 2" xfId="8446"/>
    <cellStyle name="Normal 66 2 5 6" xfId="6373"/>
    <cellStyle name="Normal 66 2 6" xfId="2344"/>
    <cellStyle name="Normal 66 2 6 2" xfId="3070"/>
    <cellStyle name="Normal 66 2 6 2 2" xfId="5156"/>
    <cellStyle name="Normal 66 2 6 2 2 2" xfId="9307"/>
    <cellStyle name="Normal 66 2 6 2 3" xfId="7234"/>
    <cellStyle name="Normal 66 2 6 3" xfId="3743"/>
    <cellStyle name="Normal 66 2 6 3 2" xfId="5828"/>
    <cellStyle name="Normal 66 2 6 3 2 2" xfId="9979"/>
    <cellStyle name="Normal 66 2 6 3 3" xfId="7906"/>
    <cellStyle name="Normal 66 2 6 4" xfId="4462"/>
    <cellStyle name="Normal 66 2 6 4 2" xfId="8614"/>
    <cellStyle name="Normal 66 2 6 5" xfId="6541"/>
    <cellStyle name="Normal 66 2 7" xfId="2734"/>
    <cellStyle name="Normal 66 2 7 2" xfId="4820"/>
    <cellStyle name="Normal 66 2 7 2 2" xfId="8971"/>
    <cellStyle name="Normal 66 2 7 3" xfId="6898"/>
    <cellStyle name="Normal 66 2 8" xfId="3407"/>
    <cellStyle name="Normal 66 2 8 2" xfId="5492"/>
    <cellStyle name="Normal 66 2 8 2 2" xfId="9643"/>
    <cellStyle name="Normal 66 2 8 3" xfId="7570"/>
    <cellStyle name="Normal 66 2 9" xfId="4125"/>
    <cellStyle name="Normal 66 2 9 2" xfId="8278"/>
    <cellStyle name="Normal 66 3" xfId="2028"/>
    <cellStyle name="Normal 66 3 2" xfId="2235"/>
    <cellStyle name="Normal 66 3 2 2" xfId="2576"/>
    <cellStyle name="Normal 66 3 2 2 2" xfId="3301"/>
    <cellStyle name="Normal 66 3 2 2 2 2" xfId="5387"/>
    <cellStyle name="Normal 66 3 2 2 2 2 2" xfId="9538"/>
    <cellStyle name="Normal 66 3 2 2 2 3" xfId="7465"/>
    <cellStyle name="Normal 66 3 2 2 3" xfId="3974"/>
    <cellStyle name="Normal 66 3 2 2 3 2" xfId="6059"/>
    <cellStyle name="Normal 66 3 2 2 3 2 2" xfId="10210"/>
    <cellStyle name="Normal 66 3 2 2 3 3" xfId="8137"/>
    <cellStyle name="Normal 66 3 2 2 4" xfId="4693"/>
    <cellStyle name="Normal 66 3 2 2 4 2" xfId="8845"/>
    <cellStyle name="Normal 66 3 2 2 5" xfId="6772"/>
    <cellStyle name="Normal 66 3 2 3" xfId="2965"/>
    <cellStyle name="Normal 66 3 2 3 2" xfId="5051"/>
    <cellStyle name="Normal 66 3 2 3 2 2" xfId="9202"/>
    <cellStyle name="Normal 66 3 2 3 3" xfId="7129"/>
    <cellStyle name="Normal 66 3 2 4" xfId="3638"/>
    <cellStyle name="Normal 66 3 2 4 2" xfId="5723"/>
    <cellStyle name="Normal 66 3 2 4 2 2" xfId="9874"/>
    <cellStyle name="Normal 66 3 2 4 3" xfId="7801"/>
    <cellStyle name="Normal 66 3 2 5" xfId="4357"/>
    <cellStyle name="Normal 66 3 2 5 2" xfId="8509"/>
    <cellStyle name="Normal 66 3 2 6" xfId="6436"/>
    <cellStyle name="Normal 66 3 3" xfId="2408"/>
    <cellStyle name="Normal 66 3 3 2" xfId="3133"/>
    <cellStyle name="Normal 66 3 3 2 2" xfId="5219"/>
    <cellStyle name="Normal 66 3 3 2 2 2" xfId="9370"/>
    <cellStyle name="Normal 66 3 3 2 3" xfId="7297"/>
    <cellStyle name="Normal 66 3 3 3" xfId="3806"/>
    <cellStyle name="Normal 66 3 3 3 2" xfId="5891"/>
    <cellStyle name="Normal 66 3 3 3 2 2" xfId="10042"/>
    <cellStyle name="Normal 66 3 3 3 3" xfId="7969"/>
    <cellStyle name="Normal 66 3 3 4" xfId="4525"/>
    <cellStyle name="Normal 66 3 3 4 2" xfId="8677"/>
    <cellStyle name="Normal 66 3 3 5" xfId="6604"/>
    <cellStyle name="Normal 66 3 4" xfId="2797"/>
    <cellStyle name="Normal 66 3 4 2" xfId="4883"/>
    <cellStyle name="Normal 66 3 4 2 2" xfId="9034"/>
    <cellStyle name="Normal 66 3 4 3" xfId="6961"/>
    <cellStyle name="Normal 66 3 5" xfId="3470"/>
    <cellStyle name="Normal 66 3 5 2" xfId="5555"/>
    <cellStyle name="Normal 66 3 5 2 2" xfId="9706"/>
    <cellStyle name="Normal 66 3 5 3" xfId="7633"/>
    <cellStyle name="Normal 66 3 6" xfId="4189"/>
    <cellStyle name="Normal 66 3 6 2" xfId="8341"/>
    <cellStyle name="Normal 66 3 7" xfId="6268"/>
    <cellStyle name="Normal 66 4" xfId="1927"/>
    <cellStyle name="Normal 66 4 2" xfId="2193"/>
    <cellStyle name="Normal 66 4 2 2" xfId="2534"/>
    <cellStyle name="Normal 66 4 2 2 2" xfId="3259"/>
    <cellStyle name="Normal 66 4 2 2 2 2" xfId="5345"/>
    <cellStyle name="Normal 66 4 2 2 2 2 2" xfId="9496"/>
    <cellStyle name="Normal 66 4 2 2 2 3" xfId="7423"/>
    <cellStyle name="Normal 66 4 2 2 3" xfId="3932"/>
    <cellStyle name="Normal 66 4 2 2 3 2" xfId="6017"/>
    <cellStyle name="Normal 66 4 2 2 3 2 2" xfId="10168"/>
    <cellStyle name="Normal 66 4 2 2 3 3" xfId="8095"/>
    <cellStyle name="Normal 66 4 2 2 4" xfId="4651"/>
    <cellStyle name="Normal 66 4 2 2 4 2" xfId="8803"/>
    <cellStyle name="Normal 66 4 2 2 5" xfId="6730"/>
    <cellStyle name="Normal 66 4 2 3" xfId="2923"/>
    <cellStyle name="Normal 66 4 2 3 2" xfId="5009"/>
    <cellStyle name="Normal 66 4 2 3 2 2" xfId="9160"/>
    <cellStyle name="Normal 66 4 2 3 3" xfId="7087"/>
    <cellStyle name="Normal 66 4 2 4" xfId="3596"/>
    <cellStyle name="Normal 66 4 2 4 2" xfId="5681"/>
    <cellStyle name="Normal 66 4 2 4 2 2" xfId="9832"/>
    <cellStyle name="Normal 66 4 2 4 3" xfId="7759"/>
    <cellStyle name="Normal 66 4 2 5" xfId="4315"/>
    <cellStyle name="Normal 66 4 2 5 2" xfId="8467"/>
    <cellStyle name="Normal 66 4 2 6" xfId="6394"/>
    <cellStyle name="Normal 66 4 3" xfId="2365"/>
    <cellStyle name="Normal 66 4 3 2" xfId="3091"/>
    <cellStyle name="Normal 66 4 3 2 2" xfId="5177"/>
    <cellStyle name="Normal 66 4 3 2 2 2" xfId="9328"/>
    <cellStyle name="Normal 66 4 3 2 3" xfId="7255"/>
    <cellStyle name="Normal 66 4 3 3" xfId="3764"/>
    <cellStyle name="Normal 66 4 3 3 2" xfId="5849"/>
    <cellStyle name="Normal 66 4 3 3 2 2" xfId="10000"/>
    <cellStyle name="Normal 66 4 3 3 3" xfId="7927"/>
    <cellStyle name="Normal 66 4 3 4" xfId="4483"/>
    <cellStyle name="Normal 66 4 3 4 2" xfId="8635"/>
    <cellStyle name="Normal 66 4 3 5" xfId="6562"/>
    <cellStyle name="Normal 66 4 4" xfId="2755"/>
    <cellStyle name="Normal 66 4 4 2" xfId="4841"/>
    <cellStyle name="Normal 66 4 4 2 2" xfId="8992"/>
    <cellStyle name="Normal 66 4 4 3" xfId="6919"/>
    <cellStyle name="Normal 66 4 5" xfId="3428"/>
    <cellStyle name="Normal 66 4 5 2" xfId="5513"/>
    <cellStyle name="Normal 66 4 5 2 2" xfId="9664"/>
    <cellStyle name="Normal 66 4 5 3" xfId="7591"/>
    <cellStyle name="Normal 66 4 6" xfId="4147"/>
    <cellStyle name="Normal 66 4 6 2" xfId="8299"/>
    <cellStyle name="Normal 66 4 7" xfId="6226"/>
    <cellStyle name="Normal 66 5" xfId="2104"/>
    <cellStyle name="Normal 66 5 2" xfId="2277"/>
    <cellStyle name="Normal 66 5 2 2" xfId="2618"/>
    <cellStyle name="Normal 66 5 2 2 2" xfId="3343"/>
    <cellStyle name="Normal 66 5 2 2 2 2" xfId="5429"/>
    <cellStyle name="Normal 66 5 2 2 2 2 2" xfId="9580"/>
    <cellStyle name="Normal 66 5 2 2 2 3" xfId="7507"/>
    <cellStyle name="Normal 66 5 2 2 3" xfId="4016"/>
    <cellStyle name="Normal 66 5 2 2 3 2" xfId="6101"/>
    <cellStyle name="Normal 66 5 2 2 3 2 2" xfId="10252"/>
    <cellStyle name="Normal 66 5 2 2 3 3" xfId="8179"/>
    <cellStyle name="Normal 66 5 2 2 4" xfId="4735"/>
    <cellStyle name="Normal 66 5 2 2 4 2" xfId="8887"/>
    <cellStyle name="Normal 66 5 2 2 5" xfId="6814"/>
    <cellStyle name="Normal 66 5 2 3" xfId="3007"/>
    <cellStyle name="Normal 66 5 2 3 2" xfId="5093"/>
    <cellStyle name="Normal 66 5 2 3 2 2" xfId="9244"/>
    <cellStyle name="Normal 66 5 2 3 3" xfId="7171"/>
    <cellStyle name="Normal 66 5 2 4" xfId="3680"/>
    <cellStyle name="Normal 66 5 2 4 2" xfId="5765"/>
    <cellStyle name="Normal 66 5 2 4 2 2" xfId="9916"/>
    <cellStyle name="Normal 66 5 2 4 3" xfId="7843"/>
    <cellStyle name="Normal 66 5 2 5" xfId="4399"/>
    <cellStyle name="Normal 66 5 2 5 2" xfId="8551"/>
    <cellStyle name="Normal 66 5 2 6" xfId="6478"/>
    <cellStyle name="Normal 66 5 3" xfId="2450"/>
    <cellStyle name="Normal 66 5 3 2" xfId="3175"/>
    <cellStyle name="Normal 66 5 3 2 2" xfId="5261"/>
    <cellStyle name="Normal 66 5 3 2 2 2" xfId="9412"/>
    <cellStyle name="Normal 66 5 3 2 3" xfId="7339"/>
    <cellStyle name="Normal 66 5 3 3" xfId="3848"/>
    <cellStyle name="Normal 66 5 3 3 2" xfId="5933"/>
    <cellStyle name="Normal 66 5 3 3 2 2" xfId="10084"/>
    <cellStyle name="Normal 66 5 3 3 3" xfId="8011"/>
    <cellStyle name="Normal 66 5 3 4" xfId="4567"/>
    <cellStyle name="Normal 66 5 3 4 2" xfId="8719"/>
    <cellStyle name="Normal 66 5 3 5" xfId="6646"/>
    <cellStyle name="Normal 66 5 4" xfId="2839"/>
    <cellStyle name="Normal 66 5 4 2" xfId="4925"/>
    <cellStyle name="Normal 66 5 4 2 2" xfId="9076"/>
    <cellStyle name="Normal 66 5 4 3" xfId="7003"/>
    <cellStyle name="Normal 66 5 5" xfId="3512"/>
    <cellStyle name="Normal 66 5 5 2" xfId="5597"/>
    <cellStyle name="Normal 66 5 5 2 2" xfId="9748"/>
    <cellStyle name="Normal 66 5 5 3" xfId="7675"/>
    <cellStyle name="Normal 66 5 6" xfId="4231"/>
    <cellStyle name="Normal 66 5 6 2" xfId="8383"/>
    <cellStyle name="Normal 66 5 7" xfId="6310"/>
    <cellStyle name="Normal 66 6" xfId="2148"/>
    <cellStyle name="Normal 66 6 2" xfId="2492"/>
    <cellStyle name="Normal 66 6 2 2" xfId="3217"/>
    <cellStyle name="Normal 66 6 2 2 2" xfId="5303"/>
    <cellStyle name="Normal 66 6 2 2 2 2" xfId="9454"/>
    <cellStyle name="Normal 66 6 2 2 3" xfId="7381"/>
    <cellStyle name="Normal 66 6 2 3" xfId="3890"/>
    <cellStyle name="Normal 66 6 2 3 2" xfId="5975"/>
    <cellStyle name="Normal 66 6 2 3 2 2" xfId="10126"/>
    <cellStyle name="Normal 66 6 2 3 3" xfId="8053"/>
    <cellStyle name="Normal 66 6 2 4" xfId="4609"/>
    <cellStyle name="Normal 66 6 2 4 2" xfId="8761"/>
    <cellStyle name="Normal 66 6 2 5" xfId="6688"/>
    <cellStyle name="Normal 66 6 3" xfId="2881"/>
    <cellStyle name="Normal 66 6 3 2" xfId="4967"/>
    <cellStyle name="Normal 66 6 3 2 2" xfId="9118"/>
    <cellStyle name="Normal 66 6 3 3" xfId="7045"/>
    <cellStyle name="Normal 66 6 4" xfId="3554"/>
    <cellStyle name="Normal 66 6 4 2" xfId="5639"/>
    <cellStyle name="Normal 66 6 4 2 2" xfId="9790"/>
    <cellStyle name="Normal 66 6 4 3" xfId="7717"/>
    <cellStyle name="Normal 66 6 5" xfId="4273"/>
    <cellStyle name="Normal 66 6 5 2" xfId="8425"/>
    <cellStyle name="Normal 66 6 6" xfId="6352"/>
    <cellStyle name="Normal 66 7" xfId="2322"/>
    <cellStyle name="Normal 66 7 2" xfId="3049"/>
    <cellStyle name="Normal 66 7 2 2" xfId="5135"/>
    <cellStyle name="Normal 66 7 2 2 2" xfId="9286"/>
    <cellStyle name="Normal 66 7 2 3" xfId="7213"/>
    <cellStyle name="Normal 66 7 3" xfId="3722"/>
    <cellStyle name="Normal 66 7 3 2" xfId="5807"/>
    <cellStyle name="Normal 66 7 3 2 2" xfId="9958"/>
    <cellStyle name="Normal 66 7 3 3" xfId="7885"/>
    <cellStyle name="Normal 66 7 4" xfId="4441"/>
    <cellStyle name="Normal 66 7 4 2" xfId="8593"/>
    <cellStyle name="Normal 66 7 5" xfId="6520"/>
    <cellStyle name="Normal 66 8" xfId="2712"/>
    <cellStyle name="Normal 66 8 2" xfId="4799"/>
    <cellStyle name="Normal 66 8 2 2" xfId="8950"/>
    <cellStyle name="Normal 66 8 3" xfId="6877"/>
    <cellStyle name="Normal 66 9" xfId="3386"/>
    <cellStyle name="Normal 66 9 2" xfId="5471"/>
    <cellStyle name="Normal 66 9 2 2" xfId="9622"/>
    <cellStyle name="Normal 66 9 3" xfId="7549"/>
    <cellStyle name="Normal 67" xfId="778"/>
    <cellStyle name="Normal 67 10" xfId="4102"/>
    <cellStyle name="Normal 67 10 2" xfId="8258"/>
    <cellStyle name="Normal 67 11" xfId="6185"/>
    <cellStyle name="Normal 67 2" xfId="1654"/>
    <cellStyle name="Normal 67 2 10" xfId="6206"/>
    <cellStyle name="Normal 67 2 2" xfId="2083"/>
    <cellStyle name="Normal 67 2 2 2" xfId="2257"/>
    <cellStyle name="Normal 67 2 2 2 2" xfId="2598"/>
    <cellStyle name="Normal 67 2 2 2 2 2" xfId="3323"/>
    <cellStyle name="Normal 67 2 2 2 2 2 2" xfId="5409"/>
    <cellStyle name="Normal 67 2 2 2 2 2 2 2" xfId="9560"/>
    <cellStyle name="Normal 67 2 2 2 2 2 3" xfId="7487"/>
    <cellStyle name="Normal 67 2 2 2 2 3" xfId="3996"/>
    <cellStyle name="Normal 67 2 2 2 2 3 2" xfId="6081"/>
    <cellStyle name="Normal 67 2 2 2 2 3 2 2" xfId="10232"/>
    <cellStyle name="Normal 67 2 2 2 2 3 3" xfId="8159"/>
    <cellStyle name="Normal 67 2 2 2 2 4" xfId="4715"/>
    <cellStyle name="Normal 67 2 2 2 2 4 2" xfId="8867"/>
    <cellStyle name="Normal 67 2 2 2 2 5" xfId="6794"/>
    <cellStyle name="Normal 67 2 2 2 3" xfId="2987"/>
    <cellStyle name="Normal 67 2 2 2 3 2" xfId="5073"/>
    <cellStyle name="Normal 67 2 2 2 3 2 2" xfId="9224"/>
    <cellStyle name="Normal 67 2 2 2 3 3" xfId="7151"/>
    <cellStyle name="Normal 67 2 2 2 4" xfId="3660"/>
    <cellStyle name="Normal 67 2 2 2 4 2" xfId="5745"/>
    <cellStyle name="Normal 67 2 2 2 4 2 2" xfId="9896"/>
    <cellStyle name="Normal 67 2 2 2 4 3" xfId="7823"/>
    <cellStyle name="Normal 67 2 2 2 5" xfId="4379"/>
    <cellStyle name="Normal 67 2 2 2 5 2" xfId="8531"/>
    <cellStyle name="Normal 67 2 2 2 6" xfId="6458"/>
    <cellStyle name="Normal 67 2 2 3" xfId="2430"/>
    <cellStyle name="Normal 67 2 2 3 2" xfId="3155"/>
    <cellStyle name="Normal 67 2 2 3 2 2" xfId="5241"/>
    <cellStyle name="Normal 67 2 2 3 2 2 2" xfId="9392"/>
    <cellStyle name="Normal 67 2 2 3 2 3" xfId="7319"/>
    <cellStyle name="Normal 67 2 2 3 3" xfId="3828"/>
    <cellStyle name="Normal 67 2 2 3 3 2" xfId="5913"/>
    <cellStyle name="Normal 67 2 2 3 3 2 2" xfId="10064"/>
    <cellStyle name="Normal 67 2 2 3 3 3" xfId="7991"/>
    <cellStyle name="Normal 67 2 2 3 4" xfId="4547"/>
    <cellStyle name="Normal 67 2 2 3 4 2" xfId="8699"/>
    <cellStyle name="Normal 67 2 2 3 5" xfId="6626"/>
    <cellStyle name="Normal 67 2 2 4" xfId="2819"/>
    <cellStyle name="Normal 67 2 2 4 2" xfId="4905"/>
    <cellStyle name="Normal 67 2 2 4 2 2" xfId="9056"/>
    <cellStyle name="Normal 67 2 2 4 3" xfId="6983"/>
    <cellStyle name="Normal 67 2 2 5" xfId="3492"/>
    <cellStyle name="Normal 67 2 2 5 2" xfId="5577"/>
    <cellStyle name="Normal 67 2 2 5 2 2" xfId="9728"/>
    <cellStyle name="Normal 67 2 2 5 3" xfId="7655"/>
    <cellStyle name="Normal 67 2 2 6" xfId="4211"/>
    <cellStyle name="Normal 67 2 2 6 2" xfId="8363"/>
    <cellStyle name="Normal 67 2 2 7" xfId="6290"/>
    <cellStyle name="Normal 67 2 3" xfId="1984"/>
    <cellStyle name="Normal 67 2 3 2" xfId="2215"/>
    <cellStyle name="Normal 67 2 3 2 2" xfId="2556"/>
    <cellStyle name="Normal 67 2 3 2 2 2" xfId="3281"/>
    <cellStyle name="Normal 67 2 3 2 2 2 2" xfId="5367"/>
    <cellStyle name="Normal 67 2 3 2 2 2 2 2" xfId="9518"/>
    <cellStyle name="Normal 67 2 3 2 2 2 3" xfId="7445"/>
    <cellStyle name="Normal 67 2 3 2 2 3" xfId="3954"/>
    <cellStyle name="Normal 67 2 3 2 2 3 2" xfId="6039"/>
    <cellStyle name="Normal 67 2 3 2 2 3 2 2" xfId="10190"/>
    <cellStyle name="Normal 67 2 3 2 2 3 3" xfId="8117"/>
    <cellStyle name="Normal 67 2 3 2 2 4" xfId="4673"/>
    <cellStyle name="Normal 67 2 3 2 2 4 2" xfId="8825"/>
    <cellStyle name="Normal 67 2 3 2 2 5" xfId="6752"/>
    <cellStyle name="Normal 67 2 3 2 3" xfId="2945"/>
    <cellStyle name="Normal 67 2 3 2 3 2" xfId="5031"/>
    <cellStyle name="Normal 67 2 3 2 3 2 2" xfId="9182"/>
    <cellStyle name="Normal 67 2 3 2 3 3" xfId="7109"/>
    <cellStyle name="Normal 67 2 3 2 4" xfId="3618"/>
    <cellStyle name="Normal 67 2 3 2 4 2" xfId="5703"/>
    <cellStyle name="Normal 67 2 3 2 4 2 2" xfId="9854"/>
    <cellStyle name="Normal 67 2 3 2 4 3" xfId="7781"/>
    <cellStyle name="Normal 67 2 3 2 5" xfId="4337"/>
    <cellStyle name="Normal 67 2 3 2 5 2" xfId="8489"/>
    <cellStyle name="Normal 67 2 3 2 6" xfId="6416"/>
    <cellStyle name="Normal 67 2 3 3" xfId="2387"/>
    <cellStyle name="Normal 67 2 3 3 2" xfId="3113"/>
    <cellStyle name="Normal 67 2 3 3 2 2" xfId="5199"/>
    <cellStyle name="Normal 67 2 3 3 2 2 2" xfId="9350"/>
    <cellStyle name="Normal 67 2 3 3 2 3" xfId="7277"/>
    <cellStyle name="Normal 67 2 3 3 3" xfId="3786"/>
    <cellStyle name="Normal 67 2 3 3 3 2" xfId="5871"/>
    <cellStyle name="Normal 67 2 3 3 3 2 2" xfId="10022"/>
    <cellStyle name="Normal 67 2 3 3 3 3" xfId="7949"/>
    <cellStyle name="Normal 67 2 3 3 4" xfId="4505"/>
    <cellStyle name="Normal 67 2 3 3 4 2" xfId="8657"/>
    <cellStyle name="Normal 67 2 3 3 5" xfId="6584"/>
    <cellStyle name="Normal 67 2 3 4" xfId="2777"/>
    <cellStyle name="Normal 67 2 3 4 2" xfId="4863"/>
    <cellStyle name="Normal 67 2 3 4 2 2" xfId="9014"/>
    <cellStyle name="Normal 67 2 3 4 3" xfId="6941"/>
    <cellStyle name="Normal 67 2 3 5" xfId="3450"/>
    <cellStyle name="Normal 67 2 3 5 2" xfId="5535"/>
    <cellStyle name="Normal 67 2 3 5 2 2" xfId="9686"/>
    <cellStyle name="Normal 67 2 3 5 3" xfId="7613"/>
    <cellStyle name="Normal 67 2 3 6" xfId="4169"/>
    <cellStyle name="Normal 67 2 3 6 2" xfId="8321"/>
    <cellStyle name="Normal 67 2 3 7" xfId="6248"/>
    <cellStyle name="Normal 67 2 4" xfId="2126"/>
    <cellStyle name="Normal 67 2 4 2" xfId="2299"/>
    <cellStyle name="Normal 67 2 4 2 2" xfId="2640"/>
    <cellStyle name="Normal 67 2 4 2 2 2" xfId="3365"/>
    <cellStyle name="Normal 67 2 4 2 2 2 2" xfId="5451"/>
    <cellStyle name="Normal 67 2 4 2 2 2 2 2" xfId="9602"/>
    <cellStyle name="Normal 67 2 4 2 2 2 3" xfId="7529"/>
    <cellStyle name="Normal 67 2 4 2 2 3" xfId="4038"/>
    <cellStyle name="Normal 67 2 4 2 2 3 2" xfId="6123"/>
    <cellStyle name="Normal 67 2 4 2 2 3 2 2" xfId="10274"/>
    <cellStyle name="Normal 67 2 4 2 2 3 3" xfId="8201"/>
    <cellStyle name="Normal 67 2 4 2 2 4" xfId="4757"/>
    <cellStyle name="Normal 67 2 4 2 2 4 2" xfId="8909"/>
    <cellStyle name="Normal 67 2 4 2 2 5" xfId="6836"/>
    <cellStyle name="Normal 67 2 4 2 3" xfId="3029"/>
    <cellStyle name="Normal 67 2 4 2 3 2" xfId="5115"/>
    <cellStyle name="Normal 67 2 4 2 3 2 2" xfId="9266"/>
    <cellStyle name="Normal 67 2 4 2 3 3" xfId="7193"/>
    <cellStyle name="Normal 67 2 4 2 4" xfId="3702"/>
    <cellStyle name="Normal 67 2 4 2 4 2" xfId="5787"/>
    <cellStyle name="Normal 67 2 4 2 4 2 2" xfId="9938"/>
    <cellStyle name="Normal 67 2 4 2 4 3" xfId="7865"/>
    <cellStyle name="Normal 67 2 4 2 5" xfId="4421"/>
    <cellStyle name="Normal 67 2 4 2 5 2" xfId="8573"/>
    <cellStyle name="Normal 67 2 4 2 6" xfId="6500"/>
    <cellStyle name="Normal 67 2 4 3" xfId="2472"/>
    <cellStyle name="Normal 67 2 4 3 2" xfId="3197"/>
    <cellStyle name="Normal 67 2 4 3 2 2" xfId="5283"/>
    <cellStyle name="Normal 67 2 4 3 2 2 2" xfId="9434"/>
    <cellStyle name="Normal 67 2 4 3 2 3" xfId="7361"/>
    <cellStyle name="Normal 67 2 4 3 3" xfId="3870"/>
    <cellStyle name="Normal 67 2 4 3 3 2" xfId="5955"/>
    <cellStyle name="Normal 67 2 4 3 3 2 2" xfId="10106"/>
    <cellStyle name="Normal 67 2 4 3 3 3" xfId="8033"/>
    <cellStyle name="Normal 67 2 4 3 4" xfId="4589"/>
    <cellStyle name="Normal 67 2 4 3 4 2" xfId="8741"/>
    <cellStyle name="Normal 67 2 4 3 5" xfId="6668"/>
    <cellStyle name="Normal 67 2 4 4" xfId="2861"/>
    <cellStyle name="Normal 67 2 4 4 2" xfId="4947"/>
    <cellStyle name="Normal 67 2 4 4 2 2" xfId="9098"/>
    <cellStyle name="Normal 67 2 4 4 3" xfId="7025"/>
    <cellStyle name="Normal 67 2 4 5" xfId="3534"/>
    <cellStyle name="Normal 67 2 4 5 2" xfId="5619"/>
    <cellStyle name="Normal 67 2 4 5 2 2" xfId="9770"/>
    <cellStyle name="Normal 67 2 4 5 3" xfId="7697"/>
    <cellStyle name="Normal 67 2 4 6" xfId="4253"/>
    <cellStyle name="Normal 67 2 4 6 2" xfId="8405"/>
    <cellStyle name="Normal 67 2 4 7" xfId="6332"/>
    <cellStyle name="Normal 67 2 5" xfId="2172"/>
    <cellStyle name="Normal 67 2 5 2" xfId="2514"/>
    <cellStyle name="Normal 67 2 5 2 2" xfId="3239"/>
    <cellStyle name="Normal 67 2 5 2 2 2" xfId="5325"/>
    <cellStyle name="Normal 67 2 5 2 2 2 2" xfId="9476"/>
    <cellStyle name="Normal 67 2 5 2 2 3" xfId="7403"/>
    <cellStyle name="Normal 67 2 5 2 3" xfId="3912"/>
    <cellStyle name="Normal 67 2 5 2 3 2" xfId="5997"/>
    <cellStyle name="Normal 67 2 5 2 3 2 2" xfId="10148"/>
    <cellStyle name="Normal 67 2 5 2 3 3" xfId="8075"/>
    <cellStyle name="Normal 67 2 5 2 4" xfId="4631"/>
    <cellStyle name="Normal 67 2 5 2 4 2" xfId="8783"/>
    <cellStyle name="Normal 67 2 5 2 5" xfId="6710"/>
    <cellStyle name="Normal 67 2 5 3" xfId="2903"/>
    <cellStyle name="Normal 67 2 5 3 2" xfId="4989"/>
    <cellStyle name="Normal 67 2 5 3 2 2" xfId="9140"/>
    <cellStyle name="Normal 67 2 5 3 3" xfId="7067"/>
    <cellStyle name="Normal 67 2 5 4" xfId="3576"/>
    <cellStyle name="Normal 67 2 5 4 2" xfId="5661"/>
    <cellStyle name="Normal 67 2 5 4 2 2" xfId="9812"/>
    <cellStyle name="Normal 67 2 5 4 3" xfId="7739"/>
    <cellStyle name="Normal 67 2 5 5" xfId="4295"/>
    <cellStyle name="Normal 67 2 5 5 2" xfId="8447"/>
    <cellStyle name="Normal 67 2 5 6" xfId="6374"/>
    <cellStyle name="Normal 67 2 6" xfId="2345"/>
    <cellStyle name="Normal 67 2 6 2" xfId="3071"/>
    <cellStyle name="Normal 67 2 6 2 2" xfId="5157"/>
    <cellStyle name="Normal 67 2 6 2 2 2" xfId="9308"/>
    <cellStyle name="Normal 67 2 6 2 3" xfId="7235"/>
    <cellStyle name="Normal 67 2 6 3" xfId="3744"/>
    <cellStyle name="Normal 67 2 6 3 2" xfId="5829"/>
    <cellStyle name="Normal 67 2 6 3 2 2" xfId="9980"/>
    <cellStyle name="Normal 67 2 6 3 3" xfId="7907"/>
    <cellStyle name="Normal 67 2 6 4" xfId="4463"/>
    <cellStyle name="Normal 67 2 6 4 2" xfId="8615"/>
    <cellStyle name="Normal 67 2 6 5" xfId="6542"/>
    <cellStyle name="Normal 67 2 7" xfId="2735"/>
    <cellStyle name="Normal 67 2 7 2" xfId="4821"/>
    <cellStyle name="Normal 67 2 7 2 2" xfId="8972"/>
    <cellStyle name="Normal 67 2 7 3" xfId="6899"/>
    <cellStyle name="Normal 67 2 8" xfId="3408"/>
    <cellStyle name="Normal 67 2 8 2" xfId="5493"/>
    <cellStyle name="Normal 67 2 8 2 2" xfId="9644"/>
    <cellStyle name="Normal 67 2 8 3" xfId="7571"/>
    <cellStyle name="Normal 67 2 9" xfId="4126"/>
    <cellStyle name="Normal 67 2 9 2" xfId="8279"/>
    <cellStyle name="Normal 67 3" xfId="2029"/>
    <cellStyle name="Normal 67 3 2" xfId="2236"/>
    <cellStyle name="Normal 67 3 2 2" xfId="2577"/>
    <cellStyle name="Normal 67 3 2 2 2" xfId="3302"/>
    <cellStyle name="Normal 67 3 2 2 2 2" xfId="5388"/>
    <cellStyle name="Normal 67 3 2 2 2 2 2" xfId="9539"/>
    <cellStyle name="Normal 67 3 2 2 2 3" xfId="7466"/>
    <cellStyle name="Normal 67 3 2 2 3" xfId="3975"/>
    <cellStyle name="Normal 67 3 2 2 3 2" xfId="6060"/>
    <cellStyle name="Normal 67 3 2 2 3 2 2" xfId="10211"/>
    <cellStyle name="Normal 67 3 2 2 3 3" xfId="8138"/>
    <cellStyle name="Normal 67 3 2 2 4" xfId="4694"/>
    <cellStyle name="Normal 67 3 2 2 4 2" xfId="8846"/>
    <cellStyle name="Normal 67 3 2 2 5" xfId="6773"/>
    <cellStyle name="Normal 67 3 2 3" xfId="2966"/>
    <cellStyle name="Normal 67 3 2 3 2" xfId="5052"/>
    <cellStyle name="Normal 67 3 2 3 2 2" xfId="9203"/>
    <cellStyle name="Normal 67 3 2 3 3" xfId="7130"/>
    <cellStyle name="Normal 67 3 2 4" xfId="3639"/>
    <cellStyle name="Normal 67 3 2 4 2" xfId="5724"/>
    <cellStyle name="Normal 67 3 2 4 2 2" xfId="9875"/>
    <cellStyle name="Normal 67 3 2 4 3" xfId="7802"/>
    <cellStyle name="Normal 67 3 2 5" xfId="4358"/>
    <cellStyle name="Normal 67 3 2 5 2" xfId="8510"/>
    <cellStyle name="Normal 67 3 2 6" xfId="6437"/>
    <cellStyle name="Normal 67 3 3" xfId="2409"/>
    <cellStyle name="Normal 67 3 3 2" xfId="3134"/>
    <cellStyle name="Normal 67 3 3 2 2" xfId="5220"/>
    <cellStyle name="Normal 67 3 3 2 2 2" xfId="9371"/>
    <cellStyle name="Normal 67 3 3 2 3" xfId="7298"/>
    <cellStyle name="Normal 67 3 3 3" xfId="3807"/>
    <cellStyle name="Normal 67 3 3 3 2" xfId="5892"/>
    <cellStyle name="Normal 67 3 3 3 2 2" xfId="10043"/>
    <cellStyle name="Normal 67 3 3 3 3" xfId="7970"/>
    <cellStyle name="Normal 67 3 3 4" xfId="4526"/>
    <cellStyle name="Normal 67 3 3 4 2" xfId="8678"/>
    <cellStyle name="Normal 67 3 3 5" xfId="6605"/>
    <cellStyle name="Normal 67 3 4" xfId="2798"/>
    <cellStyle name="Normal 67 3 4 2" xfId="4884"/>
    <cellStyle name="Normal 67 3 4 2 2" xfId="9035"/>
    <cellStyle name="Normal 67 3 4 3" xfId="6962"/>
    <cellStyle name="Normal 67 3 5" xfId="3471"/>
    <cellStyle name="Normal 67 3 5 2" xfId="5556"/>
    <cellStyle name="Normal 67 3 5 2 2" xfId="9707"/>
    <cellStyle name="Normal 67 3 5 3" xfId="7634"/>
    <cellStyle name="Normal 67 3 6" xfId="4190"/>
    <cellStyle name="Normal 67 3 6 2" xfId="8342"/>
    <cellStyle name="Normal 67 3 7" xfId="6269"/>
    <cellStyle name="Normal 67 4" xfId="1928"/>
    <cellStyle name="Normal 67 4 2" xfId="2194"/>
    <cellStyle name="Normal 67 4 2 2" xfId="2535"/>
    <cellStyle name="Normal 67 4 2 2 2" xfId="3260"/>
    <cellStyle name="Normal 67 4 2 2 2 2" xfId="5346"/>
    <cellStyle name="Normal 67 4 2 2 2 2 2" xfId="9497"/>
    <cellStyle name="Normal 67 4 2 2 2 3" xfId="7424"/>
    <cellStyle name="Normal 67 4 2 2 3" xfId="3933"/>
    <cellStyle name="Normal 67 4 2 2 3 2" xfId="6018"/>
    <cellStyle name="Normal 67 4 2 2 3 2 2" xfId="10169"/>
    <cellStyle name="Normal 67 4 2 2 3 3" xfId="8096"/>
    <cellStyle name="Normal 67 4 2 2 4" xfId="4652"/>
    <cellStyle name="Normal 67 4 2 2 4 2" xfId="8804"/>
    <cellStyle name="Normal 67 4 2 2 5" xfId="6731"/>
    <cellStyle name="Normal 67 4 2 3" xfId="2924"/>
    <cellStyle name="Normal 67 4 2 3 2" xfId="5010"/>
    <cellStyle name="Normal 67 4 2 3 2 2" xfId="9161"/>
    <cellStyle name="Normal 67 4 2 3 3" xfId="7088"/>
    <cellStyle name="Normal 67 4 2 4" xfId="3597"/>
    <cellStyle name="Normal 67 4 2 4 2" xfId="5682"/>
    <cellStyle name="Normal 67 4 2 4 2 2" xfId="9833"/>
    <cellStyle name="Normal 67 4 2 4 3" xfId="7760"/>
    <cellStyle name="Normal 67 4 2 5" xfId="4316"/>
    <cellStyle name="Normal 67 4 2 5 2" xfId="8468"/>
    <cellStyle name="Normal 67 4 2 6" xfId="6395"/>
    <cellStyle name="Normal 67 4 3" xfId="2366"/>
    <cellStyle name="Normal 67 4 3 2" xfId="3092"/>
    <cellStyle name="Normal 67 4 3 2 2" xfId="5178"/>
    <cellStyle name="Normal 67 4 3 2 2 2" xfId="9329"/>
    <cellStyle name="Normal 67 4 3 2 3" xfId="7256"/>
    <cellStyle name="Normal 67 4 3 3" xfId="3765"/>
    <cellStyle name="Normal 67 4 3 3 2" xfId="5850"/>
    <cellStyle name="Normal 67 4 3 3 2 2" xfId="10001"/>
    <cellStyle name="Normal 67 4 3 3 3" xfId="7928"/>
    <cellStyle name="Normal 67 4 3 4" xfId="4484"/>
    <cellStyle name="Normal 67 4 3 4 2" xfId="8636"/>
    <cellStyle name="Normal 67 4 3 5" xfId="6563"/>
    <cellStyle name="Normal 67 4 4" xfId="2756"/>
    <cellStyle name="Normal 67 4 4 2" xfId="4842"/>
    <cellStyle name="Normal 67 4 4 2 2" xfId="8993"/>
    <cellStyle name="Normal 67 4 4 3" xfId="6920"/>
    <cellStyle name="Normal 67 4 5" xfId="3429"/>
    <cellStyle name="Normal 67 4 5 2" xfId="5514"/>
    <cellStyle name="Normal 67 4 5 2 2" xfId="9665"/>
    <cellStyle name="Normal 67 4 5 3" xfId="7592"/>
    <cellStyle name="Normal 67 4 6" xfId="4148"/>
    <cellStyle name="Normal 67 4 6 2" xfId="8300"/>
    <cellStyle name="Normal 67 4 7" xfId="6227"/>
    <cellStyle name="Normal 67 5" xfId="2105"/>
    <cellStyle name="Normal 67 5 2" xfId="2278"/>
    <cellStyle name="Normal 67 5 2 2" xfId="2619"/>
    <cellStyle name="Normal 67 5 2 2 2" xfId="3344"/>
    <cellStyle name="Normal 67 5 2 2 2 2" xfId="5430"/>
    <cellStyle name="Normal 67 5 2 2 2 2 2" xfId="9581"/>
    <cellStyle name="Normal 67 5 2 2 2 3" xfId="7508"/>
    <cellStyle name="Normal 67 5 2 2 3" xfId="4017"/>
    <cellStyle name="Normal 67 5 2 2 3 2" xfId="6102"/>
    <cellStyle name="Normal 67 5 2 2 3 2 2" xfId="10253"/>
    <cellStyle name="Normal 67 5 2 2 3 3" xfId="8180"/>
    <cellStyle name="Normal 67 5 2 2 4" xfId="4736"/>
    <cellStyle name="Normal 67 5 2 2 4 2" xfId="8888"/>
    <cellStyle name="Normal 67 5 2 2 5" xfId="6815"/>
    <cellStyle name="Normal 67 5 2 3" xfId="3008"/>
    <cellStyle name="Normal 67 5 2 3 2" xfId="5094"/>
    <cellStyle name="Normal 67 5 2 3 2 2" xfId="9245"/>
    <cellStyle name="Normal 67 5 2 3 3" xfId="7172"/>
    <cellStyle name="Normal 67 5 2 4" xfId="3681"/>
    <cellStyle name="Normal 67 5 2 4 2" xfId="5766"/>
    <cellStyle name="Normal 67 5 2 4 2 2" xfId="9917"/>
    <cellStyle name="Normal 67 5 2 4 3" xfId="7844"/>
    <cellStyle name="Normal 67 5 2 5" xfId="4400"/>
    <cellStyle name="Normal 67 5 2 5 2" xfId="8552"/>
    <cellStyle name="Normal 67 5 2 6" xfId="6479"/>
    <cellStyle name="Normal 67 5 3" xfId="2451"/>
    <cellStyle name="Normal 67 5 3 2" xfId="3176"/>
    <cellStyle name="Normal 67 5 3 2 2" xfId="5262"/>
    <cellStyle name="Normal 67 5 3 2 2 2" xfId="9413"/>
    <cellStyle name="Normal 67 5 3 2 3" xfId="7340"/>
    <cellStyle name="Normal 67 5 3 3" xfId="3849"/>
    <cellStyle name="Normal 67 5 3 3 2" xfId="5934"/>
    <cellStyle name="Normal 67 5 3 3 2 2" xfId="10085"/>
    <cellStyle name="Normal 67 5 3 3 3" xfId="8012"/>
    <cellStyle name="Normal 67 5 3 4" xfId="4568"/>
    <cellStyle name="Normal 67 5 3 4 2" xfId="8720"/>
    <cellStyle name="Normal 67 5 3 5" xfId="6647"/>
    <cellStyle name="Normal 67 5 4" xfId="2840"/>
    <cellStyle name="Normal 67 5 4 2" xfId="4926"/>
    <cellStyle name="Normal 67 5 4 2 2" xfId="9077"/>
    <cellStyle name="Normal 67 5 4 3" xfId="7004"/>
    <cellStyle name="Normal 67 5 5" xfId="3513"/>
    <cellStyle name="Normal 67 5 5 2" xfId="5598"/>
    <cellStyle name="Normal 67 5 5 2 2" xfId="9749"/>
    <cellStyle name="Normal 67 5 5 3" xfId="7676"/>
    <cellStyle name="Normal 67 5 6" xfId="4232"/>
    <cellStyle name="Normal 67 5 6 2" xfId="8384"/>
    <cellStyle name="Normal 67 5 7" xfId="6311"/>
    <cellStyle name="Normal 67 6" xfId="2149"/>
    <cellStyle name="Normal 67 6 2" xfId="2493"/>
    <cellStyle name="Normal 67 6 2 2" xfId="3218"/>
    <cellStyle name="Normal 67 6 2 2 2" xfId="5304"/>
    <cellStyle name="Normal 67 6 2 2 2 2" xfId="9455"/>
    <cellStyle name="Normal 67 6 2 2 3" xfId="7382"/>
    <cellStyle name="Normal 67 6 2 3" xfId="3891"/>
    <cellStyle name="Normal 67 6 2 3 2" xfId="5976"/>
    <cellStyle name="Normal 67 6 2 3 2 2" xfId="10127"/>
    <cellStyle name="Normal 67 6 2 3 3" xfId="8054"/>
    <cellStyle name="Normal 67 6 2 4" xfId="4610"/>
    <cellStyle name="Normal 67 6 2 4 2" xfId="8762"/>
    <cellStyle name="Normal 67 6 2 5" xfId="6689"/>
    <cellStyle name="Normal 67 6 3" xfId="2882"/>
    <cellStyle name="Normal 67 6 3 2" xfId="4968"/>
    <cellStyle name="Normal 67 6 3 2 2" xfId="9119"/>
    <cellStyle name="Normal 67 6 3 3" xfId="7046"/>
    <cellStyle name="Normal 67 6 4" xfId="3555"/>
    <cellStyle name="Normal 67 6 4 2" xfId="5640"/>
    <cellStyle name="Normal 67 6 4 2 2" xfId="9791"/>
    <cellStyle name="Normal 67 6 4 3" xfId="7718"/>
    <cellStyle name="Normal 67 6 5" xfId="4274"/>
    <cellStyle name="Normal 67 6 5 2" xfId="8426"/>
    <cellStyle name="Normal 67 6 6" xfId="6353"/>
    <cellStyle name="Normal 67 7" xfId="2323"/>
    <cellStyle name="Normal 67 7 2" xfId="3050"/>
    <cellStyle name="Normal 67 7 2 2" xfId="5136"/>
    <cellStyle name="Normal 67 7 2 2 2" xfId="9287"/>
    <cellStyle name="Normal 67 7 2 3" xfId="7214"/>
    <cellStyle name="Normal 67 7 3" xfId="3723"/>
    <cellStyle name="Normal 67 7 3 2" xfId="5808"/>
    <cellStyle name="Normal 67 7 3 2 2" xfId="9959"/>
    <cellStyle name="Normal 67 7 3 3" xfId="7886"/>
    <cellStyle name="Normal 67 7 4" xfId="4442"/>
    <cellStyle name="Normal 67 7 4 2" xfId="8594"/>
    <cellStyle name="Normal 67 7 5" xfId="6521"/>
    <cellStyle name="Normal 67 8" xfId="2713"/>
    <cellStyle name="Normal 67 8 2" xfId="4800"/>
    <cellStyle name="Normal 67 8 2 2" xfId="8951"/>
    <cellStyle name="Normal 67 8 3" xfId="6878"/>
    <cellStyle name="Normal 67 9" xfId="3387"/>
    <cellStyle name="Normal 67 9 2" xfId="5472"/>
    <cellStyle name="Normal 67 9 2 2" xfId="9623"/>
    <cellStyle name="Normal 67 9 3" xfId="7550"/>
    <cellStyle name="Normal 68" xfId="779"/>
    <cellStyle name="Normal 68 10" xfId="4103"/>
    <cellStyle name="Normal 68 10 2" xfId="8259"/>
    <cellStyle name="Normal 68 11" xfId="6186"/>
    <cellStyle name="Normal 68 2" xfId="1655"/>
    <cellStyle name="Normal 68 2 10" xfId="6207"/>
    <cellStyle name="Normal 68 2 2" xfId="2084"/>
    <cellStyle name="Normal 68 2 2 2" xfId="2258"/>
    <cellStyle name="Normal 68 2 2 2 2" xfId="2599"/>
    <cellStyle name="Normal 68 2 2 2 2 2" xfId="3324"/>
    <cellStyle name="Normal 68 2 2 2 2 2 2" xfId="5410"/>
    <cellStyle name="Normal 68 2 2 2 2 2 2 2" xfId="9561"/>
    <cellStyle name="Normal 68 2 2 2 2 2 3" xfId="7488"/>
    <cellStyle name="Normal 68 2 2 2 2 3" xfId="3997"/>
    <cellStyle name="Normal 68 2 2 2 2 3 2" xfId="6082"/>
    <cellStyle name="Normal 68 2 2 2 2 3 2 2" xfId="10233"/>
    <cellStyle name="Normal 68 2 2 2 2 3 3" xfId="8160"/>
    <cellStyle name="Normal 68 2 2 2 2 4" xfId="4716"/>
    <cellStyle name="Normal 68 2 2 2 2 4 2" xfId="8868"/>
    <cellStyle name="Normal 68 2 2 2 2 5" xfId="6795"/>
    <cellStyle name="Normal 68 2 2 2 3" xfId="2988"/>
    <cellStyle name="Normal 68 2 2 2 3 2" xfId="5074"/>
    <cellStyle name="Normal 68 2 2 2 3 2 2" xfId="9225"/>
    <cellStyle name="Normal 68 2 2 2 3 3" xfId="7152"/>
    <cellStyle name="Normal 68 2 2 2 4" xfId="3661"/>
    <cellStyle name="Normal 68 2 2 2 4 2" xfId="5746"/>
    <cellStyle name="Normal 68 2 2 2 4 2 2" xfId="9897"/>
    <cellStyle name="Normal 68 2 2 2 4 3" xfId="7824"/>
    <cellStyle name="Normal 68 2 2 2 5" xfId="4380"/>
    <cellStyle name="Normal 68 2 2 2 5 2" xfId="8532"/>
    <cellStyle name="Normal 68 2 2 2 6" xfId="6459"/>
    <cellStyle name="Normal 68 2 2 3" xfId="2431"/>
    <cellStyle name="Normal 68 2 2 3 2" xfId="3156"/>
    <cellStyle name="Normal 68 2 2 3 2 2" xfId="5242"/>
    <cellStyle name="Normal 68 2 2 3 2 2 2" xfId="9393"/>
    <cellStyle name="Normal 68 2 2 3 2 3" xfId="7320"/>
    <cellStyle name="Normal 68 2 2 3 3" xfId="3829"/>
    <cellStyle name="Normal 68 2 2 3 3 2" xfId="5914"/>
    <cellStyle name="Normal 68 2 2 3 3 2 2" xfId="10065"/>
    <cellStyle name="Normal 68 2 2 3 3 3" xfId="7992"/>
    <cellStyle name="Normal 68 2 2 3 4" xfId="4548"/>
    <cellStyle name="Normal 68 2 2 3 4 2" xfId="8700"/>
    <cellStyle name="Normal 68 2 2 3 5" xfId="6627"/>
    <cellStyle name="Normal 68 2 2 4" xfId="2820"/>
    <cellStyle name="Normal 68 2 2 4 2" xfId="4906"/>
    <cellStyle name="Normal 68 2 2 4 2 2" xfId="9057"/>
    <cellStyle name="Normal 68 2 2 4 3" xfId="6984"/>
    <cellStyle name="Normal 68 2 2 5" xfId="3493"/>
    <cellStyle name="Normal 68 2 2 5 2" xfId="5578"/>
    <cellStyle name="Normal 68 2 2 5 2 2" xfId="9729"/>
    <cellStyle name="Normal 68 2 2 5 3" xfId="7656"/>
    <cellStyle name="Normal 68 2 2 6" xfId="4212"/>
    <cellStyle name="Normal 68 2 2 6 2" xfId="8364"/>
    <cellStyle name="Normal 68 2 2 7" xfId="6291"/>
    <cellStyle name="Normal 68 2 3" xfId="1985"/>
    <cellStyle name="Normal 68 2 3 2" xfId="2216"/>
    <cellStyle name="Normal 68 2 3 2 2" xfId="2557"/>
    <cellStyle name="Normal 68 2 3 2 2 2" xfId="3282"/>
    <cellStyle name="Normal 68 2 3 2 2 2 2" xfId="5368"/>
    <cellStyle name="Normal 68 2 3 2 2 2 2 2" xfId="9519"/>
    <cellStyle name="Normal 68 2 3 2 2 2 3" xfId="7446"/>
    <cellStyle name="Normal 68 2 3 2 2 3" xfId="3955"/>
    <cellStyle name="Normal 68 2 3 2 2 3 2" xfId="6040"/>
    <cellStyle name="Normal 68 2 3 2 2 3 2 2" xfId="10191"/>
    <cellStyle name="Normal 68 2 3 2 2 3 3" xfId="8118"/>
    <cellStyle name="Normal 68 2 3 2 2 4" xfId="4674"/>
    <cellStyle name="Normal 68 2 3 2 2 4 2" xfId="8826"/>
    <cellStyle name="Normal 68 2 3 2 2 5" xfId="6753"/>
    <cellStyle name="Normal 68 2 3 2 3" xfId="2946"/>
    <cellStyle name="Normal 68 2 3 2 3 2" xfId="5032"/>
    <cellStyle name="Normal 68 2 3 2 3 2 2" xfId="9183"/>
    <cellStyle name="Normal 68 2 3 2 3 3" xfId="7110"/>
    <cellStyle name="Normal 68 2 3 2 4" xfId="3619"/>
    <cellStyle name="Normal 68 2 3 2 4 2" xfId="5704"/>
    <cellStyle name="Normal 68 2 3 2 4 2 2" xfId="9855"/>
    <cellStyle name="Normal 68 2 3 2 4 3" xfId="7782"/>
    <cellStyle name="Normal 68 2 3 2 5" xfId="4338"/>
    <cellStyle name="Normal 68 2 3 2 5 2" xfId="8490"/>
    <cellStyle name="Normal 68 2 3 2 6" xfId="6417"/>
    <cellStyle name="Normal 68 2 3 3" xfId="2388"/>
    <cellStyle name="Normal 68 2 3 3 2" xfId="3114"/>
    <cellStyle name="Normal 68 2 3 3 2 2" xfId="5200"/>
    <cellStyle name="Normal 68 2 3 3 2 2 2" xfId="9351"/>
    <cellStyle name="Normal 68 2 3 3 2 3" xfId="7278"/>
    <cellStyle name="Normal 68 2 3 3 3" xfId="3787"/>
    <cellStyle name="Normal 68 2 3 3 3 2" xfId="5872"/>
    <cellStyle name="Normal 68 2 3 3 3 2 2" xfId="10023"/>
    <cellStyle name="Normal 68 2 3 3 3 3" xfId="7950"/>
    <cellStyle name="Normal 68 2 3 3 4" xfId="4506"/>
    <cellStyle name="Normal 68 2 3 3 4 2" xfId="8658"/>
    <cellStyle name="Normal 68 2 3 3 5" xfId="6585"/>
    <cellStyle name="Normal 68 2 3 4" xfId="2778"/>
    <cellStyle name="Normal 68 2 3 4 2" xfId="4864"/>
    <cellStyle name="Normal 68 2 3 4 2 2" xfId="9015"/>
    <cellStyle name="Normal 68 2 3 4 3" xfId="6942"/>
    <cellStyle name="Normal 68 2 3 5" xfId="3451"/>
    <cellStyle name="Normal 68 2 3 5 2" xfId="5536"/>
    <cellStyle name="Normal 68 2 3 5 2 2" xfId="9687"/>
    <cellStyle name="Normal 68 2 3 5 3" xfId="7614"/>
    <cellStyle name="Normal 68 2 3 6" xfId="4170"/>
    <cellStyle name="Normal 68 2 3 6 2" xfId="8322"/>
    <cellStyle name="Normal 68 2 3 7" xfId="6249"/>
    <cellStyle name="Normal 68 2 4" xfId="2127"/>
    <cellStyle name="Normal 68 2 4 2" xfId="2300"/>
    <cellStyle name="Normal 68 2 4 2 2" xfId="2641"/>
    <cellStyle name="Normal 68 2 4 2 2 2" xfId="3366"/>
    <cellStyle name="Normal 68 2 4 2 2 2 2" xfId="5452"/>
    <cellStyle name="Normal 68 2 4 2 2 2 2 2" xfId="9603"/>
    <cellStyle name="Normal 68 2 4 2 2 2 3" xfId="7530"/>
    <cellStyle name="Normal 68 2 4 2 2 3" xfId="4039"/>
    <cellStyle name="Normal 68 2 4 2 2 3 2" xfId="6124"/>
    <cellStyle name="Normal 68 2 4 2 2 3 2 2" xfId="10275"/>
    <cellStyle name="Normal 68 2 4 2 2 3 3" xfId="8202"/>
    <cellStyle name="Normal 68 2 4 2 2 4" xfId="4758"/>
    <cellStyle name="Normal 68 2 4 2 2 4 2" xfId="8910"/>
    <cellStyle name="Normal 68 2 4 2 2 5" xfId="6837"/>
    <cellStyle name="Normal 68 2 4 2 3" xfId="3030"/>
    <cellStyle name="Normal 68 2 4 2 3 2" xfId="5116"/>
    <cellStyle name="Normal 68 2 4 2 3 2 2" xfId="9267"/>
    <cellStyle name="Normal 68 2 4 2 3 3" xfId="7194"/>
    <cellStyle name="Normal 68 2 4 2 4" xfId="3703"/>
    <cellStyle name="Normal 68 2 4 2 4 2" xfId="5788"/>
    <cellStyle name="Normal 68 2 4 2 4 2 2" xfId="9939"/>
    <cellStyle name="Normal 68 2 4 2 4 3" xfId="7866"/>
    <cellStyle name="Normal 68 2 4 2 5" xfId="4422"/>
    <cellStyle name="Normal 68 2 4 2 5 2" xfId="8574"/>
    <cellStyle name="Normal 68 2 4 2 6" xfId="6501"/>
    <cellStyle name="Normal 68 2 4 3" xfId="2473"/>
    <cellStyle name="Normal 68 2 4 3 2" xfId="3198"/>
    <cellStyle name="Normal 68 2 4 3 2 2" xfId="5284"/>
    <cellStyle name="Normal 68 2 4 3 2 2 2" xfId="9435"/>
    <cellStyle name="Normal 68 2 4 3 2 3" xfId="7362"/>
    <cellStyle name="Normal 68 2 4 3 3" xfId="3871"/>
    <cellStyle name="Normal 68 2 4 3 3 2" xfId="5956"/>
    <cellStyle name="Normal 68 2 4 3 3 2 2" xfId="10107"/>
    <cellStyle name="Normal 68 2 4 3 3 3" xfId="8034"/>
    <cellStyle name="Normal 68 2 4 3 4" xfId="4590"/>
    <cellStyle name="Normal 68 2 4 3 4 2" xfId="8742"/>
    <cellStyle name="Normal 68 2 4 3 5" xfId="6669"/>
    <cellStyle name="Normal 68 2 4 4" xfId="2862"/>
    <cellStyle name="Normal 68 2 4 4 2" xfId="4948"/>
    <cellStyle name="Normal 68 2 4 4 2 2" xfId="9099"/>
    <cellStyle name="Normal 68 2 4 4 3" xfId="7026"/>
    <cellStyle name="Normal 68 2 4 5" xfId="3535"/>
    <cellStyle name="Normal 68 2 4 5 2" xfId="5620"/>
    <cellStyle name="Normal 68 2 4 5 2 2" xfId="9771"/>
    <cellStyle name="Normal 68 2 4 5 3" xfId="7698"/>
    <cellStyle name="Normal 68 2 4 6" xfId="4254"/>
    <cellStyle name="Normal 68 2 4 6 2" xfId="8406"/>
    <cellStyle name="Normal 68 2 4 7" xfId="6333"/>
    <cellStyle name="Normal 68 2 5" xfId="2173"/>
    <cellStyle name="Normal 68 2 5 2" xfId="2515"/>
    <cellStyle name="Normal 68 2 5 2 2" xfId="3240"/>
    <cellStyle name="Normal 68 2 5 2 2 2" xfId="5326"/>
    <cellStyle name="Normal 68 2 5 2 2 2 2" xfId="9477"/>
    <cellStyle name="Normal 68 2 5 2 2 3" xfId="7404"/>
    <cellStyle name="Normal 68 2 5 2 3" xfId="3913"/>
    <cellStyle name="Normal 68 2 5 2 3 2" xfId="5998"/>
    <cellStyle name="Normal 68 2 5 2 3 2 2" xfId="10149"/>
    <cellStyle name="Normal 68 2 5 2 3 3" xfId="8076"/>
    <cellStyle name="Normal 68 2 5 2 4" xfId="4632"/>
    <cellStyle name="Normal 68 2 5 2 4 2" xfId="8784"/>
    <cellStyle name="Normal 68 2 5 2 5" xfId="6711"/>
    <cellStyle name="Normal 68 2 5 3" xfId="2904"/>
    <cellStyle name="Normal 68 2 5 3 2" xfId="4990"/>
    <cellStyle name="Normal 68 2 5 3 2 2" xfId="9141"/>
    <cellStyle name="Normal 68 2 5 3 3" xfId="7068"/>
    <cellStyle name="Normal 68 2 5 4" xfId="3577"/>
    <cellStyle name="Normal 68 2 5 4 2" xfId="5662"/>
    <cellStyle name="Normal 68 2 5 4 2 2" xfId="9813"/>
    <cellStyle name="Normal 68 2 5 4 3" xfId="7740"/>
    <cellStyle name="Normal 68 2 5 5" xfId="4296"/>
    <cellStyle name="Normal 68 2 5 5 2" xfId="8448"/>
    <cellStyle name="Normal 68 2 5 6" xfId="6375"/>
    <cellStyle name="Normal 68 2 6" xfId="2346"/>
    <cellStyle name="Normal 68 2 6 2" xfId="3072"/>
    <cellStyle name="Normal 68 2 6 2 2" xfId="5158"/>
    <cellStyle name="Normal 68 2 6 2 2 2" xfId="9309"/>
    <cellStyle name="Normal 68 2 6 2 3" xfId="7236"/>
    <cellStyle name="Normal 68 2 6 3" xfId="3745"/>
    <cellStyle name="Normal 68 2 6 3 2" xfId="5830"/>
    <cellStyle name="Normal 68 2 6 3 2 2" xfId="9981"/>
    <cellStyle name="Normal 68 2 6 3 3" xfId="7908"/>
    <cellStyle name="Normal 68 2 6 4" xfId="4464"/>
    <cellStyle name="Normal 68 2 6 4 2" xfId="8616"/>
    <cellStyle name="Normal 68 2 6 5" xfId="6543"/>
    <cellStyle name="Normal 68 2 7" xfId="2736"/>
    <cellStyle name="Normal 68 2 7 2" xfId="4822"/>
    <cellStyle name="Normal 68 2 7 2 2" xfId="8973"/>
    <cellStyle name="Normal 68 2 7 3" xfId="6900"/>
    <cellStyle name="Normal 68 2 8" xfId="3409"/>
    <cellStyle name="Normal 68 2 8 2" xfId="5494"/>
    <cellStyle name="Normal 68 2 8 2 2" xfId="9645"/>
    <cellStyle name="Normal 68 2 8 3" xfId="7572"/>
    <cellStyle name="Normal 68 2 9" xfId="4127"/>
    <cellStyle name="Normal 68 2 9 2" xfId="8280"/>
    <cellStyle name="Normal 68 3" xfId="2030"/>
    <cellStyle name="Normal 68 3 2" xfId="2237"/>
    <cellStyle name="Normal 68 3 2 2" xfId="2578"/>
    <cellStyle name="Normal 68 3 2 2 2" xfId="3303"/>
    <cellStyle name="Normal 68 3 2 2 2 2" xfId="5389"/>
    <cellStyle name="Normal 68 3 2 2 2 2 2" xfId="9540"/>
    <cellStyle name="Normal 68 3 2 2 2 3" xfId="7467"/>
    <cellStyle name="Normal 68 3 2 2 3" xfId="3976"/>
    <cellStyle name="Normal 68 3 2 2 3 2" xfId="6061"/>
    <cellStyle name="Normal 68 3 2 2 3 2 2" xfId="10212"/>
    <cellStyle name="Normal 68 3 2 2 3 3" xfId="8139"/>
    <cellStyle name="Normal 68 3 2 2 4" xfId="4695"/>
    <cellStyle name="Normal 68 3 2 2 4 2" xfId="8847"/>
    <cellStyle name="Normal 68 3 2 2 5" xfId="6774"/>
    <cellStyle name="Normal 68 3 2 3" xfId="2967"/>
    <cellStyle name="Normal 68 3 2 3 2" xfId="5053"/>
    <cellStyle name="Normal 68 3 2 3 2 2" xfId="9204"/>
    <cellStyle name="Normal 68 3 2 3 3" xfId="7131"/>
    <cellStyle name="Normal 68 3 2 4" xfId="3640"/>
    <cellStyle name="Normal 68 3 2 4 2" xfId="5725"/>
    <cellStyle name="Normal 68 3 2 4 2 2" xfId="9876"/>
    <cellStyle name="Normal 68 3 2 4 3" xfId="7803"/>
    <cellStyle name="Normal 68 3 2 5" xfId="4359"/>
    <cellStyle name="Normal 68 3 2 5 2" xfId="8511"/>
    <cellStyle name="Normal 68 3 2 6" xfId="6438"/>
    <cellStyle name="Normal 68 3 3" xfId="2410"/>
    <cellStyle name="Normal 68 3 3 2" xfId="3135"/>
    <cellStyle name="Normal 68 3 3 2 2" xfId="5221"/>
    <cellStyle name="Normal 68 3 3 2 2 2" xfId="9372"/>
    <cellStyle name="Normal 68 3 3 2 3" xfId="7299"/>
    <cellStyle name="Normal 68 3 3 3" xfId="3808"/>
    <cellStyle name="Normal 68 3 3 3 2" xfId="5893"/>
    <cellStyle name="Normal 68 3 3 3 2 2" xfId="10044"/>
    <cellStyle name="Normal 68 3 3 3 3" xfId="7971"/>
    <cellStyle name="Normal 68 3 3 4" xfId="4527"/>
    <cellStyle name="Normal 68 3 3 4 2" xfId="8679"/>
    <cellStyle name="Normal 68 3 3 5" xfId="6606"/>
    <cellStyle name="Normal 68 3 4" xfId="2799"/>
    <cellStyle name="Normal 68 3 4 2" xfId="4885"/>
    <cellStyle name="Normal 68 3 4 2 2" xfId="9036"/>
    <cellStyle name="Normal 68 3 4 3" xfId="6963"/>
    <cellStyle name="Normal 68 3 5" xfId="3472"/>
    <cellStyle name="Normal 68 3 5 2" xfId="5557"/>
    <cellStyle name="Normal 68 3 5 2 2" xfId="9708"/>
    <cellStyle name="Normal 68 3 5 3" xfId="7635"/>
    <cellStyle name="Normal 68 3 6" xfId="4191"/>
    <cellStyle name="Normal 68 3 6 2" xfId="8343"/>
    <cellStyle name="Normal 68 3 7" xfId="6270"/>
    <cellStyle name="Normal 68 4" xfId="1929"/>
    <cellStyle name="Normal 68 4 2" xfId="2195"/>
    <cellStyle name="Normal 68 4 2 2" xfId="2536"/>
    <cellStyle name="Normal 68 4 2 2 2" xfId="3261"/>
    <cellStyle name="Normal 68 4 2 2 2 2" xfId="5347"/>
    <cellStyle name="Normal 68 4 2 2 2 2 2" xfId="9498"/>
    <cellStyle name="Normal 68 4 2 2 2 3" xfId="7425"/>
    <cellStyle name="Normal 68 4 2 2 3" xfId="3934"/>
    <cellStyle name="Normal 68 4 2 2 3 2" xfId="6019"/>
    <cellStyle name="Normal 68 4 2 2 3 2 2" xfId="10170"/>
    <cellStyle name="Normal 68 4 2 2 3 3" xfId="8097"/>
    <cellStyle name="Normal 68 4 2 2 4" xfId="4653"/>
    <cellStyle name="Normal 68 4 2 2 4 2" xfId="8805"/>
    <cellStyle name="Normal 68 4 2 2 5" xfId="6732"/>
    <cellStyle name="Normal 68 4 2 3" xfId="2925"/>
    <cellStyle name="Normal 68 4 2 3 2" xfId="5011"/>
    <cellStyle name="Normal 68 4 2 3 2 2" xfId="9162"/>
    <cellStyle name="Normal 68 4 2 3 3" xfId="7089"/>
    <cellStyle name="Normal 68 4 2 4" xfId="3598"/>
    <cellStyle name="Normal 68 4 2 4 2" xfId="5683"/>
    <cellStyle name="Normal 68 4 2 4 2 2" xfId="9834"/>
    <cellStyle name="Normal 68 4 2 4 3" xfId="7761"/>
    <cellStyle name="Normal 68 4 2 5" xfId="4317"/>
    <cellStyle name="Normal 68 4 2 5 2" xfId="8469"/>
    <cellStyle name="Normal 68 4 2 6" xfId="6396"/>
    <cellStyle name="Normal 68 4 3" xfId="2367"/>
    <cellStyle name="Normal 68 4 3 2" xfId="3093"/>
    <cellStyle name="Normal 68 4 3 2 2" xfId="5179"/>
    <cellStyle name="Normal 68 4 3 2 2 2" xfId="9330"/>
    <cellStyle name="Normal 68 4 3 2 3" xfId="7257"/>
    <cellStyle name="Normal 68 4 3 3" xfId="3766"/>
    <cellStyle name="Normal 68 4 3 3 2" xfId="5851"/>
    <cellStyle name="Normal 68 4 3 3 2 2" xfId="10002"/>
    <cellStyle name="Normal 68 4 3 3 3" xfId="7929"/>
    <cellStyle name="Normal 68 4 3 4" xfId="4485"/>
    <cellStyle name="Normal 68 4 3 4 2" xfId="8637"/>
    <cellStyle name="Normal 68 4 3 5" xfId="6564"/>
    <cellStyle name="Normal 68 4 4" xfId="2757"/>
    <cellStyle name="Normal 68 4 4 2" xfId="4843"/>
    <cellStyle name="Normal 68 4 4 2 2" xfId="8994"/>
    <cellStyle name="Normal 68 4 4 3" xfId="6921"/>
    <cellStyle name="Normal 68 4 5" xfId="3430"/>
    <cellStyle name="Normal 68 4 5 2" xfId="5515"/>
    <cellStyle name="Normal 68 4 5 2 2" xfId="9666"/>
    <cellStyle name="Normal 68 4 5 3" xfId="7593"/>
    <cellStyle name="Normal 68 4 6" xfId="4149"/>
    <cellStyle name="Normal 68 4 6 2" xfId="8301"/>
    <cellStyle name="Normal 68 4 7" xfId="6228"/>
    <cellStyle name="Normal 68 5" xfId="2106"/>
    <cellStyle name="Normal 68 5 2" xfId="2279"/>
    <cellStyle name="Normal 68 5 2 2" xfId="2620"/>
    <cellStyle name="Normal 68 5 2 2 2" xfId="3345"/>
    <cellStyle name="Normal 68 5 2 2 2 2" xfId="5431"/>
    <cellStyle name="Normal 68 5 2 2 2 2 2" xfId="9582"/>
    <cellStyle name="Normal 68 5 2 2 2 3" xfId="7509"/>
    <cellStyle name="Normal 68 5 2 2 3" xfId="4018"/>
    <cellStyle name="Normal 68 5 2 2 3 2" xfId="6103"/>
    <cellStyle name="Normal 68 5 2 2 3 2 2" xfId="10254"/>
    <cellStyle name="Normal 68 5 2 2 3 3" xfId="8181"/>
    <cellStyle name="Normal 68 5 2 2 4" xfId="4737"/>
    <cellStyle name="Normal 68 5 2 2 4 2" xfId="8889"/>
    <cellStyle name="Normal 68 5 2 2 5" xfId="6816"/>
    <cellStyle name="Normal 68 5 2 3" xfId="3009"/>
    <cellStyle name="Normal 68 5 2 3 2" xfId="5095"/>
    <cellStyle name="Normal 68 5 2 3 2 2" xfId="9246"/>
    <cellStyle name="Normal 68 5 2 3 3" xfId="7173"/>
    <cellStyle name="Normal 68 5 2 4" xfId="3682"/>
    <cellStyle name="Normal 68 5 2 4 2" xfId="5767"/>
    <cellStyle name="Normal 68 5 2 4 2 2" xfId="9918"/>
    <cellStyle name="Normal 68 5 2 4 3" xfId="7845"/>
    <cellStyle name="Normal 68 5 2 5" xfId="4401"/>
    <cellStyle name="Normal 68 5 2 5 2" xfId="8553"/>
    <cellStyle name="Normal 68 5 2 6" xfId="6480"/>
    <cellStyle name="Normal 68 5 3" xfId="2452"/>
    <cellStyle name="Normal 68 5 3 2" xfId="3177"/>
    <cellStyle name="Normal 68 5 3 2 2" xfId="5263"/>
    <cellStyle name="Normal 68 5 3 2 2 2" xfId="9414"/>
    <cellStyle name="Normal 68 5 3 2 3" xfId="7341"/>
    <cellStyle name="Normal 68 5 3 3" xfId="3850"/>
    <cellStyle name="Normal 68 5 3 3 2" xfId="5935"/>
    <cellStyle name="Normal 68 5 3 3 2 2" xfId="10086"/>
    <cellStyle name="Normal 68 5 3 3 3" xfId="8013"/>
    <cellStyle name="Normal 68 5 3 4" xfId="4569"/>
    <cellStyle name="Normal 68 5 3 4 2" xfId="8721"/>
    <cellStyle name="Normal 68 5 3 5" xfId="6648"/>
    <cellStyle name="Normal 68 5 4" xfId="2841"/>
    <cellStyle name="Normal 68 5 4 2" xfId="4927"/>
    <cellStyle name="Normal 68 5 4 2 2" xfId="9078"/>
    <cellStyle name="Normal 68 5 4 3" xfId="7005"/>
    <cellStyle name="Normal 68 5 5" xfId="3514"/>
    <cellStyle name="Normal 68 5 5 2" xfId="5599"/>
    <cellStyle name="Normal 68 5 5 2 2" xfId="9750"/>
    <cellStyle name="Normal 68 5 5 3" xfId="7677"/>
    <cellStyle name="Normal 68 5 6" xfId="4233"/>
    <cellStyle name="Normal 68 5 6 2" xfId="8385"/>
    <cellStyle name="Normal 68 5 7" xfId="6312"/>
    <cellStyle name="Normal 68 6" xfId="2150"/>
    <cellStyle name="Normal 68 6 2" xfId="2494"/>
    <cellStyle name="Normal 68 6 2 2" xfId="3219"/>
    <cellStyle name="Normal 68 6 2 2 2" xfId="5305"/>
    <cellStyle name="Normal 68 6 2 2 2 2" xfId="9456"/>
    <cellStyle name="Normal 68 6 2 2 3" xfId="7383"/>
    <cellStyle name="Normal 68 6 2 3" xfId="3892"/>
    <cellStyle name="Normal 68 6 2 3 2" xfId="5977"/>
    <cellStyle name="Normal 68 6 2 3 2 2" xfId="10128"/>
    <cellStyle name="Normal 68 6 2 3 3" xfId="8055"/>
    <cellStyle name="Normal 68 6 2 4" xfId="4611"/>
    <cellStyle name="Normal 68 6 2 4 2" xfId="8763"/>
    <cellStyle name="Normal 68 6 2 5" xfId="6690"/>
    <cellStyle name="Normal 68 6 3" xfId="2883"/>
    <cellStyle name="Normal 68 6 3 2" xfId="4969"/>
    <cellStyle name="Normal 68 6 3 2 2" xfId="9120"/>
    <cellStyle name="Normal 68 6 3 3" xfId="7047"/>
    <cellStyle name="Normal 68 6 4" xfId="3556"/>
    <cellStyle name="Normal 68 6 4 2" xfId="5641"/>
    <cellStyle name="Normal 68 6 4 2 2" xfId="9792"/>
    <cellStyle name="Normal 68 6 4 3" xfId="7719"/>
    <cellStyle name="Normal 68 6 5" xfId="4275"/>
    <cellStyle name="Normal 68 6 5 2" xfId="8427"/>
    <cellStyle name="Normal 68 6 6" xfId="6354"/>
    <cellStyle name="Normal 68 7" xfId="2324"/>
    <cellStyle name="Normal 68 7 2" xfId="3051"/>
    <cellStyle name="Normal 68 7 2 2" xfId="5137"/>
    <cellStyle name="Normal 68 7 2 2 2" xfId="9288"/>
    <cellStyle name="Normal 68 7 2 3" xfId="7215"/>
    <cellStyle name="Normal 68 7 3" xfId="3724"/>
    <cellStyle name="Normal 68 7 3 2" xfId="5809"/>
    <cellStyle name="Normal 68 7 3 2 2" xfId="9960"/>
    <cellStyle name="Normal 68 7 3 3" xfId="7887"/>
    <cellStyle name="Normal 68 7 4" xfId="4443"/>
    <cellStyle name="Normal 68 7 4 2" xfId="8595"/>
    <cellStyle name="Normal 68 7 5" xfId="6522"/>
    <cellStyle name="Normal 68 8" xfId="2714"/>
    <cellStyle name="Normal 68 8 2" xfId="4801"/>
    <cellStyle name="Normal 68 8 2 2" xfId="8952"/>
    <cellStyle name="Normal 68 8 3" xfId="6879"/>
    <cellStyle name="Normal 68 9" xfId="3388"/>
    <cellStyle name="Normal 68 9 2" xfId="5473"/>
    <cellStyle name="Normal 68 9 2 2" xfId="9624"/>
    <cellStyle name="Normal 68 9 3" xfId="7551"/>
    <cellStyle name="Normal 69" xfId="780"/>
    <cellStyle name="Normal 69 2" xfId="2031"/>
    <cellStyle name="Normal 69 3" xfId="1930"/>
    <cellStyle name="Normal 7" xfId="781"/>
    <cellStyle name="Normal 7 2" xfId="782"/>
    <cellStyle name="Normal 7 2 2" xfId="1657"/>
    <cellStyle name="Normal 7 3" xfId="783"/>
    <cellStyle name="Normal 7 3 2" xfId="1658"/>
    <cellStyle name="Normal 7 4" xfId="784"/>
    <cellStyle name="Normal 7 4 2" xfId="1659"/>
    <cellStyle name="Normal 7 5" xfId="1656"/>
    <cellStyle name="Normal 70" xfId="785"/>
    <cellStyle name="Normal 70 2" xfId="2032"/>
    <cellStyle name="Normal 70 3" xfId="1931"/>
    <cellStyle name="Normal 71" xfId="786"/>
    <cellStyle name="Normal 71 2" xfId="2033"/>
    <cellStyle name="Normal 71 3" xfId="1932"/>
    <cellStyle name="Normal 72" xfId="1154"/>
    <cellStyle name="Normal 72 2" xfId="2055"/>
    <cellStyle name="Normal 72 3" xfId="1955"/>
    <cellStyle name="Normal 73" xfId="1161"/>
    <cellStyle name="Normal 73 2" xfId="2062"/>
    <cellStyle name="Normal 73 3" xfId="1962"/>
    <cellStyle name="Normal 74" xfId="1162"/>
    <cellStyle name="Normal 74 2" xfId="2063"/>
    <cellStyle name="Normal 74 3" xfId="1963"/>
    <cellStyle name="Normal 75" xfId="1163"/>
    <cellStyle name="Normal 76" xfId="1884"/>
    <cellStyle name="Normal 77" xfId="1986"/>
    <cellStyle name="Normal 78" xfId="1885"/>
    <cellStyle name="Normal 79" xfId="1954"/>
    <cellStyle name="Normal 8" xfId="787"/>
    <cellStyle name="Normal 8 2" xfId="788"/>
    <cellStyle name="Normal 8 2 2" xfId="1661"/>
    <cellStyle name="Normal 8 3" xfId="789"/>
    <cellStyle name="Normal 8 3 2" xfId="1662"/>
    <cellStyle name="Normal 8 4" xfId="790"/>
    <cellStyle name="Normal 8 4 2" xfId="1663"/>
    <cellStyle name="Normal 8 5" xfId="1660"/>
    <cellStyle name="Normal 80" xfId="1976"/>
    <cellStyle name="Normal 81" xfId="2085"/>
    <cellStyle name="Normal 82" xfId="2128"/>
    <cellStyle name="Normal 83" xfId="2151"/>
    <cellStyle name="Normal 84" xfId="2186"/>
    <cellStyle name="Normal 85" xfId="2141"/>
    <cellStyle name="Normal 86" xfId="2152"/>
    <cellStyle name="Normal 87" xfId="2301"/>
    <cellStyle name="Normal 88" xfId="2325"/>
    <cellStyle name="Normal 89" xfId="2401"/>
    <cellStyle name="Normal 9" xfId="791"/>
    <cellStyle name="Normal 9 2" xfId="792"/>
    <cellStyle name="Normal 9 2 2" xfId="1665"/>
    <cellStyle name="Normal 9 3" xfId="793"/>
    <cellStyle name="Normal 9 3 2" xfId="1666"/>
    <cellStyle name="Normal 9 4" xfId="1664"/>
    <cellStyle name="Normal 90" xfId="2314"/>
    <cellStyle name="Normal 91" xfId="2315"/>
    <cellStyle name="Normal 92" xfId="2676"/>
    <cellStyle name="Normal 93" xfId="2680"/>
    <cellStyle name="Normal 94" xfId="2681"/>
    <cellStyle name="Normal 94 2" xfId="4772"/>
    <cellStyle name="Normal 94 2 2" xfId="8923"/>
    <cellStyle name="Normal 94 3" xfId="6850"/>
    <cellStyle name="Normal 95" xfId="2692"/>
    <cellStyle name="Normal 96" xfId="2715"/>
    <cellStyle name="Normal 97" xfId="2705"/>
    <cellStyle name="Normal 98" xfId="3367"/>
    <cellStyle name="Normal 99" xfId="4040"/>
    <cellStyle name="Normal 99 2" xfId="6125"/>
    <cellStyle name="Normal 99 2 2" xfId="10276"/>
    <cellStyle name="Normal 99 3" xfId="8203"/>
    <cellStyle name="Normal Bold" xfId="794"/>
    <cellStyle name="Normal_AMCCBLSH" xfId="795"/>
    <cellStyle name="Normal_Book3" xfId="796"/>
    <cellStyle name="Normal_DisclaimerSheet Samples" xfId="10312"/>
    <cellStyle name="Normal_intc(1).o" xfId="797"/>
    <cellStyle name="Note 2" xfId="798"/>
    <cellStyle name="Note 2 2" xfId="799"/>
    <cellStyle name="Note 2 2 2" xfId="800"/>
    <cellStyle name="Note 2 2 2 2" xfId="1669"/>
    <cellStyle name="Note 2 2 3" xfId="1668"/>
    <cellStyle name="Note 2 3" xfId="801"/>
    <cellStyle name="Note 2 3 2" xfId="1670"/>
    <cellStyle name="Note 2 4" xfId="1667"/>
    <cellStyle name="Note 3" xfId="802"/>
    <cellStyle name="Note 3 2" xfId="1671"/>
    <cellStyle name="Note 4" xfId="803"/>
    <cellStyle name="Note 4 2" xfId="804"/>
    <cellStyle name="Note 5" xfId="2679"/>
    <cellStyle name="Note 5 2" xfId="4771"/>
    <cellStyle name="Note 5 2 2" xfId="8922"/>
    <cellStyle name="Note 5 3" xfId="6849"/>
    <cellStyle name="Note 6" xfId="4044"/>
    <cellStyle name="Note 6 2" xfId="6129"/>
    <cellStyle name="Note 6 2 2" xfId="10280"/>
    <cellStyle name="Note 6 3" xfId="8207"/>
    <cellStyle name="number" xfId="805"/>
    <cellStyle name="Number 2" xfId="806"/>
    <cellStyle name="Œ…‹æØ‚è [0.00]_GE 3 MINIMUM" xfId="807"/>
    <cellStyle name="Œ…‹æØ‚è_GE 3 MINIMUM" xfId="808"/>
    <cellStyle name="Onedec_FT Valuation " xfId="809"/>
    <cellStyle name="outh America" xfId="810"/>
    <cellStyle name="Output" xfId="2651" builtinId="21" customBuiltin="1"/>
    <cellStyle name="Output 2" xfId="811"/>
    <cellStyle name="Output 3" xfId="812"/>
    <cellStyle name="p " xfId="813"/>
    <cellStyle name="Pass" xfId="814"/>
    <cellStyle name="Pass 2" xfId="815"/>
    <cellStyle name="Percent" xfId="816" builtinId="5"/>
    <cellStyle name="Percent [2]" xfId="817"/>
    <cellStyle name="Percent [2] 2" xfId="818"/>
    <cellStyle name="Percent [2] 2 2" xfId="819"/>
    <cellStyle name="Percent [2] 2 2 2" xfId="820"/>
    <cellStyle name="Percent [2] 2 2 2 2" xfId="1675"/>
    <cellStyle name="Percent [2] 2 2 3" xfId="1674"/>
    <cellStyle name="Percent [2] 2 3" xfId="821"/>
    <cellStyle name="Percent [2] 2 3 2" xfId="1676"/>
    <cellStyle name="Percent [2] 2 4" xfId="1673"/>
    <cellStyle name="Percent [2] 3" xfId="822"/>
    <cellStyle name="Percent [2] 3 2" xfId="823"/>
    <cellStyle name="Percent [2] 3 2 2" xfId="1678"/>
    <cellStyle name="Percent [2] 3 3" xfId="1677"/>
    <cellStyle name="Percent [2] 4" xfId="824"/>
    <cellStyle name="Percent [2] 4 2" xfId="1679"/>
    <cellStyle name="Percent [2] 5" xfId="825"/>
    <cellStyle name="Percent [2] 5 2" xfId="1680"/>
    <cellStyle name="Percent [2] 6" xfId="1672"/>
    <cellStyle name="Percent 10" xfId="826"/>
    <cellStyle name="Percent 10 2" xfId="827"/>
    <cellStyle name="Percent 10 2 2" xfId="828"/>
    <cellStyle name="Percent 10 2 2 2" xfId="1683"/>
    <cellStyle name="Percent 10 2 3" xfId="1682"/>
    <cellStyle name="Percent 10 3" xfId="829"/>
    <cellStyle name="Percent 10 3 2" xfId="830"/>
    <cellStyle name="Percent 10 3 2 2" xfId="1685"/>
    <cellStyle name="Percent 10 3 3" xfId="1684"/>
    <cellStyle name="Percent 10 4" xfId="831"/>
    <cellStyle name="Percent 10 4 2" xfId="1686"/>
    <cellStyle name="Percent 10 5" xfId="1681"/>
    <cellStyle name="Percent 100" xfId="4072"/>
    <cellStyle name="Percent 100 2" xfId="6155"/>
    <cellStyle name="Percent 100 2 2" xfId="10306"/>
    <cellStyle name="Percent 100 3" xfId="8233"/>
    <cellStyle name="Percent 101" xfId="4043"/>
    <cellStyle name="Percent 101 2" xfId="6128"/>
    <cellStyle name="Percent 101 2 2" xfId="10279"/>
    <cellStyle name="Percent 101 3" xfId="8206"/>
    <cellStyle name="Percent 102" xfId="4062"/>
    <cellStyle name="Percent 102 2" xfId="6146"/>
    <cellStyle name="Percent 102 2 2" xfId="10297"/>
    <cellStyle name="Percent 102 3" xfId="8224"/>
    <cellStyle name="Percent 103" xfId="4076"/>
    <cellStyle name="Percent 103 2" xfId="6157"/>
    <cellStyle name="Percent 103 2 2" xfId="10308"/>
    <cellStyle name="Percent 103 3" xfId="8235"/>
    <cellStyle name="Percent 104" xfId="4069"/>
    <cellStyle name="Percent 104 2" xfId="6152"/>
    <cellStyle name="Percent 104 2 2" xfId="10303"/>
    <cellStyle name="Percent 104 3" xfId="8230"/>
    <cellStyle name="Percent 11" xfId="832"/>
    <cellStyle name="Percent 11 2" xfId="833"/>
    <cellStyle name="Percent 11 2 2" xfId="834"/>
    <cellStyle name="Percent 11 2 2 2" xfId="1689"/>
    <cellStyle name="Percent 11 2 3" xfId="1688"/>
    <cellStyle name="Percent 11 3" xfId="835"/>
    <cellStyle name="Percent 11 3 2" xfId="836"/>
    <cellStyle name="Percent 11 3 2 2" xfId="1691"/>
    <cellStyle name="Percent 11 3 3" xfId="1690"/>
    <cellStyle name="Percent 11 4" xfId="837"/>
    <cellStyle name="Percent 11 4 2" xfId="1692"/>
    <cellStyle name="Percent 11 5" xfId="838"/>
    <cellStyle name="Percent 11 5 2" xfId="1693"/>
    <cellStyle name="Percent 11 6" xfId="1687"/>
    <cellStyle name="Percent 12" xfId="839"/>
    <cellStyle name="Percent 12 2" xfId="840"/>
    <cellStyle name="Percent 12 2 2" xfId="841"/>
    <cellStyle name="Percent 12 2 2 2" xfId="1696"/>
    <cellStyle name="Percent 12 2 3" xfId="1695"/>
    <cellStyle name="Percent 12 3" xfId="842"/>
    <cellStyle name="Percent 12 3 2" xfId="843"/>
    <cellStyle name="Percent 12 3 2 2" xfId="1698"/>
    <cellStyle name="Percent 12 3 3" xfId="1697"/>
    <cellStyle name="Percent 12 4" xfId="844"/>
    <cellStyle name="Percent 12 4 2" xfId="1699"/>
    <cellStyle name="Percent 12 5" xfId="1694"/>
    <cellStyle name="Percent 13" xfId="845"/>
    <cellStyle name="Percent 13 2" xfId="846"/>
    <cellStyle name="Percent 13 2 2" xfId="1701"/>
    <cellStyle name="Percent 13 3" xfId="1700"/>
    <cellStyle name="Percent 14" xfId="847"/>
    <cellStyle name="Percent 14 2" xfId="848"/>
    <cellStyle name="Percent 14 2 2" xfId="1703"/>
    <cellStyle name="Percent 14 3" xfId="1702"/>
    <cellStyle name="Percent 15" xfId="849"/>
    <cellStyle name="Percent 15 2" xfId="850"/>
    <cellStyle name="Percent 15 2 2" xfId="1705"/>
    <cellStyle name="Percent 15 3" xfId="1704"/>
    <cellStyle name="Percent 16" xfId="851"/>
    <cellStyle name="Percent 16 2" xfId="852"/>
    <cellStyle name="Percent 16 2 2" xfId="1707"/>
    <cellStyle name="Percent 16 3" xfId="1706"/>
    <cellStyle name="Percent 17" xfId="853"/>
    <cellStyle name="Percent 17 2" xfId="854"/>
    <cellStyle name="Percent 17 2 2" xfId="1709"/>
    <cellStyle name="Percent 17 3" xfId="1708"/>
    <cellStyle name="Percent 18" xfId="855"/>
    <cellStyle name="Percent 18 2" xfId="856"/>
    <cellStyle name="Percent 18 2 2" xfId="857"/>
    <cellStyle name="Percent 18 2 2 2" xfId="1712"/>
    <cellStyle name="Percent 18 2 3" xfId="1711"/>
    <cellStyle name="Percent 18 3" xfId="858"/>
    <cellStyle name="Percent 18 3 2" xfId="1713"/>
    <cellStyle name="Percent 18 4" xfId="1710"/>
    <cellStyle name="Percent 19" xfId="859"/>
    <cellStyle name="Percent 19 2" xfId="860"/>
    <cellStyle name="Percent 19 2 2" xfId="861"/>
    <cellStyle name="Percent 19 2 2 2" xfId="1716"/>
    <cellStyle name="Percent 19 2 3" xfId="1715"/>
    <cellStyle name="Percent 19 3" xfId="862"/>
    <cellStyle name="Percent 19 3 2" xfId="1717"/>
    <cellStyle name="Percent 19 4" xfId="1714"/>
    <cellStyle name="Percent 2" xfId="863"/>
    <cellStyle name="Percent 2 2" xfId="864"/>
    <cellStyle name="Percent 2 2 2" xfId="1719"/>
    <cellStyle name="Percent 2 3" xfId="1718"/>
    <cellStyle name="Percent 20" xfId="865"/>
    <cellStyle name="Percent 20 2" xfId="866"/>
    <cellStyle name="Percent 20 2 2" xfId="867"/>
    <cellStyle name="Percent 20 2 2 2" xfId="1722"/>
    <cellStyle name="Percent 20 2 3" xfId="1721"/>
    <cellStyle name="Percent 20 3" xfId="868"/>
    <cellStyle name="Percent 20 3 2" xfId="1723"/>
    <cellStyle name="Percent 20 4" xfId="1720"/>
    <cellStyle name="Percent 21" xfId="869"/>
    <cellStyle name="Percent 21 2" xfId="870"/>
    <cellStyle name="Percent 21 2 2" xfId="1725"/>
    <cellStyle name="Percent 21 3" xfId="1724"/>
    <cellStyle name="Percent 22" xfId="871"/>
    <cellStyle name="Percent 22 2" xfId="872"/>
    <cellStyle name="Percent 22 2 2" xfId="1727"/>
    <cellStyle name="Percent 22 3" xfId="1726"/>
    <cellStyle name="Percent 23" xfId="873"/>
    <cellStyle name="Percent 23 2" xfId="874"/>
    <cellStyle name="Percent 23 2 2" xfId="1729"/>
    <cellStyle name="Percent 23 3" xfId="1728"/>
    <cellStyle name="Percent 24" xfId="875"/>
    <cellStyle name="Percent 24 2" xfId="876"/>
    <cellStyle name="Percent 24 2 2" xfId="1731"/>
    <cellStyle name="Percent 24 3" xfId="1730"/>
    <cellStyle name="Percent 25" xfId="877"/>
    <cellStyle name="Percent 25 2" xfId="878"/>
    <cellStyle name="Percent 25 2 2" xfId="1733"/>
    <cellStyle name="Percent 25 3" xfId="1732"/>
    <cellStyle name="Percent 26" xfId="879"/>
    <cellStyle name="Percent 26 2" xfId="880"/>
    <cellStyle name="Percent 26 2 2" xfId="1735"/>
    <cellStyle name="Percent 26 3" xfId="1734"/>
    <cellStyle name="Percent 27" xfId="881"/>
    <cellStyle name="Percent 27 2" xfId="882"/>
    <cellStyle name="Percent 27 2 2" xfId="1737"/>
    <cellStyle name="Percent 27 3" xfId="1736"/>
    <cellStyle name="Percent 28" xfId="883"/>
    <cellStyle name="Percent 28 2" xfId="884"/>
    <cellStyle name="Percent 28 2 2" xfId="1739"/>
    <cellStyle name="Percent 28 3" xfId="1738"/>
    <cellStyle name="Percent 29" xfId="885"/>
    <cellStyle name="Percent 29 2" xfId="886"/>
    <cellStyle name="Percent 29 2 2" xfId="1741"/>
    <cellStyle name="Percent 29 3" xfId="1740"/>
    <cellStyle name="Percent 3" xfId="887"/>
    <cellStyle name="Percent 3 2" xfId="888"/>
    <cellStyle name="Percent 3 2 2" xfId="889"/>
    <cellStyle name="Percent 3 2 2 2" xfId="1744"/>
    <cellStyle name="Percent 3 2 3" xfId="1743"/>
    <cellStyle name="Percent 3 3" xfId="890"/>
    <cellStyle name="Percent 3 3 2" xfId="1745"/>
    <cellStyle name="Percent 3 4" xfId="1742"/>
    <cellStyle name="Percent 30" xfId="891"/>
    <cellStyle name="Percent 30 2" xfId="1746"/>
    <cellStyle name="Percent 31" xfId="892"/>
    <cellStyle name="Percent 31 2" xfId="1747"/>
    <cellStyle name="Percent 32" xfId="893"/>
    <cellStyle name="Percent 32 2" xfId="1748"/>
    <cellStyle name="Percent 33" xfId="894"/>
    <cellStyle name="Percent 33 2" xfId="1749"/>
    <cellStyle name="Percent 34" xfId="895"/>
    <cellStyle name="Percent 34 2" xfId="1750"/>
    <cellStyle name="Percent 35" xfId="896"/>
    <cellStyle name="Percent 35 2" xfId="1751"/>
    <cellStyle name="Percent 36" xfId="897"/>
    <cellStyle name="Percent 36 2" xfId="1752"/>
    <cellStyle name="Percent 37" xfId="898"/>
    <cellStyle name="Percent 37 2" xfId="1753"/>
    <cellStyle name="Percent 38" xfId="899"/>
    <cellStyle name="Percent 38 2" xfId="900"/>
    <cellStyle name="Percent 38 2 2" xfId="1755"/>
    <cellStyle name="Percent 38 3" xfId="1754"/>
    <cellStyle name="Percent 39" xfId="901"/>
    <cellStyle name="Percent 39 2" xfId="902"/>
    <cellStyle name="Percent 39 2 2" xfId="1757"/>
    <cellStyle name="Percent 39 3" xfId="1756"/>
    <cellStyle name="Percent 4" xfId="903"/>
    <cellStyle name="Percent 4 2" xfId="904"/>
    <cellStyle name="Percent 4 2 2" xfId="905"/>
    <cellStyle name="Percent 4 2 2 2" xfId="1760"/>
    <cellStyle name="Percent 4 2 3" xfId="1759"/>
    <cellStyle name="Percent 4 3" xfId="906"/>
    <cellStyle name="Percent 4 3 2" xfId="1761"/>
    <cellStyle name="Percent 4 4" xfId="907"/>
    <cellStyle name="Percent 4 4 2" xfId="1762"/>
    <cellStyle name="Percent 4 5" xfId="1758"/>
    <cellStyle name="Percent 40" xfId="908"/>
    <cellStyle name="Percent 40 2" xfId="909"/>
    <cellStyle name="Percent 40 2 2" xfId="1764"/>
    <cellStyle name="Percent 40 3" xfId="1763"/>
    <cellStyle name="Percent 41" xfId="910"/>
    <cellStyle name="Percent 41 2" xfId="1765"/>
    <cellStyle name="Percent 42" xfId="911"/>
    <cellStyle name="Percent 42 2" xfId="1766"/>
    <cellStyle name="Percent 43" xfId="912"/>
    <cellStyle name="Percent 43 2" xfId="1767"/>
    <cellStyle name="Percent 44" xfId="913"/>
    <cellStyle name="Percent 44 2" xfId="1768"/>
    <cellStyle name="Percent 45" xfId="914"/>
    <cellStyle name="Percent 45 2" xfId="1769"/>
    <cellStyle name="Percent 46" xfId="915"/>
    <cellStyle name="Percent 46 2" xfId="1770"/>
    <cellStyle name="Percent 47" xfId="916"/>
    <cellStyle name="Percent 47 2" xfId="1771"/>
    <cellStyle name="Percent 48" xfId="917"/>
    <cellStyle name="Percent 48 2" xfId="1772"/>
    <cellStyle name="Percent 49" xfId="918"/>
    <cellStyle name="Percent 49 2" xfId="1773"/>
    <cellStyle name="Percent 5" xfId="919"/>
    <cellStyle name="Percent 5 2" xfId="920"/>
    <cellStyle name="Percent 5 2 2" xfId="921"/>
    <cellStyle name="Percent 5 2 2 2" xfId="1776"/>
    <cellStyle name="Percent 5 2 3" xfId="1775"/>
    <cellStyle name="Percent 5 3" xfId="922"/>
    <cellStyle name="Percent 5 3 2" xfId="1777"/>
    <cellStyle name="Percent 5 4" xfId="1774"/>
    <cellStyle name="Percent 50" xfId="923"/>
    <cellStyle name="Percent 50 2" xfId="1778"/>
    <cellStyle name="Percent 51" xfId="924"/>
    <cellStyle name="Percent 51 2" xfId="1779"/>
    <cellStyle name="Percent 52" xfId="925"/>
    <cellStyle name="Percent 52 2" xfId="1780"/>
    <cellStyle name="Percent 53" xfId="926"/>
    <cellStyle name="Percent 53 2" xfId="1781"/>
    <cellStyle name="Percent 54" xfId="927"/>
    <cellStyle name="Percent 54 2" xfId="1782"/>
    <cellStyle name="Percent 55" xfId="928"/>
    <cellStyle name="Percent 55 2" xfId="1783"/>
    <cellStyle name="Percent 56" xfId="929"/>
    <cellStyle name="Percent 56 2" xfId="1784"/>
    <cellStyle name="Percent 57" xfId="930"/>
    <cellStyle name="Percent 57 2" xfId="1785"/>
    <cellStyle name="Percent 58" xfId="931"/>
    <cellStyle name="Percent 58 2" xfId="1786"/>
    <cellStyle name="Percent 59" xfId="932"/>
    <cellStyle name="Percent 59 2" xfId="1787"/>
    <cellStyle name="Percent 6" xfId="933"/>
    <cellStyle name="Percent 6 2" xfId="934"/>
    <cellStyle name="Percent 6 2 2" xfId="935"/>
    <cellStyle name="Percent 6 2 2 2" xfId="1790"/>
    <cellStyle name="Percent 6 2 3" xfId="1789"/>
    <cellStyle name="Percent 6 3" xfId="936"/>
    <cellStyle name="Percent 6 3 2" xfId="1791"/>
    <cellStyle name="Percent 6 4" xfId="937"/>
    <cellStyle name="Percent 6 4 2" xfId="1792"/>
    <cellStyle name="Percent 6 5" xfId="1788"/>
    <cellStyle name="Percent 60" xfId="938"/>
    <cellStyle name="Percent 60 2" xfId="1793"/>
    <cellStyle name="Percent 61" xfId="939"/>
    <cellStyle name="Percent 61 2" xfId="940"/>
    <cellStyle name="Percent 61 2 2" xfId="1794"/>
    <cellStyle name="Percent 62" xfId="941"/>
    <cellStyle name="Percent 62 2" xfId="1795"/>
    <cellStyle name="Percent 63" xfId="942"/>
    <cellStyle name="Percent 63 2" xfId="1796"/>
    <cellStyle name="Percent 64" xfId="943"/>
    <cellStyle name="Percent 64 2" xfId="1797"/>
    <cellStyle name="Percent 65" xfId="944"/>
    <cellStyle name="Percent 65 2" xfId="1798"/>
    <cellStyle name="Percent 66" xfId="945"/>
    <cellStyle name="Percent 66 2" xfId="1799"/>
    <cellStyle name="Percent 67" xfId="946"/>
    <cellStyle name="Percent 67 2" xfId="947"/>
    <cellStyle name="Percent 67 2 2" xfId="1801"/>
    <cellStyle name="Percent 67 3" xfId="1800"/>
    <cellStyle name="Percent 68" xfId="948"/>
    <cellStyle name="Percent 68 2" xfId="949"/>
    <cellStyle name="Percent 68 2 2" xfId="1803"/>
    <cellStyle name="Percent 68 3" xfId="1802"/>
    <cellStyle name="Percent 69" xfId="950"/>
    <cellStyle name="Percent 69 2" xfId="1804"/>
    <cellStyle name="Percent 7" xfId="951"/>
    <cellStyle name="Percent 7 2" xfId="952"/>
    <cellStyle name="Percent 7 2 2" xfId="953"/>
    <cellStyle name="Percent 7 2 2 2" xfId="1807"/>
    <cellStyle name="Percent 7 2 3" xfId="1806"/>
    <cellStyle name="Percent 7 3" xfId="954"/>
    <cellStyle name="Percent 7 3 2" xfId="1808"/>
    <cellStyle name="Percent 7 4" xfId="1805"/>
    <cellStyle name="Percent 70" xfId="955"/>
    <cellStyle name="Percent 70 2" xfId="1809"/>
    <cellStyle name="Percent 71" xfId="956"/>
    <cellStyle name="Percent 71 2" xfId="957"/>
    <cellStyle name="Percent 71 2 2" xfId="2034"/>
    <cellStyle name="Percent 71 2 3" xfId="1933"/>
    <cellStyle name="Percent 71 3" xfId="1810"/>
    <cellStyle name="Percent 72" xfId="958"/>
    <cellStyle name="Percent 72 2" xfId="959"/>
    <cellStyle name="Percent 72 2 2" xfId="2035"/>
    <cellStyle name="Percent 72 2 3" xfId="1934"/>
    <cellStyle name="Percent 72 3" xfId="1811"/>
    <cellStyle name="Percent 73" xfId="960"/>
    <cellStyle name="Percent 73 2" xfId="961"/>
    <cellStyle name="Percent 73 2 2" xfId="2036"/>
    <cellStyle name="Percent 73 2 3" xfId="1935"/>
    <cellStyle name="Percent 73 3" xfId="1812"/>
    <cellStyle name="Percent 74" xfId="962"/>
    <cellStyle name="Percent 74 2" xfId="963"/>
    <cellStyle name="Percent 74 2 2" xfId="2037"/>
    <cellStyle name="Percent 74 2 3" xfId="1936"/>
    <cellStyle name="Percent 74 3" xfId="1813"/>
    <cellStyle name="Percent 75" xfId="964"/>
    <cellStyle name="Percent 75 2" xfId="965"/>
    <cellStyle name="Percent 75 2 2" xfId="2038"/>
    <cellStyle name="Percent 75 2 3" xfId="1937"/>
    <cellStyle name="Percent 75 3" xfId="1814"/>
    <cellStyle name="Percent 76" xfId="966"/>
    <cellStyle name="Percent 76 2" xfId="967"/>
    <cellStyle name="Percent 76 2 2" xfId="2039"/>
    <cellStyle name="Percent 76 2 3" xfId="1938"/>
    <cellStyle name="Percent 76 3" xfId="1815"/>
    <cellStyle name="Percent 77" xfId="968"/>
    <cellStyle name="Percent 77 2" xfId="969"/>
    <cellStyle name="Percent 77 2 2" xfId="2040"/>
    <cellStyle name="Percent 77 2 3" xfId="1939"/>
    <cellStyle name="Percent 77 3" xfId="1816"/>
    <cellStyle name="Percent 78" xfId="970"/>
    <cellStyle name="Percent 78 2" xfId="971"/>
    <cellStyle name="Percent 78 2 2" xfId="2041"/>
    <cellStyle name="Percent 78 2 3" xfId="1940"/>
    <cellStyle name="Percent 78 3" xfId="1817"/>
    <cellStyle name="Percent 79" xfId="972"/>
    <cellStyle name="Percent 79 2" xfId="973"/>
    <cellStyle name="Percent 79 2 2" xfId="2042"/>
    <cellStyle name="Percent 79 2 3" xfId="1941"/>
    <cellStyle name="Percent 79 3" xfId="1818"/>
    <cellStyle name="Percent 8" xfId="974"/>
    <cellStyle name="Percent 8 2" xfId="975"/>
    <cellStyle name="Percent 8 2 2" xfId="1820"/>
    <cellStyle name="Percent 8 3" xfId="1819"/>
    <cellStyle name="Percent 80" xfId="976"/>
    <cellStyle name="Percent 80 2" xfId="977"/>
    <cellStyle name="Percent 80 2 2" xfId="2043"/>
    <cellStyle name="Percent 80 2 3" xfId="1942"/>
    <cellStyle name="Percent 80 3" xfId="1821"/>
    <cellStyle name="Percent 81" xfId="978"/>
    <cellStyle name="Percent 81 2" xfId="979"/>
    <cellStyle name="Percent 81 2 2" xfId="2044"/>
    <cellStyle name="Percent 81 2 3" xfId="1943"/>
    <cellStyle name="Percent 81 3" xfId="1822"/>
    <cellStyle name="Percent 82" xfId="980"/>
    <cellStyle name="Percent 82 2" xfId="981"/>
    <cellStyle name="Percent 83" xfId="982"/>
    <cellStyle name="Percent 83 2" xfId="983"/>
    <cellStyle name="Percent 84" xfId="984"/>
    <cellStyle name="Percent 84 2" xfId="985"/>
    <cellStyle name="Percent 85" xfId="986"/>
    <cellStyle name="Percent 85 2" xfId="987"/>
    <cellStyle name="Percent 86" xfId="988"/>
    <cellStyle name="Percent 86 2" xfId="989"/>
    <cellStyle name="Percent 87" xfId="990"/>
    <cellStyle name="Percent 87 2" xfId="2045"/>
    <cellStyle name="Percent 87 3" xfId="1944"/>
    <cellStyle name="Percent 88" xfId="991"/>
    <cellStyle name="Percent 88 2" xfId="2046"/>
    <cellStyle name="Percent 88 3" xfId="1945"/>
    <cellStyle name="Percent 89" xfId="992"/>
    <cellStyle name="Percent 89 2" xfId="2047"/>
    <cellStyle name="Percent 89 3" xfId="1946"/>
    <cellStyle name="Percent 9" xfId="993"/>
    <cellStyle name="Percent 9 2" xfId="994"/>
    <cellStyle name="Percent 9 2 2" xfId="1824"/>
    <cellStyle name="Percent 9 3" xfId="1823"/>
    <cellStyle name="Percent 90" xfId="995"/>
    <cellStyle name="Percent 90 2" xfId="2048"/>
    <cellStyle name="Percent 90 3" xfId="1947"/>
    <cellStyle name="Percent 91" xfId="996"/>
    <cellStyle name="Percent 91 2" xfId="2049"/>
    <cellStyle name="Percent 91 3" xfId="1948"/>
    <cellStyle name="Percent 92" xfId="997"/>
    <cellStyle name="Percent 92 2" xfId="2050"/>
    <cellStyle name="Percent 92 3" xfId="1949"/>
    <cellStyle name="Percent 93" xfId="998"/>
    <cellStyle name="Percent 93 2" xfId="2051"/>
    <cellStyle name="Percent 93 3" xfId="1950"/>
    <cellStyle name="Percent 94" xfId="999"/>
    <cellStyle name="Percent 94 2" xfId="2052"/>
    <cellStyle name="Percent 94 3" xfId="1951"/>
    <cellStyle name="Percent 95" xfId="1159"/>
    <cellStyle name="Percent 95 2" xfId="2060"/>
    <cellStyle name="Percent 95 3" xfId="1960"/>
    <cellStyle name="Percent 96" xfId="1155"/>
    <cellStyle name="Percent 96 2" xfId="2056"/>
    <cellStyle name="Percent 96 3" xfId="1956"/>
    <cellStyle name="Percent 97" xfId="1160"/>
    <cellStyle name="Percent 97 2" xfId="2061"/>
    <cellStyle name="Percent 97 3" xfId="1961"/>
    <cellStyle name="Percent 98" xfId="2684"/>
    <cellStyle name="Percent 98 2" xfId="4775"/>
    <cellStyle name="Percent 98 2 2" xfId="8926"/>
    <cellStyle name="Percent 98 3" xfId="6853"/>
    <cellStyle name="Percent 99" xfId="4058"/>
    <cellStyle name="Percent 99 2" xfId="6143"/>
    <cellStyle name="Percent 99 2 2" xfId="10294"/>
    <cellStyle name="Percent 99 3" xfId="8221"/>
    <cellStyle name="Percent.0" xfId="1000"/>
    <cellStyle name="Percent.0 2" xfId="1825"/>
    <cellStyle name="ProtectedDates" xfId="1001"/>
    <cellStyle name="RED" xfId="1002"/>
    <cellStyle name="RED 2" xfId="1003"/>
    <cellStyle name="Ref Numbers" xfId="1004"/>
    <cellStyle name="Restruct" xfId="1005"/>
    <cellStyle name="Restruct 2" xfId="1006"/>
    <cellStyle name="Restruct 2 2" xfId="1007"/>
    <cellStyle name="Restruct 3" xfId="1008"/>
    <cellStyle name="Right" xfId="1009"/>
    <cellStyle name="RRSInstruction" xfId="1010"/>
    <cellStyle name="RRSInstruction 2" xfId="1011"/>
    <cellStyle name="RRSInstruction 2 2" xfId="1827"/>
    <cellStyle name="RRSInstruction 3" xfId="1826"/>
    <cellStyle name="s_DCFLBO Code_Wireline Tel Forecast " xfId="1012"/>
    <cellStyle name="s_DCFLBO Code_Wireline Tel Forecast  2" xfId="1013"/>
    <cellStyle name="s_DCFLBO Code_Wireline Tel Forecast  2 2" xfId="1014"/>
    <cellStyle name="s_HardInc " xfId="1015"/>
    <cellStyle name="s_HardInc  2" xfId="1016"/>
    <cellStyle name="s_HardInc  2 2" xfId="1017"/>
    <cellStyle name="s_HardInc _RRST1" xfId="1018"/>
    <cellStyle name="s_HardInc _RRST1 2" xfId="1019"/>
    <cellStyle name="s_HardInc _RRST19" xfId="1020"/>
    <cellStyle name="s_HardInc _RRST19 2" xfId="1021"/>
    <cellStyle name="s_HardInc _RRST20" xfId="1022"/>
    <cellStyle name="s_HardInc _RRST20 2" xfId="1023"/>
    <cellStyle name="s_HardInc _RRST6" xfId="1024"/>
    <cellStyle name="s_HardInc _RRST6 2" xfId="1025"/>
    <cellStyle name="s_Valuation " xfId="1026"/>
    <cellStyle name="s_Valuation  2" xfId="1027"/>
    <cellStyle name="s_Valuation  2 2" xfId="1028"/>
    <cellStyle name="s_Valuation _RRST1" xfId="1029"/>
    <cellStyle name="s_Valuation _RRST1 2" xfId="1030"/>
    <cellStyle name="s_Valuation _RRST19" xfId="1031"/>
    <cellStyle name="s_Valuation _RRST19 2" xfId="1032"/>
    <cellStyle name="s_Valuation _RRST20" xfId="1033"/>
    <cellStyle name="s_Valuation _RRST20 2" xfId="1034"/>
    <cellStyle name="s_Valuation _RRST6" xfId="1035"/>
    <cellStyle name="s_Valuation _RRST6 2" xfId="1036"/>
    <cellStyle name="SectionHeaderNormal" xfId="1037"/>
    <cellStyle name="Source Line" xfId="1038"/>
    <cellStyle name="ssp " xfId="1039"/>
    <cellStyle name="Style 1" xfId="1040"/>
    <cellStyle name="Style 1 10" xfId="1041"/>
    <cellStyle name="Style 1 10 2" xfId="1828"/>
    <cellStyle name="Style 1 11" xfId="1042"/>
    <cellStyle name="Style 1 11 2" xfId="1829"/>
    <cellStyle name="Style 1 12" xfId="1043"/>
    <cellStyle name="Style 1 12 2" xfId="1830"/>
    <cellStyle name="Style 1 13" xfId="1044"/>
    <cellStyle name="Style 1 13 2" xfId="2053"/>
    <cellStyle name="Style 1 13 3" xfId="1952"/>
    <cellStyle name="Style 1 14" xfId="1045"/>
    <cellStyle name="Style 1 14 2" xfId="2054"/>
    <cellStyle name="Style 1 14 3" xfId="1953"/>
    <cellStyle name="Style 1 2" xfId="1046"/>
    <cellStyle name="Style 1 2 2" xfId="1047"/>
    <cellStyle name="Style 1 2 2 2" xfId="1048"/>
    <cellStyle name="Style 1 2 2 2 2" xfId="1833"/>
    <cellStyle name="Style 1 2 2 3" xfId="1049"/>
    <cellStyle name="Style 1 2 2 3 2" xfId="1834"/>
    <cellStyle name="Style 1 2 2 4" xfId="1832"/>
    <cellStyle name="Style 1 2 3" xfId="1050"/>
    <cellStyle name="Style 1 2 3 2" xfId="1835"/>
    <cellStyle name="Style 1 2 4" xfId="1051"/>
    <cellStyle name="Style 1 2 4 2" xfId="1836"/>
    <cellStyle name="Style 1 2 5" xfId="1831"/>
    <cellStyle name="Style 1 3" xfId="1052"/>
    <cellStyle name="Style 1 3 2" xfId="1053"/>
    <cellStyle name="Style 1 3 2 2" xfId="1838"/>
    <cellStyle name="Style 1 3 3" xfId="1054"/>
    <cellStyle name="Style 1 3 3 2" xfId="1839"/>
    <cellStyle name="Style 1 3 4" xfId="1837"/>
    <cellStyle name="Style 1 4" xfId="1055"/>
    <cellStyle name="Style 1 4 2" xfId="1056"/>
    <cellStyle name="Style 1 4 2 2" xfId="1057"/>
    <cellStyle name="Style 1 4 2 2 2" xfId="1841"/>
    <cellStyle name="Style 1 4 2 3" xfId="1058"/>
    <cellStyle name="Style 1 4 2 3 2" xfId="1842"/>
    <cellStyle name="Style 1 4 2 4" xfId="1840"/>
    <cellStyle name="Style 1 4 3" xfId="1059"/>
    <cellStyle name="Style 1 4 3 2" xfId="1060"/>
    <cellStyle name="Style 1 4 3 2 2" xfId="1844"/>
    <cellStyle name="Style 1 4 3 3" xfId="1843"/>
    <cellStyle name="Style 1 4 4" xfId="1061"/>
    <cellStyle name="Style 1 4 4 2" xfId="1845"/>
    <cellStyle name="Style 1 4 5" xfId="1062"/>
    <cellStyle name="Style 1 4 5 2" xfId="1846"/>
    <cellStyle name="Style 1 4 6" xfId="1063"/>
    <cellStyle name="Style 1 4 6 2" xfId="1847"/>
    <cellStyle name="Style 1 5" xfId="1064"/>
    <cellStyle name="Style 1 5 2" xfId="1065"/>
    <cellStyle name="Style 1 5 2 2" xfId="1066"/>
    <cellStyle name="Style 1 5 2 2 2" xfId="1850"/>
    <cellStyle name="Style 1 5 2 3" xfId="1067"/>
    <cellStyle name="Style 1 5 2 3 2" xfId="1851"/>
    <cellStyle name="Style 1 5 2 4" xfId="1849"/>
    <cellStyle name="Style 1 5 3" xfId="1068"/>
    <cellStyle name="Style 1 5 3 2" xfId="1852"/>
    <cellStyle name="Style 1 5 4" xfId="1069"/>
    <cellStyle name="Style 1 5 4 2" xfId="1853"/>
    <cellStyle name="Style 1 5 5" xfId="1070"/>
    <cellStyle name="Style 1 5 5 2" xfId="1854"/>
    <cellStyle name="Style 1 5 6" xfId="1848"/>
    <cellStyle name="Style 1 6" xfId="1071"/>
    <cellStyle name="Style 1 6 2" xfId="1072"/>
    <cellStyle name="Style 1 6 2 2" xfId="1856"/>
    <cellStyle name="Style 1 6 3" xfId="1855"/>
    <cellStyle name="Style 1 7" xfId="1073"/>
    <cellStyle name="Style 1 7 2" xfId="1857"/>
    <cellStyle name="Style 1 8" xfId="1074"/>
    <cellStyle name="Style 1 8 2" xfId="1858"/>
    <cellStyle name="Style 1 9" xfId="1075"/>
    <cellStyle name="Style 1 9 2" xfId="1076"/>
    <cellStyle name="Style 1 9 2 2" xfId="1860"/>
    <cellStyle name="Style 1 9 3" xfId="1859"/>
    <cellStyle name="Style 2" xfId="1077"/>
    <cellStyle name="Style 2 2" xfId="1078"/>
    <cellStyle name="Style 2 2 2" xfId="1079"/>
    <cellStyle name="Style 2 2 2 2" xfId="1863"/>
    <cellStyle name="Style 2 2 3" xfId="1862"/>
    <cellStyle name="Style 2 3" xfId="1080"/>
    <cellStyle name="Style 2 3 2" xfId="1864"/>
    <cellStyle name="Style 2 4" xfId="1081"/>
    <cellStyle name="Style 2 4 2" xfId="1865"/>
    <cellStyle name="Style 2 5" xfId="1861"/>
    <cellStyle name="Style 3" xfId="1082"/>
    <cellStyle name="Style 4" xfId="1083"/>
    <cellStyle name="Style 5" xfId="1084"/>
    <cellStyle name="Style 5 2" xfId="1085"/>
    <cellStyle name="Style 5 2 2" xfId="1086"/>
    <cellStyle name="Style 5 2 2 2" xfId="1087"/>
    <cellStyle name="Style 5 2 2 2 2" xfId="1869"/>
    <cellStyle name="Style 5 2 2 3" xfId="1868"/>
    <cellStyle name="Style 5 2 3" xfId="1088"/>
    <cellStyle name="Style 5 2 3 2" xfId="1870"/>
    <cellStyle name="Style 5 2 4" xfId="1867"/>
    <cellStyle name="Style 5 3" xfId="1089"/>
    <cellStyle name="Style 5 3 2" xfId="1090"/>
    <cellStyle name="Style 5 3 2 2" xfId="1872"/>
    <cellStyle name="Style 5 3 3" xfId="1871"/>
    <cellStyle name="Style 5 4" xfId="1091"/>
    <cellStyle name="Style 5 4 2" xfId="1873"/>
    <cellStyle name="Style 5 5" xfId="1092"/>
    <cellStyle name="Style 5 5 2" xfId="1874"/>
    <cellStyle name="Style 5 6" xfId="1866"/>
    <cellStyle name="styleColumnTitles" xfId="1093"/>
    <cellStyle name="styleSeriesAttributes" xfId="1094"/>
    <cellStyle name="styleSeriesData" xfId="1095"/>
    <cellStyle name="styleSeriesDataForecast" xfId="1096"/>
    <cellStyle name="SubScript" xfId="1097"/>
    <cellStyle name="Subtotal_left" xfId="1098"/>
    <cellStyle name="SuperScript" xfId="1099"/>
    <cellStyle name="Table Heading" xfId="1100"/>
    <cellStyle name="textbold" xfId="1101"/>
    <cellStyle name="TextBold 10" xfId="4068"/>
    <cellStyle name="textbold 2" xfId="1102"/>
    <cellStyle name="textbold 3" xfId="1103"/>
    <cellStyle name="TextBold 4" xfId="1104"/>
    <cellStyle name="TextBold 5" xfId="1105"/>
    <cellStyle name="TextBold 6" xfId="2691"/>
    <cellStyle name="TextBold 7" xfId="4073"/>
    <cellStyle name="TextBold 8" xfId="4075"/>
    <cellStyle name="TextBold 9" xfId="4060"/>
    <cellStyle name="TextItalic" xfId="1106"/>
    <cellStyle name="TextNormal" xfId="1107"/>
    <cellStyle name="Title" xfId="2642" builtinId="15" customBuiltin="1"/>
    <cellStyle name="Title 2" xfId="1108"/>
    <cellStyle name="Title 3" xfId="1109"/>
    <cellStyle name="Title 3 2" xfId="1110"/>
    <cellStyle name="Title Line" xfId="1111"/>
    <cellStyle name="title1" xfId="1112"/>
    <cellStyle name="title2" xfId="1113"/>
    <cellStyle name="TitleNormal" xfId="1114"/>
    <cellStyle name="Titles" xfId="1115"/>
    <cellStyle name="Top Line" xfId="1116"/>
    <cellStyle name="Top Row" xfId="1117"/>
    <cellStyle name="Top Row 2" xfId="1118"/>
    <cellStyle name="Total" xfId="2654" builtinId="25" customBuiltin="1"/>
    <cellStyle name="Total 10" xfId="1119"/>
    <cellStyle name="Total 2" xfId="1120"/>
    <cellStyle name="Total 2 2" xfId="1121"/>
    <cellStyle name="Total 3" xfId="1122"/>
    <cellStyle name="Total 4" xfId="1123"/>
    <cellStyle name="Total 5" xfId="1124"/>
    <cellStyle name="Total 6" xfId="1125"/>
    <cellStyle name="Total 7" xfId="1126"/>
    <cellStyle name="Total 8" xfId="1127"/>
    <cellStyle name="Total 9" xfId="1128"/>
    <cellStyle name="Total Row" xfId="1129"/>
    <cellStyle name="Totals" xfId="1130"/>
    <cellStyle name="underline 1 decimal" xfId="1131"/>
    <cellStyle name="UnProtectedCalc" xfId="1132"/>
    <cellStyle name="Upload Only" xfId="1133"/>
    <cellStyle name="Warning Text" xfId="1134" builtinId="11" customBuiltin="1"/>
    <cellStyle name="Warning Text 2" xfId="1135"/>
    <cellStyle name="Year" xfId="1136"/>
    <cellStyle name="Year 2" xfId="1137"/>
    <cellStyle name="Year 2 2" xfId="1138"/>
    <cellStyle name="Year 2 2 2" xfId="1139"/>
    <cellStyle name="Year 2 2 2 2" xfId="1878"/>
    <cellStyle name="Year 2 2 3" xfId="1877"/>
    <cellStyle name="Year 2 3" xfId="1140"/>
    <cellStyle name="Year 2 3 2" xfId="1879"/>
    <cellStyle name="Year 2 4" xfId="1876"/>
    <cellStyle name="Year 3" xfId="1141"/>
    <cellStyle name="Year 3 2" xfId="1142"/>
    <cellStyle name="Year 3 2 2" xfId="1881"/>
    <cellStyle name="Year 3 3" xfId="1880"/>
    <cellStyle name="Year 4" xfId="1143"/>
    <cellStyle name="Year 4 2" xfId="1882"/>
    <cellStyle name="Year 5" xfId="1144"/>
    <cellStyle name="Year 5 2" xfId="1883"/>
    <cellStyle name="Year 6" xfId="1875"/>
    <cellStyle name="パーセント_QTBLNEW" xfId="1145"/>
    <cellStyle name="콤마 [0]_AP02MSEst" xfId="1146"/>
    <cellStyle name="콤마_AP02MSEst" xfId="1147"/>
    <cellStyle name="통화 [0]_AP02MSEst" xfId="1148"/>
    <cellStyle name="통화_AP02MSEst" xfId="1149"/>
    <cellStyle name="표준_AP02MSEst" xfId="1150"/>
    <cellStyle name="一般_法人 (1q)" xfId="1151"/>
    <cellStyle name="桁区切り [0.00]_new dif survey sheet" xfId="1152"/>
    <cellStyle name="標準_Total (2)" xfId="1153"/>
  </cellStyles>
  <dxfs count="100"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137CB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15" Target="../customXml/item1.xml" Type="http://schemas.openxmlformats.org/officeDocument/2006/relationships/customXml"/>
<Relationship Id="rId16" Target="../customXml/item2.xml" Type="http://schemas.openxmlformats.org/officeDocument/2006/relationships/customXml"/>
<Relationship Id="rId17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27796804194884"/>
          <c:y val="7.769442574802668E-2"/>
          <c:w val="0.78888995888937563"/>
          <c:h val="0.6265679495808602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'BU Segment'!$B$170</c:f>
              <c:strCache>
                <c:ptCount val="1"/>
                <c:pt idx="0">
                  <c:v>Americas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</c:spPr>
          <c:invertIfNegative val="0"/>
          <c:cat>
            <c:strRef>
              <c:f>'BU Segment'!$P$169:$AU$169</c:f>
              <c:strCache>
                <c:ptCount val="32"/>
                <c:pt idx="0">
                  <c:v>F1Q06A</c:v>
                </c:pt>
                <c:pt idx="1">
                  <c:v>F2Q06A</c:v>
                </c:pt>
                <c:pt idx="2">
                  <c:v>F3Q06A</c:v>
                </c:pt>
                <c:pt idx="3">
                  <c:v>F4Q06A</c:v>
                </c:pt>
                <c:pt idx="4">
                  <c:v>F1Q07A</c:v>
                </c:pt>
                <c:pt idx="5">
                  <c:v>F2Q07A</c:v>
                </c:pt>
                <c:pt idx="6">
                  <c:v>F3Q07A</c:v>
                </c:pt>
                <c:pt idx="7">
                  <c:v>F4Q07A</c:v>
                </c:pt>
                <c:pt idx="8">
                  <c:v>F1Q08A</c:v>
                </c:pt>
                <c:pt idx="9">
                  <c:v>F2Q08A</c:v>
                </c:pt>
                <c:pt idx="10">
                  <c:v>F3Q08A</c:v>
                </c:pt>
                <c:pt idx="11">
                  <c:v>F4Q08A</c:v>
                </c:pt>
                <c:pt idx="12">
                  <c:v>F1Q09A</c:v>
                </c:pt>
                <c:pt idx="13">
                  <c:v>F2Q09A</c:v>
                </c:pt>
                <c:pt idx="14">
                  <c:v>F3Q09A</c:v>
                </c:pt>
                <c:pt idx="15">
                  <c:v>F4Q09A</c:v>
                </c:pt>
                <c:pt idx="16">
                  <c:v>F1Q10A</c:v>
                </c:pt>
                <c:pt idx="17">
                  <c:v>F2Q10A</c:v>
                </c:pt>
                <c:pt idx="18">
                  <c:v>F3Q10A</c:v>
                </c:pt>
                <c:pt idx="19">
                  <c:v>F4Q10A</c:v>
                </c:pt>
                <c:pt idx="20">
                  <c:v>F1Q11A</c:v>
                </c:pt>
                <c:pt idx="21">
                  <c:v>F2Q11A</c:v>
                </c:pt>
                <c:pt idx="22">
                  <c:v>F3Q11A</c:v>
                </c:pt>
                <c:pt idx="23">
                  <c:v>F4Q11A</c:v>
                </c:pt>
                <c:pt idx="24">
                  <c:v>F1Q12A</c:v>
                </c:pt>
                <c:pt idx="25">
                  <c:v>F2Q12A</c:v>
                </c:pt>
                <c:pt idx="26">
                  <c:v>F3Q12A</c:v>
                </c:pt>
                <c:pt idx="27">
                  <c:v>F4Q12A</c:v>
                </c:pt>
                <c:pt idx="28">
                  <c:v>F1Q13A</c:v>
                </c:pt>
                <c:pt idx="29">
                  <c:v>F2Q13A</c:v>
                </c:pt>
                <c:pt idx="30">
                  <c:v>F3Q13A</c:v>
                </c:pt>
                <c:pt idx="31">
                  <c:v>F4Q13A</c:v>
                </c:pt>
              </c:strCache>
            </c:strRef>
          </c:cat>
          <c:val>
            <c:numRef>
              <c:f>'BU Segment'!$P$170:$AU$170</c:f>
              <c:numCache>
                <c:formatCode>0.0%</c:formatCode>
                <c:ptCount val="32"/>
                <c:pt idx="0">
                  <c:v>0.28769900286921068</c:v>
                </c:pt>
                <c:pt idx="1">
                  <c:v>0.28628496511187956</c:v>
                </c:pt>
                <c:pt idx="2">
                  <c:v>0.28158419045024186</c:v>
                </c:pt>
                <c:pt idx="3">
                  <c:v>0.29237939572443483</c:v>
                </c:pt>
                <c:pt idx="4">
                  <c:v>0.28024010024489915</c:v>
                </c:pt>
                <c:pt idx="5">
                  <c:v>0.27480274993095316</c:v>
                </c:pt>
                <c:pt idx="6">
                  <c:v>0.27916686586667944</c:v>
                </c:pt>
                <c:pt idx="7">
                  <c:v>0.27148534333168062</c:v>
                </c:pt>
                <c:pt idx="8">
                  <c:v>0.26661668029931235</c:v>
                </c:pt>
                <c:pt idx="9">
                  <c:v>0.27025250631169123</c:v>
                </c:pt>
                <c:pt idx="10">
                  <c:v>0.26123911322248616</c:v>
                </c:pt>
                <c:pt idx="11">
                  <c:v>0.25753980139621679</c:v>
                </c:pt>
                <c:pt idx="12">
                  <c:v>0.24658428172963617</c:v>
                </c:pt>
                <c:pt idx="13">
                  <c:v>0.2396053480456497</c:v>
                </c:pt>
                <c:pt idx="14">
                  <c:v>0.26454211463005944</c:v>
                </c:pt>
                <c:pt idx="15">
                  <c:v>0.27321893415987036</c:v>
                </c:pt>
                <c:pt idx="16">
                  <c:v>0.25641490756624807</c:v>
                </c:pt>
                <c:pt idx="17">
                  <c:v>0.24658851765411782</c:v>
                </c:pt>
                <c:pt idx="18">
                  <c:v>0.23715008856492831</c:v>
                </c:pt>
                <c:pt idx="19">
                  <c:v>0.23998273505503193</c:v>
                </c:pt>
                <c:pt idx="20">
                  <c:v>0.20921246062303117</c:v>
                </c:pt>
                <c:pt idx="21">
                  <c:v>0.20805658812727099</c:v>
                </c:pt>
                <c:pt idx="22">
                  <c:v>0.20829255296011134</c:v>
                </c:pt>
                <c:pt idx="23">
                  <c:v>0.21019513928181383</c:v>
                </c:pt>
                <c:pt idx="24">
                  <c:v>0.21122702646412481</c:v>
                </c:pt>
                <c:pt idx="25">
                  <c:v>0.21049494718175465</c:v>
                </c:pt>
                <c:pt idx="26">
                  <c:v>0.21035314562092139</c:v>
                </c:pt>
                <c:pt idx="27">
                  <c:v>0.2075825216649799</c:v>
                </c:pt>
                <c:pt idx="28">
                  <c:v>0.20447613692514779</c:v>
                </c:pt>
                <c:pt idx="29">
                  <c:v>0.20749651707026909</c:v>
                </c:pt>
                <c:pt idx="30">
                  <c:v>0.18579391270697782</c:v>
                </c:pt>
                <c:pt idx="31">
                  <c:v>0.19691080196399346</c:v>
                </c:pt>
              </c:numCache>
            </c:numRef>
          </c:val>
        </c:ser>
        <c:ser>
          <c:idx val="1"/>
          <c:order val="1"/>
          <c:tx>
            <c:strRef>
              <c:f>'BU Segment'!$B$171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</c:spPr>
          <c:invertIfNegative val="0"/>
          <c:cat>
            <c:strRef>
              <c:f>'BU Segment'!$P$169:$AU$169</c:f>
              <c:strCache>
                <c:ptCount val="32"/>
                <c:pt idx="0">
                  <c:v>F1Q06A</c:v>
                </c:pt>
                <c:pt idx="1">
                  <c:v>F2Q06A</c:v>
                </c:pt>
                <c:pt idx="2">
                  <c:v>F3Q06A</c:v>
                </c:pt>
                <c:pt idx="3">
                  <c:v>F4Q06A</c:v>
                </c:pt>
                <c:pt idx="4">
                  <c:v>F1Q07A</c:v>
                </c:pt>
                <c:pt idx="5">
                  <c:v>F2Q07A</c:v>
                </c:pt>
                <c:pt idx="6">
                  <c:v>F3Q07A</c:v>
                </c:pt>
                <c:pt idx="7">
                  <c:v>F4Q07A</c:v>
                </c:pt>
                <c:pt idx="8">
                  <c:v>F1Q08A</c:v>
                </c:pt>
                <c:pt idx="9">
                  <c:v>F2Q08A</c:v>
                </c:pt>
                <c:pt idx="10">
                  <c:v>F3Q08A</c:v>
                </c:pt>
                <c:pt idx="11">
                  <c:v>F4Q08A</c:v>
                </c:pt>
                <c:pt idx="12">
                  <c:v>F1Q09A</c:v>
                </c:pt>
                <c:pt idx="13">
                  <c:v>F2Q09A</c:v>
                </c:pt>
                <c:pt idx="14">
                  <c:v>F3Q09A</c:v>
                </c:pt>
                <c:pt idx="15">
                  <c:v>F4Q09A</c:v>
                </c:pt>
                <c:pt idx="16">
                  <c:v>F1Q10A</c:v>
                </c:pt>
                <c:pt idx="17">
                  <c:v>F2Q10A</c:v>
                </c:pt>
                <c:pt idx="18">
                  <c:v>F3Q10A</c:v>
                </c:pt>
                <c:pt idx="19">
                  <c:v>F4Q10A</c:v>
                </c:pt>
                <c:pt idx="20">
                  <c:v>F1Q11A</c:v>
                </c:pt>
                <c:pt idx="21">
                  <c:v>F2Q11A</c:v>
                </c:pt>
                <c:pt idx="22">
                  <c:v>F3Q11A</c:v>
                </c:pt>
                <c:pt idx="23">
                  <c:v>F4Q11A</c:v>
                </c:pt>
                <c:pt idx="24">
                  <c:v>F1Q12A</c:v>
                </c:pt>
                <c:pt idx="25">
                  <c:v>F2Q12A</c:v>
                </c:pt>
                <c:pt idx="26">
                  <c:v>F3Q12A</c:v>
                </c:pt>
                <c:pt idx="27">
                  <c:v>F4Q12A</c:v>
                </c:pt>
                <c:pt idx="28">
                  <c:v>F1Q13A</c:v>
                </c:pt>
                <c:pt idx="29">
                  <c:v>F2Q13A</c:v>
                </c:pt>
                <c:pt idx="30">
                  <c:v>F3Q13A</c:v>
                </c:pt>
                <c:pt idx="31">
                  <c:v>F4Q13A</c:v>
                </c:pt>
              </c:strCache>
            </c:strRef>
          </c:cat>
          <c:val>
            <c:numRef>
              <c:f>'BU Segment'!$P$171:$AU$171</c:f>
              <c:numCache>
                <c:formatCode>0.0%</c:formatCode>
                <c:ptCount val="32"/>
                <c:pt idx="0">
                  <c:v>0.28810627519711524</c:v>
                </c:pt>
                <c:pt idx="1">
                  <c:v>0.26937764520585311</c:v>
                </c:pt>
                <c:pt idx="2">
                  <c:v>0.25587919760234318</c:v>
                </c:pt>
                <c:pt idx="3">
                  <c:v>0.28754875147670456</c:v>
                </c:pt>
                <c:pt idx="4">
                  <c:v>0.28086091781974959</c:v>
                </c:pt>
                <c:pt idx="5">
                  <c:v>0.27565370576335962</c:v>
                </c:pt>
                <c:pt idx="6">
                  <c:v>0.28186403403929816</c:v>
                </c:pt>
                <c:pt idx="7">
                  <c:v>0.32675384234010918</c:v>
                </c:pt>
                <c:pt idx="8">
                  <c:v>0.30234935926565482</c:v>
                </c:pt>
                <c:pt idx="9">
                  <c:v>0.29072442363530215</c:v>
                </c:pt>
                <c:pt idx="10">
                  <c:v>0.28117973079968328</c:v>
                </c:pt>
                <c:pt idx="11">
                  <c:v>0.31529310569929875</c:v>
                </c:pt>
                <c:pt idx="12">
                  <c:v>0.29080590069060153</c:v>
                </c:pt>
                <c:pt idx="13">
                  <c:v>0.27128428733509818</c:v>
                </c:pt>
                <c:pt idx="14">
                  <c:v>0.27477285263782353</c:v>
                </c:pt>
                <c:pt idx="15">
                  <c:v>0.30851991018914526</c:v>
                </c:pt>
                <c:pt idx="16">
                  <c:v>0.25665331253336371</c:v>
                </c:pt>
                <c:pt idx="17">
                  <c:v>0.24036777390022984</c:v>
                </c:pt>
                <c:pt idx="18">
                  <c:v>0.24014090420193604</c:v>
                </c:pt>
                <c:pt idx="19">
                  <c:v>0.26362132220703544</c:v>
                </c:pt>
                <c:pt idx="20">
                  <c:v>0.2174476723836192</c:v>
                </c:pt>
                <c:pt idx="21">
                  <c:v>0.21294055787648028</c:v>
                </c:pt>
                <c:pt idx="22">
                  <c:v>0.22081212753925789</c:v>
                </c:pt>
                <c:pt idx="23">
                  <c:v>0.24904667289498281</c:v>
                </c:pt>
                <c:pt idx="24">
                  <c:v>0.23871115893694911</c:v>
                </c:pt>
                <c:pt idx="25">
                  <c:v>0.24020704517295849</c:v>
                </c:pt>
                <c:pt idx="26">
                  <c:v>0.21056884881332863</c:v>
                </c:pt>
                <c:pt idx="27">
                  <c:v>0.23415291920297651</c:v>
                </c:pt>
                <c:pt idx="28">
                  <c:v>0.21953574491528791</c:v>
                </c:pt>
                <c:pt idx="29">
                  <c:v>0.21831316625706371</c:v>
                </c:pt>
                <c:pt idx="30">
                  <c:v>0.20205890199905299</c:v>
                </c:pt>
                <c:pt idx="31">
                  <c:v>0.23085292367207261</c:v>
                </c:pt>
              </c:numCache>
            </c:numRef>
          </c:val>
        </c:ser>
        <c:ser>
          <c:idx val="5"/>
          <c:order val="2"/>
          <c:tx>
            <c:strRef>
              <c:f>'BU Segment'!$B$172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BCE3A1"/>
            </a:solidFill>
            <a:ln w="25400">
              <a:noFill/>
            </a:ln>
          </c:spPr>
          <c:invertIfNegative val="0"/>
          <c:cat>
            <c:strRef>
              <c:f>'BU Segment'!$P$169:$AU$169</c:f>
              <c:strCache>
                <c:ptCount val="32"/>
                <c:pt idx="0">
                  <c:v>F1Q06A</c:v>
                </c:pt>
                <c:pt idx="1">
                  <c:v>F2Q06A</c:v>
                </c:pt>
                <c:pt idx="2">
                  <c:v>F3Q06A</c:v>
                </c:pt>
                <c:pt idx="3">
                  <c:v>F4Q06A</c:v>
                </c:pt>
                <c:pt idx="4">
                  <c:v>F1Q07A</c:v>
                </c:pt>
                <c:pt idx="5">
                  <c:v>F2Q07A</c:v>
                </c:pt>
                <c:pt idx="6">
                  <c:v>F3Q07A</c:v>
                </c:pt>
                <c:pt idx="7">
                  <c:v>F4Q07A</c:v>
                </c:pt>
                <c:pt idx="8">
                  <c:v>F1Q08A</c:v>
                </c:pt>
                <c:pt idx="9">
                  <c:v>F2Q08A</c:v>
                </c:pt>
                <c:pt idx="10">
                  <c:v>F3Q08A</c:v>
                </c:pt>
                <c:pt idx="11">
                  <c:v>F4Q08A</c:v>
                </c:pt>
                <c:pt idx="12">
                  <c:v>F1Q09A</c:v>
                </c:pt>
                <c:pt idx="13">
                  <c:v>F2Q09A</c:v>
                </c:pt>
                <c:pt idx="14">
                  <c:v>F3Q09A</c:v>
                </c:pt>
                <c:pt idx="15">
                  <c:v>F4Q09A</c:v>
                </c:pt>
                <c:pt idx="16">
                  <c:v>F1Q10A</c:v>
                </c:pt>
                <c:pt idx="17">
                  <c:v>F2Q10A</c:v>
                </c:pt>
                <c:pt idx="18">
                  <c:v>F3Q10A</c:v>
                </c:pt>
                <c:pt idx="19">
                  <c:v>F4Q10A</c:v>
                </c:pt>
                <c:pt idx="20">
                  <c:v>F1Q11A</c:v>
                </c:pt>
                <c:pt idx="21">
                  <c:v>F2Q11A</c:v>
                </c:pt>
                <c:pt idx="22">
                  <c:v>F3Q11A</c:v>
                </c:pt>
                <c:pt idx="23">
                  <c:v>F4Q11A</c:v>
                </c:pt>
                <c:pt idx="24">
                  <c:v>F1Q12A</c:v>
                </c:pt>
                <c:pt idx="25">
                  <c:v>F2Q12A</c:v>
                </c:pt>
                <c:pt idx="26">
                  <c:v>F3Q12A</c:v>
                </c:pt>
                <c:pt idx="27">
                  <c:v>F4Q12A</c:v>
                </c:pt>
                <c:pt idx="28">
                  <c:v>F1Q13A</c:v>
                </c:pt>
                <c:pt idx="29">
                  <c:v>F2Q13A</c:v>
                </c:pt>
                <c:pt idx="30">
                  <c:v>F3Q13A</c:v>
                </c:pt>
                <c:pt idx="31">
                  <c:v>F4Q13A</c:v>
                </c:pt>
              </c:strCache>
            </c:strRef>
          </c:cat>
          <c:val>
            <c:numRef>
              <c:f>'BU Segment'!$P$172:$AU$172</c:f>
              <c:numCache>
                <c:formatCode>0.0%</c:formatCode>
                <c:ptCount val="32"/>
                <c:pt idx="0">
                  <c:v>0.42419472193367408</c:v>
                </c:pt>
                <c:pt idx="1">
                  <c:v>0.44433738968226733</c:v>
                </c:pt>
                <c:pt idx="2">
                  <c:v>0.46253661194741502</c:v>
                </c:pt>
                <c:pt idx="3">
                  <c:v>0.42007185279886061</c:v>
                </c:pt>
                <c:pt idx="4">
                  <c:v>0.43889898193535115</c:v>
                </c:pt>
                <c:pt idx="5">
                  <c:v>0.44954354430568716</c:v>
                </c:pt>
                <c:pt idx="6">
                  <c:v>0.43896910009402246</c:v>
                </c:pt>
                <c:pt idx="7">
                  <c:v>0.40176081432821026</c:v>
                </c:pt>
                <c:pt idx="8">
                  <c:v>0.43103396043503284</c:v>
                </c:pt>
                <c:pt idx="9">
                  <c:v>0.43902307005300667</c:v>
                </c:pt>
                <c:pt idx="10">
                  <c:v>0.45758115597783056</c:v>
                </c:pt>
                <c:pt idx="11">
                  <c:v>0.42716709290448424</c:v>
                </c:pt>
                <c:pt idx="12">
                  <c:v>0.46260981757976216</c:v>
                </c:pt>
                <c:pt idx="13">
                  <c:v>0.48911036461925206</c:v>
                </c:pt>
                <c:pt idx="14">
                  <c:v>0.46068503273211708</c:v>
                </c:pt>
                <c:pt idx="15">
                  <c:v>0.41826115565098443</c:v>
                </c:pt>
                <c:pt idx="16">
                  <c:v>0.48693177990038816</c:v>
                </c:pt>
                <c:pt idx="17">
                  <c:v>0.51304370844565239</c:v>
                </c:pt>
                <c:pt idx="18">
                  <c:v>0.52270900723313574</c:v>
                </c:pt>
                <c:pt idx="19">
                  <c:v>0.49639594273793208</c:v>
                </c:pt>
                <c:pt idx="20">
                  <c:v>0.5733398669933496</c:v>
                </c:pt>
                <c:pt idx="21">
                  <c:v>0.57900285399624873</c:v>
                </c:pt>
                <c:pt idx="22">
                  <c:v>0.57089531950063077</c:v>
                </c:pt>
                <c:pt idx="23">
                  <c:v>0.54075818782320351</c:v>
                </c:pt>
                <c:pt idx="24">
                  <c:v>0.55006181459892611</c:v>
                </c:pt>
                <c:pt idx="25">
                  <c:v>0.54929800764528691</c:v>
                </c:pt>
                <c:pt idx="26">
                  <c:v>0.57907800556574995</c:v>
                </c:pt>
                <c:pt idx="27">
                  <c:v>0.55826455913204365</c:v>
                </c:pt>
                <c:pt idx="28">
                  <c:v>0.57598811815956419</c:v>
                </c:pt>
                <c:pt idx="29">
                  <c:v>0.57419031667266729</c:v>
                </c:pt>
                <c:pt idx="30">
                  <c:v>0.61214718529396916</c:v>
                </c:pt>
                <c:pt idx="31">
                  <c:v>0.57213398303823837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7958912"/>
        <c:axId val="647960448"/>
      </c:barChart>
      <c:catAx>
        <c:axId val="6479589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79604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479604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1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79589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40555613881598129"/>
          <c:y val="0.92732066386438539"/>
          <c:w val="0.27777821522309709"/>
          <c:h val="6.0150639064853739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7</xdr:col>
      <xdr:colOff>390525</xdr:colOff>
      <xdr:row>194</xdr:row>
      <xdr:rowOff>104775</xdr:rowOff>
    </xdr:to>
    <xdr:pic>
      <xdr:nvPicPr>
        <xdr:cNvPr id="6780929" name="Picture 1" descr="C:\Users\vinayakr\AppData\Local\Temp\MercuryPriceRatingHistoryChart\MCHP.O_2018_03_04_18_37_08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175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198</xdr:row>
      <xdr:rowOff>0</xdr:rowOff>
    </xdr:from>
    <xdr:to>
      <xdr:col>68</xdr:col>
      <xdr:colOff>0</xdr:colOff>
      <xdr:row>219</xdr:row>
      <xdr:rowOff>1</xdr:rowOff>
    </xdr:to>
    <xdr:graphicFrame macro="">
      <xdr:nvGraphicFramePr>
        <xdr:cNvPr id="8452782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"/>
  <sheetViews>
    <sheetView workbookViewId="0"/>
  </sheetViews>
  <sheetFormatPr defaultRowHeight="12.75"/>
  <sheetData>
    <row r="1" spans="1:2">
      <c r="A1" s="338"/>
      <c r="B1" t="s">
        <v>104</v>
      </c>
    </row>
    <row r="2" spans="1:2"/>
  </sheetData>
  <phoneticPr fontId="34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88"/>
  <sheetViews>
    <sheetView showGridLines="0" tabSelected="1" workbookViewId="0">
      <selection activeCell="Z1" sqref="Z1"/>
    </sheetView>
  </sheetViews>
  <sheetFormatPr defaultRowHeight="12.75"/>
  <cols>
    <col min="1" max="1" width="25.7109375" style="1592" customWidth="1"/>
    <col min="2" max="5" width="9.140625" style="1592"/>
    <col min="6" max="6" width="18.7109375" style="1592" customWidth="1"/>
    <col min="7" max="256" width="9.140625" style="1592"/>
    <col min="257" max="257" width="100.7109375" style="1592" customWidth="1"/>
    <col min="258" max="512" width="9.140625" style="1592"/>
    <col min="513" max="513" width="100.7109375" style="1592" customWidth="1"/>
    <col min="514" max="768" width="9.140625" style="1592"/>
    <col min="769" max="769" width="100.7109375" style="1592" customWidth="1"/>
    <col min="770" max="1024" width="9.140625" style="1592"/>
    <col min="1025" max="1025" width="100.7109375" style="1592" customWidth="1"/>
    <col min="1026" max="1280" width="9.140625" style="1592"/>
    <col min="1281" max="1281" width="100.7109375" style="1592" customWidth="1"/>
    <col min="1282" max="1536" width="9.140625" style="1592"/>
    <col min="1537" max="1537" width="100.7109375" style="1592" customWidth="1"/>
    <col min="1538" max="1792" width="9.140625" style="1592"/>
    <col min="1793" max="1793" width="100.7109375" style="1592" customWidth="1"/>
    <col min="1794" max="2048" width="9.140625" style="1592"/>
    <col min="2049" max="2049" width="100.7109375" style="1592" customWidth="1"/>
    <col min="2050" max="2304" width="9.140625" style="1592"/>
    <col min="2305" max="2305" width="100.7109375" style="1592" customWidth="1"/>
    <col min="2306" max="2560" width="9.140625" style="1592"/>
    <col min="2561" max="2561" width="100.7109375" style="1592" customWidth="1"/>
    <col min="2562" max="2816" width="9.140625" style="1592"/>
    <col min="2817" max="2817" width="100.7109375" style="1592" customWidth="1"/>
    <col min="2818" max="3072" width="9.140625" style="1592"/>
    <col min="3073" max="3073" width="100.7109375" style="1592" customWidth="1"/>
    <col min="3074" max="3328" width="9.140625" style="1592"/>
    <col min="3329" max="3329" width="100.7109375" style="1592" customWidth="1"/>
    <col min="3330" max="3584" width="9.140625" style="1592"/>
    <col min="3585" max="3585" width="100.7109375" style="1592" customWidth="1"/>
    <col min="3586" max="3840" width="9.140625" style="1592"/>
    <col min="3841" max="3841" width="100.7109375" style="1592" customWidth="1"/>
    <col min="3842" max="4096" width="9.140625" style="1592"/>
    <col min="4097" max="4097" width="100.7109375" style="1592" customWidth="1"/>
    <col min="4098" max="4352" width="9.140625" style="1592"/>
    <col min="4353" max="4353" width="100.7109375" style="1592" customWidth="1"/>
    <col min="4354" max="4608" width="9.140625" style="1592"/>
    <col min="4609" max="4609" width="100.7109375" style="1592" customWidth="1"/>
    <col min="4610" max="4864" width="9.140625" style="1592"/>
    <col min="4865" max="4865" width="100.7109375" style="1592" customWidth="1"/>
    <col min="4866" max="5120" width="9.140625" style="1592"/>
    <col min="5121" max="5121" width="100.7109375" style="1592" customWidth="1"/>
    <col min="5122" max="5376" width="9.140625" style="1592"/>
    <col min="5377" max="5377" width="100.7109375" style="1592" customWidth="1"/>
    <col min="5378" max="5632" width="9.140625" style="1592"/>
    <col min="5633" max="5633" width="100.7109375" style="1592" customWidth="1"/>
    <col min="5634" max="5888" width="9.140625" style="1592"/>
    <col min="5889" max="5889" width="100.7109375" style="1592" customWidth="1"/>
    <col min="5890" max="6144" width="9.140625" style="1592"/>
    <col min="6145" max="6145" width="100.7109375" style="1592" customWidth="1"/>
    <col min="6146" max="6400" width="9.140625" style="1592"/>
    <col min="6401" max="6401" width="100.7109375" style="1592" customWidth="1"/>
    <col min="6402" max="6656" width="9.140625" style="1592"/>
    <col min="6657" max="6657" width="100.7109375" style="1592" customWidth="1"/>
    <col min="6658" max="6912" width="9.140625" style="1592"/>
    <col min="6913" max="6913" width="100.7109375" style="1592" customWidth="1"/>
    <col min="6914" max="7168" width="9.140625" style="1592"/>
    <col min="7169" max="7169" width="100.7109375" style="1592" customWidth="1"/>
    <col min="7170" max="7424" width="9.140625" style="1592"/>
    <col min="7425" max="7425" width="100.7109375" style="1592" customWidth="1"/>
    <col min="7426" max="7680" width="9.140625" style="1592"/>
    <col min="7681" max="7681" width="100.7109375" style="1592" customWidth="1"/>
    <col min="7682" max="7936" width="9.140625" style="1592"/>
    <col min="7937" max="7937" width="100.7109375" style="1592" customWidth="1"/>
    <col min="7938" max="8192" width="9.140625" style="1592"/>
    <col min="8193" max="8193" width="100.7109375" style="1592" customWidth="1"/>
    <col min="8194" max="8448" width="9.140625" style="1592"/>
    <col min="8449" max="8449" width="100.7109375" style="1592" customWidth="1"/>
    <col min="8450" max="8704" width="9.140625" style="1592"/>
    <col min="8705" max="8705" width="100.7109375" style="1592" customWidth="1"/>
    <col min="8706" max="8960" width="9.140625" style="1592"/>
    <col min="8961" max="8961" width="100.7109375" style="1592" customWidth="1"/>
    <col min="8962" max="9216" width="9.140625" style="1592"/>
    <col min="9217" max="9217" width="100.7109375" style="1592" customWidth="1"/>
    <col min="9218" max="9472" width="9.140625" style="1592"/>
    <col min="9473" max="9473" width="100.7109375" style="1592" customWidth="1"/>
    <col min="9474" max="9728" width="9.140625" style="1592"/>
    <col min="9729" max="9729" width="100.7109375" style="1592" customWidth="1"/>
    <col min="9730" max="9984" width="9.140625" style="1592"/>
    <col min="9985" max="9985" width="100.7109375" style="1592" customWidth="1"/>
    <col min="9986" max="10240" width="9.140625" style="1592"/>
    <col min="10241" max="10241" width="100.7109375" style="1592" customWidth="1"/>
    <col min="10242" max="10496" width="9.140625" style="1592"/>
    <col min="10497" max="10497" width="100.7109375" style="1592" customWidth="1"/>
    <col min="10498" max="10752" width="9.140625" style="1592"/>
    <col min="10753" max="10753" width="100.7109375" style="1592" customWidth="1"/>
    <col min="10754" max="11008" width="9.140625" style="1592"/>
    <col min="11009" max="11009" width="100.7109375" style="1592" customWidth="1"/>
    <col min="11010" max="11264" width="9.140625" style="1592"/>
    <col min="11265" max="11265" width="100.7109375" style="1592" customWidth="1"/>
    <col min="11266" max="11520" width="9.140625" style="1592"/>
    <col min="11521" max="11521" width="100.7109375" style="1592" customWidth="1"/>
    <col min="11522" max="11776" width="9.140625" style="1592"/>
    <col min="11777" max="11777" width="100.7109375" style="1592" customWidth="1"/>
    <col min="11778" max="12032" width="9.140625" style="1592"/>
    <col min="12033" max="12033" width="100.7109375" style="1592" customWidth="1"/>
    <col min="12034" max="12288" width="9.140625" style="1592"/>
    <col min="12289" max="12289" width="100.7109375" style="1592" customWidth="1"/>
    <col min="12290" max="12544" width="9.140625" style="1592"/>
    <col min="12545" max="12545" width="100.7109375" style="1592" customWidth="1"/>
    <col min="12546" max="12800" width="9.140625" style="1592"/>
    <col min="12801" max="12801" width="100.7109375" style="1592" customWidth="1"/>
    <col min="12802" max="13056" width="9.140625" style="1592"/>
    <col min="13057" max="13057" width="100.7109375" style="1592" customWidth="1"/>
    <col min="13058" max="13312" width="9.140625" style="1592"/>
    <col min="13313" max="13313" width="100.7109375" style="1592" customWidth="1"/>
    <col min="13314" max="13568" width="9.140625" style="1592"/>
    <col min="13569" max="13569" width="100.7109375" style="1592" customWidth="1"/>
    <col min="13570" max="13824" width="9.140625" style="1592"/>
    <col min="13825" max="13825" width="100.7109375" style="1592" customWidth="1"/>
    <col min="13826" max="14080" width="9.140625" style="1592"/>
    <col min="14081" max="14081" width="100.7109375" style="1592" customWidth="1"/>
    <col min="14082" max="14336" width="9.140625" style="1592"/>
    <col min="14337" max="14337" width="100.7109375" style="1592" customWidth="1"/>
    <col min="14338" max="14592" width="9.140625" style="1592"/>
    <col min="14593" max="14593" width="100.7109375" style="1592" customWidth="1"/>
    <col min="14594" max="14848" width="9.140625" style="1592"/>
    <col min="14849" max="14849" width="100.7109375" style="1592" customWidth="1"/>
    <col min="14850" max="15104" width="9.140625" style="1592"/>
    <col min="15105" max="15105" width="100.7109375" style="1592" customWidth="1"/>
    <col min="15106" max="15360" width="9.140625" style="1592"/>
    <col min="15361" max="15361" width="100.7109375" style="1592" customWidth="1"/>
    <col min="15362" max="15616" width="9.140625" style="1592"/>
    <col min="15617" max="15617" width="100.7109375" style="1592" customWidth="1"/>
    <col min="15618" max="15872" width="9.140625" style="1592"/>
    <col min="15873" max="15873" width="100.7109375" style="1592" customWidth="1"/>
    <col min="15874" max="16128" width="9.140625" style="1592"/>
    <col min="16129" max="16129" width="100.7109375" style="1592" customWidth="1"/>
    <col min="16130" max="16384" width="9.140625" style="1592"/>
  </cols>
  <sheetData>
    <row r="1" spans="1:8" ht="30" customHeight="1">
      <c r="A1" s="1590"/>
      <c r="B1" s="1591"/>
      <c r="C1" s="1591"/>
      <c r="D1" s="1591"/>
      <c r="E1" s="1591"/>
      <c r="F1" s="1591"/>
      <c r="G1" s="1591"/>
      <c r="H1" s="1591"/>
    </row>
    <row r="2" spans="1:8" ht="14.25">
      <c r="A2" s="1593" t="s">
        <v>604</v>
      </c>
      <c r="B2" s="1591"/>
      <c r="C2" s="1591"/>
      <c r="D2" s="1591"/>
      <c r="E2" s="1591"/>
      <c r="F2" s="1591"/>
      <c r="G2" s="1591"/>
      <c r="H2" s="1591"/>
    </row>
    <row r="3" spans="1:8" ht="14.25">
      <c r="A3" s="1593" t="s">
        <v>605</v>
      </c>
      <c r="B3" s="1591"/>
      <c r="C3" s="1591"/>
      <c r="D3" s="1591"/>
      <c r="E3" s="1591"/>
      <c r="F3" s="1591"/>
      <c r="G3" s="1591"/>
      <c r="H3" s="1591"/>
    </row>
    <row r="4" spans="1:8" ht="14.25">
      <c r="A4" s="1593" t="s">
        <v>525</v>
      </c>
      <c r="B4" s="1591"/>
      <c r="C4" s="1591"/>
      <c r="D4" s="1591"/>
      <c r="E4" s="1591"/>
      <c r="F4" s="1591"/>
      <c r="G4" s="1591"/>
      <c r="H4" s="1591"/>
    </row>
    <row r="5" spans="1:8" ht="14.25">
      <c r="A5" s="1593" t="s">
        <v>606</v>
      </c>
      <c r="B5" s="1591"/>
      <c r="C5" s="1591"/>
      <c r="D5" s="1591"/>
      <c r="E5" s="1591"/>
      <c r="F5" s="1591"/>
      <c r="G5" s="1591"/>
      <c r="H5" s="1591"/>
    </row>
    <row r="6" spans="1:8" ht="14.25">
      <c r="A6" s="1593"/>
      <c r="B6" s="1591"/>
      <c r="C6" s="1591"/>
      <c r="D6" s="1591"/>
      <c r="E6" s="1591"/>
      <c r="F6" s="1591"/>
      <c r="G6" s="1591"/>
      <c r="H6" s="1591"/>
    </row>
    <row r="7" spans="1:8">
      <c r="A7" s="1590" t="s">
        <v>607</v>
      </c>
      <c r="B7" s="1591"/>
      <c r="C7" s="1591"/>
      <c r="D7" s="1591"/>
      <c r="E7" s="1591"/>
      <c r="F7" s="1591"/>
      <c r="G7" s="1591"/>
      <c r="H7" s="1591"/>
    </row>
    <row r="8" spans="1:8">
      <c r="A8" s="1590" t="s">
        <v>608</v>
      </c>
      <c r="B8" s="1591"/>
      <c r="C8" s="1591"/>
      <c r="D8" s="1591"/>
      <c r="E8" s="1591"/>
      <c r="F8" s="1591"/>
      <c r="G8" s="1591"/>
      <c r="H8" s="1591"/>
    </row>
    <row r="9" spans="1:8">
      <c r="A9" s="1590"/>
      <c r="B9" s="1591"/>
      <c r="C9" s="1591"/>
      <c r="D9" s="1591"/>
      <c r="E9" s="1591"/>
      <c r="F9" s="1591"/>
      <c r="G9" s="1591"/>
      <c r="H9" s="1591"/>
    </row>
    <row r="10" spans="1:8">
      <c r="A10" s="1594" t="s">
        <v>609</v>
      </c>
      <c r="B10" s="1591"/>
      <c r="C10" s="1591"/>
      <c r="D10" s="1591"/>
      <c r="E10" s="1591"/>
      <c r="F10" s="1591"/>
      <c r="G10" s="1591"/>
      <c r="H10" s="1591"/>
    </row>
    <row r="11" spans="1:8">
      <c r="A11" s="1594" t="s">
        <v>610</v>
      </c>
      <c r="B11" s="1591"/>
      <c r="C11" s="1591"/>
      <c r="D11" s="1591"/>
      <c r="E11" s="1591"/>
      <c r="F11" s="1591"/>
      <c r="G11" s="1591"/>
      <c r="H11" s="1591"/>
    </row>
    <row r="12" spans="1:8">
      <c r="A12" s="1594" t="s">
        <v>611</v>
      </c>
      <c r="B12" s="1591"/>
      <c r="C12" s="1591"/>
      <c r="D12" s="1591"/>
      <c r="E12" s="1591"/>
      <c r="F12" s="1591"/>
      <c r="G12" s="1591"/>
      <c r="H12" s="1591"/>
    </row>
    <row r="13" spans="1:8">
      <c r="A13" s="1594" t="s">
        <v>612</v>
      </c>
      <c r="B13" s="1591"/>
      <c r="C13" s="1591"/>
      <c r="D13" s="1591"/>
      <c r="E13" s="1591"/>
      <c r="F13" s="1591"/>
      <c r="G13" s="1591"/>
      <c r="H13" s="1591"/>
    </row>
    <row r="14" spans="1:8">
      <c r="A14" s="1594" t="s">
        <v>613</v>
      </c>
      <c r="B14" s="1591"/>
      <c r="C14" s="1591"/>
      <c r="D14" s="1591"/>
      <c r="E14" s="1591"/>
      <c r="F14" s="1591"/>
      <c r="G14" s="1591"/>
      <c r="H14" s="1591"/>
    </row>
    <row r="15" spans="1:8">
      <c r="A15" s="1594" t="s">
        <v>614</v>
      </c>
      <c r="B15" s="1591"/>
      <c r="C15" s="1591"/>
      <c r="D15" s="1591"/>
      <c r="E15" s="1591"/>
      <c r="F15" s="1591"/>
      <c r="G15" s="1591"/>
      <c r="H15" s="1591"/>
    </row>
    <row r="16" spans="1:8">
      <c r="A16" s="1594"/>
      <c r="B16" s="1591"/>
      <c r="C16" s="1591"/>
      <c r="D16" s="1591"/>
      <c r="E16" s="1591"/>
      <c r="F16" s="1591"/>
      <c r="G16" s="1591"/>
      <c r="H16" s="1591"/>
    </row>
    <row r="17" spans="1:8">
      <c r="A17" s="1594" t="s">
        <v>601</v>
      </c>
      <c r="B17" s="1591"/>
      <c r="C17" s="1591"/>
      <c r="D17" s="1591"/>
      <c r="E17" s="1591"/>
      <c r="F17" s="1591"/>
      <c r="G17" s="1591"/>
      <c r="H17" s="1591"/>
    </row>
    <row r="18" spans="1:8">
      <c r="A18" s="1594"/>
      <c r="B18" s="1591"/>
      <c r="C18" s="1591"/>
      <c r="D18" s="1591"/>
      <c r="E18" s="1591"/>
      <c r="F18" s="1591"/>
      <c r="G18" s="1591"/>
      <c r="H18" s="1591"/>
    </row>
    <row r="19" spans="1:8">
      <c r="A19" s="1594" t="s">
        <v>602</v>
      </c>
      <c r="B19" s="1591"/>
      <c r="C19" s="1591"/>
      <c r="D19" s="1591"/>
      <c r="E19" s="1591"/>
      <c r="F19" s="1591"/>
      <c r="G19" s="1591"/>
      <c r="H19" s="1591"/>
    </row>
    <row r="20" spans="1:8">
      <c r="A20" s="1590"/>
      <c r="B20" s="1591"/>
      <c r="C20" s="1591"/>
      <c r="D20" s="1591"/>
      <c r="E20" s="1591"/>
      <c r="F20" s="1591"/>
      <c r="G20" s="1591"/>
      <c r="H20" s="1591"/>
    </row>
    <row r="21" spans="1:8">
      <c r="A21" s="1595" t="s">
        <v>603</v>
      </c>
      <c r="B21" s="1591"/>
      <c r="C21" s="1591"/>
      <c r="D21" s="1591"/>
      <c r="E21" s="1591"/>
      <c r="F21" s="1591"/>
      <c r="G21" s="1591"/>
      <c r="H21" s="1591"/>
    </row>
    <row r="22" spans="1:8">
      <c r="A22" s="1596"/>
      <c r="B22" s="1596"/>
      <c r="C22" s="1596"/>
      <c r="D22" s="1596"/>
      <c r="E22" s="1596"/>
      <c r="F22" s="1596"/>
      <c r="G22" s="1596"/>
      <c r="H22" s="1596"/>
    </row>
    <row r="23" spans="1:8">
      <c r="A23" s="1597" t="s">
        <v>891</v>
      </c>
      <c r="B23" s="1596"/>
      <c r="C23" s="1596"/>
      <c r="D23" s="1596"/>
      <c r="E23" s="1596"/>
      <c r="F23" s="1596"/>
      <c r="G23" s="1596"/>
      <c r="H23" s="1596"/>
    </row>
    <row r="24" spans="1:8">
      <c r="A24" s="1597" t="s">
        <v>892</v>
      </c>
      <c r="B24" s="1596"/>
      <c r="C24" s="1596"/>
      <c r="D24" s="1596"/>
      <c r="E24" s="1596"/>
      <c r="F24" s="1596"/>
      <c r="G24" s="1596"/>
      <c r="H24" s="1596"/>
    </row>
    <row r="25" spans="1:8">
      <c r="A25" s="1597" t="s">
        <v>893</v>
      </c>
      <c r="B25" s="1596"/>
      <c r="C25" s="1596"/>
      <c r="D25" s="1596"/>
      <c r="E25" s="1596"/>
      <c r="F25" s="1596"/>
      <c r="G25" s="1596"/>
      <c r="H25" s="1596"/>
    </row>
    <row r="26" spans="1:8">
      <c r="A26" s="1597" t="s">
        <v>894</v>
      </c>
      <c r="B26" s="1596"/>
      <c r="C26" s="1596"/>
      <c r="D26" s="1596"/>
      <c r="E26" s="1596"/>
      <c r="F26" s="1596"/>
      <c r="G26" s="1596"/>
      <c r="H26" s="1596"/>
    </row>
    <row r="27" spans="1:8">
      <c r="A27" s="1596"/>
      <c r="B27" s="1596"/>
      <c r="C27" s="1596"/>
      <c r="D27" s="1596"/>
      <c r="E27" s="1596"/>
      <c r="F27" s="1596"/>
      <c r="G27" s="1596"/>
      <c r="H27" s="1596"/>
    </row>
    <row r="28" spans="1:8">
      <c r="A28" s="1596"/>
      <c r="B28" s="1596"/>
      <c r="C28" s="1596"/>
      <c r="D28" s="1596"/>
      <c r="E28" s="1596"/>
      <c r="F28" s="1596"/>
      <c r="G28" s="1596"/>
      <c r="H28" s="1596"/>
    </row>
    <row r="29" spans="1:8">
      <c r="A29" s="1597" t="s">
        <v>886</v>
      </c>
      <c r="B29" s="1596"/>
      <c r="C29" s="1596"/>
      <c r="D29" s="1596"/>
      <c r="E29" s="1596"/>
      <c r="F29" s="1596"/>
      <c r="G29" s="1596"/>
      <c r="H29" s="1596"/>
    </row>
    <row r="30" spans="1:8">
      <c r="A30" s="1597" t="s">
        <v>887</v>
      </c>
      <c r="B30" s="1596"/>
      <c r="C30" s="1596"/>
      <c r="D30" s="1596"/>
      <c r="E30" s="1596"/>
      <c r="F30" s="1596"/>
      <c r="G30" s="1596"/>
      <c r="H30" s="1596"/>
    </row>
    <row r="31" spans="1:8">
      <c r="A31" s="1597" t="s">
        <v>888</v>
      </c>
      <c r="B31" s="1596"/>
      <c r="C31" s="1596"/>
      <c r="D31" s="1596"/>
      <c r="E31" s="1596"/>
      <c r="F31" s="1596"/>
      <c r="G31" s="1596"/>
      <c r="H31" s="1596"/>
    </row>
    <row r="32" spans="1:8">
      <c r="A32" s="1597" t="s">
        <v>889</v>
      </c>
      <c r="B32" s="1596"/>
      <c r="C32" s="1596"/>
      <c r="D32" s="1596"/>
      <c r="E32" s="1596"/>
      <c r="F32" s="1596"/>
      <c r="G32" s="1596"/>
      <c r="H32" s="1596"/>
    </row>
    <row r="33" spans="1:8">
      <c r="A33" s="1597" t="s">
        <v>890</v>
      </c>
      <c r="B33" s="1596"/>
      <c r="C33" s="1596"/>
      <c r="D33" s="1596"/>
      <c r="E33" s="1596"/>
      <c r="F33" s="1596"/>
      <c r="G33" s="1596"/>
      <c r="H33" s="1596"/>
    </row>
    <row r="34" spans="1:8">
      <c r="A34" s="1596"/>
      <c r="B34" s="1596"/>
      <c r="C34" s="1596"/>
      <c r="D34" s="1596"/>
      <c r="E34" s="1596"/>
      <c r="F34" s="1596"/>
      <c r="G34" s="1596"/>
      <c r="H34" s="1596"/>
    </row>
    <row r="35" spans="1:8">
      <c r="A35" s="1597" t="s">
        <v>882</v>
      </c>
      <c r="B35" s="1596"/>
      <c r="C35" s="1596"/>
      <c r="D35" s="1596"/>
      <c r="E35" s="1596"/>
      <c r="F35" s="1596"/>
      <c r="G35" s="1596"/>
      <c r="H35" s="1596"/>
    </row>
    <row r="36" spans="1:8">
      <c r="A36" s="1597" t="s">
        <v>883</v>
      </c>
      <c r="B36" s="1596"/>
      <c r="C36" s="1596"/>
      <c r="D36" s="1596"/>
      <c r="E36" s="1596"/>
      <c r="F36" s="1596"/>
      <c r="G36" s="1596"/>
      <c r="H36" s="1596"/>
    </row>
    <row r="37" spans="1:8">
      <c r="A37" s="1597" t="s">
        <v>884</v>
      </c>
      <c r="B37" s="1596"/>
      <c r="C37" s="1596"/>
      <c r="D37" s="1596"/>
      <c r="E37" s="1596"/>
      <c r="F37" s="1596"/>
      <c r="G37" s="1596"/>
      <c r="H37" s="1596"/>
    </row>
    <row r="38" spans="1:8">
      <c r="A38" s="1597" t="s">
        <v>885</v>
      </c>
      <c r="B38" s="1596"/>
      <c r="C38" s="1596"/>
      <c r="D38" s="1596"/>
      <c r="E38" s="1596"/>
      <c r="F38" s="1596"/>
      <c r="G38" s="1596"/>
      <c r="H38" s="1596"/>
    </row>
    <row r="39" spans="1:8">
      <c r="A39" s="1596"/>
      <c r="B39" s="1596"/>
      <c r="C39" s="1596"/>
      <c r="D39" s="1596"/>
      <c r="E39" s="1596"/>
      <c r="F39" s="1596"/>
      <c r="G39" s="1596"/>
      <c r="H39" s="1596"/>
    </row>
    <row r="40" spans="1:8">
      <c r="A40" s="1597" t="s">
        <v>876</v>
      </c>
      <c r="B40" s="1596"/>
      <c r="C40" s="1596"/>
      <c r="D40" s="1596"/>
      <c r="E40" s="1596"/>
      <c r="F40" s="1596"/>
      <c r="G40" s="1596"/>
      <c r="H40" s="1596"/>
    </row>
    <row r="41" spans="1:8">
      <c r="A41" s="1597" t="s">
        <v>877</v>
      </c>
      <c r="B41" s="1596"/>
      <c r="C41" s="1596"/>
      <c r="D41" s="1596"/>
      <c r="E41" s="1596"/>
      <c r="F41" s="1596"/>
      <c r="G41" s="1596"/>
      <c r="H41" s="1596"/>
    </row>
    <row r="42" spans="1:8">
      <c r="A42" s="1597" t="s">
        <v>878</v>
      </c>
      <c r="B42" s="1596"/>
      <c r="C42" s="1596"/>
      <c r="D42" s="1596"/>
      <c r="E42" s="1596"/>
      <c r="F42" s="1596"/>
      <c r="G42" s="1596"/>
      <c r="H42" s="1596"/>
    </row>
    <row r="43" spans="1:8">
      <c r="A43" s="1597" t="s">
        <v>879</v>
      </c>
      <c r="B43" s="1596"/>
      <c r="C43" s="1596"/>
      <c r="D43" s="1596"/>
      <c r="E43" s="1596"/>
      <c r="F43" s="1596"/>
      <c r="G43" s="1596"/>
      <c r="H43" s="1596"/>
    </row>
    <row r="44" spans="1:8">
      <c r="A44" s="1597" t="s">
        <v>880</v>
      </c>
      <c r="B44" s="1596"/>
      <c r="C44" s="1596"/>
      <c r="D44" s="1596"/>
      <c r="E44" s="1596"/>
      <c r="F44" s="1596"/>
      <c r="G44" s="1596"/>
      <c r="H44" s="1596"/>
    </row>
    <row r="45" spans="1:8">
      <c r="A45" s="1597" t="s">
        <v>881</v>
      </c>
      <c r="B45" s="1596"/>
      <c r="C45" s="1596"/>
      <c r="D45" s="1596"/>
      <c r="E45" s="1596"/>
      <c r="F45" s="1596"/>
      <c r="G45" s="1596"/>
      <c r="H45" s="1596"/>
    </row>
    <row r="46" spans="1:8">
      <c r="A46" s="1596"/>
      <c r="B46" s="1596"/>
      <c r="C46" s="1596"/>
      <c r="D46" s="1596"/>
      <c r="E46" s="1596"/>
      <c r="F46" s="1596"/>
      <c r="G46" s="1596"/>
      <c r="H46" s="1596"/>
    </row>
    <row r="47" spans="1:8" ht="15.75">
      <c r="A47" s="1598" t="s">
        <v>615</v>
      </c>
      <c r="B47" s="1596"/>
      <c r="C47" s="1596"/>
      <c r="D47" s="1596"/>
      <c r="E47" s="1596"/>
      <c r="F47" s="1596"/>
      <c r="G47" s="1596"/>
      <c r="H47" s="1596"/>
    </row>
    <row r="48" spans="1:8">
      <c r="A48" s="1596"/>
      <c r="B48" s="1596"/>
      <c r="C48" s="1596"/>
      <c r="D48" s="1596"/>
      <c r="E48" s="1596"/>
      <c r="F48" s="1596"/>
      <c r="G48" s="1596"/>
      <c r="H48" s="1596"/>
    </row>
    <row r="49" spans="1:8">
      <c r="A49" s="1597" t="s">
        <v>872</v>
      </c>
      <c r="B49" s="1596"/>
      <c r="C49" s="1596"/>
      <c r="D49" s="1596"/>
      <c r="E49" s="1596"/>
      <c r="F49" s="1596"/>
      <c r="G49" s="1596"/>
      <c r="H49" s="1596"/>
    </row>
    <row r="50" spans="1:8">
      <c r="A50" s="1597" t="s">
        <v>873</v>
      </c>
      <c r="B50" s="1596"/>
      <c r="C50" s="1596"/>
      <c r="D50" s="1596"/>
      <c r="E50" s="1596"/>
      <c r="F50" s="1596"/>
      <c r="G50" s="1596"/>
      <c r="H50" s="1596"/>
    </row>
    <row r="51" spans="1:8">
      <c r="A51" s="1597" t="s">
        <v>874</v>
      </c>
      <c r="B51" s="1596"/>
      <c r="C51" s="1596"/>
      <c r="D51" s="1596"/>
      <c r="E51" s="1596"/>
      <c r="F51" s="1596"/>
      <c r="G51" s="1596"/>
      <c r="H51" s="1596"/>
    </row>
    <row r="52" spans="1:8">
      <c r="A52" s="1597" t="s">
        <v>875</v>
      </c>
      <c r="B52" s="1596"/>
      <c r="C52" s="1596"/>
      <c r="D52" s="1596"/>
      <c r="E52" s="1596"/>
      <c r="F52" s="1596"/>
      <c r="G52" s="1596"/>
      <c r="H52" s="1596"/>
    </row>
    <row r="53" spans="1:8">
      <c r="A53" s="1596"/>
      <c r="B53" s="1596"/>
      <c r="C53" s="1596"/>
      <c r="D53" s="1596"/>
      <c r="E53" s="1596"/>
      <c r="F53" s="1596"/>
      <c r="G53" s="1596"/>
      <c r="H53" s="1596"/>
    </row>
    <row r="54" spans="1:8">
      <c r="A54" s="1597" t="s">
        <v>616</v>
      </c>
      <c r="B54" s="1596"/>
      <c r="C54" s="1596"/>
      <c r="D54" s="1596"/>
      <c r="E54" s="1596"/>
      <c r="F54" s="1596"/>
      <c r="G54" s="1596"/>
      <c r="H54" s="1596"/>
    </row>
    <row r="55" spans="1:8">
      <c r="A55" s="1596"/>
      <c r="B55" s="1596"/>
      <c r="C55" s="1596"/>
      <c r="D55" s="1596"/>
      <c r="E55" s="1596"/>
      <c r="F55" s="1596"/>
      <c r="G55" s="1596"/>
      <c r="H55" s="1596"/>
    </row>
    <row r="56" spans="1:8" ht="15.75">
      <c r="A56" s="1598" t="s">
        <v>617</v>
      </c>
      <c r="B56" s="1596"/>
      <c r="C56" s="1596"/>
      <c r="D56" s="1596"/>
      <c r="E56" s="1596"/>
      <c r="F56" s="1596"/>
      <c r="G56" s="1596"/>
      <c r="H56" s="1596"/>
    </row>
    <row r="57" spans="1:8">
      <c r="A57" s="1596"/>
      <c r="B57" s="1596"/>
      <c r="C57" s="1596"/>
      <c r="D57" s="1596"/>
      <c r="E57" s="1596"/>
      <c r="F57" s="1596"/>
      <c r="G57" s="1596"/>
      <c r="H57" s="1596"/>
    </row>
    <row r="58" spans="1:8">
      <c r="A58" s="1597" t="s">
        <v>870</v>
      </c>
      <c r="B58" s="1596"/>
      <c r="C58" s="1596"/>
      <c r="D58" s="1596"/>
      <c r="E58" s="1596"/>
      <c r="F58" s="1596"/>
      <c r="G58" s="1596"/>
      <c r="H58" s="1596"/>
    </row>
    <row r="59" spans="1:8">
      <c r="A59" s="1597" t="s">
        <v>871</v>
      </c>
      <c r="B59" s="1596"/>
      <c r="C59" s="1596"/>
      <c r="D59" s="1596"/>
      <c r="E59" s="1596"/>
      <c r="F59" s="1596"/>
      <c r="G59" s="1596"/>
      <c r="H59" s="1596"/>
    </row>
    <row r="60" spans="1:8">
      <c r="A60" s="1596"/>
      <c r="B60" s="1596"/>
      <c r="C60" s="1596"/>
      <c r="D60" s="1596"/>
      <c r="E60" s="1596"/>
      <c r="F60" s="1596"/>
      <c r="G60" s="1596"/>
      <c r="H60" s="1596"/>
    </row>
    <row r="61" spans="1:8" ht="15.75">
      <c r="A61" s="1598" t="s">
        <v>618</v>
      </c>
      <c r="B61" s="1596"/>
      <c r="C61" s="1596"/>
      <c r="D61" s="1596"/>
      <c r="E61" s="1596"/>
      <c r="F61" s="1596"/>
      <c r="G61" s="1596"/>
      <c r="H61" s="1596"/>
    </row>
    <row r="62" spans="1:8">
      <c r="A62" s="1596"/>
      <c r="B62" s="1596"/>
      <c r="C62" s="1596"/>
      <c r="D62" s="1596"/>
      <c r="E62" s="1596"/>
      <c r="F62" s="1596"/>
      <c r="G62" s="1596"/>
      <c r="H62" s="1596"/>
    </row>
    <row r="63" spans="1:8">
      <c r="A63" s="1597" t="s">
        <v>868</v>
      </c>
      <c r="B63" s="1596"/>
      <c r="C63" s="1596"/>
      <c r="D63" s="1596"/>
      <c r="E63" s="1596"/>
      <c r="F63" s="1596"/>
      <c r="G63" s="1596"/>
      <c r="H63" s="1596"/>
    </row>
    <row r="64" spans="1:8">
      <c r="A64" s="1597" t="s">
        <v>869</v>
      </c>
      <c r="B64" s="1596"/>
      <c r="C64" s="1596"/>
      <c r="D64" s="1596"/>
      <c r="E64" s="1596"/>
      <c r="F64" s="1596"/>
      <c r="G64" s="1596"/>
      <c r="H64" s="1596"/>
    </row>
    <row r="65" spans="1:8">
      <c r="A65" s="1596"/>
      <c r="B65" s="1596"/>
      <c r="C65" s="1596"/>
      <c r="D65" s="1596"/>
      <c r="E65" s="1596"/>
      <c r="F65" s="1596"/>
      <c r="G65" s="1596"/>
      <c r="H65" s="1596"/>
    </row>
    <row r="66" spans="1:8">
      <c r="A66" s="1597" t="s">
        <v>866</v>
      </c>
      <c r="B66" s="1596"/>
      <c r="C66" s="1596"/>
      <c r="D66" s="1596"/>
      <c r="E66" s="1596"/>
      <c r="F66" s="1596"/>
      <c r="G66" s="1596"/>
      <c r="H66" s="1596"/>
    </row>
    <row r="67" spans="1:8">
      <c r="A67" s="1597" t="s">
        <v>867</v>
      </c>
      <c r="B67" s="1596"/>
      <c r="C67" s="1596"/>
      <c r="D67" s="1596"/>
      <c r="E67" s="1596"/>
      <c r="F67" s="1596"/>
      <c r="G67" s="1596"/>
      <c r="H67" s="1596"/>
    </row>
    <row r="68" spans="1:8">
      <c r="A68" s="1596"/>
      <c r="B68" s="1596"/>
      <c r="C68" s="1596"/>
      <c r="D68" s="1596"/>
      <c r="E68" s="1596"/>
      <c r="F68" s="1596"/>
      <c r="G68" s="1596"/>
      <c r="H68" s="1596"/>
    </row>
    <row r="69" spans="1:8">
      <c r="A69" s="1597" t="s">
        <v>863</v>
      </c>
      <c r="B69" s="1596"/>
      <c r="C69" s="1596"/>
      <c r="D69" s="1596"/>
      <c r="E69" s="1596"/>
      <c r="F69" s="1596"/>
      <c r="G69" s="1596"/>
      <c r="H69" s="1596"/>
    </row>
    <row r="70" spans="1:8">
      <c r="A70" s="1597" t="s">
        <v>864</v>
      </c>
      <c r="B70" s="1596"/>
      <c r="C70" s="1596"/>
      <c r="D70" s="1596"/>
      <c r="E70" s="1596"/>
      <c r="F70" s="1596"/>
      <c r="G70" s="1596"/>
      <c r="H70" s="1596"/>
    </row>
    <row r="71" spans="1:8">
      <c r="A71" s="1597" t="s">
        <v>865</v>
      </c>
      <c r="B71" s="1596"/>
      <c r="C71" s="1596"/>
      <c r="D71" s="1596"/>
      <c r="E71" s="1596"/>
      <c r="F71" s="1596"/>
      <c r="G71" s="1596"/>
      <c r="H71" s="1596"/>
    </row>
    <row r="72" spans="1:8">
      <c r="A72" s="1596"/>
      <c r="B72" s="1596"/>
      <c r="C72" s="1596"/>
      <c r="D72" s="1596"/>
      <c r="E72" s="1596"/>
      <c r="F72" s="1596"/>
      <c r="G72" s="1596"/>
      <c r="H72" s="1596"/>
    </row>
    <row r="73" spans="1:8">
      <c r="A73" s="1597" t="s">
        <v>619</v>
      </c>
      <c r="B73" s="1596"/>
      <c r="C73" s="1596"/>
      <c r="D73" s="1596"/>
      <c r="E73" s="1596"/>
      <c r="F73" s="1596"/>
      <c r="G73" s="1596"/>
      <c r="H73" s="1596"/>
    </row>
    <row r="74" spans="1:8">
      <c r="A74" s="1596"/>
      <c r="B74" s="1596"/>
      <c r="C74" s="1596"/>
      <c r="D74" s="1596"/>
      <c r="E74" s="1596"/>
      <c r="F74" s="1596"/>
      <c r="G74" s="1596"/>
      <c r="H74" s="1596"/>
    </row>
    <row r="75" spans="1:8">
      <c r="A75" s="1597" t="s">
        <v>858</v>
      </c>
      <c r="B75" s="1596"/>
      <c r="C75" s="1596"/>
      <c r="D75" s="1596"/>
      <c r="E75" s="1596"/>
      <c r="F75" s="1596"/>
      <c r="G75" s="1596"/>
      <c r="H75" s="1596"/>
    </row>
    <row r="76" spans="1:8">
      <c r="A76" s="1597" t="s">
        <v>859</v>
      </c>
      <c r="B76" s="1596"/>
      <c r="C76" s="1596"/>
      <c r="D76" s="1596"/>
      <c r="E76" s="1596"/>
      <c r="F76" s="1596"/>
      <c r="G76" s="1596"/>
      <c r="H76" s="1596"/>
    </row>
    <row r="77" spans="1:8">
      <c r="A77" s="1597" t="s">
        <v>860</v>
      </c>
      <c r="B77" s="1596"/>
      <c r="C77" s="1596"/>
      <c r="D77" s="1596"/>
      <c r="E77" s="1596"/>
      <c r="F77" s="1596"/>
      <c r="G77" s="1596"/>
      <c r="H77" s="1596"/>
    </row>
    <row r="78" spans="1:8">
      <c r="A78" s="1597" t="s">
        <v>861</v>
      </c>
      <c r="B78" s="1596"/>
      <c r="C78" s="1596"/>
      <c r="D78" s="1596"/>
      <c r="E78" s="1596"/>
      <c r="F78" s="1596"/>
      <c r="G78" s="1596"/>
      <c r="H78" s="1596"/>
    </row>
    <row r="79" spans="1:8">
      <c r="A79" s="1597" t="s">
        <v>862</v>
      </c>
      <c r="B79" s="1596"/>
      <c r="C79" s="1596"/>
      <c r="D79" s="1596"/>
      <c r="E79" s="1596"/>
      <c r="F79" s="1596"/>
      <c r="G79" s="1596"/>
      <c r="H79" s="1596"/>
    </row>
    <row r="80" spans="1:8">
      <c r="A80" s="1597" t="s">
        <v>745</v>
      </c>
      <c r="B80" s="1596"/>
      <c r="C80" s="1596"/>
      <c r="D80" s="1596"/>
      <c r="E80" s="1596"/>
      <c r="F80" s="1596"/>
      <c r="G80" s="1596"/>
      <c r="H80" s="1596"/>
    </row>
    <row r="81" spans="1:8">
      <c r="A81" s="1596"/>
      <c r="B81" s="1596"/>
      <c r="C81" s="1596"/>
      <c r="D81" s="1596"/>
      <c r="E81" s="1596"/>
      <c r="F81" s="1596"/>
      <c r="G81" s="1596"/>
      <c r="H81" s="1596"/>
    </row>
    <row r="82" spans="1:8">
      <c r="A82" s="1597" t="s">
        <v>851</v>
      </c>
      <c r="B82" s="1596"/>
      <c r="C82" s="1596"/>
      <c r="D82" s="1596"/>
      <c r="E82" s="1596"/>
      <c r="F82" s="1596"/>
      <c r="G82" s="1596"/>
      <c r="H82" s="1596"/>
    </row>
    <row r="83" spans="1:8">
      <c r="A83" s="1597" t="s">
        <v>852</v>
      </c>
      <c r="B83" s="1596"/>
      <c r="C83" s="1596"/>
      <c r="D83" s="1596"/>
      <c r="E83" s="1596"/>
      <c r="F83" s="1596"/>
      <c r="G83" s="1596"/>
      <c r="H83" s="1596"/>
    </row>
    <row r="84" spans="1:8">
      <c r="A84" s="1597" t="s">
        <v>853</v>
      </c>
      <c r="B84" s="1596"/>
      <c r="C84" s="1596"/>
      <c r="D84" s="1596"/>
      <c r="E84" s="1596"/>
      <c r="F84" s="1596"/>
      <c r="G84" s="1596"/>
      <c r="H84" s="1596"/>
    </row>
    <row r="85" spans="1:8">
      <c r="A85" s="1597" t="s">
        <v>854</v>
      </c>
      <c r="B85" s="1596"/>
      <c r="C85" s="1596"/>
      <c r="D85" s="1596"/>
      <c r="E85" s="1596"/>
      <c r="F85" s="1596"/>
      <c r="G85" s="1596"/>
      <c r="H85" s="1596"/>
    </row>
    <row r="86" spans="1:8">
      <c r="A86" s="1597" t="s">
        <v>855</v>
      </c>
      <c r="B86" s="1596"/>
      <c r="C86" s="1596"/>
      <c r="D86" s="1596"/>
      <c r="E86" s="1596"/>
      <c r="F86" s="1596"/>
      <c r="G86" s="1596"/>
      <c r="H86" s="1596"/>
    </row>
    <row r="87" spans="1:8">
      <c r="A87" s="1597" t="s">
        <v>856</v>
      </c>
      <c r="B87" s="1596"/>
      <c r="C87" s="1596"/>
      <c r="D87" s="1596"/>
      <c r="E87" s="1596"/>
      <c r="F87" s="1596"/>
      <c r="G87" s="1596"/>
      <c r="H87" s="1596"/>
    </row>
    <row r="88" spans="1:8">
      <c r="A88" s="1597" t="s">
        <v>857</v>
      </c>
      <c r="B88" s="1596"/>
      <c r="C88" s="1596"/>
      <c r="D88" s="1596"/>
      <c r="E88" s="1596"/>
      <c r="F88" s="1596"/>
      <c r="G88" s="1596"/>
      <c r="H88" s="1596"/>
    </row>
    <row r="89" spans="1:8">
      <c r="A89" s="1596"/>
      <c r="B89" s="1596"/>
      <c r="C89" s="1596"/>
      <c r="D89" s="1596"/>
      <c r="E89" s="1596"/>
      <c r="F89" s="1596"/>
      <c r="G89" s="1596"/>
      <c r="H89" s="1596"/>
    </row>
    <row r="90" spans="1:8">
      <c r="A90" s="1597" t="s">
        <v>849</v>
      </c>
      <c r="B90" s="1596"/>
      <c r="C90" s="1596"/>
      <c r="D90" s="1596"/>
      <c r="E90" s="1596"/>
      <c r="F90" s="1596"/>
      <c r="G90" s="1596"/>
      <c r="H90" s="1596"/>
    </row>
    <row r="91" spans="1:8">
      <c r="A91" s="1597" t="s">
        <v>850</v>
      </c>
      <c r="B91" s="1596"/>
      <c r="C91" s="1596"/>
      <c r="D91" s="1596"/>
      <c r="E91" s="1596"/>
      <c r="F91" s="1596"/>
      <c r="G91" s="1596"/>
      <c r="H91" s="1596"/>
    </row>
    <row r="92" spans="1:8">
      <c r="A92" s="1596"/>
      <c r="B92" s="1596"/>
      <c r="C92" s="1596"/>
      <c r="D92" s="1596"/>
      <c r="E92" s="1596"/>
      <c r="F92" s="1596"/>
      <c r="G92" s="1596"/>
      <c r="H92" s="1596"/>
    </row>
    <row r="93" spans="1:8" ht="15.75">
      <c r="A93" s="1598" t="s">
        <v>620</v>
      </c>
      <c r="B93" s="1596"/>
      <c r="C93" s="1596"/>
      <c r="D93" s="1596"/>
      <c r="E93" s="1596"/>
      <c r="F93" s="1596"/>
      <c r="G93" s="1596"/>
      <c r="H93" s="1596"/>
    </row>
    <row r="94" spans="1:8">
      <c r="A94" s="1596"/>
      <c r="B94" s="1596"/>
      <c r="C94" s="1596"/>
      <c r="D94" s="1596"/>
      <c r="E94" s="1596"/>
      <c r="F94" s="1596"/>
      <c r="G94" s="1596"/>
      <c r="H94" s="1596"/>
    </row>
    <row r="95" spans="1:8">
      <c r="A95" s="1597" t="s">
        <v>840</v>
      </c>
      <c r="B95" s="1596"/>
      <c r="C95" s="1596"/>
      <c r="D95" s="1596"/>
      <c r="E95" s="1596"/>
      <c r="F95" s="1596"/>
      <c r="G95" s="1596"/>
      <c r="H95" s="1596"/>
    </row>
    <row r="96" spans="1:8">
      <c r="A96" s="1597" t="s">
        <v>841</v>
      </c>
      <c r="B96" s="1596"/>
      <c r="C96" s="1596"/>
      <c r="D96" s="1596"/>
      <c r="E96" s="1596"/>
      <c r="F96" s="1596"/>
      <c r="G96" s="1596"/>
      <c r="H96" s="1596"/>
    </row>
    <row r="97" spans="1:8">
      <c r="A97" s="1597" t="s">
        <v>842</v>
      </c>
      <c r="B97" s="1596"/>
      <c r="C97" s="1596"/>
      <c r="D97" s="1596"/>
      <c r="E97" s="1596"/>
      <c r="F97" s="1596"/>
      <c r="G97" s="1596"/>
      <c r="H97" s="1596"/>
    </row>
    <row r="98" spans="1:8">
      <c r="A98" s="1597" t="s">
        <v>843</v>
      </c>
      <c r="B98" s="1596"/>
      <c r="C98" s="1596"/>
      <c r="D98" s="1596"/>
      <c r="E98" s="1596"/>
      <c r="F98" s="1596"/>
      <c r="G98" s="1596"/>
      <c r="H98" s="1596"/>
    </row>
    <row r="99" spans="1:8">
      <c r="A99" s="1597" t="s">
        <v>844</v>
      </c>
      <c r="B99" s="1596"/>
      <c r="C99" s="1596"/>
      <c r="D99" s="1596"/>
      <c r="E99" s="1596"/>
      <c r="F99" s="1596"/>
      <c r="G99" s="1596"/>
      <c r="H99" s="1596"/>
    </row>
    <row r="100" spans="1:8">
      <c r="A100" s="1597" t="s">
        <v>845</v>
      </c>
      <c r="B100" s="1596"/>
      <c r="C100" s="1596"/>
      <c r="D100" s="1596"/>
      <c r="E100" s="1596"/>
      <c r="F100" s="1596"/>
      <c r="G100" s="1596"/>
      <c r="H100" s="1596"/>
    </row>
    <row r="101" spans="1:8">
      <c r="A101" s="1597" t="s">
        <v>846</v>
      </c>
      <c r="B101" s="1596"/>
      <c r="C101" s="1596"/>
      <c r="D101" s="1596"/>
      <c r="E101" s="1596"/>
      <c r="F101" s="1596"/>
      <c r="G101" s="1596"/>
      <c r="H101" s="1596"/>
    </row>
    <row r="102" spans="1:8">
      <c r="A102" s="1597" t="s">
        <v>847</v>
      </c>
      <c r="B102" s="1596"/>
      <c r="C102" s="1596"/>
      <c r="D102" s="1596"/>
      <c r="E102" s="1596"/>
      <c r="F102" s="1596"/>
      <c r="G102" s="1596"/>
      <c r="H102" s="1596"/>
    </row>
    <row r="103" spans="1:8">
      <c r="A103" s="1597" t="s">
        <v>848</v>
      </c>
      <c r="B103" s="1596"/>
      <c r="C103" s="1596"/>
      <c r="D103" s="1596"/>
      <c r="E103" s="1596"/>
      <c r="F103" s="1596"/>
      <c r="G103" s="1596"/>
      <c r="H103" s="1596"/>
    </row>
    <row r="104" spans="1:8">
      <c r="A104" s="1596"/>
      <c r="B104" s="1596"/>
      <c r="C104" s="1596"/>
      <c r="D104" s="1596"/>
      <c r="E104" s="1596"/>
      <c r="F104" s="1596"/>
      <c r="G104" s="1596"/>
      <c r="H104" s="1596"/>
    </row>
    <row r="105" spans="1:8" ht="15.75">
      <c r="A105" s="1599" t="s">
        <v>621</v>
      </c>
      <c r="B105" s="1599"/>
      <c r="C105" s="1599"/>
      <c r="D105" s="1599"/>
      <c r="E105" s="1599"/>
      <c r="F105" s="1599"/>
      <c r="G105" s="1599"/>
      <c r="H105" s="1599"/>
    </row>
    <row r="106" spans="1:8">
      <c r="A106" s="1600" t="s">
        <v>622</v>
      </c>
      <c r="B106" s="1600"/>
      <c r="C106" s="1600"/>
      <c r="D106" s="1600"/>
      <c r="E106" s="1600"/>
      <c r="F106" s="1600"/>
      <c r="G106" s="1600"/>
      <c r="H106" s="1600"/>
    </row>
    <row r="107" spans="1:8">
      <c r="A107" s="1601"/>
      <c r="B107" s="1601"/>
      <c r="C107" s="1601"/>
      <c r="D107" s="1601"/>
      <c r="E107" s="1601"/>
      <c r="F107" s="1601"/>
      <c r="G107" s="1601"/>
      <c r="H107" s="1601"/>
    </row>
    <row r="108" spans="1:8">
      <c r="A108" s="1600" t="s">
        <v>838</v>
      </c>
      <c r="B108" s="1600"/>
      <c r="C108" s="1600"/>
      <c r="D108" s="1600"/>
      <c r="E108" s="1600"/>
      <c r="F108" s="1600"/>
      <c r="G108" s="1600"/>
      <c r="H108" s="1600"/>
    </row>
    <row r="109" spans="1:8">
      <c r="A109" s="1597" t="s">
        <v>839</v>
      </c>
      <c r="B109" s="1597"/>
      <c r="C109" s="1597"/>
      <c r="D109" s="1597"/>
      <c r="E109" s="1597"/>
      <c r="F109" s="1597"/>
      <c r="G109" s="1597"/>
      <c r="H109" s="1597"/>
    </row>
    <row r="110" spans="1:8">
      <c r="A110" s="1601"/>
      <c r="B110" s="1601"/>
      <c r="C110" s="1601"/>
      <c r="D110" s="1601"/>
      <c r="E110" s="1601"/>
      <c r="F110" s="1601"/>
      <c r="G110" s="1601"/>
      <c r="H110" s="1601"/>
    </row>
    <row r="111" spans="1:8">
      <c r="A111" s="1600" t="s">
        <v>831</v>
      </c>
      <c r="B111" s="1600"/>
      <c r="C111" s="1600"/>
      <c r="D111" s="1600"/>
      <c r="E111" s="1600"/>
      <c r="F111" s="1600"/>
      <c r="G111" s="1600"/>
      <c r="H111" s="1600"/>
    </row>
    <row r="112" spans="1:8">
      <c r="A112" s="1597" t="s">
        <v>832</v>
      </c>
      <c r="B112" s="1597"/>
      <c r="C112" s="1597"/>
      <c r="D112" s="1597"/>
      <c r="E112" s="1597"/>
      <c r="F112" s="1597"/>
      <c r="G112" s="1597"/>
      <c r="H112" s="1597"/>
    </row>
    <row r="113" spans="1:8">
      <c r="A113" s="1597" t="s">
        <v>833</v>
      </c>
      <c r="B113" s="1597"/>
      <c r="C113" s="1597"/>
      <c r="D113" s="1597"/>
      <c r="E113" s="1597"/>
      <c r="F113" s="1597"/>
      <c r="G113" s="1597"/>
      <c r="H113" s="1597"/>
    </row>
    <row r="114" spans="1:8">
      <c r="A114" s="1597" t="s">
        <v>834</v>
      </c>
      <c r="B114" s="1597"/>
      <c r="C114" s="1597"/>
      <c r="D114" s="1597"/>
      <c r="E114" s="1597"/>
      <c r="F114" s="1597"/>
      <c r="G114" s="1597"/>
      <c r="H114" s="1597"/>
    </row>
    <row r="115" spans="1:8">
      <c r="A115" s="1597" t="s">
        <v>835</v>
      </c>
      <c r="B115" s="1597"/>
      <c r="C115" s="1597"/>
      <c r="D115" s="1597"/>
      <c r="E115" s="1597"/>
      <c r="F115" s="1597"/>
      <c r="G115" s="1597"/>
      <c r="H115" s="1597"/>
    </row>
    <row r="116" spans="1:8">
      <c r="A116" s="1597" t="s">
        <v>836</v>
      </c>
      <c r="B116" s="1597"/>
      <c r="C116" s="1597"/>
      <c r="D116" s="1597"/>
      <c r="E116" s="1597"/>
      <c r="F116" s="1597"/>
      <c r="G116" s="1597"/>
      <c r="H116" s="1597"/>
    </row>
    <row r="117" spans="1:8">
      <c r="A117" s="1597" t="s">
        <v>837</v>
      </c>
      <c r="B117" s="1597"/>
      <c r="C117" s="1597"/>
      <c r="D117" s="1597"/>
      <c r="E117" s="1597"/>
      <c r="F117" s="1597"/>
      <c r="G117" s="1597"/>
      <c r="H117" s="1597"/>
    </row>
    <row r="118" spans="1:8">
      <c r="A118" s="1602"/>
      <c r="B118" s="1602"/>
      <c r="C118" s="1602"/>
      <c r="D118" s="1602"/>
      <c r="E118" s="1602"/>
      <c r="F118" s="1602"/>
      <c r="G118" s="1602"/>
      <c r="H118" s="1602"/>
    </row>
    <row r="119" spans="1:8">
      <c r="A119" s="1603"/>
      <c r="B119" s="1604" t="s">
        <v>623</v>
      </c>
      <c r="C119" s="1605"/>
      <c r="D119" s="1604" t="s">
        <v>624</v>
      </c>
      <c r="E119" s="1606"/>
      <c r="F119" s="1605"/>
      <c r="G119" s="1604" t="s">
        <v>625</v>
      </c>
      <c r="H119" s="1605"/>
    </row>
    <row r="120" spans="1:8">
      <c r="A120" s="1603" t="s">
        <v>626</v>
      </c>
      <c r="B120" s="1603" t="s">
        <v>124</v>
      </c>
      <c r="C120" s="1603" t="s">
        <v>627</v>
      </c>
      <c r="D120" s="1603" t="s">
        <v>124</v>
      </c>
      <c r="E120" s="1603" t="s">
        <v>628</v>
      </c>
      <c r="F120" s="1603" t="s">
        <v>629</v>
      </c>
      <c r="G120" s="1603" t="s">
        <v>124</v>
      </c>
      <c r="H120" s="1603" t="s">
        <v>630</v>
      </c>
    </row>
    <row r="121" spans="1:8">
      <c r="A121" s="1603" t="s">
        <v>631</v>
      </c>
      <c r="B121" s="1603">
        <v>1175</v>
      </c>
      <c r="C121" s="1607">
        <v>0.37</v>
      </c>
      <c r="D121" s="1603">
        <v>315</v>
      </c>
      <c r="E121" s="1607">
        <v>0.41</v>
      </c>
      <c r="F121" s="1607">
        <v>0.27</v>
      </c>
      <c r="G121" s="1603">
        <v>555</v>
      </c>
      <c r="H121" s="1607">
        <v>0.39</v>
      </c>
    </row>
    <row r="122" spans="1:8">
      <c r="A122" s="1603" t="s">
        <v>632</v>
      </c>
      <c r="B122" s="1603">
        <v>1369</v>
      </c>
      <c r="C122" s="1607">
        <v>0.43</v>
      </c>
      <c r="D122" s="1603">
        <v>357</v>
      </c>
      <c r="E122" s="1607">
        <v>0.47</v>
      </c>
      <c r="F122" s="1607">
        <v>0.26</v>
      </c>
      <c r="G122" s="1603">
        <v>643</v>
      </c>
      <c r="H122" s="1607">
        <v>0.45</v>
      </c>
    </row>
    <row r="123" spans="1:8">
      <c r="A123" s="1603" t="s">
        <v>633</v>
      </c>
      <c r="B123" s="1603">
        <v>53</v>
      </c>
      <c r="C123" s="1607">
        <v>0.02</v>
      </c>
      <c r="D123" s="1603">
        <v>5</v>
      </c>
      <c r="E123" s="1607">
        <v>0.01</v>
      </c>
      <c r="F123" s="1607">
        <v>0.09</v>
      </c>
      <c r="G123" s="1603">
        <v>7</v>
      </c>
      <c r="H123" s="1607">
        <v>0</v>
      </c>
    </row>
    <row r="124" spans="1:8">
      <c r="A124" s="1603" t="s">
        <v>634</v>
      </c>
      <c r="B124" s="1603">
        <v>552</v>
      </c>
      <c r="C124" s="1607">
        <v>0.18</v>
      </c>
      <c r="D124" s="1603">
        <v>87</v>
      </c>
      <c r="E124" s="1607">
        <v>0.11</v>
      </c>
      <c r="F124" s="1607">
        <v>0.16</v>
      </c>
      <c r="G124" s="1603">
        <v>222</v>
      </c>
      <c r="H124" s="1607">
        <v>0.16</v>
      </c>
    </row>
    <row r="125" spans="1:8">
      <c r="A125" s="1603" t="s">
        <v>526</v>
      </c>
      <c r="B125" s="1608">
        <v>3149</v>
      </c>
      <c r="C125" s="1603"/>
      <c r="D125" s="1603">
        <v>764</v>
      </c>
      <c r="E125" s="1603"/>
      <c r="F125" s="1603"/>
      <c r="G125" s="1603">
        <v>1427</v>
      </c>
      <c r="H125" s="1603"/>
    </row>
    <row r="126" spans="1:8">
      <c r="A126" s="1609"/>
      <c r="B126" s="1609"/>
      <c r="C126" s="1609"/>
      <c r="D126" s="1609"/>
      <c r="E126" s="1609"/>
      <c r="F126" s="1609"/>
      <c r="G126" s="1609"/>
      <c r="H126" s="1609"/>
    </row>
    <row r="127" spans="1:8">
      <c r="A127" s="1600" t="s">
        <v>827</v>
      </c>
      <c r="B127" s="1600"/>
      <c r="C127" s="1600"/>
      <c r="D127" s="1600"/>
      <c r="E127" s="1600"/>
      <c r="F127" s="1600"/>
      <c r="G127" s="1600"/>
      <c r="H127" s="1600"/>
    </row>
    <row r="128" spans="1:8">
      <c r="A128" s="1597" t="s">
        <v>828</v>
      </c>
      <c r="B128" s="1597"/>
      <c r="C128" s="1597"/>
      <c r="D128" s="1597"/>
      <c r="E128" s="1597"/>
      <c r="F128" s="1597"/>
      <c r="G128" s="1597"/>
      <c r="H128" s="1597"/>
    </row>
    <row r="129" spans="1:8">
      <c r="A129" s="1597" t="s">
        <v>829</v>
      </c>
      <c r="B129" s="1597"/>
      <c r="C129" s="1597"/>
      <c r="D129" s="1597"/>
      <c r="E129" s="1597"/>
      <c r="F129" s="1597"/>
      <c r="G129" s="1597"/>
      <c r="H129" s="1597"/>
    </row>
    <row r="130" spans="1:8">
      <c r="A130" s="1597" t="s">
        <v>830</v>
      </c>
      <c r="B130" s="1597"/>
      <c r="C130" s="1597"/>
      <c r="D130" s="1597"/>
      <c r="E130" s="1597"/>
      <c r="F130" s="1597"/>
      <c r="G130" s="1597"/>
      <c r="H130" s="1597"/>
    </row>
    <row r="131" spans="1:8">
      <c r="A131" s="1596"/>
      <c r="B131" s="1596"/>
      <c r="C131" s="1596"/>
      <c r="D131" s="1596"/>
      <c r="E131" s="1596"/>
      <c r="F131" s="1596"/>
      <c r="G131" s="1596"/>
      <c r="H131" s="1596"/>
    </row>
    <row r="132" spans="1:8" ht="15.75">
      <c r="A132" s="1598" t="s">
        <v>635</v>
      </c>
      <c r="B132" s="1596"/>
      <c r="C132" s="1596"/>
      <c r="D132" s="1596"/>
      <c r="E132" s="1596"/>
      <c r="F132" s="1596"/>
      <c r="G132" s="1596"/>
      <c r="H132" s="1596"/>
    </row>
    <row r="133" spans="1:8">
      <c r="A133" s="1596"/>
      <c r="B133" s="1596"/>
      <c r="C133" s="1596"/>
      <c r="D133" s="1596"/>
      <c r="E133" s="1596"/>
      <c r="F133" s="1596"/>
      <c r="G133" s="1596"/>
      <c r="H133" s="1596"/>
    </row>
    <row r="134" spans="1:8">
      <c r="A134" s="1597" t="s">
        <v>825</v>
      </c>
      <c r="B134" s="1596"/>
      <c r="C134" s="1596"/>
      <c r="D134" s="1596"/>
      <c r="E134" s="1596"/>
      <c r="F134" s="1596"/>
      <c r="G134" s="1596"/>
      <c r="H134" s="1596"/>
    </row>
    <row r="135" spans="1:8">
      <c r="A135" s="1597" t="s">
        <v>826</v>
      </c>
      <c r="B135" s="1596"/>
      <c r="C135" s="1596"/>
      <c r="D135" s="1596"/>
      <c r="E135" s="1596"/>
      <c r="F135" s="1596"/>
      <c r="G135" s="1596"/>
      <c r="H135" s="1596"/>
    </row>
    <row r="136" spans="1:8">
      <c r="A136" s="1596"/>
      <c r="B136" s="1596"/>
      <c r="C136" s="1596"/>
      <c r="D136" s="1596"/>
      <c r="E136" s="1596"/>
      <c r="F136" s="1596"/>
      <c r="G136" s="1596"/>
      <c r="H136" s="1596"/>
    </row>
    <row r="137" spans="1:8">
      <c r="A137" s="1597" t="s">
        <v>822</v>
      </c>
      <c r="B137" s="1596"/>
      <c r="C137" s="1596"/>
      <c r="D137" s="1596"/>
      <c r="E137" s="1596"/>
      <c r="F137" s="1596"/>
      <c r="G137" s="1596"/>
      <c r="H137" s="1596"/>
    </row>
    <row r="138" spans="1:8">
      <c r="A138" s="1597" t="s">
        <v>823</v>
      </c>
      <c r="B138" s="1596"/>
      <c r="C138" s="1596"/>
      <c r="D138" s="1596"/>
      <c r="E138" s="1596"/>
      <c r="F138" s="1596"/>
      <c r="G138" s="1596"/>
      <c r="H138" s="1596"/>
    </row>
    <row r="139" spans="1:8">
      <c r="A139" s="1597" t="s">
        <v>824</v>
      </c>
      <c r="B139" s="1596"/>
      <c r="C139" s="1596"/>
      <c r="D139" s="1596"/>
      <c r="E139" s="1596"/>
      <c r="F139" s="1596"/>
      <c r="G139" s="1596"/>
      <c r="H139" s="1596"/>
    </row>
    <row r="140" spans="1:8">
      <c r="A140" s="1596"/>
      <c r="B140" s="1596"/>
      <c r="C140" s="1596"/>
      <c r="D140" s="1596"/>
      <c r="E140" s="1596"/>
      <c r="F140" s="1596"/>
      <c r="G140" s="1596"/>
      <c r="H140" s="1596"/>
    </row>
    <row r="141" spans="1:8">
      <c r="A141" s="1597" t="s">
        <v>819</v>
      </c>
      <c r="B141" s="1596"/>
      <c r="C141" s="1596"/>
      <c r="D141" s="1596"/>
      <c r="E141" s="1596"/>
      <c r="F141" s="1596"/>
      <c r="G141" s="1596"/>
      <c r="H141" s="1596"/>
    </row>
    <row r="142" spans="1:8">
      <c r="A142" s="1597" t="s">
        <v>820</v>
      </c>
      <c r="B142" s="1596"/>
      <c r="C142" s="1596"/>
      <c r="D142" s="1596"/>
      <c r="E142" s="1596"/>
      <c r="F142" s="1596"/>
      <c r="G142" s="1596"/>
      <c r="H142" s="1596"/>
    </row>
    <row r="143" spans="1:8">
      <c r="A143" s="1597" t="s">
        <v>821</v>
      </c>
      <c r="B143" s="1596"/>
      <c r="C143" s="1596"/>
      <c r="D143" s="1596"/>
      <c r="E143" s="1596"/>
      <c r="F143" s="1596"/>
      <c r="G143" s="1596"/>
      <c r="H143" s="1596"/>
    </row>
    <row r="144" spans="1:8">
      <c r="A144" s="1596"/>
      <c r="B144" s="1596"/>
      <c r="C144" s="1596"/>
      <c r="D144" s="1596"/>
      <c r="E144" s="1596"/>
      <c r="F144" s="1596"/>
      <c r="G144" s="1596"/>
      <c r="H144" s="1596"/>
    </row>
    <row r="145" spans="1:8">
      <c r="A145" s="1597" t="s">
        <v>816</v>
      </c>
      <c r="B145" s="1596"/>
      <c r="C145" s="1596"/>
      <c r="D145" s="1596"/>
      <c r="E145" s="1596"/>
      <c r="F145" s="1596"/>
      <c r="G145" s="1596"/>
      <c r="H145" s="1596"/>
    </row>
    <row r="146" spans="1:8">
      <c r="A146" s="1597" t="s">
        <v>817</v>
      </c>
      <c r="B146" s="1596"/>
      <c r="C146" s="1596"/>
      <c r="D146" s="1596"/>
      <c r="E146" s="1596"/>
      <c r="F146" s="1596"/>
      <c r="G146" s="1596"/>
      <c r="H146" s="1596"/>
    </row>
    <row r="147" spans="1:8">
      <c r="A147" s="1597" t="s">
        <v>818</v>
      </c>
      <c r="B147" s="1596"/>
      <c r="C147" s="1596"/>
      <c r="D147" s="1596"/>
      <c r="E147" s="1596"/>
      <c r="F147" s="1596"/>
      <c r="G147" s="1596"/>
      <c r="H147" s="1596"/>
    </row>
    <row r="148" spans="1:8">
      <c r="A148" s="1596"/>
      <c r="B148" s="1596"/>
      <c r="C148" s="1596"/>
      <c r="D148" s="1596"/>
      <c r="E148" s="1596"/>
      <c r="F148" s="1596"/>
      <c r="G148" s="1596"/>
      <c r="H148" s="1596"/>
    </row>
    <row r="149" spans="1:8">
      <c r="A149" s="1597" t="s">
        <v>814</v>
      </c>
      <c r="B149" s="1596"/>
      <c r="C149" s="1596"/>
      <c r="D149" s="1596"/>
      <c r="E149" s="1596"/>
      <c r="F149" s="1596"/>
      <c r="G149" s="1596"/>
      <c r="H149" s="1596"/>
    </row>
    <row r="150" spans="1:8">
      <c r="A150" s="1597" t="s">
        <v>815</v>
      </c>
      <c r="B150" s="1596"/>
      <c r="C150" s="1596"/>
      <c r="D150" s="1596"/>
      <c r="E150" s="1596"/>
      <c r="F150" s="1596"/>
      <c r="G150" s="1596"/>
      <c r="H150" s="1596"/>
    </row>
    <row r="151" spans="1:8">
      <c r="A151" s="1596"/>
      <c r="B151" s="1596"/>
      <c r="C151" s="1596"/>
      <c r="D151" s="1596"/>
      <c r="E151" s="1596"/>
      <c r="F151" s="1596"/>
      <c r="G151" s="1596"/>
      <c r="H151" s="1596"/>
    </row>
    <row r="152" spans="1:8" ht="15.75">
      <c r="A152" s="1598" t="s">
        <v>636</v>
      </c>
      <c r="B152" s="1596"/>
      <c r="C152" s="1596"/>
      <c r="D152" s="1596"/>
      <c r="E152" s="1596"/>
      <c r="F152" s="1596"/>
      <c r="G152" s="1596"/>
      <c r="H152" s="1596"/>
    </row>
    <row r="153" spans="1:8">
      <c r="A153" s="1596"/>
      <c r="B153" s="1596"/>
      <c r="C153" s="1596"/>
      <c r="D153" s="1596"/>
      <c r="E153" s="1596"/>
      <c r="F153" s="1596"/>
      <c r="G153" s="1596"/>
      <c r="H153" s="1596"/>
    </row>
    <row r="154" spans="1:8">
      <c r="A154" s="1597" t="s">
        <v>812</v>
      </c>
      <c r="B154" s="1596"/>
      <c r="C154" s="1596"/>
      <c r="D154" s="1596"/>
      <c r="E154" s="1596"/>
      <c r="F154" s="1596"/>
      <c r="G154" s="1596"/>
      <c r="H154" s="1596"/>
    </row>
    <row r="155" spans="1:8">
      <c r="A155" s="1597" t="s">
        <v>813</v>
      </c>
      <c r="B155" s="1596"/>
      <c r="C155" s="1596"/>
      <c r="D155" s="1596"/>
      <c r="E155" s="1596"/>
      <c r="F155" s="1596"/>
      <c r="G155" s="1596"/>
      <c r="H155" s="1596"/>
    </row>
    <row r="156" spans="1:8">
      <c r="A156" s="1596"/>
      <c r="B156" s="1596"/>
      <c r="C156" s="1596"/>
      <c r="D156" s="1596"/>
      <c r="E156" s="1596"/>
      <c r="F156" s="1596"/>
      <c r="G156" s="1596"/>
      <c r="H156" s="1596"/>
    </row>
    <row r="157" spans="1:8">
      <c r="A157" s="1597" t="s">
        <v>810</v>
      </c>
      <c r="B157" s="1596"/>
      <c r="C157" s="1596"/>
      <c r="D157" s="1596"/>
      <c r="E157" s="1596"/>
      <c r="F157" s="1596"/>
      <c r="G157" s="1596"/>
      <c r="H157" s="1596"/>
    </row>
    <row r="158" spans="1:8">
      <c r="A158" s="1597" t="s">
        <v>811</v>
      </c>
      <c r="B158" s="1596"/>
      <c r="C158" s="1596"/>
      <c r="D158" s="1596"/>
      <c r="E158" s="1596"/>
      <c r="F158" s="1596"/>
      <c r="G158" s="1596"/>
      <c r="H158" s="1596"/>
    </row>
    <row r="159" spans="1:8">
      <c r="A159" s="1596"/>
      <c r="B159" s="1596"/>
      <c r="C159" s="1596"/>
      <c r="D159" s="1596"/>
      <c r="E159" s="1596"/>
      <c r="F159" s="1596"/>
      <c r="G159" s="1596"/>
      <c r="H159" s="1596"/>
    </row>
    <row r="160" spans="1:8">
      <c r="A160" s="1597" t="s">
        <v>808</v>
      </c>
      <c r="B160" s="1596"/>
      <c r="C160" s="1596"/>
      <c r="D160" s="1596"/>
      <c r="E160" s="1596"/>
      <c r="F160" s="1596"/>
      <c r="G160" s="1596"/>
      <c r="H160" s="1596"/>
    </row>
    <row r="161" spans="1:8">
      <c r="A161" s="1597" t="s">
        <v>809</v>
      </c>
      <c r="B161" s="1596"/>
      <c r="C161" s="1596"/>
      <c r="D161" s="1596"/>
      <c r="E161" s="1596"/>
      <c r="F161" s="1596"/>
      <c r="G161" s="1596"/>
      <c r="H161" s="1596"/>
    </row>
    <row r="162" spans="1:8">
      <c r="A162" s="1596"/>
      <c r="B162" s="1596"/>
      <c r="C162" s="1596"/>
      <c r="D162" s="1596"/>
      <c r="E162" s="1596"/>
      <c r="F162" s="1596"/>
      <c r="G162" s="1596"/>
      <c r="H162" s="1596"/>
    </row>
    <row r="163" spans="1:8">
      <c r="A163" s="1597" t="s">
        <v>805</v>
      </c>
      <c r="B163" s="1596"/>
      <c r="C163" s="1596"/>
      <c r="D163" s="1596"/>
      <c r="E163" s="1596"/>
      <c r="F163" s="1596"/>
      <c r="G163" s="1596"/>
      <c r="H163" s="1596"/>
    </row>
    <row r="164" spans="1:8">
      <c r="A164" s="1597" t="s">
        <v>806</v>
      </c>
      <c r="B164" s="1596"/>
      <c r="C164" s="1596"/>
      <c r="D164" s="1596"/>
      <c r="E164" s="1596"/>
      <c r="F164" s="1596"/>
      <c r="G164" s="1596"/>
      <c r="H164" s="1596"/>
    </row>
    <row r="165" spans="1:8">
      <c r="A165" s="1597" t="s">
        <v>807</v>
      </c>
      <c r="B165" s="1596"/>
      <c r="C165" s="1596"/>
      <c r="D165" s="1596"/>
      <c r="E165" s="1596"/>
      <c r="F165" s="1596"/>
      <c r="G165" s="1596"/>
      <c r="H165" s="1596"/>
    </row>
    <row r="166" spans="1:8">
      <c r="A166" s="1596"/>
      <c r="B166" s="1596"/>
      <c r="C166" s="1596"/>
      <c r="D166" s="1596"/>
      <c r="E166" s="1596"/>
      <c r="F166" s="1596"/>
      <c r="G166" s="1596"/>
      <c r="H166" s="1596"/>
    </row>
    <row r="167" spans="1:8">
      <c r="A167" s="1596"/>
      <c r="B167" s="1596"/>
      <c r="C167" s="1596"/>
      <c r="D167" s="1596"/>
      <c r="E167" s="1596"/>
      <c r="F167" s="1596"/>
      <c r="G167" s="1596"/>
      <c r="H167" s="1596"/>
    </row>
    <row r="168" spans="1:8">
      <c r="A168" s="1597" t="s">
        <v>637</v>
      </c>
      <c r="B168" s="1596"/>
      <c r="C168" s="1596"/>
      <c r="D168" s="1596"/>
      <c r="E168" s="1596"/>
      <c r="F168" s="1596"/>
      <c r="G168" s="1596"/>
      <c r="H168" s="1596"/>
    </row>
    <row r="169" spans="1:8">
      <c r="A169" s="1596"/>
      <c r="B169" s="1596"/>
      <c r="C169" s="1596"/>
      <c r="D169" s="1596"/>
      <c r="E169" s="1596"/>
      <c r="F169" s="1596"/>
      <c r="G169" s="1596"/>
      <c r="H169" s="1596"/>
    </row>
    <row r="170" spans="1:8" ht="15.75">
      <c r="A170" s="1598" t="s">
        <v>638</v>
      </c>
      <c r="B170" s="1596"/>
      <c r="C170" s="1596"/>
      <c r="D170" s="1596"/>
      <c r="E170" s="1596"/>
      <c r="F170" s="1596"/>
      <c r="G170" s="1596"/>
      <c r="H170" s="1596"/>
    </row>
    <row r="171" spans="1:8">
      <c r="A171" s="1596"/>
      <c r="B171" s="1596"/>
      <c r="C171" s="1596"/>
      <c r="D171" s="1596"/>
      <c r="E171" s="1596"/>
      <c r="F171" s="1596"/>
      <c r="G171" s="1596"/>
      <c r="H171" s="1596"/>
    </row>
    <row r="172" spans="1:8">
      <c r="A172" s="1596"/>
      <c r="B172" s="1596"/>
      <c r="C172" s="1596"/>
      <c r="D172" s="1596"/>
      <c r="E172" s="1596"/>
      <c r="F172" s="1596"/>
      <c r="G172" s="1596"/>
      <c r="H172" s="1596"/>
    </row>
    <row r="173" spans="1:8">
      <c r="A173" s="1596"/>
      <c r="B173" s="1596"/>
      <c r="C173" s="1596"/>
      <c r="D173" s="1596"/>
      <c r="E173" s="1596"/>
      <c r="F173" s="1596"/>
      <c r="G173" s="1596"/>
      <c r="H173" s="1596"/>
    </row>
    <row r="174" spans="1:8">
      <c r="A174" s="1596"/>
      <c r="B174" s="1596"/>
      <c r="C174" s="1596"/>
      <c r="D174" s="1596"/>
      <c r="E174" s="1596"/>
      <c r="F174" s="1596"/>
      <c r="G174" s="1596"/>
      <c r="H174" s="1596"/>
    </row>
    <row r="175" spans="1:8">
      <c r="A175" s="1596"/>
      <c r="B175" s="1596"/>
      <c r="C175" s="1596"/>
      <c r="D175" s="1596"/>
      <c r="E175" s="1596"/>
      <c r="F175" s="1596"/>
      <c r="G175" s="1596"/>
      <c r="H175" s="1596"/>
    </row>
    <row r="176" spans="1:8">
      <c r="A176" s="1596"/>
      <c r="B176" s="1596"/>
      <c r="C176" s="1596"/>
      <c r="D176" s="1596"/>
      <c r="E176" s="1596"/>
      <c r="F176" s="1596"/>
      <c r="G176" s="1596"/>
      <c r="H176" s="1596"/>
    </row>
    <row r="177" spans="1:8">
      <c r="A177" s="1596"/>
      <c r="B177" s="1596"/>
      <c r="C177" s="1596"/>
      <c r="D177" s="1596"/>
      <c r="E177" s="1596"/>
      <c r="F177" s="1596"/>
      <c r="G177" s="1596"/>
      <c r="H177" s="1596"/>
    </row>
    <row r="178" spans="1:8">
      <c r="A178" s="1596"/>
      <c r="B178" s="1596"/>
      <c r="C178" s="1596"/>
      <c r="D178" s="1596"/>
      <c r="E178" s="1596"/>
      <c r="F178" s="1596"/>
      <c r="G178" s="1596"/>
      <c r="H178" s="1596"/>
    </row>
    <row r="179" spans="1:8">
      <c r="A179" s="1596"/>
      <c r="B179" s="1596"/>
      <c r="C179" s="1596"/>
      <c r="D179" s="1596"/>
      <c r="E179" s="1596"/>
      <c r="F179" s="1596"/>
      <c r="G179" s="1596"/>
      <c r="H179" s="1596"/>
    </row>
    <row r="180" spans="1:8">
      <c r="A180" s="1596"/>
      <c r="B180" s="1596"/>
      <c r="C180" s="1596"/>
      <c r="D180" s="1596"/>
      <c r="E180" s="1596"/>
      <c r="F180" s="1596"/>
      <c r="G180" s="1596"/>
      <c r="H180" s="1596"/>
    </row>
    <row r="181" spans="1:8">
      <c r="A181" s="1596"/>
      <c r="B181" s="1596"/>
      <c r="C181" s="1596"/>
      <c r="D181" s="1596"/>
      <c r="E181" s="1596"/>
      <c r="F181" s="1596"/>
      <c r="G181" s="1596"/>
      <c r="H181" s="1596"/>
    </row>
    <row r="182" spans="1:8">
      <c r="A182" s="1596"/>
      <c r="B182" s="1596"/>
      <c r="C182" s="1596"/>
      <c r="D182" s="1596"/>
      <c r="E182" s="1596"/>
      <c r="F182" s="1596"/>
      <c r="G182" s="1596"/>
      <c r="H182" s="1596"/>
    </row>
    <row r="183" spans="1:8">
      <c r="A183" s="1596"/>
      <c r="B183" s="1596"/>
      <c r="C183" s="1596"/>
      <c r="D183" s="1596"/>
      <c r="E183" s="1596"/>
      <c r="F183" s="1596"/>
      <c r="G183" s="1596"/>
      <c r="H183" s="1596"/>
    </row>
    <row r="184" spans="1:8">
      <c r="A184" s="1596"/>
      <c r="B184" s="1596"/>
      <c r="C184" s="1596"/>
      <c r="D184" s="1596"/>
      <c r="E184" s="1596"/>
      <c r="F184" s="1596"/>
      <c r="G184" s="1596"/>
      <c r="H184" s="1596"/>
    </row>
    <row r="185" spans="1:8">
      <c r="A185" s="1596"/>
      <c r="B185" s="1596"/>
      <c r="C185" s="1596"/>
      <c r="D185" s="1596"/>
      <c r="E185" s="1596"/>
      <c r="F185" s="1596"/>
      <c r="G185" s="1596"/>
      <c r="H185" s="1596"/>
    </row>
    <row r="186" spans="1:8">
      <c r="A186" s="1596"/>
      <c r="B186" s="1596"/>
      <c r="C186" s="1596"/>
      <c r="D186" s="1596"/>
      <c r="E186" s="1596"/>
      <c r="F186" s="1596"/>
      <c r="G186" s="1596"/>
      <c r="H186" s="1596"/>
    </row>
    <row r="187" spans="1:8">
      <c r="A187" s="1596"/>
      <c r="B187" s="1596"/>
      <c r="C187" s="1596"/>
      <c r="D187" s="1596"/>
      <c r="E187" s="1596"/>
      <c r="F187" s="1596"/>
      <c r="G187" s="1596"/>
      <c r="H187" s="1596"/>
    </row>
    <row r="188" spans="1:8">
      <c r="A188" s="1596"/>
      <c r="B188" s="1596"/>
      <c r="C188" s="1596"/>
      <c r="D188" s="1596"/>
      <c r="E188" s="1596"/>
      <c r="F188" s="1596"/>
      <c r="G188" s="1596"/>
      <c r="H188" s="1596"/>
    </row>
    <row r="189" spans="1:8">
      <c r="A189" s="1596"/>
      <c r="B189" s="1596"/>
      <c r="C189" s="1596"/>
      <c r="D189" s="1596"/>
      <c r="E189" s="1596"/>
      <c r="F189" s="1596"/>
      <c r="G189" s="1596"/>
      <c r="H189" s="1596"/>
    </row>
    <row r="190" spans="1:8">
      <c r="A190" s="1596"/>
      <c r="B190" s="1596"/>
      <c r="C190" s="1596"/>
      <c r="D190" s="1596"/>
      <c r="E190" s="1596"/>
      <c r="F190" s="1596"/>
      <c r="G190" s="1596"/>
      <c r="H190" s="1596"/>
    </row>
    <row r="191" spans="1:8">
      <c r="A191" s="1596"/>
      <c r="B191" s="1596"/>
      <c r="C191" s="1596"/>
      <c r="D191" s="1596"/>
      <c r="E191" s="1596"/>
      <c r="F191" s="1596"/>
      <c r="G191" s="1596"/>
      <c r="H191" s="1596"/>
    </row>
    <row r="192" spans="1:8">
      <c r="A192" s="1596"/>
      <c r="B192" s="1596"/>
      <c r="C192" s="1596"/>
      <c r="D192" s="1596"/>
      <c r="E192" s="1596"/>
      <c r="F192" s="1596"/>
      <c r="G192" s="1596"/>
      <c r="H192" s="1596"/>
    </row>
    <row r="193" spans="1:8">
      <c r="A193" s="1596"/>
      <c r="B193" s="1596"/>
      <c r="C193" s="1596"/>
      <c r="D193" s="1596"/>
      <c r="E193" s="1596"/>
      <c r="F193" s="1596"/>
      <c r="G193" s="1596"/>
      <c r="H193" s="1596"/>
    </row>
    <row r="194" spans="1:8">
      <c r="A194" s="1596"/>
      <c r="B194" s="1596"/>
      <c r="C194" s="1596"/>
      <c r="D194" s="1596"/>
      <c r="E194" s="1596"/>
      <c r="F194" s="1596"/>
      <c r="G194" s="1596"/>
      <c r="H194" s="1596"/>
    </row>
    <row r="195" spans="1:8">
      <c r="A195" s="1596"/>
      <c r="B195" s="1596"/>
      <c r="C195" s="1596"/>
      <c r="D195" s="1596"/>
      <c r="E195" s="1596"/>
      <c r="F195" s="1596"/>
      <c r="G195" s="1596"/>
      <c r="H195" s="1596"/>
    </row>
    <row r="196" spans="1:8">
      <c r="A196" s="1596"/>
      <c r="B196" s="1596"/>
      <c r="C196" s="1596"/>
      <c r="D196" s="1596"/>
      <c r="E196" s="1596"/>
      <c r="F196" s="1596"/>
      <c r="G196" s="1596"/>
      <c r="H196" s="1596"/>
    </row>
    <row r="197" spans="1:8" ht="15.75">
      <c r="A197" s="1598" t="s">
        <v>639</v>
      </c>
      <c r="B197" s="1596"/>
      <c r="C197" s="1596"/>
      <c r="D197" s="1596"/>
      <c r="E197" s="1596"/>
      <c r="F197" s="1596"/>
      <c r="G197" s="1596"/>
      <c r="H197" s="1596"/>
    </row>
    <row r="198" spans="1:8">
      <c r="A198" s="1596"/>
      <c r="B198" s="1596"/>
      <c r="C198" s="1596"/>
      <c r="D198" s="1596"/>
      <c r="E198" s="1596"/>
      <c r="F198" s="1596"/>
      <c r="G198" s="1596"/>
      <c r="H198" s="1596"/>
    </row>
    <row r="199" spans="1:8">
      <c r="A199" s="1597" t="s">
        <v>800</v>
      </c>
      <c r="B199" s="1596"/>
      <c r="C199" s="1596"/>
      <c r="D199" s="1596"/>
      <c r="E199" s="1596"/>
      <c r="F199" s="1596"/>
      <c r="G199" s="1596"/>
      <c r="H199" s="1596"/>
    </row>
    <row r="200" spans="1:8">
      <c r="A200" s="1597" t="s">
        <v>801</v>
      </c>
      <c r="B200" s="1596"/>
      <c r="C200" s="1596"/>
      <c r="D200" s="1596"/>
      <c r="E200" s="1596"/>
      <c r="F200" s="1596"/>
      <c r="G200" s="1596"/>
      <c r="H200" s="1596"/>
    </row>
    <row r="201" spans="1:8">
      <c r="A201" s="1597" t="s">
        <v>802</v>
      </c>
      <c r="B201" s="1596"/>
      <c r="C201" s="1596"/>
      <c r="D201" s="1596"/>
      <c r="E201" s="1596"/>
      <c r="F201" s="1596"/>
      <c r="G201" s="1596"/>
      <c r="H201" s="1596"/>
    </row>
    <row r="202" spans="1:8">
      <c r="A202" s="1597" t="s">
        <v>803</v>
      </c>
      <c r="B202" s="1596"/>
      <c r="C202" s="1596"/>
      <c r="D202" s="1596"/>
      <c r="E202" s="1596"/>
      <c r="F202" s="1596"/>
      <c r="G202" s="1596"/>
      <c r="H202" s="1596"/>
    </row>
    <row r="203" spans="1:8">
      <c r="A203" s="1597" t="s">
        <v>804</v>
      </c>
      <c r="B203" s="1596"/>
      <c r="C203" s="1596"/>
      <c r="D203" s="1596"/>
      <c r="E203" s="1596"/>
      <c r="F203" s="1596"/>
      <c r="G203" s="1596"/>
      <c r="H203" s="1596"/>
    </row>
    <row r="204" spans="1:8">
      <c r="A204" s="1596"/>
      <c r="B204" s="1596"/>
      <c r="C204" s="1596"/>
      <c r="D204" s="1596"/>
      <c r="E204" s="1596"/>
      <c r="F204" s="1596"/>
      <c r="G204" s="1596"/>
      <c r="H204" s="1596"/>
    </row>
    <row r="205" spans="1:8">
      <c r="A205" s="1597" t="s">
        <v>797</v>
      </c>
      <c r="B205" s="1596"/>
      <c r="C205" s="1596"/>
      <c r="D205" s="1596"/>
      <c r="E205" s="1596"/>
      <c r="F205" s="1596"/>
      <c r="G205" s="1596"/>
      <c r="H205" s="1596"/>
    </row>
    <row r="206" spans="1:8">
      <c r="A206" s="1597" t="s">
        <v>798</v>
      </c>
      <c r="B206" s="1596"/>
      <c r="C206" s="1596"/>
      <c r="D206" s="1596"/>
      <c r="E206" s="1596"/>
      <c r="F206" s="1596"/>
      <c r="G206" s="1596"/>
      <c r="H206" s="1596"/>
    </row>
    <row r="207" spans="1:8">
      <c r="A207" s="1597" t="s">
        <v>799</v>
      </c>
      <c r="B207" s="1596"/>
      <c r="C207" s="1596"/>
      <c r="D207" s="1596"/>
      <c r="E207" s="1596"/>
      <c r="F207" s="1596"/>
      <c r="G207" s="1596"/>
      <c r="H207" s="1596"/>
    </row>
    <row r="208" spans="1:8" ht="15.75">
      <c r="A208" s="1598" t="s">
        <v>640</v>
      </c>
      <c r="B208" s="1596"/>
      <c r="C208" s="1596"/>
      <c r="D208" s="1596"/>
      <c r="E208" s="1596"/>
      <c r="F208" s="1596"/>
      <c r="G208" s="1596"/>
      <c r="H208" s="1596"/>
    </row>
    <row r="209" spans="1:8">
      <c r="A209" s="1596"/>
      <c r="B209" s="1596"/>
      <c r="C209" s="1596"/>
      <c r="D209" s="1596"/>
      <c r="E209" s="1596"/>
      <c r="F209" s="1596"/>
      <c r="G209" s="1596"/>
      <c r="H209" s="1596"/>
    </row>
    <row r="210" spans="1:8">
      <c r="A210" s="1597" t="s">
        <v>795</v>
      </c>
      <c r="B210" s="1596"/>
      <c r="C210" s="1596"/>
      <c r="D210" s="1596"/>
      <c r="E210" s="1596"/>
      <c r="F210" s="1596"/>
      <c r="G210" s="1596"/>
      <c r="H210" s="1596"/>
    </row>
    <row r="211" spans="1:8">
      <c r="A211" s="1597" t="s">
        <v>796</v>
      </c>
      <c r="B211" s="1596"/>
      <c r="C211" s="1596"/>
      <c r="D211" s="1596"/>
      <c r="E211" s="1596"/>
      <c r="F211" s="1596"/>
      <c r="G211" s="1596"/>
      <c r="H211" s="1596"/>
    </row>
    <row r="212" spans="1:8">
      <c r="A212" s="1596"/>
      <c r="B212" s="1596"/>
      <c r="C212" s="1596"/>
      <c r="D212" s="1596"/>
      <c r="E212" s="1596"/>
      <c r="F212" s="1596"/>
      <c r="G212" s="1596"/>
      <c r="H212" s="1596"/>
    </row>
    <row r="213" spans="1:8">
      <c r="A213" s="1597" t="s">
        <v>788</v>
      </c>
      <c r="B213" s="1596"/>
      <c r="C213" s="1596"/>
      <c r="D213" s="1596"/>
      <c r="E213" s="1596"/>
      <c r="F213" s="1596"/>
      <c r="G213" s="1596"/>
      <c r="H213" s="1596"/>
    </row>
    <row r="214" spans="1:8">
      <c r="A214" s="1597" t="s">
        <v>789</v>
      </c>
      <c r="B214" s="1596"/>
      <c r="C214" s="1596"/>
      <c r="D214" s="1596"/>
      <c r="E214" s="1596"/>
      <c r="F214" s="1596"/>
      <c r="G214" s="1596"/>
      <c r="H214" s="1596"/>
    </row>
    <row r="215" spans="1:8">
      <c r="A215" s="1597" t="s">
        <v>790</v>
      </c>
      <c r="B215" s="1596"/>
      <c r="C215" s="1596"/>
      <c r="D215" s="1596"/>
      <c r="E215" s="1596"/>
      <c r="F215" s="1596"/>
      <c r="G215" s="1596"/>
      <c r="H215" s="1596"/>
    </row>
    <row r="216" spans="1:8">
      <c r="A216" s="1597" t="s">
        <v>791</v>
      </c>
      <c r="B216" s="1596"/>
      <c r="C216" s="1596"/>
      <c r="D216" s="1596"/>
      <c r="E216" s="1596"/>
      <c r="F216" s="1596"/>
      <c r="G216" s="1596"/>
      <c r="H216" s="1596"/>
    </row>
    <row r="217" spans="1:8">
      <c r="A217" s="1597" t="s">
        <v>792</v>
      </c>
      <c r="B217" s="1596"/>
      <c r="C217" s="1596"/>
      <c r="D217" s="1596"/>
      <c r="E217" s="1596"/>
      <c r="F217" s="1596"/>
      <c r="G217" s="1596"/>
      <c r="H217" s="1596"/>
    </row>
    <row r="218" spans="1:8">
      <c r="A218" s="1597" t="s">
        <v>793</v>
      </c>
      <c r="B218" s="1596"/>
      <c r="C218" s="1596"/>
      <c r="D218" s="1596"/>
      <c r="E218" s="1596"/>
      <c r="F218" s="1596"/>
      <c r="G218" s="1596"/>
      <c r="H218" s="1596"/>
    </row>
    <row r="219" spans="1:8">
      <c r="A219" s="1597" t="s">
        <v>794</v>
      </c>
      <c r="B219" s="1596"/>
      <c r="C219" s="1596"/>
      <c r="D219" s="1596"/>
      <c r="E219" s="1596"/>
      <c r="F219" s="1596"/>
      <c r="G219" s="1596"/>
      <c r="H219" s="1596"/>
    </row>
    <row r="220" spans="1:8">
      <c r="A220" s="1596"/>
      <c r="B220" s="1596"/>
      <c r="C220" s="1596"/>
      <c r="D220" s="1596"/>
      <c r="E220" s="1596"/>
      <c r="F220" s="1596"/>
      <c r="G220" s="1596"/>
      <c r="H220" s="1596"/>
    </row>
    <row r="221" spans="1:8">
      <c r="A221" s="1597" t="s">
        <v>785</v>
      </c>
      <c r="B221" s="1596"/>
      <c r="C221" s="1596"/>
      <c r="D221" s="1596"/>
      <c r="E221" s="1596"/>
      <c r="F221" s="1596"/>
      <c r="G221" s="1596"/>
      <c r="H221" s="1596"/>
    </row>
    <row r="222" spans="1:8">
      <c r="A222" s="1597" t="s">
        <v>786</v>
      </c>
      <c r="B222" s="1596"/>
      <c r="C222" s="1596"/>
      <c r="D222" s="1596"/>
      <c r="E222" s="1596"/>
      <c r="F222" s="1596"/>
      <c r="G222" s="1596"/>
      <c r="H222" s="1596"/>
    </row>
    <row r="223" spans="1:8">
      <c r="A223" s="1597" t="s">
        <v>787</v>
      </c>
      <c r="B223" s="1596"/>
      <c r="C223" s="1596"/>
      <c r="D223" s="1596"/>
      <c r="E223" s="1596"/>
      <c r="F223" s="1596"/>
      <c r="G223" s="1596"/>
      <c r="H223" s="1596"/>
    </row>
    <row r="224" spans="1:8">
      <c r="A224" s="1596"/>
      <c r="B224" s="1596"/>
      <c r="C224" s="1596"/>
      <c r="D224" s="1596"/>
      <c r="E224" s="1596"/>
      <c r="F224" s="1596"/>
      <c r="G224" s="1596"/>
      <c r="H224" s="1596"/>
    </row>
    <row r="225" spans="1:8">
      <c r="A225" s="1597" t="s">
        <v>780</v>
      </c>
      <c r="B225" s="1596"/>
      <c r="C225" s="1596"/>
      <c r="D225" s="1596"/>
      <c r="E225" s="1596"/>
      <c r="F225" s="1596"/>
      <c r="G225" s="1596"/>
      <c r="H225" s="1596"/>
    </row>
    <row r="226" spans="1:8">
      <c r="A226" s="1597" t="s">
        <v>781</v>
      </c>
      <c r="B226" s="1596"/>
      <c r="C226" s="1596"/>
      <c r="D226" s="1596"/>
      <c r="E226" s="1596"/>
      <c r="F226" s="1596"/>
      <c r="G226" s="1596"/>
      <c r="H226" s="1596"/>
    </row>
    <row r="227" spans="1:8">
      <c r="A227" s="1597" t="s">
        <v>782</v>
      </c>
      <c r="B227" s="1596"/>
      <c r="C227" s="1596"/>
      <c r="D227" s="1596"/>
      <c r="E227" s="1596"/>
      <c r="F227" s="1596"/>
      <c r="G227" s="1596"/>
      <c r="H227" s="1596"/>
    </row>
    <row r="228" spans="1:8">
      <c r="A228" s="1597" t="s">
        <v>783</v>
      </c>
      <c r="B228" s="1596"/>
      <c r="C228" s="1596"/>
      <c r="D228" s="1596"/>
      <c r="E228" s="1596"/>
      <c r="F228" s="1596"/>
      <c r="G228" s="1596"/>
      <c r="H228" s="1596"/>
    </row>
    <row r="229" spans="1:8">
      <c r="A229" s="1597" t="s">
        <v>784</v>
      </c>
      <c r="B229" s="1596"/>
      <c r="C229" s="1596"/>
      <c r="D229" s="1596"/>
      <c r="E229" s="1596"/>
      <c r="F229" s="1596"/>
      <c r="G229" s="1596"/>
      <c r="H229" s="1596"/>
    </row>
    <row r="230" spans="1:8">
      <c r="A230" s="1596"/>
      <c r="B230" s="1596"/>
      <c r="C230" s="1596"/>
      <c r="D230" s="1596"/>
      <c r="E230" s="1596"/>
      <c r="F230" s="1596"/>
      <c r="G230" s="1596"/>
      <c r="H230" s="1596"/>
    </row>
    <row r="231" spans="1:8">
      <c r="A231" s="1597" t="s">
        <v>774</v>
      </c>
      <c r="B231" s="1596"/>
      <c r="C231" s="1596"/>
      <c r="D231" s="1596"/>
      <c r="E231" s="1596"/>
      <c r="F231" s="1596"/>
      <c r="G231" s="1596"/>
      <c r="H231" s="1596"/>
    </row>
    <row r="232" spans="1:8">
      <c r="A232" s="1597" t="s">
        <v>775</v>
      </c>
      <c r="B232" s="1596"/>
      <c r="C232" s="1596"/>
      <c r="D232" s="1596"/>
      <c r="E232" s="1596"/>
      <c r="F232" s="1596"/>
      <c r="G232" s="1596"/>
      <c r="H232" s="1596"/>
    </row>
    <row r="233" spans="1:8">
      <c r="A233" s="1597" t="s">
        <v>776</v>
      </c>
      <c r="B233" s="1596"/>
      <c r="C233" s="1596"/>
      <c r="D233" s="1596"/>
      <c r="E233" s="1596"/>
      <c r="F233" s="1596"/>
      <c r="G233" s="1596"/>
      <c r="H233" s="1596"/>
    </row>
    <row r="234" spans="1:8">
      <c r="A234" s="1597" t="s">
        <v>777</v>
      </c>
      <c r="B234" s="1596"/>
      <c r="C234" s="1596"/>
      <c r="D234" s="1596"/>
      <c r="E234" s="1596"/>
      <c r="F234" s="1596"/>
      <c r="G234" s="1596"/>
      <c r="H234" s="1596"/>
    </row>
    <row r="235" spans="1:8">
      <c r="A235" s="1597" t="s">
        <v>778</v>
      </c>
      <c r="B235" s="1596"/>
      <c r="C235" s="1596"/>
      <c r="D235" s="1596"/>
      <c r="E235" s="1596"/>
      <c r="F235" s="1596"/>
      <c r="G235" s="1596"/>
      <c r="H235" s="1596"/>
    </row>
    <row r="236" spans="1:8">
      <c r="A236" s="1597" t="s">
        <v>779</v>
      </c>
      <c r="B236" s="1596"/>
      <c r="C236" s="1596"/>
      <c r="D236" s="1596"/>
      <c r="E236" s="1596"/>
      <c r="F236" s="1596"/>
      <c r="G236" s="1596"/>
      <c r="H236" s="1596"/>
    </row>
    <row r="237" spans="1:8">
      <c r="A237" s="1596"/>
      <c r="B237" s="1596"/>
      <c r="C237" s="1596"/>
      <c r="D237" s="1596"/>
      <c r="E237" s="1596"/>
      <c r="F237" s="1596"/>
      <c r="G237" s="1596"/>
      <c r="H237" s="1596"/>
    </row>
    <row r="238" spans="1:8">
      <c r="A238" s="1597" t="s">
        <v>764</v>
      </c>
      <c r="B238" s="1596"/>
      <c r="C238" s="1596"/>
      <c r="D238" s="1596"/>
      <c r="E238" s="1596"/>
      <c r="F238" s="1596"/>
      <c r="G238" s="1596"/>
      <c r="H238" s="1596"/>
    </row>
    <row r="239" spans="1:8">
      <c r="A239" s="1597" t="s">
        <v>765</v>
      </c>
      <c r="B239" s="1596"/>
      <c r="C239" s="1596"/>
      <c r="D239" s="1596"/>
      <c r="E239" s="1596"/>
      <c r="F239" s="1596"/>
      <c r="G239" s="1596"/>
      <c r="H239" s="1596"/>
    </row>
    <row r="240" spans="1:8">
      <c r="A240" s="1597" t="s">
        <v>766</v>
      </c>
      <c r="B240" s="1596"/>
      <c r="C240" s="1596"/>
      <c r="D240" s="1596"/>
      <c r="E240" s="1596"/>
      <c r="F240" s="1596"/>
      <c r="G240" s="1596"/>
      <c r="H240" s="1596"/>
    </row>
    <row r="241" spans="1:8">
      <c r="A241" s="1597" t="s">
        <v>767</v>
      </c>
      <c r="B241" s="1596"/>
      <c r="C241" s="1596"/>
      <c r="D241" s="1596"/>
      <c r="E241" s="1596"/>
      <c r="F241" s="1596"/>
      <c r="G241" s="1596"/>
      <c r="H241" s="1596"/>
    </row>
    <row r="242" spans="1:8">
      <c r="A242" s="1597" t="s">
        <v>768</v>
      </c>
      <c r="B242" s="1596"/>
      <c r="C242" s="1596"/>
      <c r="D242" s="1596"/>
      <c r="E242" s="1596"/>
      <c r="F242" s="1596"/>
      <c r="G242" s="1596"/>
      <c r="H242" s="1596"/>
    </row>
    <row r="243" spans="1:8">
      <c r="A243" s="1597" t="s">
        <v>769</v>
      </c>
      <c r="B243" s="1596"/>
      <c r="C243" s="1596"/>
      <c r="D243" s="1596"/>
      <c r="E243" s="1596"/>
      <c r="F243" s="1596"/>
      <c r="G243" s="1596"/>
      <c r="H243" s="1596"/>
    </row>
    <row r="244" spans="1:8">
      <c r="A244" s="1597" t="s">
        <v>770</v>
      </c>
      <c r="B244" s="1596"/>
      <c r="C244" s="1596"/>
      <c r="D244" s="1596"/>
      <c r="E244" s="1596"/>
      <c r="F244" s="1596"/>
      <c r="G244" s="1596"/>
      <c r="H244" s="1596"/>
    </row>
    <row r="245" spans="1:8">
      <c r="A245" s="1597" t="s">
        <v>771</v>
      </c>
      <c r="B245" s="1596"/>
      <c r="C245" s="1596"/>
      <c r="D245" s="1596"/>
      <c r="E245" s="1596"/>
      <c r="F245" s="1596"/>
      <c r="G245" s="1596"/>
      <c r="H245" s="1596"/>
    </row>
    <row r="246" spans="1:8">
      <c r="A246" s="1597" t="s">
        <v>772</v>
      </c>
      <c r="B246" s="1596"/>
      <c r="C246" s="1596"/>
      <c r="D246" s="1596"/>
      <c r="E246" s="1596"/>
      <c r="F246" s="1596"/>
      <c r="G246" s="1596"/>
      <c r="H246" s="1596"/>
    </row>
    <row r="247" spans="1:8">
      <c r="A247" s="1597" t="s">
        <v>773</v>
      </c>
      <c r="B247" s="1596"/>
      <c r="C247" s="1596"/>
      <c r="D247" s="1596"/>
      <c r="E247" s="1596"/>
      <c r="F247" s="1596"/>
      <c r="G247" s="1596"/>
      <c r="H247" s="1596"/>
    </row>
    <row r="248" spans="1:8">
      <c r="A248" s="1596"/>
      <c r="B248" s="1596"/>
      <c r="C248" s="1596"/>
      <c r="D248" s="1596"/>
      <c r="E248" s="1596"/>
      <c r="F248" s="1596"/>
      <c r="G248" s="1596"/>
      <c r="H248" s="1596"/>
    </row>
    <row r="249" spans="1:8">
      <c r="A249" s="1597" t="s">
        <v>762</v>
      </c>
      <c r="B249" s="1596"/>
      <c r="C249" s="1596"/>
      <c r="D249" s="1596"/>
      <c r="E249" s="1596"/>
      <c r="F249" s="1596"/>
      <c r="G249" s="1596"/>
      <c r="H249" s="1596"/>
    </row>
    <row r="250" spans="1:8">
      <c r="A250" s="1597" t="s">
        <v>763</v>
      </c>
      <c r="B250" s="1596"/>
      <c r="C250" s="1596"/>
      <c r="D250" s="1596"/>
      <c r="E250" s="1596"/>
      <c r="F250" s="1596"/>
      <c r="G250" s="1596"/>
      <c r="H250" s="1596"/>
    </row>
    <row r="251" spans="1:8">
      <c r="A251" s="1596"/>
      <c r="B251" s="1596"/>
      <c r="C251" s="1596"/>
      <c r="D251" s="1596"/>
      <c r="E251" s="1596"/>
      <c r="F251" s="1596"/>
      <c r="G251" s="1596"/>
      <c r="H251" s="1596"/>
    </row>
    <row r="252" spans="1:8">
      <c r="A252" s="1597" t="s">
        <v>746</v>
      </c>
      <c r="B252" s="1596"/>
      <c r="C252" s="1596"/>
      <c r="D252" s="1596"/>
      <c r="E252" s="1596"/>
      <c r="F252" s="1596"/>
      <c r="G252" s="1596"/>
      <c r="H252" s="1596"/>
    </row>
    <row r="253" spans="1:8">
      <c r="A253" s="1597" t="s">
        <v>747</v>
      </c>
      <c r="B253" s="1596"/>
      <c r="C253" s="1596"/>
      <c r="D253" s="1596"/>
      <c r="E253" s="1596"/>
      <c r="F253" s="1596"/>
      <c r="G253" s="1596"/>
      <c r="H253" s="1596"/>
    </row>
    <row r="254" spans="1:8">
      <c r="A254" s="1597" t="s">
        <v>748</v>
      </c>
      <c r="B254" s="1596"/>
      <c r="C254" s="1596"/>
      <c r="D254" s="1596"/>
      <c r="E254" s="1596"/>
      <c r="F254" s="1596"/>
      <c r="G254" s="1596"/>
      <c r="H254" s="1596"/>
    </row>
    <row r="255" spans="1:8">
      <c r="A255" s="1597" t="s">
        <v>749</v>
      </c>
      <c r="B255" s="1596"/>
      <c r="C255" s="1596"/>
      <c r="D255" s="1596"/>
      <c r="E255" s="1596"/>
      <c r="F255" s="1596"/>
      <c r="G255" s="1596"/>
      <c r="H255" s="1596"/>
    </row>
    <row r="256" spans="1:8">
      <c r="A256" s="1597" t="s">
        <v>750</v>
      </c>
      <c r="B256" s="1596"/>
      <c r="C256" s="1596"/>
      <c r="D256" s="1596"/>
      <c r="E256" s="1596"/>
      <c r="F256" s="1596"/>
      <c r="G256" s="1596"/>
      <c r="H256" s="1596"/>
    </row>
    <row r="257" spans="1:8">
      <c r="A257" s="1597" t="s">
        <v>751</v>
      </c>
      <c r="B257" s="1596"/>
      <c r="C257" s="1596"/>
      <c r="D257" s="1596"/>
      <c r="E257" s="1596"/>
      <c r="F257" s="1596"/>
      <c r="G257" s="1596"/>
      <c r="H257" s="1596"/>
    </row>
    <row r="258" spans="1:8">
      <c r="A258" s="1597" t="s">
        <v>752</v>
      </c>
      <c r="B258" s="1596"/>
      <c r="C258" s="1596"/>
      <c r="D258" s="1596"/>
      <c r="E258" s="1596"/>
      <c r="F258" s="1596"/>
      <c r="G258" s="1596"/>
      <c r="H258" s="1596"/>
    </row>
    <row r="259" spans="1:8">
      <c r="A259" s="1597" t="s">
        <v>753</v>
      </c>
      <c r="B259" s="1596"/>
      <c r="C259" s="1596"/>
      <c r="D259" s="1596"/>
      <c r="E259" s="1596"/>
      <c r="F259" s="1596"/>
      <c r="G259" s="1596"/>
      <c r="H259" s="1596"/>
    </row>
    <row r="260" spans="1:8">
      <c r="A260" s="1597" t="s">
        <v>754</v>
      </c>
      <c r="B260" s="1596"/>
      <c r="C260" s="1596"/>
      <c r="D260" s="1596"/>
      <c r="E260" s="1596"/>
      <c r="F260" s="1596"/>
      <c r="G260" s="1596"/>
      <c r="H260" s="1596"/>
    </row>
    <row r="261" spans="1:8">
      <c r="A261" s="1597" t="s">
        <v>755</v>
      </c>
      <c r="B261" s="1596"/>
      <c r="C261" s="1596"/>
      <c r="D261" s="1596"/>
      <c r="E261" s="1596"/>
      <c r="F261" s="1596"/>
      <c r="G261" s="1596"/>
      <c r="H261" s="1596"/>
    </row>
    <row r="262" spans="1:8">
      <c r="A262" s="1597" t="s">
        <v>756</v>
      </c>
      <c r="B262" s="1596"/>
      <c r="C262" s="1596"/>
      <c r="D262" s="1596"/>
      <c r="E262" s="1596"/>
      <c r="F262" s="1596"/>
      <c r="G262" s="1596"/>
      <c r="H262" s="1596"/>
    </row>
    <row r="263" spans="1:8">
      <c r="A263" s="1597" t="s">
        <v>757</v>
      </c>
      <c r="B263" s="1596"/>
      <c r="C263" s="1596"/>
      <c r="D263" s="1596"/>
      <c r="E263" s="1596"/>
      <c r="F263" s="1596"/>
      <c r="G263" s="1596"/>
      <c r="H263" s="1596"/>
    </row>
    <row r="264" spans="1:8">
      <c r="A264" s="1597" t="s">
        <v>758</v>
      </c>
      <c r="B264" s="1596"/>
      <c r="C264" s="1596"/>
      <c r="D264" s="1596"/>
      <c r="E264" s="1596"/>
      <c r="F264" s="1596"/>
      <c r="G264" s="1596"/>
      <c r="H264" s="1596"/>
    </row>
    <row r="265" spans="1:8">
      <c r="A265" s="1597" t="s">
        <v>759</v>
      </c>
      <c r="B265" s="1596"/>
      <c r="C265" s="1596"/>
      <c r="D265" s="1596"/>
      <c r="E265" s="1596"/>
      <c r="F265" s="1596"/>
      <c r="G265" s="1596"/>
      <c r="H265" s="1596"/>
    </row>
    <row r="266" spans="1:8">
      <c r="A266" s="1597" t="s">
        <v>760</v>
      </c>
      <c r="B266" s="1596"/>
      <c r="C266" s="1596"/>
      <c r="D266" s="1596"/>
      <c r="E266" s="1596"/>
      <c r="F266" s="1596"/>
      <c r="G266" s="1596"/>
      <c r="H266" s="1596"/>
    </row>
    <row r="267" spans="1:8">
      <c r="A267" s="1597" t="s">
        <v>761</v>
      </c>
      <c r="B267" s="1596"/>
      <c r="C267" s="1596"/>
      <c r="D267" s="1596"/>
      <c r="E267" s="1596"/>
      <c r="F267" s="1596"/>
      <c r="G267" s="1596"/>
      <c r="H267" s="1596"/>
    </row>
    <row r="268" spans="1:8">
      <c r="A268" s="1596"/>
      <c r="B268" s="1596"/>
      <c r="C268" s="1596"/>
      <c r="D268" s="1596"/>
      <c r="E268" s="1596"/>
      <c r="F268" s="1596"/>
      <c r="G268" s="1596"/>
      <c r="H268" s="1596"/>
    </row>
    <row r="269" spans="1:8">
      <c r="A269" s="1597" t="s">
        <v>739</v>
      </c>
      <c r="B269" s="1596"/>
      <c r="C269" s="1596"/>
      <c r="D269" s="1596"/>
      <c r="E269" s="1596"/>
      <c r="F269" s="1596"/>
      <c r="G269" s="1596"/>
      <c r="H269" s="1596"/>
    </row>
    <row r="270" spans="1:8">
      <c r="A270" s="1597" t="s">
        <v>740</v>
      </c>
      <c r="B270" s="1596"/>
      <c r="C270" s="1596"/>
      <c r="D270" s="1596"/>
      <c r="E270" s="1596"/>
      <c r="F270" s="1596"/>
      <c r="G270" s="1596"/>
      <c r="H270" s="1596"/>
    </row>
    <row r="271" spans="1:8">
      <c r="A271" s="1597" t="s">
        <v>741</v>
      </c>
      <c r="B271" s="1596"/>
      <c r="C271" s="1596"/>
      <c r="D271" s="1596"/>
      <c r="E271" s="1596"/>
      <c r="F271" s="1596"/>
      <c r="G271" s="1596"/>
      <c r="H271" s="1596"/>
    </row>
    <row r="272" spans="1:8">
      <c r="A272" s="1597" t="s">
        <v>742</v>
      </c>
      <c r="B272" s="1596"/>
      <c r="C272" s="1596"/>
      <c r="D272" s="1596"/>
      <c r="E272" s="1596"/>
      <c r="F272" s="1596"/>
      <c r="G272" s="1596"/>
      <c r="H272" s="1596"/>
    </row>
    <row r="273" spans="1:8">
      <c r="A273" s="1597" t="s">
        <v>743</v>
      </c>
      <c r="B273" s="1596"/>
      <c r="C273" s="1596"/>
      <c r="D273" s="1596"/>
      <c r="E273" s="1596"/>
      <c r="F273" s="1596"/>
      <c r="G273" s="1596"/>
      <c r="H273" s="1596"/>
    </row>
    <row r="274" spans="1:8">
      <c r="A274" s="1597" t="s">
        <v>744</v>
      </c>
      <c r="B274" s="1596"/>
      <c r="C274" s="1596"/>
      <c r="D274" s="1596"/>
      <c r="E274" s="1596"/>
      <c r="F274" s="1596"/>
      <c r="G274" s="1596"/>
      <c r="H274" s="1596"/>
    </row>
    <row r="275" spans="1:8">
      <c r="A275" s="1597" t="s">
        <v>745</v>
      </c>
      <c r="B275" s="1596"/>
      <c r="C275" s="1596"/>
      <c r="D275" s="1596"/>
      <c r="E275" s="1596"/>
      <c r="F275" s="1596"/>
      <c r="G275" s="1596"/>
      <c r="H275" s="1596"/>
    </row>
    <row r="276" spans="1:8">
      <c r="A276" s="1596"/>
      <c r="B276" s="1596"/>
      <c r="C276" s="1596"/>
      <c r="D276" s="1596"/>
      <c r="E276" s="1596"/>
      <c r="F276" s="1596"/>
      <c r="G276" s="1596"/>
      <c r="H276" s="1596"/>
    </row>
    <row r="277" spans="1:8">
      <c r="A277" s="1597" t="s">
        <v>730</v>
      </c>
      <c r="B277" s="1596"/>
      <c r="C277" s="1596"/>
      <c r="D277" s="1596"/>
      <c r="E277" s="1596"/>
      <c r="F277" s="1596"/>
      <c r="G277" s="1596"/>
      <c r="H277" s="1596"/>
    </row>
    <row r="278" spans="1:8">
      <c r="A278" s="1597" t="s">
        <v>731</v>
      </c>
      <c r="B278" s="1596"/>
      <c r="C278" s="1596"/>
      <c r="D278" s="1596"/>
      <c r="E278" s="1596"/>
      <c r="F278" s="1596"/>
      <c r="G278" s="1596"/>
      <c r="H278" s="1596"/>
    </row>
    <row r="279" spans="1:8">
      <c r="A279" s="1597" t="s">
        <v>732</v>
      </c>
      <c r="B279" s="1596"/>
      <c r="C279" s="1596"/>
      <c r="D279" s="1596"/>
      <c r="E279" s="1596"/>
      <c r="F279" s="1596"/>
      <c r="G279" s="1596"/>
      <c r="H279" s="1596"/>
    </row>
    <row r="280" spans="1:8">
      <c r="A280" s="1597" t="s">
        <v>733</v>
      </c>
      <c r="B280" s="1596"/>
      <c r="C280" s="1596"/>
      <c r="D280" s="1596"/>
      <c r="E280" s="1596"/>
      <c r="F280" s="1596"/>
      <c r="G280" s="1596"/>
      <c r="H280" s="1596"/>
    </row>
    <row r="281" spans="1:8">
      <c r="A281" s="1597" t="s">
        <v>734</v>
      </c>
      <c r="B281" s="1596"/>
      <c r="C281" s="1596"/>
      <c r="D281" s="1596"/>
      <c r="E281" s="1596"/>
      <c r="F281" s="1596"/>
      <c r="G281" s="1596"/>
      <c r="H281" s="1596"/>
    </row>
    <row r="282" spans="1:8">
      <c r="A282" s="1597" t="s">
        <v>735</v>
      </c>
      <c r="B282" s="1596"/>
      <c r="C282" s="1596"/>
      <c r="D282" s="1596"/>
      <c r="E282" s="1596"/>
      <c r="F282" s="1596"/>
      <c r="G282" s="1596"/>
      <c r="H282" s="1596"/>
    </row>
    <row r="283" spans="1:8">
      <c r="A283" s="1597" t="s">
        <v>736</v>
      </c>
      <c r="B283" s="1596"/>
      <c r="C283" s="1596"/>
      <c r="D283" s="1596"/>
      <c r="E283" s="1596"/>
      <c r="F283" s="1596"/>
      <c r="G283" s="1596"/>
      <c r="H283" s="1596"/>
    </row>
    <row r="284" spans="1:8">
      <c r="A284" s="1597" t="s">
        <v>737</v>
      </c>
      <c r="B284" s="1596"/>
      <c r="C284" s="1596"/>
      <c r="D284" s="1596"/>
      <c r="E284" s="1596"/>
      <c r="F284" s="1596"/>
      <c r="G284" s="1596"/>
      <c r="H284" s="1596"/>
    </row>
    <row r="285" spans="1:8">
      <c r="A285" s="1597" t="s">
        <v>738</v>
      </c>
      <c r="B285" s="1596"/>
      <c r="C285" s="1596"/>
      <c r="D285" s="1596"/>
      <c r="E285" s="1596"/>
      <c r="F285" s="1596"/>
      <c r="G285" s="1596"/>
      <c r="H285" s="1596"/>
    </row>
    <row r="286" spans="1:8">
      <c r="A286" s="1596"/>
      <c r="B286" s="1596"/>
      <c r="C286" s="1596"/>
      <c r="D286" s="1596"/>
      <c r="E286" s="1596"/>
      <c r="F286" s="1596"/>
      <c r="G286" s="1596"/>
      <c r="H286" s="1596"/>
    </row>
    <row r="287" spans="1:8">
      <c r="A287" s="1597" t="s">
        <v>723</v>
      </c>
      <c r="B287" s="1596"/>
      <c r="C287" s="1596"/>
      <c r="D287" s="1596"/>
      <c r="E287" s="1596"/>
      <c r="F287" s="1596"/>
      <c r="G287" s="1596"/>
      <c r="H287" s="1596"/>
    </row>
    <row r="288" spans="1:8">
      <c r="A288" s="1597" t="s">
        <v>724</v>
      </c>
      <c r="B288" s="1596"/>
      <c r="C288" s="1596"/>
      <c r="D288" s="1596"/>
      <c r="E288" s="1596"/>
      <c r="F288" s="1596"/>
      <c r="G288" s="1596"/>
      <c r="H288" s="1596"/>
    </row>
    <row r="289" spans="1:8">
      <c r="A289" s="1597" t="s">
        <v>725</v>
      </c>
      <c r="B289" s="1596"/>
      <c r="C289" s="1596"/>
      <c r="D289" s="1596"/>
      <c r="E289" s="1596"/>
      <c r="F289" s="1596"/>
      <c r="G289" s="1596"/>
      <c r="H289" s="1596"/>
    </row>
    <row r="290" spans="1:8">
      <c r="A290" s="1597" t="s">
        <v>726</v>
      </c>
      <c r="B290" s="1596"/>
      <c r="C290" s="1596"/>
      <c r="D290" s="1596"/>
      <c r="E290" s="1596"/>
      <c r="F290" s="1596"/>
      <c r="G290" s="1596"/>
      <c r="H290" s="1596"/>
    </row>
    <row r="291" spans="1:8">
      <c r="A291" s="1597" t="s">
        <v>727</v>
      </c>
      <c r="B291" s="1596"/>
      <c r="C291" s="1596"/>
      <c r="D291" s="1596"/>
      <c r="E291" s="1596"/>
      <c r="F291" s="1596"/>
      <c r="G291" s="1596"/>
      <c r="H291" s="1596"/>
    </row>
    <row r="292" spans="1:8">
      <c r="A292" s="1597" t="s">
        <v>728</v>
      </c>
      <c r="B292" s="1596"/>
      <c r="C292" s="1596"/>
      <c r="D292" s="1596"/>
      <c r="E292" s="1596"/>
      <c r="F292" s="1596"/>
      <c r="G292" s="1596"/>
      <c r="H292" s="1596"/>
    </row>
    <row r="293" spans="1:8">
      <c r="A293" s="1597" t="s">
        <v>729</v>
      </c>
      <c r="B293" s="1596"/>
      <c r="C293" s="1596"/>
      <c r="D293" s="1596"/>
      <c r="E293" s="1596"/>
      <c r="F293" s="1596"/>
      <c r="G293" s="1596"/>
      <c r="H293" s="1596"/>
    </row>
    <row r="294" spans="1:8">
      <c r="A294" s="1596"/>
      <c r="B294" s="1596"/>
      <c r="C294" s="1596"/>
      <c r="D294" s="1596"/>
      <c r="E294" s="1596"/>
      <c r="F294" s="1596"/>
      <c r="G294" s="1596"/>
      <c r="H294" s="1596"/>
    </row>
    <row r="295" spans="1:8">
      <c r="A295" s="1597" t="s">
        <v>720</v>
      </c>
      <c r="B295" s="1596"/>
      <c r="C295" s="1596"/>
      <c r="D295" s="1596"/>
      <c r="E295" s="1596"/>
      <c r="F295" s="1596"/>
      <c r="G295" s="1596"/>
      <c r="H295" s="1596"/>
    </row>
    <row r="296" spans="1:8">
      <c r="A296" s="1597" t="s">
        <v>721</v>
      </c>
      <c r="B296" s="1596"/>
      <c r="C296" s="1596"/>
      <c r="D296" s="1596"/>
      <c r="E296" s="1596"/>
      <c r="F296" s="1596"/>
      <c r="G296" s="1596"/>
      <c r="H296" s="1596"/>
    </row>
    <row r="297" spans="1:8">
      <c r="A297" s="1597" t="s">
        <v>722</v>
      </c>
      <c r="B297" s="1596"/>
      <c r="C297" s="1596"/>
      <c r="D297" s="1596"/>
      <c r="E297" s="1596"/>
      <c r="F297" s="1596"/>
      <c r="G297" s="1596"/>
      <c r="H297" s="1596"/>
    </row>
    <row r="298" spans="1:8">
      <c r="A298" s="1596"/>
      <c r="B298" s="1596"/>
      <c r="C298" s="1596"/>
      <c r="D298" s="1596"/>
      <c r="E298" s="1596"/>
      <c r="F298" s="1596"/>
      <c r="G298" s="1596"/>
      <c r="H298" s="1596"/>
    </row>
    <row r="299" spans="1:8">
      <c r="A299" s="1597" t="s">
        <v>718</v>
      </c>
      <c r="B299" s="1596"/>
      <c r="C299" s="1596"/>
      <c r="D299" s="1596"/>
      <c r="E299" s="1596"/>
      <c r="F299" s="1596"/>
      <c r="G299" s="1596"/>
      <c r="H299" s="1596"/>
    </row>
    <row r="300" spans="1:8">
      <c r="A300" s="1597" t="s">
        <v>719</v>
      </c>
      <c r="B300" s="1596"/>
      <c r="C300" s="1596"/>
      <c r="D300" s="1596"/>
      <c r="E300" s="1596"/>
      <c r="F300" s="1596"/>
      <c r="G300" s="1596"/>
      <c r="H300" s="1596"/>
    </row>
    <row r="301" spans="1:8">
      <c r="A301" s="1596"/>
      <c r="B301" s="1596"/>
      <c r="C301" s="1596"/>
      <c r="D301" s="1596"/>
      <c r="E301" s="1596"/>
      <c r="F301" s="1596"/>
      <c r="G301" s="1596"/>
      <c r="H301" s="1596"/>
    </row>
    <row r="302" spans="1:8">
      <c r="A302" s="1597" t="s">
        <v>705</v>
      </c>
      <c r="B302" s="1596"/>
      <c r="C302" s="1596"/>
      <c r="D302" s="1596"/>
      <c r="E302" s="1596"/>
      <c r="F302" s="1596"/>
      <c r="G302" s="1596"/>
      <c r="H302" s="1596"/>
    </row>
    <row r="303" spans="1:8">
      <c r="A303" s="1597" t="s">
        <v>706</v>
      </c>
      <c r="B303" s="1596"/>
      <c r="C303" s="1596"/>
      <c r="D303" s="1596"/>
      <c r="E303" s="1596"/>
      <c r="F303" s="1596"/>
      <c r="G303" s="1596"/>
      <c r="H303" s="1596"/>
    </row>
    <row r="304" spans="1:8">
      <c r="A304" s="1597" t="s">
        <v>707</v>
      </c>
      <c r="B304" s="1596"/>
      <c r="C304" s="1596"/>
      <c r="D304" s="1596"/>
      <c r="E304" s="1596"/>
      <c r="F304" s="1596"/>
      <c r="G304" s="1596"/>
      <c r="H304" s="1596"/>
    </row>
    <row r="305" spans="1:8">
      <c r="A305" s="1597" t="s">
        <v>708</v>
      </c>
      <c r="B305" s="1596"/>
      <c r="C305" s="1596"/>
      <c r="D305" s="1596"/>
      <c r="E305" s="1596"/>
      <c r="F305" s="1596"/>
      <c r="G305" s="1596"/>
      <c r="H305" s="1596"/>
    </row>
    <row r="306" spans="1:8">
      <c r="A306" s="1597" t="s">
        <v>709</v>
      </c>
      <c r="B306" s="1596"/>
      <c r="C306" s="1596"/>
      <c r="D306" s="1596"/>
      <c r="E306" s="1596"/>
      <c r="F306" s="1596"/>
      <c r="G306" s="1596"/>
      <c r="H306" s="1596"/>
    </row>
    <row r="307" spans="1:8">
      <c r="A307" s="1597" t="s">
        <v>710</v>
      </c>
      <c r="B307" s="1596"/>
      <c r="C307" s="1596"/>
      <c r="D307" s="1596"/>
      <c r="E307" s="1596"/>
      <c r="F307" s="1596"/>
      <c r="G307" s="1596"/>
      <c r="H307" s="1596"/>
    </row>
    <row r="308" spans="1:8">
      <c r="A308" s="1597" t="s">
        <v>711</v>
      </c>
      <c r="B308" s="1596"/>
      <c r="C308" s="1596"/>
      <c r="D308" s="1596"/>
      <c r="E308" s="1596"/>
      <c r="F308" s="1596"/>
      <c r="G308" s="1596"/>
      <c r="H308" s="1596"/>
    </row>
    <row r="309" spans="1:8">
      <c r="A309" s="1597" t="s">
        <v>712</v>
      </c>
      <c r="B309" s="1596"/>
      <c r="C309" s="1596"/>
      <c r="D309" s="1596"/>
      <c r="E309" s="1596"/>
      <c r="F309" s="1596"/>
      <c r="G309" s="1596"/>
      <c r="H309" s="1596"/>
    </row>
    <row r="310" spans="1:8">
      <c r="A310" s="1597" t="s">
        <v>713</v>
      </c>
      <c r="B310" s="1596"/>
      <c r="C310" s="1596"/>
      <c r="D310" s="1596"/>
      <c r="E310" s="1596"/>
      <c r="F310" s="1596"/>
      <c r="G310" s="1596"/>
      <c r="H310" s="1596"/>
    </row>
    <row r="311" spans="1:8">
      <c r="A311" s="1597" t="s">
        <v>714</v>
      </c>
      <c r="B311" s="1596"/>
      <c r="C311" s="1596"/>
      <c r="D311" s="1596"/>
      <c r="E311" s="1596"/>
      <c r="F311" s="1596"/>
      <c r="G311" s="1596"/>
      <c r="H311" s="1596"/>
    </row>
    <row r="312" spans="1:8">
      <c r="A312" s="1597" t="s">
        <v>715</v>
      </c>
      <c r="B312" s="1596"/>
      <c r="C312" s="1596"/>
      <c r="D312" s="1596"/>
      <c r="E312" s="1596"/>
      <c r="F312" s="1596"/>
      <c r="G312" s="1596"/>
      <c r="H312" s="1596"/>
    </row>
    <row r="313" spans="1:8">
      <c r="A313" s="1597" t="s">
        <v>716</v>
      </c>
      <c r="B313" s="1596"/>
      <c r="C313" s="1596"/>
      <c r="D313" s="1596"/>
      <c r="E313" s="1596"/>
      <c r="F313" s="1596"/>
      <c r="G313" s="1596"/>
      <c r="H313" s="1596"/>
    </row>
    <row r="314" spans="1:8">
      <c r="A314" s="1597" t="s">
        <v>717</v>
      </c>
      <c r="B314" s="1596"/>
      <c r="C314" s="1596"/>
      <c r="D314" s="1596"/>
      <c r="E314" s="1596"/>
      <c r="F314" s="1596"/>
      <c r="G314" s="1596"/>
      <c r="H314" s="1596"/>
    </row>
    <row r="315" spans="1:8">
      <c r="A315" s="1596"/>
      <c r="B315" s="1596"/>
      <c r="C315" s="1596"/>
      <c r="D315" s="1596"/>
      <c r="E315" s="1596"/>
      <c r="F315" s="1596"/>
      <c r="G315" s="1596"/>
      <c r="H315" s="1596"/>
    </row>
    <row r="316" spans="1:8">
      <c r="A316" s="1597" t="s">
        <v>697</v>
      </c>
      <c r="B316" s="1596"/>
      <c r="C316" s="1596"/>
      <c r="D316" s="1596"/>
      <c r="E316" s="1596"/>
      <c r="F316" s="1596"/>
      <c r="G316" s="1596"/>
      <c r="H316" s="1596"/>
    </row>
    <row r="317" spans="1:8">
      <c r="A317" s="1597" t="s">
        <v>698</v>
      </c>
      <c r="B317" s="1596"/>
      <c r="C317" s="1596"/>
      <c r="D317" s="1596"/>
      <c r="E317" s="1596"/>
      <c r="F317" s="1596"/>
      <c r="G317" s="1596"/>
      <c r="H317" s="1596"/>
    </row>
    <row r="318" spans="1:8">
      <c r="A318" s="1597" t="s">
        <v>699</v>
      </c>
      <c r="B318" s="1596"/>
      <c r="C318" s="1596"/>
      <c r="D318" s="1596"/>
      <c r="E318" s="1596"/>
      <c r="F318" s="1596"/>
      <c r="G318" s="1596"/>
      <c r="H318" s="1596"/>
    </row>
    <row r="319" spans="1:8">
      <c r="A319" s="1597" t="s">
        <v>700</v>
      </c>
      <c r="B319" s="1596"/>
      <c r="C319" s="1596"/>
      <c r="D319" s="1596"/>
      <c r="E319" s="1596"/>
      <c r="F319" s="1596"/>
      <c r="G319" s="1596"/>
      <c r="H319" s="1596"/>
    </row>
    <row r="320" spans="1:8">
      <c r="A320" s="1597" t="s">
        <v>701</v>
      </c>
      <c r="B320" s="1596"/>
      <c r="C320" s="1596"/>
      <c r="D320" s="1596"/>
      <c r="E320" s="1596"/>
      <c r="F320" s="1596"/>
      <c r="G320" s="1596"/>
      <c r="H320" s="1596"/>
    </row>
    <row r="321" spans="1:8">
      <c r="A321" s="1597" t="s">
        <v>702</v>
      </c>
      <c r="B321" s="1596"/>
      <c r="C321" s="1596"/>
      <c r="D321" s="1596"/>
      <c r="E321" s="1596"/>
      <c r="F321" s="1596"/>
      <c r="G321" s="1596"/>
      <c r="H321" s="1596"/>
    </row>
    <row r="322" spans="1:8">
      <c r="A322" s="1597" t="s">
        <v>703</v>
      </c>
      <c r="B322" s="1596"/>
      <c r="C322" s="1596"/>
      <c r="D322" s="1596"/>
      <c r="E322" s="1596"/>
      <c r="F322" s="1596"/>
      <c r="G322" s="1596"/>
      <c r="H322" s="1596"/>
    </row>
    <row r="323" spans="1:8">
      <c r="A323" s="1597" t="s">
        <v>704</v>
      </c>
      <c r="B323" s="1596"/>
      <c r="C323" s="1596"/>
      <c r="D323" s="1596"/>
      <c r="E323" s="1596"/>
      <c r="F323" s="1596"/>
      <c r="G323" s="1596"/>
      <c r="H323" s="1596"/>
    </row>
    <row r="324" spans="1:8">
      <c r="A324" s="1596"/>
      <c r="B324" s="1596"/>
      <c r="C324" s="1596"/>
      <c r="D324" s="1596"/>
      <c r="E324" s="1596"/>
      <c r="F324" s="1596"/>
      <c r="G324" s="1596"/>
      <c r="H324" s="1596"/>
    </row>
    <row r="325" spans="1:8">
      <c r="A325" s="1597" t="s">
        <v>662</v>
      </c>
      <c r="B325" s="1596"/>
      <c r="C325" s="1596"/>
      <c r="D325" s="1596"/>
      <c r="E325" s="1596"/>
      <c r="F325" s="1596"/>
      <c r="G325" s="1596"/>
      <c r="H325" s="1596"/>
    </row>
    <row r="326" spans="1:8">
      <c r="A326" s="1597" t="s">
        <v>663</v>
      </c>
      <c r="B326" s="1596"/>
      <c r="C326" s="1596"/>
      <c r="D326" s="1596"/>
      <c r="E326" s="1596"/>
      <c r="F326" s="1596"/>
      <c r="G326" s="1596"/>
      <c r="H326" s="1596"/>
    </row>
    <row r="327" spans="1:8">
      <c r="A327" s="1597" t="s">
        <v>664</v>
      </c>
      <c r="B327" s="1596"/>
      <c r="C327" s="1596"/>
      <c r="D327" s="1596"/>
      <c r="E327" s="1596"/>
      <c r="F327" s="1596"/>
      <c r="G327" s="1596"/>
      <c r="H327" s="1596"/>
    </row>
    <row r="328" spans="1:8">
      <c r="A328" s="1597" t="s">
        <v>665</v>
      </c>
      <c r="B328" s="1596"/>
      <c r="C328" s="1596"/>
      <c r="D328" s="1596"/>
      <c r="E328" s="1596"/>
      <c r="F328" s="1596"/>
      <c r="G328" s="1596"/>
      <c r="H328" s="1596"/>
    </row>
    <row r="329" spans="1:8">
      <c r="A329" s="1597" t="s">
        <v>666</v>
      </c>
      <c r="B329" s="1596"/>
      <c r="C329" s="1596"/>
      <c r="D329" s="1596"/>
      <c r="E329" s="1596"/>
      <c r="F329" s="1596"/>
      <c r="G329" s="1596"/>
      <c r="H329" s="1596"/>
    </row>
    <row r="330" spans="1:8">
      <c r="A330" s="1597" t="s">
        <v>667</v>
      </c>
      <c r="B330" s="1596"/>
      <c r="C330" s="1596"/>
      <c r="D330" s="1596"/>
      <c r="E330" s="1596"/>
      <c r="F330" s="1596"/>
      <c r="G330" s="1596"/>
      <c r="H330" s="1596"/>
    </row>
    <row r="331" spans="1:8">
      <c r="A331" s="1597" t="s">
        <v>668</v>
      </c>
      <c r="B331" s="1596"/>
      <c r="C331" s="1596"/>
      <c r="D331" s="1596"/>
      <c r="E331" s="1596"/>
      <c r="F331" s="1596"/>
      <c r="G331" s="1596"/>
      <c r="H331" s="1596"/>
    </row>
    <row r="332" spans="1:8">
      <c r="A332" s="1597" t="s">
        <v>669</v>
      </c>
      <c r="B332" s="1596"/>
      <c r="C332" s="1596"/>
      <c r="D332" s="1596"/>
      <c r="E332" s="1596"/>
      <c r="F332" s="1596"/>
      <c r="G332" s="1596"/>
      <c r="H332" s="1596"/>
    </row>
    <row r="333" spans="1:8">
      <c r="A333" s="1597" t="s">
        <v>670</v>
      </c>
      <c r="B333" s="1596"/>
      <c r="C333" s="1596"/>
      <c r="D333" s="1596"/>
      <c r="E333" s="1596"/>
      <c r="F333" s="1596"/>
      <c r="G333" s="1596"/>
      <c r="H333" s="1596"/>
    </row>
    <row r="334" spans="1:8">
      <c r="A334" s="1597" t="s">
        <v>671</v>
      </c>
      <c r="B334" s="1596"/>
      <c r="C334" s="1596"/>
      <c r="D334" s="1596"/>
      <c r="E334" s="1596"/>
      <c r="F334" s="1596"/>
      <c r="G334" s="1596"/>
      <c r="H334" s="1596"/>
    </row>
    <row r="335" spans="1:8">
      <c r="A335" s="1597" t="s">
        <v>672</v>
      </c>
      <c r="B335" s="1596"/>
      <c r="C335" s="1596"/>
      <c r="D335" s="1596"/>
      <c r="E335" s="1596"/>
      <c r="F335" s="1596"/>
      <c r="G335" s="1596"/>
      <c r="H335" s="1596"/>
    </row>
    <row r="336" spans="1:8">
      <c r="A336" s="1597" t="s">
        <v>673</v>
      </c>
      <c r="B336" s="1596"/>
      <c r="C336" s="1596"/>
      <c r="D336" s="1596"/>
      <c r="E336" s="1596"/>
      <c r="F336" s="1596"/>
      <c r="G336" s="1596"/>
      <c r="H336" s="1596"/>
    </row>
    <row r="337" spans="1:8">
      <c r="A337" s="1597" t="s">
        <v>674</v>
      </c>
      <c r="B337" s="1596"/>
      <c r="C337" s="1596"/>
      <c r="D337" s="1596"/>
      <c r="E337" s="1596"/>
      <c r="F337" s="1596"/>
      <c r="G337" s="1596"/>
      <c r="H337" s="1596"/>
    </row>
    <row r="338" spans="1:8">
      <c r="A338" s="1597" t="s">
        <v>675</v>
      </c>
      <c r="B338" s="1596"/>
      <c r="C338" s="1596"/>
      <c r="D338" s="1596"/>
      <c r="E338" s="1596"/>
      <c r="F338" s="1596"/>
      <c r="G338" s="1596"/>
      <c r="H338" s="1596"/>
    </row>
    <row r="339" spans="1:8">
      <c r="A339" s="1597" t="s">
        <v>676</v>
      </c>
      <c r="B339" s="1596"/>
      <c r="C339" s="1596"/>
      <c r="D339" s="1596"/>
      <c r="E339" s="1596"/>
      <c r="F339" s="1596"/>
      <c r="G339" s="1596"/>
      <c r="H339" s="1596"/>
    </row>
    <row r="340" spans="1:8">
      <c r="A340" s="1597" t="s">
        <v>677</v>
      </c>
      <c r="B340" s="1596"/>
      <c r="C340" s="1596"/>
      <c r="D340" s="1596"/>
      <c r="E340" s="1596"/>
      <c r="F340" s="1596"/>
      <c r="G340" s="1596"/>
      <c r="H340" s="1596"/>
    </row>
    <row r="341" spans="1:8">
      <c r="A341" s="1597" t="s">
        <v>678</v>
      </c>
      <c r="B341" s="1596"/>
      <c r="C341" s="1596"/>
      <c r="D341" s="1596"/>
      <c r="E341" s="1596"/>
      <c r="F341" s="1596"/>
      <c r="G341" s="1596"/>
      <c r="H341" s="1596"/>
    </row>
    <row r="342" spans="1:8">
      <c r="A342" s="1597" t="s">
        <v>679</v>
      </c>
      <c r="B342" s="1596"/>
      <c r="C342" s="1596"/>
      <c r="D342" s="1596"/>
      <c r="E342" s="1596"/>
      <c r="F342" s="1596"/>
      <c r="G342" s="1596"/>
      <c r="H342" s="1596"/>
    </row>
    <row r="343" spans="1:8">
      <c r="A343" s="1597" t="s">
        <v>680</v>
      </c>
      <c r="B343" s="1596"/>
      <c r="C343" s="1596"/>
      <c r="D343" s="1596"/>
      <c r="E343" s="1596"/>
      <c r="F343" s="1596"/>
      <c r="G343" s="1596"/>
      <c r="H343" s="1596"/>
    </row>
    <row r="344" spans="1:8">
      <c r="A344" s="1597" t="s">
        <v>681</v>
      </c>
      <c r="B344" s="1596"/>
      <c r="C344" s="1596"/>
      <c r="D344" s="1596"/>
      <c r="E344" s="1596"/>
      <c r="F344" s="1596"/>
      <c r="G344" s="1596"/>
      <c r="H344" s="1596"/>
    </row>
    <row r="345" spans="1:8">
      <c r="A345" s="1597" t="s">
        <v>682</v>
      </c>
      <c r="B345" s="1596"/>
      <c r="C345" s="1596"/>
      <c r="D345" s="1596"/>
      <c r="E345" s="1596"/>
      <c r="F345" s="1596"/>
      <c r="G345" s="1596"/>
      <c r="H345" s="1596"/>
    </row>
    <row r="346" spans="1:8">
      <c r="A346" s="1597" t="s">
        <v>683</v>
      </c>
      <c r="B346" s="1596"/>
      <c r="C346" s="1596"/>
      <c r="D346" s="1596"/>
      <c r="E346" s="1596"/>
      <c r="F346" s="1596"/>
      <c r="G346" s="1596"/>
      <c r="H346" s="1596"/>
    </row>
    <row r="347" spans="1:8">
      <c r="A347" s="1597" t="s">
        <v>684</v>
      </c>
      <c r="B347" s="1596"/>
      <c r="C347" s="1596"/>
      <c r="D347" s="1596"/>
      <c r="E347" s="1596"/>
      <c r="F347" s="1596"/>
      <c r="G347" s="1596"/>
      <c r="H347" s="1596"/>
    </row>
    <row r="348" spans="1:8">
      <c r="A348" s="1597" t="s">
        <v>685</v>
      </c>
      <c r="B348" s="1596"/>
      <c r="C348" s="1596"/>
      <c r="D348" s="1596"/>
      <c r="E348" s="1596"/>
      <c r="F348" s="1596"/>
      <c r="G348" s="1596"/>
      <c r="H348" s="1596"/>
    </row>
    <row r="349" spans="1:8">
      <c r="A349" s="1597" t="s">
        <v>686</v>
      </c>
      <c r="B349" s="1596"/>
      <c r="C349" s="1596"/>
      <c r="D349" s="1596"/>
      <c r="E349" s="1596"/>
      <c r="F349" s="1596"/>
      <c r="G349" s="1596"/>
      <c r="H349" s="1596"/>
    </row>
    <row r="350" spans="1:8">
      <c r="A350" s="1597" t="s">
        <v>687</v>
      </c>
      <c r="B350" s="1596"/>
      <c r="C350" s="1596"/>
      <c r="D350" s="1596"/>
      <c r="E350" s="1596"/>
      <c r="F350" s="1596"/>
      <c r="G350" s="1596"/>
      <c r="H350" s="1596"/>
    </row>
    <row r="351" spans="1:8">
      <c r="A351" s="1597" t="s">
        <v>688</v>
      </c>
      <c r="B351" s="1596"/>
      <c r="C351" s="1596"/>
      <c r="D351" s="1596"/>
      <c r="E351" s="1596"/>
      <c r="F351" s="1596"/>
      <c r="G351" s="1596"/>
      <c r="H351" s="1596"/>
    </row>
    <row r="352" spans="1:8">
      <c r="A352" s="1597" t="s">
        <v>689</v>
      </c>
      <c r="B352" s="1596"/>
      <c r="C352" s="1596"/>
      <c r="D352" s="1596"/>
      <c r="E352" s="1596"/>
      <c r="F352" s="1596"/>
      <c r="G352" s="1596"/>
      <c r="H352" s="1596"/>
    </row>
    <row r="353" spans="1:8">
      <c r="A353" s="1597" t="s">
        <v>690</v>
      </c>
      <c r="B353" s="1596"/>
      <c r="C353" s="1596"/>
      <c r="D353" s="1596"/>
      <c r="E353" s="1596"/>
      <c r="F353" s="1596"/>
      <c r="G353" s="1596"/>
      <c r="H353" s="1596"/>
    </row>
    <row r="354" spans="1:8">
      <c r="A354" s="1597" t="s">
        <v>691</v>
      </c>
      <c r="B354" s="1596"/>
      <c r="C354" s="1596"/>
      <c r="D354" s="1596"/>
      <c r="E354" s="1596"/>
      <c r="F354" s="1596"/>
      <c r="G354" s="1596"/>
      <c r="H354" s="1596"/>
    </row>
    <row r="355" spans="1:8">
      <c r="A355" s="1597" t="s">
        <v>692</v>
      </c>
      <c r="B355" s="1596"/>
      <c r="C355" s="1596"/>
      <c r="D355" s="1596"/>
      <c r="E355" s="1596"/>
      <c r="F355" s="1596"/>
      <c r="G355" s="1596"/>
      <c r="H355" s="1596"/>
    </row>
    <row r="356" spans="1:8">
      <c r="A356" s="1597" t="s">
        <v>693</v>
      </c>
      <c r="B356" s="1596"/>
      <c r="C356" s="1596"/>
      <c r="D356" s="1596"/>
      <c r="E356" s="1596"/>
      <c r="F356" s="1596"/>
      <c r="G356" s="1596"/>
      <c r="H356" s="1596"/>
    </row>
    <row r="357" spans="1:8">
      <c r="A357" s="1597" t="s">
        <v>694</v>
      </c>
      <c r="B357" s="1596"/>
      <c r="C357" s="1596"/>
      <c r="D357" s="1596"/>
      <c r="E357" s="1596"/>
      <c r="F357" s="1596"/>
      <c r="G357" s="1596"/>
      <c r="H357" s="1596"/>
    </row>
    <row r="358" spans="1:8">
      <c r="A358" s="1597" t="s">
        <v>695</v>
      </c>
      <c r="B358" s="1596"/>
      <c r="C358" s="1596"/>
      <c r="D358" s="1596"/>
      <c r="E358" s="1596"/>
      <c r="F358" s="1596"/>
      <c r="G358" s="1596"/>
      <c r="H358" s="1596"/>
    </row>
    <row r="359" spans="1:8">
      <c r="A359" s="1597" t="s">
        <v>696</v>
      </c>
      <c r="B359" s="1596"/>
      <c r="C359" s="1596"/>
      <c r="D359" s="1596"/>
      <c r="E359" s="1596"/>
      <c r="F359" s="1596"/>
      <c r="G359" s="1596"/>
      <c r="H359" s="1596"/>
    </row>
    <row r="360" spans="1:8">
      <c r="A360" s="1596"/>
      <c r="B360" s="1596"/>
      <c r="C360" s="1596"/>
      <c r="D360" s="1596"/>
      <c r="E360" s="1596"/>
      <c r="F360" s="1596"/>
      <c r="G360" s="1596"/>
      <c r="H360" s="1596"/>
    </row>
    <row r="361" spans="1:8">
      <c r="A361" s="1597" t="s">
        <v>654</v>
      </c>
      <c r="B361" s="1596"/>
      <c r="C361" s="1596"/>
      <c r="D361" s="1596"/>
      <c r="E361" s="1596"/>
      <c r="F361" s="1596"/>
      <c r="G361" s="1596"/>
      <c r="H361" s="1596"/>
    </row>
    <row r="362" spans="1:8">
      <c r="A362" s="1597" t="s">
        <v>658</v>
      </c>
      <c r="B362" s="1596"/>
      <c r="C362" s="1596"/>
      <c r="D362" s="1596"/>
      <c r="E362" s="1596"/>
      <c r="F362" s="1596"/>
      <c r="G362" s="1596"/>
      <c r="H362" s="1596"/>
    </row>
    <row r="363" spans="1:8">
      <c r="A363" s="1597" t="s">
        <v>659</v>
      </c>
      <c r="B363" s="1596"/>
      <c r="C363" s="1596"/>
      <c r="D363" s="1596"/>
      <c r="E363" s="1596"/>
      <c r="F363" s="1596"/>
      <c r="G363" s="1596"/>
      <c r="H363" s="1596"/>
    </row>
    <row r="364" spans="1:8">
      <c r="A364" s="1597" t="s">
        <v>660</v>
      </c>
      <c r="B364" s="1596"/>
      <c r="C364" s="1596"/>
      <c r="D364" s="1596"/>
      <c r="E364" s="1596"/>
      <c r="F364" s="1596"/>
      <c r="G364" s="1596"/>
      <c r="H364" s="1596"/>
    </row>
    <row r="365" spans="1:8">
      <c r="A365" s="1597" t="s">
        <v>661</v>
      </c>
      <c r="B365" s="1596"/>
      <c r="C365" s="1596"/>
      <c r="D365" s="1596"/>
      <c r="E365" s="1596"/>
      <c r="F365" s="1596"/>
      <c r="G365" s="1596"/>
      <c r="H365" s="1596"/>
    </row>
    <row r="366" spans="1:8">
      <c r="A366" s="1596"/>
      <c r="B366" s="1596"/>
      <c r="C366" s="1596"/>
      <c r="D366" s="1596"/>
      <c r="E366" s="1596"/>
      <c r="F366" s="1596"/>
      <c r="G366" s="1596"/>
      <c r="H366" s="1596"/>
    </row>
    <row r="367" spans="1:8">
      <c r="A367" s="1597" t="s">
        <v>654</v>
      </c>
      <c r="B367" s="1596"/>
      <c r="C367" s="1596"/>
      <c r="D367" s="1596"/>
      <c r="E367" s="1596"/>
      <c r="F367" s="1596"/>
      <c r="G367" s="1596"/>
      <c r="H367" s="1596"/>
    </row>
    <row r="368" spans="1:8">
      <c r="A368" s="1597" t="s">
        <v>655</v>
      </c>
      <c r="B368" s="1596"/>
      <c r="C368" s="1596"/>
      <c r="D368" s="1596"/>
      <c r="E368" s="1596"/>
      <c r="F368" s="1596"/>
      <c r="G368" s="1596"/>
      <c r="H368" s="1596"/>
    </row>
    <row r="369" spans="1:8">
      <c r="A369" s="1597" t="s">
        <v>656</v>
      </c>
      <c r="B369" s="1596"/>
      <c r="C369" s="1596"/>
      <c r="D369" s="1596"/>
      <c r="E369" s="1596"/>
      <c r="F369" s="1596"/>
      <c r="G369" s="1596"/>
      <c r="H369" s="1596"/>
    </row>
    <row r="370" spans="1:8">
      <c r="A370" s="1597" t="s">
        <v>657</v>
      </c>
      <c r="B370" s="1596"/>
      <c r="C370" s="1596"/>
      <c r="D370" s="1596"/>
      <c r="E370" s="1596"/>
      <c r="F370" s="1596"/>
      <c r="G370" s="1596"/>
      <c r="H370" s="1596"/>
    </row>
    <row r="371" spans="1:8">
      <c r="A371" s="1596"/>
      <c r="B371" s="1596"/>
      <c r="C371" s="1596"/>
      <c r="D371" s="1596"/>
      <c r="E371" s="1596"/>
      <c r="F371" s="1596"/>
      <c r="G371" s="1596"/>
      <c r="H371" s="1596"/>
    </row>
    <row r="372" spans="1:8">
      <c r="A372" s="1597" t="s">
        <v>648</v>
      </c>
      <c r="B372" s="1596"/>
      <c r="C372" s="1596"/>
      <c r="D372" s="1596"/>
      <c r="E372" s="1596"/>
      <c r="F372" s="1596"/>
      <c r="G372" s="1596"/>
      <c r="H372" s="1596"/>
    </row>
    <row r="373" spans="1:8">
      <c r="A373" s="1597" t="s">
        <v>649</v>
      </c>
      <c r="B373" s="1596"/>
      <c r="C373" s="1596"/>
      <c r="D373" s="1596"/>
      <c r="E373" s="1596"/>
      <c r="F373" s="1596"/>
      <c r="G373" s="1596"/>
      <c r="H373" s="1596"/>
    </row>
    <row r="374" spans="1:8">
      <c r="A374" s="1597" t="s">
        <v>650</v>
      </c>
      <c r="B374" s="1596"/>
      <c r="C374" s="1596"/>
      <c r="D374" s="1596"/>
      <c r="E374" s="1596"/>
      <c r="F374" s="1596"/>
      <c r="G374" s="1596"/>
      <c r="H374" s="1596"/>
    </row>
    <row r="375" spans="1:8">
      <c r="A375" s="1597" t="s">
        <v>651</v>
      </c>
      <c r="B375" s="1596"/>
      <c r="C375" s="1596"/>
      <c r="D375" s="1596"/>
      <c r="E375" s="1596"/>
      <c r="F375" s="1596"/>
      <c r="G375" s="1596"/>
      <c r="H375" s="1596"/>
    </row>
    <row r="376" spans="1:8">
      <c r="A376" s="1597" t="s">
        <v>652</v>
      </c>
      <c r="B376" s="1596"/>
      <c r="C376" s="1596"/>
      <c r="D376" s="1596"/>
      <c r="E376" s="1596"/>
      <c r="F376" s="1596"/>
      <c r="G376" s="1596"/>
      <c r="H376" s="1596"/>
    </row>
    <row r="377" spans="1:8">
      <c r="A377" s="1597" t="s">
        <v>653</v>
      </c>
      <c r="B377" s="1596"/>
      <c r="C377" s="1596"/>
      <c r="D377" s="1596"/>
      <c r="E377" s="1596"/>
      <c r="F377" s="1596"/>
      <c r="G377" s="1596"/>
      <c r="H377" s="1596"/>
    </row>
    <row r="378" spans="1:8">
      <c r="A378" s="1596"/>
      <c r="B378" s="1596"/>
      <c r="C378" s="1596"/>
      <c r="D378" s="1596"/>
      <c r="E378" s="1596"/>
      <c r="F378" s="1596"/>
      <c r="G378" s="1596"/>
      <c r="H378" s="1596"/>
    </row>
    <row r="379" spans="1:8">
      <c r="A379" s="1597" t="s">
        <v>643</v>
      </c>
      <c r="B379" s="1596"/>
      <c r="C379" s="1596"/>
      <c r="D379" s="1596"/>
      <c r="E379" s="1596"/>
      <c r="F379" s="1596"/>
      <c r="G379" s="1596"/>
      <c r="H379" s="1596"/>
    </row>
    <row r="380" spans="1:8">
      <c r="A380" s="1597" t="s">
        <v>644</v>
      </c>
      <c r="B380" s="1596"/>
      <c r="C380" s="1596"/>
      <c r="D380" s="1596"/>
      <c r="E380" s="1596"/>
      <c r="F380" s="1596"/>
      <c r="G380" s="1596"/>
      <c r="H380" s="1596"/>
    </row>
    <row r="381" spans="1:8">
      <c r="A381" s="1597" t="s">
        <v>645</v>
      </c>
      <c r="B381" s="1596"/>
      <c r="C381" s="1596"/>
      <c r="D381" s="1596"/>
      <c r="E381" s="1596"/>
      <c r="F381" s="1596"/>
      <c r="G381" s="1596"/>
      <c r="H381" s="1596"/>
    </row>
    <row r="382" spans="1:8">
      <c r="A382" s="1597" t="s">
        <v>646</v>
      </c>
      <c r="B382" s="1596"/>
      <c r="C382" s="1596"/>
      <c r="D382" s="1596"/>
      <c r="E382" s="1596"/>
      <c r="F382" s="1596"/>
      <c r="G382" s="1596"/>
      <c r="H382" s="1596"/>
    </row>
    <row r="383" spans="1:8">
      <c r="A383" s="1597" t="s">
        <v>647</v>
      </c>
      <c r="B383" s="1596"/>
      <c r="C383" s="1596"/>
      <c r="D383" s="1596"/>
      <c r="E383" s="1596"/>
      <c r="F383" s="1596"/>
      <c r="G383" s="1596"/>
      <c r="H383" s="1596"/>
    </row>
    <row r="384" spans="1:8">
      <c r="A384" s="1596"/>
      <c r="B384" s="1596"/>
      <c r="C384" s="1596"/>
      <c r="D384" s="1596"/>
      <c r="E384" s="1596"/>
      <c r="F384" s="1596"/>
      <c r="G384" s="1596"/>
      <c r="H384" s="1596"/>
    </row>
    <row r="385" spans="1:8">
      <c r="A385" s="1597" t="s">
        <v>641</v>
      </c>
      <c r="B385" s="1596"/>
      <c r="C385" s="1596"/>
      <c r="D385" s="1596"/>
      <c r="E385" s="1596"/>
      <c r="F385" s="1596"/>
      <c r="G385" s="1596"/>
      <c r="H385" s="1596"/>
    </row>
    <row r="386" spans="1:8">
      <c r="A386" s="1597" t="s">
        <v>642</v>
      </c>
      <c r="B386" s="1596"/>
      <c r="C386" s="1596"/>
      <c r="D386" s="1596"/>
      <c r="E386" s="1596"/>
      <c r="F386" s="1596"/>
      <c r="G386" s="1596"/>
      <c r="H386" s="1596"/>
    </row>
    <row r="388" spans="1:8">
      <c r="A388" s="1592" t="s">
        <v>895</v>
      </c>
    </row>
  </sheetData>
  <mergeCells count="12">
    <mergeCell ref="A126:H126"/>
    <mergeCell ref="A127:H127"/>
    <mergeCell ref="B119:C119"/>
    <mergeCell ref="D119:F119"/>
    <mergeCell ref="G119:H119"/>
    <mergeCell ref="A105:H105"/>
    <mergeCell ref="A106:H106"/>
    <mergeCell ref="A107:H107"/>
    <mergeCell ref="A108:H108"/>
    <mergeCell ref="A110:H110"/>
    <mergeCell ref="A111:H111"/>
    <mergeCell ref="A118:H11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indexed="17"/>
    <pageSetUpPr fitToPage="1"/>
  </sheetPr>
  <dimension ref="A1:DO198"/>
  <sheetViews>
    <sheetView showGridLines="0" zoomScale="85" zoomScaleNormal="85" workbookViewId="0">
      <pane xSplit="3" ySplit="7" topLeftCell="AV8" activePane="bottomRight" state="frozen"/>
      <selection activeCell="BL66" sqref="BL66"/>
      <selection pane="topRight" activeCell="BL66" sqref="BL66"/>
      <selection pane="bottomLeft" activeCell="BL66" sqref="BL66"/>
      <selection pane="bottomRight" activeCell="B4" sqref="B4"/>
    </sheetView>
  </sheetViews>
  <sheetFormatPr defaultRowHeight="14.25" customHeight="1" outlineLevelRow="3" outlineLevelCol="1"/>
  <cols>
    <col min="1" max="1" width="1.7109375" customWidth="1"/>
    <col min="2" max="2" width="37.85546875" customWidth="1"/>
    <col min="3" max="3" width="1.7109375" customWidth="1"/>
    <col min="4" max="39" width="11.42578125" hidden="1" customWidth="1" outlineLevel="1"/>
    <col min="40" max="40" width="11.42578125" hidden="1" customWidth="1" outlineLevel="1" collapsed="1"/>
    <col min="41" max="43" width="11.42578125" hidden="1" customWidth="1" outlineLevel="1"/>
    <col min="44" max="44" width="11.42578125" hidden="1" customWidth="1" outlineLevel="1" collapsed="1"/>
    <col min="45" max="51" width="11.42578125" hidden="1" customWidth="1" outlineLevel="1"/>
    <col min="52" max="52" width="11.42578125" hidden="1" customWidth="1" outlineLevel="1" collapsed="1"/>
    <col min="53" max="55" width="11.42578125" hidden="1" customWidth="1" outlineLevel="1"/>
    <col min="56" max="56" width="11.42578125" hidden="1" customWidth="1" outlineLevel="1" collapsed="1"/>
    <col min="57" max="59" width="11.42578125" hidden="1" customWidth="1" outlineLevel="1"/>
    <col min="60" max="60" width="11.42578125" hidden="1" customWidth="1" outlineLevel="1" collapsed="1"/>
    <col min="61" max="63" width="11.42578125" hidden="1" customWidth="1" outlineLevel="1"/>
    <col min="64" max="64" width="11.42578125" customWidth="1" collapsed="1"/>
    <col min="65" max="71" width="11.42578125" customWidth="1"/>
    <col min="72" max="75" width="11.42578125" style="1431" customWidth="1" outlineLevel="1"/>
    <col min="76" max="76" width="2.7109375" customWidth="1"/>
    <col min="77" max="85" width="11.42578125" hidden="1" customWidth="1" outlineLevel="1"/>
    <col min="86" max="87" width="11.140625" style="1527" hidden="1" customWidth="1" outlineLevel="1"/>
    <col min="88" max="88" width="11.140625" style="1527" customWidth="1" collapsed="1"/>
    <col min="89" max="91" width="11.140625" customWidth="1"/>
    <col min="92" max="93" width="11.42578125" customWidth="1"/>
    <col min="94" max="94" width="11.42578125" style="1431" customWidth="1" outlineLevel="1"/>
    <col min="95" max="95" width="3.7109375" customWidth="1"/>
    <col min="96" max="105" width="11.42578125" hidden="1" customWidth="1" outlineLevel="1"/>
    <col min="106" max="106" width="11.42578125" hidden="1" customWidth="1" outlineLevel="1" collapsed="1"/>
    <col min="107" max="109" width="11.42578125" hidden="1" customWidth="1" outlineLevel="1"/>
    <col min="110" max="110" width="11.42578125" customWidth="1" collapsed="1"/>
    <col min="111" max="112" width="11.42578125" style="1474" customWidth="1"/>
    <col min="113" max="113" width="11.42578125" customWidth="1"/>
    <col min="114" max="114" width="36.42578125" customWidth="1"/>
  </cols>
  <sheetData>
    <row r="1" spans="1:113" ht="67.5" customHeight="1">
      <c r="A1" s="5"/>
      <c r="B1" s="602"/>
      <c r="C1" s="1"/>
      <c r="D1" s="2" t="str">
        <f>IF(SUM(BS)&lt;&gt;0,"BS BREAK","")</f>
        <v/>
      </c>
      <c r="E1" s="5"/>
      <c r="F1" s="2" t="str">
        <f>IF(SUM(BS)&lt;&gt;0,"BS BREAK","")</f>
        <v/>
      </c>
      <c r="G1" s="5"/>
      <c r="H1" s="2" t="str">
        <f>IF(SUM(BS)&lt;&gt;0,"BS BREAK","")</f>
        <v/>
      </c>
      <c r="I1" s="5"/>
      <c r="J1" s="2" t="str">
        <f>IF(SUM(BS)&lt;&gt;0,"BS BREAK","")</f>
        <v/>
      </c>
      <c r="K1" s="5"/>
      <c r="L1" s="2" t="str">
        <f>IF(SUM(BS)&lt;&gt;0,"BS BREAK","")</f>
        <v/>
      </c>
      <c r="M1" s="5"/>
      <c r="N1" s="2" t="str">
        <f>IF(SUM(BS)&lt;&gt;0,"BS BREAK","")</f>
        <v/>
      </c>
      <c r="O1" s="5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5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2"/>
      <c r="BI1" s="1"/>
      <c r="BJ1" s="2"/>
      <c r="BK1" s="1"/>
      <c r="BL1" s="2"/>
      <c r="BM1" s="1"/>
      <c r="BN1" s="2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1"/>
      <c r="CC1" s="1"/>
      <c r="CD1" s="2"/>
      <c r="CE1" s="1"/>
      <c r="CF1" s="2"/>
      <c r="CG1" s="1"/>
      <c r="CH1" s="1"/>
      <c r="CI1" s="1"/>
      <c r="CJ1" s="1"/>
      <c r="CK1" s="1"/>
      <c r="CL1" s="2"/>
      <c r="CM1" s="2" t="str">
        <f>IF(SUM(BS)&lt;&gt;0,"BS BREAK","")</f>
        <v/>
      </c>
      <c r="CN1" s="1" t="str">
        <f>IF(SUM(BS)&lt;&gt;0,"BS BREAK","")</f>
        <v/>
      </c>
      <c r="CO1" s="1" t="str">
        <f>IF(SUM(BS)&lt;&gt;0,"BS BREAK","")</f>
        <v/>
      </c>
      <c r="CP1" s="1"/>
      <c r="CQ1" s="1"/>
      <c r="CR1" s="2" t="str">
        <f>IF(SUM(BS)&lt;&gt;0,"BS BREAK","")</f>
        <v/>
      </c>
      <c r="CS1" s="2" t="str">
        <f>IF(SUM(BS)&lt;&gt;0,"BS BREAK","")</f>
        <v/>
      </c>
      <c r="CT1" s="2" t="str">
        <f>IF(SUM(BS)&lt;&gt;0,"BS BREAK","")</f>
        <v/>
      </c>
      <c r="CU1" s="2" t="str">
        <f>IF(SUM(BS)&lt;&gt;0,"BS BREAK","")</f>
        <v/>
      </c>
      <c r="CV1" s="1"/>
      <c r="CW1" s="2" t="str">
        <f>IF(SUM(BS)&lt;&gt;0,"BS BREAK","")</f>
        <v/>
      </c>
      <c r="CX1" s="1"/>
      <c r="CY1" s="2" t="str">
        <f>IF(SUM(BS)&lt;&gt;0,"BS BREAK","")</f>
        <v/>
      </c>
      <c r="CZ1" s="1"/>
      <c r="DA1" s="2" t="str">
        <f>IF(SUM(BS)&lt;&gt;0,"BS BREAK","")</f>
        <v/>
      </c>
      <c r="DB1" s="1"/>
      <c r="DC1" s="2" t="str">
        <f>IF(SUM(BS)&lt;&gt;0,"BS BREAK","")</f>
        <v/>
      </c>
      <c r="DD1" s="2" t="str">
        <f>IF(SUM(BS)&lt;&gt;0,"BS BREAK","")</f>
        <v/>
      </c>
      <c r="DE1" s="2" t="str">
        <f>IF(SUM(BS)&lt;&gt;0,"BS BREAK","")</f>
        <v/>
      </c>
      <c r="DF1" s="2" t="str">
        <f>IF(SUM(BS)&lt;&gt;0,"BS BREAK","")</f>
        <v/>
      </c>
      <c r="DG1" s="2"/>
      <c r="DH1" s="2"/>
      <c r="DI1" s="2"/>
    </row>
    <row r="2" spans="1:113" ht="18" customHeight="1">
      <c r="A2" s="1"/>
      <c r="B2" s="4" t="s">
        <v>344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/>
      <c r="AJ2" s="1"/>
      <c r="AK2" s="1"/>
      <c r="AL2" s="1"/>
      <c r="AM2" s="1"/>
      <c r="AN2" s="1"/>
      <c r="AO2" s="1082"/>
      <c r="AP2" s="1082"/>
      <c r="AQ2" s="1082"/>
      <c r="AR2" s="1082"/>
      <c r="AS2" s="1082"/>
      <c r="AT2" s="1082"/>
      <c r="AU2" s="1082"/>
      <c r="AV2" s="1082"/>
      <c r="AW2" s="1082"/>
      <c r="AX2" s="1082"/>
      <c r="AY2" s="1082"/>
      <c r="AZ2" s="1082"/>
      <c r="BA2" s="1082"/>
      <c r="BB2" s="1082"/>
      <c r="BC2" s="1082"/>
      <c r="BD2" s="1082"/>
      <c r="BE2" s="1082"/>
      <c r="BF2" s="1082"/>
      <c r="BG2" s="1082"/>
      <c r="BH2" s="1082"/>
      <c r="BI2" s="1082"/>
      <c r="BJ2" s="1082"/>
      <c r="BK2" s="1082"/>
      <c r="BL2" s="1082"/>
      <c r="BM2" s="1188"/>
      <c r="BN2" s="1188"/>
      <c r="BO2" s="1188"/>
      <c r="BP2" s="1188"/>
      <c r="BQ2" s="1188"/>
      <c r="BR2" s="1188"/>
      <c r="BS2" s="1188"/>
      <c r="BT2" s="1188"/>
      <c r="BU2" s="1188"/>
      <c r="BV2" s="1188"/>
      <c r="BW2" s="1188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1"/>
      <c r="CR2" s="5"/>
      <c r="CS2" s="1"/>
      <c r="CT2" s="1"/>
      <c r="CU2" s="1"/>
      <c r="CV2" s="1"/>
      <c r="CW2" s="1"/>
      <c r="CX2" s="1"/>
      <c r="CY2" s="1"/>
      <c r="CZ2" s="1"/>
      <c r="DA2" s="5"/>
      <c r="DB2" s="1"/>
      <c r="DC2" s="1"/>
      <c r="DD2" s="1"/>
      <c r="DE2" s="1"/>
      <c r="DF2" s="586"/>
      <c r="DG2" s="586"/>
      <c r="DH2" s="586"/>
      <c r="DI2" s="1"/>
    </row>
    <row r="3" spans="1:113" ht="14.25" customHeight="1">
      <c r="A3" s="1"/>
      <c r="B3" s="603"/>
      <c r="C3" s="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1"/>
      <c r="AR3" s="339"/>
      <c r="AS3" s="339"/>
      <c r="AT3" s="339"/>
      <c r="AU3" s="586"/>
      <c r="AV3" s="1086"/>
      <c r="AW3" s="1086"/>
      <c r="AX3" s="1086"/>
      <c r="AY3" s="586"/>
      <c r="AZ3" s="339"/>
      <c r="BA3" s="339"/>
      <c r="BB3" s="339"/>
      <c r="BC3" s="586"/>
      <c r="BD3" s="586"/>
      <c r="BE3" s="586"/>
      <c r="BF3" s="586"/>
      <c r="BG3" s="586"/>
      <c r="BH3" s="586"/>
      <c r="BI3" s="586"/>
      <c r="BJ3" s="586"/>
      <c r="BK3" s="586"/>
      <c r="BL3" s="1189"/>
      <c r="BM3" s="1480"/>
      <c r="BN3" s="1480"/>
      <c r="BO3" s="1480"/>
      <c r="BP3" s="1480"/>
      <c r="BQ3" s="1480"/>
      <c r="BR3" s="1480"/>
      <c r="BS3" s="1480"/>
      <c r="BT3" s="1480"/>
      <c r="BU3" s="1480"/>
      <c r="BV3" s="1480"/>
      <c r="BW3" s="1480"/>
      <c r="BX3" s="1188"/>
      <c r="BY3" s="1188"/>
      <c r="BZ3" s="1188"/>
      <c r="CA3" s="1188"/>
      <c r="CB3" s="1188"/>
      <c r="CC3" s="1188"/>
      <c r="CD3" s="1188"/>
      <c r="CE3" s="1188"/>
      <c r="CF3" s="1188"/>
      <c r="CG3" s="1188"/>
      <c r="CH3" s="1082"/>
      <c r="CI3" s="1082"/>
      <c r="CJ3" s="1082"/>
      <c r="CK3" s="1082"/>
      <c r="CL3" s="6"/>
      <c r="CM3" s="1244"/>
      <c r="CN3" s="1497"/>
      <c r="CO3" s="1497"/>
      <c r="CP3" s="1497"/>
      <c r="CQ3" s="1193"/>
      <c r="CR3" s="1194"/>
      <c r="CS3" s="1193"/>
      <c r="CT3" s="1193"/>
      <c r="CU3" s="1193"/>
      <c r="CV3" s="1193"/>
      <c r="CW3" s="1193"/>
      <c r="CX3" s="1193"/>
      <c r="CY3" s="1193"/>
      <c r="CZ3" s="1193"/>
      <c r="DA3" s="1194"/>
      <c r="DB3" s="1193"/>
      <c r="DC3" s="1193"/>
      <c r="DD3" s="1193"/>
      <c r="DE3" s="1323"/>
      <c r="DF3" s="1425"/>
      <c r="DG3" s="1429"/>
      <c r="DH3" s="1429"/>
      <c r="DI3" s="179"/>
    </row>
    <row r="4" spans="1:113" ht="14.25" customHeight="1">
      <c r="A4" s="1"/>
      <c r="B4" s="179"/>
      <c r="C4" s="179"/>
      <c r="D4" s="482" t="str">
        <f t="shared" ref="D4:BJ4" si="0">ROUNDUP(MONTH(EOMONTH(D6,9))/3,0)&amp;"FQ"&amp;TEXT(EOMONTH(D6,9),"YYYY")</f>
        <v>1FQ2003</v>
      </c>
      <c r="E4" s="482" t="str">
        <f t="shared" si="0"/>
        <v>2FQ2003</v>
      </c>
      <c r="F4" s="482" t="str">
        <f t="shared" si="0"/>
        <v>3FQ2003</v>
      </c>
      <c r="G4" s="482" t="str">
        <f t="shared" si="0"/>
        <v>4FQ2003</v>
      </c>
      <c r="H4" s="482" t="str">
        <f t="shared" si="0"/>
        <v>1FQ2004</v>
      </c>
      <c r="I4" s="482" t="str">
        <f t="shared" si="0"/>
        <v>2FQ2004</v>
      </c>
      <c r="J4" s="482" t="str">
        <f t="shared" si="0"/>
        <v>3FQ2004</v>
      </c>
      <c r="K4" s="482" t="str">
        <f t="shared" si="0"/>
        <v>4FQ2004</v>
      </c>
      <c r="L4" s="482" t="str">
        <f t="shared" si="0"/>
        <v>1FQ2005</v>
      </c>
      <c r="M4" s="482" t="str">
        <f t="shared" si="0"/>
        <v>2FQ2005</v>
      </c>
      <c r="N4" s="482" t="str">
        <f t="shared" si="0"/>
        <v>3FQ2005</v>
      </c>
      <c r="O4" s="482" t="str">
        <f t="shared" si="0"/>
        <v>4FQ2005</v>
      </c>
      <c r="P4" s="482" t="str">
        <f t="shared" si="0"/>
        <v>1FQ2006</v>
      </c>
      <c r="Q4" s="482" t="str">
        <f t="shared" si="0"/>
        <v>2FQ2006</v>
      </c>
      <c r="R4" s="482" t="str">
        <f t="shared" si="0"/>
        <v>3FQ2006</v>
      </c>
      <c r="S4" s="482" t="str">
        <f t="shared" si="0"/>
        <v>4FQ2006</v>
      </c>
      <c r="T4" s="482" t="str">
        <f t="shared" si="0"/>
        <v>1FQ2007</v>
      </c>
      <c r="U4" s="482" t="str">
        <f t="shared" si="0"/>
        <v>2FQ2007</v>
      </c>
      <c r="V4" s="482" t="str">
        <f t="shared" si="0"/>
        <v>3FQ2007</v>
      </c>
      <c r="W4" s="482" t="str">
        <f t="shared" si="0"/>
        <v>4FQ2007</v>
      </c>
      <c r="X4" s="482" t="str">
        <f t="shared" si="0"/>
        <v>1FQ2008</v>
      </c>
      <c r="Y4" s="482" t="str">
        <f t="shared" si="0"/>
        <v>2FQ2008</v>
      </c>
      <c r="Z4" s="482" t="str">
        <f t="shared" si="0"/>
        <v>3FQ2008</v>
      </c>
      <c r="AA4" s="482" t="str">
        <f t="shared" si="0"/>
        <v>4FQ2008</v>
      </c>
      <c r="AB4" s="482" t="str">
        <f t="shared" si="0"/>
        <v>1FQ2009</v>
      </c>
      <c r="AC4" s="482" t="str">
        <f t="shared" si="0"/>
        <v>2FQ2009</v>
      </c>
      <c r="AD4" s="482" t="str">
        <f t="shared" si="0"/>
        <v>3FQ2009</v>
      </c>
      <c r="AE4" s="482" t="str">
        <f t="shared" si="0"/>
        <v>4FQ2009</v>
      </c>
      <c r="AF4" s="482" t="str">
        <f t="shared" si="0"/>
        <v>1FQ2010</v>
      </c>
      <c r="AG4" s="482" t="str">
        <f t="shared" si="0"/>
        <v>2FQ2010</v>
      </c>
      <c r="AH4" s="482" t="str">
        <f t="shared" si="0"/>
        <v>3FQ2010</v>
      </c>
      <c r="AI4" s="482" t="str">
        <f t="shared" si="0"/>
        <v>4FQ2010</v>
      </c>
      <c r="AJ4" s="482" t="str">
        <f t="shared" si="0"/>
        <v>1FQ2011</v>
      </c>
      <c r="AK4" s="482" t="str">
        <f t="shared" si="0"/>
        <v>2FQ2011</v>
      </c>
      <c r="AL4" s="482" t="str">
        <f t="shared" si="0"/>
        <v>3FQ2011</v>
      </c>
      <c r="AM4" s="482" t="str">
        <f t="shared" si="0"/>
        <v>4FQ2011</v>
      </c>
      <c r="AN4" s="482" t="str">
        <f t="shared" si="0"/>
        <v>1FQ2012</v>
      </c>
      <c r="AO4" s="482" t="str">
        <f t="shared" si="0"/>
        <v>2FQ2012</v>
      </c>
      <c r="AP4" s="482" t="str">
        <f t="shared" si="0"/>
        <v>3FQ2012</v>
      </c>
      <c r="AQ4" s="482" t="str">
        <f t="shared" si="0"/>
        <v>4FQ2012</v>
      </c>
      <c r="AR4" s="482" t="str">
        <f t="shared" si="0"/>
        <v>1FQ2013</v>
      </c>
      <c r="AS4" s="482" t="str">
        <f t="shared" si="0"/>
        <v>2FQ2013</v>
      </c>
      <c r="AT4" s="482" t="str">
        <f t="shared" si="0"/>
        <v>3FQ2013</v>
      </c>
      <c r="AU4" s="482" t="str">
        <f t="shared" si="0"/>
        <v>4FQ2013</v>
      </c>
      <c r="AV4" s="482" t="str">
        <f t="shared" si="0"/>
        <v>1FQ2014</v>
      </c>
      <c r="AW4" s="482" t="str">
        <f t="shared" si="0"/>
        <v>2FQ2014</v>
      </c>
      <c r="AX4" s="482" t="str">
        <f t="shared" si="0"/>
        <v>3FQ2014</v>
      </c>
      <c r="AY4" s="482" t="str">
        <f t="shared" si="0"/>
        <v>4FQ2014</v>
      </c>
      <c r="AZ4" s="482" t="str">
        <f t="shared" si="0"/>
        <v>1FQ2015</v>
      </c>
      <c r="BA4" s="482" t="str">
        <f t="shared" si="0"/>
        <v>2FQ2015</v>
      </c>
      <c r="BB4" s="482" t="str">
        <f t="shared" si="0"/>
        <v>3FQ2015</v>
      </c>
      <c r="BC4" s="482" t="str">
        <f t="shared" si="0"/>
        <v>4FQ2015</v>
      </c>
      <c r="BD4" s="482" t="str">
        <f t="shared" si="0"/>
        <v>1FQ2016</v>
      </c>
      <c r="BE4" s="482" t="str">
        <f t="shared" si="0"/>
        <v>2FQ2016</v>
      </c>
      <c r="BF4" s="482" t="str">
        <f t="shared" si="0"/>
        <v>3FQ2016</v>
      </c>
      <c r="BG4" s="1420"/>
      <c r="BH4" s="482" t="str">
        <f t="shared" si="0"/>
        <v>1FQ2017</v>
      </c>
      <c r="BI4" s="482" t="str">
        <f t="shared" si="0"/>
        <v>2FQ2017</v>
      </c>
      <c r="BJ4" s="482" t="str">
        <f t="shared" si="0"/>
        <v>3FQ2017</v>
      </c>
      <c r="BK4" s="1421"/>
      <c r="BL4" s="482"/>
      <c r="BM4" s="482"/>
      <c r="BN4" s="482"/>
      <c r="BO4" s="482"/>
      <c r="BP4" s="482"/>
      <c r="BQ4" s="482"/>
      <c r="BR4" s="482"/>
      <c r="BS4" s="482"/>
      <c r="BT4" s="482"/>
      <c r="BU4" s="482"/>
      <c r="BV4" s="482"/>
      <c r="BW4" s="482"/>
      <c r="BX4" s="1"/>
      <c r="BY4" s="1"/>
      <c r="BZ4" s="1"/>
      <c r="CA4" s="1"/>
      <c r="CB4" s="1"/>
      <c r="CC4" s="1"/>
      <c r="CD4" s="1"/>
      <c r="CE4" s="1"/>
      <c r="CF4" s="1"/>
      <c r="CG4" s="5"/>
      <c r="CH4" s="5"/>
      <c r="CI4" s="5"/>
      <c r="CJ4" s="5"/>
      <c r="CK4" s="5"/>
      <c r="CL4" s="1244"/>
      <c r="CM4" s="1411"/>
      <c r="CN4" s="1533"/>
      <c r="CO4" s="1533"/>
      <c r="CP4" s="1533"/>
      <c r="CQ4" s="5"/>
      <c r="CR4" s="5"/>
      <c r="CS4" s="1"/>
      <c r="CT4" s="1"/>
      <c r="CU4" s="1"/>
      <c r="CV4" s="1"/>
      <c r="CW4" s="1"/>
      <c r="CX4" s="1"/>
      <c r="CY4" s="1"/>
      <c r="CZ4" s="1"/>
      <c r="DA4" s="5"/>
      <c r="DB4" s="1"/>
      <c r="DC4" s="1"/>
      <c r="DD4" s="1"/>
      <c r="DE4" s="1169"/>
      <c r="DG4" s="1576"/>
      <c r="DI4" s="1"/>
    </row>
    <row r="5" spans="1:113" ht="14.25" customHeight="1">
      <c r="A5" s="8"/>
      <c r="B5" s="604" t="s">
        <v>466</v>
      </c>
      <c r="C5" s="10"/>
      <c r="D5" s="1373" t="s">
        <v>437</v>
      </c>
      <c r="E5" s="1374" t="s">
        <v>438</v>
      </c>
      <c r="F5" s="1374" t="s">
        <v>439</v>
      </c>
      <c r="G5" s="1375" t="s">
        <v>440</v>
      </c>
      <c r="H5" s="1373" t="s">
        <v>441</v>
      </c>
      <c r="I5" s="1374" t="s">
        <v>442</v>
      </c>
      <c r="J5" s="1374" t="s">
        <v>443</v>
      </c>
      <c r="K5" s="1375" t="s">
        <v>444</v>
      </c>
      <c r="L5" s="1373" t="s">
        <v>445</v>
      </c>
      <c r="M5" s="1374" t="s">
        <v>446</v>
      </c>
      <c r="N5" s="1374" t="s">
        <v>447</v>
      </c>
      <c r="O5" s="1375" t="s">
        <v>448</v>
      </c>
      <c r="P5" s="1373" t="s">
        <v>355</v>
      </c>
      <c r="Q5" s="1374" t="s">
        <v>224</v>
      </c>
      <c r="R5" s="1374" t="s">
        <v>225</v>
      </c>
      <c r="S5" s="1375" t="s">
        <v>226</v>
      </c>
      <c r="T5" s="1373" t="s">
        <v>227</v>
      </c>
      <c r="U5" s="1374" t="s">
        <v>228</v>
      </c>
      <c r="V5" s="1374" t="s">
        <v>229</v>
      </c>
      <c r="W5" s="1375" t="s">
        <v>230</v>
      </c>
      <c r="X5" s="1373" t="s">
        <v>231</v>
      </c>
      <c r="Y5" s="1374" t="s">
        <v>232</v>
      </c>
      <c r="Z5" s="1374" t="s">
        <v>233</v>
      </c>
      <c r="AA5" s="1375" t="s">
        <v>234</v>
      </c>
      <c r="AB5" s="1373" t="s">
        <v>235</v>
      </c>
      <c r="AC5" s="1374" t="s">
        <v>236</v>
      </c>
      <c r="AD5" s="1374" t="s">
        <v>237</v>
      </c>
      <c r="AE5" s="1375" t="s">
        <v>238</v>
      </c>
      <c r="AF5" s="1373" t="s">
        <v>239</v>
      </c>
      <c r="AG5" s="1374" t="s">
        <v>240</v>
      </c>
      <c r="AH5" s="1374" t="s">
        <v>241</v>
      </c>
      <c r="AI5" s="1375" t="s">
        <v>242</v>
      </c>
      <c r="AJ5" s="1373" t="s">
        <v>243</v>
      </c>
      <c r="AK5" s="1374" t="s">
        <v>244</v>
      </c>
      <c r="AL5" s="1374" t="s">
        <v>245</v>
      </c>
      <c r="AM5" s="1374" t="s">
        <v>246</v>
      </c>
      <c r="AN5" s="1373" t="s">
        <v>247</v>
      </c>
      <c r="AO5" s="1374" t="s">
        <v>248</v>
      </c>
      <c r="AP5" s="1374" t="s">
        <v>249</v>
      </c>
      <c r="AQ5" s="1374" t="s">
        <v>250</v>
      </c>
      <c r="AR5" s="1373" t="s">
        <v>291</v>
      </c>
      <c r="AS5" s="1374" t="s">
        <v>333</v>
      </c>
      <c r="AT5" s="1374" t="s">
        <v>341</v>
      </c>
      <c r="AU5" s="1375" t="s">
        <v>468</v>
      </c>
      <c r="AV5" s="1373" t="s">
        <v>469</v>
      </c>
      <c r="AW5" s="1374" t="s">
        <v>251</v>
      </c>
      <c r="AX5" s="1374" t="s">
        <v>492</v>
      </c>
      <c r="AY5" s="1375" t="s">
        <v>252</v>
      </c>
      <c r="AZ5" s="1373" t="s">
        <v>500</v>
      </c>
      <c r="BA5" s="1374" t="s">
        <v>505</v>
      </c>
      <c r="BB5" s="1374" t="s">
        <v>506</v>
      </c>
      <c r="BC5" s="1374" t="s">
        <v>509</v>
      </c>
      <c r="BD5" s="1373" t="s">
        <v>548</v>
      </c>
      <c r="BE5" s="1374" t="s">
        <v>549</v>
      </c>
      <c r="BF5" s="1374" t="s">
        <v>550</v>
      </c>
      <c r="BG5" s="1375" t="s">
        <v>545</v>
      </c>
      <c r="BH5" s="1374" t="s">
        <v>547</v>
      </c>
      <c r="BI5" s="1374" t="s">
        <v>555</v>
      </c>
      <c r="BJ5" s="1374" t="s">
        <v>557</v>
      </c>
      <c r="BK5" s="1374" t="s">
        <v>558</v>
      </c>
      <c r="BL5" s="1438" t="s">
        <v>561</v>
      </c>
      <c r="BM5" s="1439" t="s">
        <v>572</v>
      </c>
      <c r="BN5" s="1439" t="s">
        <v>574</v>
      </c>
      <c r="BO5" s="1440" t="s">
        <v>516</v>
      </c>
      <c r="BP5" s="1373" t="s">
        <v>527</v>
      </c>
      <c r="BQ5" s="1374" t="s">
        <v>528</v>
      </c>
      <c r="BR5" s="1374" t="s">
        <v>529</v>
      </c>
      <c r="BS5" s="1375" t="s">
        <v>530</v>
      </c>
      <c r="BT5" s="1491" t="s">
        <v>562</v>
      </c>
      <c r="BU5" s="1492" t="s">
        <v>563</v>
      </c>
      <c r="BV5" s="1492" t="s">
        <v>564</v>
      </c>
      <c r="BW5" s="1493" t="s">
        <v>565</v>
      </c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689"/>
      <c r="CM5" s="586"/>
      <c r="CN5" s="586"/>
      <c r="CO5" s="586"/>
      <c r="CP5" s="586"/>
      <c r="CQ5" s="232"/>
      <c r="CR5" s="1302" t="s">
        <v>473</v>
      </c>
      <c r="CS5" s="1303" t="s">
        <v>474</v>
      </c>
      <c r="CT5" s="1303" t="s">
        <v>475</v>
      </c>
      <c r="CU5" s="1303" t="s">
        <v>476</v>
      </c>
      <c r="CV5" s="1303" t="s">
        <v>477</v>
      </c>
      <c r="CW5" s="1303" t="s">
        <v>478</v>
      </c>
      <c r="CX5" s="1303" t="s">
        <v>479</v>
      </c>
      <c r="CY5" s="1303" t="s">
        <v>480</v>
      </c>
      <c r="CZ5" s="1303" t="s">
        <v>481</v>
      </c>
      <c r="DA5" s="1301" t="s">
        <v>482</v>
      </c>
      <c r="DB5" s="1302" t="s">
        <v>483</v>
      </c>
      <c r="DC5" s="1352" t="s">
        <v>484</v>
      </c>
      <c r="DD5" s="1353" t="s">
        <v>494</v>
      </c>
      <c r="DE5" s="1353" t="s">
        <v>495</v>
      </c>
      <c r="DF5" s="1353" t="s">
        <v>524</v>
      </c>
      <c r="DG5" s="1353" t="s">
        <v>542</v>
      </c>
      <c r="DH5" s="1345" t="s">
        <v>571</v>
      </c>
      <c r="DI5" s="22"/>
    </row>
    <row r="6" spans="1:113" ht="14.25" customHeight="1">
      <c r="A6" s="8"/>
      <c r="B6" s="605" t="s">
        <v>354</v>
      </c>
      <c r="C6" s="13"/>
      <c r="D6" s="881">
        <v>37437</v>
      </c>
      <c r="E6" s="1396">
        <v>37529</v>
      </c>
      <c r="F6" s="1396">
        <v>37621</v>
      </c>
      <c r="G6" s="1397">
        <v>37711</v>
      </c>
      <c r="H6" s="881">
        <v>37802</v>
      </c>
      <c r="I6" s="1396">
        <v>37894</v>
      </c>
      <c r="J6" s="1396">
        <v>37986</v>
      </c>
      <c r="K6" s="1397">
        <v>38077</v>
      </c>
      <c r="L6" s="881">
        <v>38168</v>
      </c>
      <c r="M6" s="1396">
        <v>38260</v>
      </c>
      <c r="N6" s="1396">
        <v>38352</v>
      </c>
      <c r="O6" s="1397">
        <v>38442</v>
      </c>
      <c r="P6" s="881">
        <v>38533</v>
      </c>
      <c r="Q6" s="1396">
        <v>38625</v>
      </c>
      <c r="R6" s="1396">
        <v>38717</v>
      </c>
      <c r="S6" s="1397">
        <v>38807</v>
      </c>
      <c r="T6" s="1396">
        <v>38898</v>
      </c>
      <c r="U6" s="1396">
        <v>38990</v>
      </c>
      <c r="V6" s="1396">
        <v>39082</v>
      </c>
      <c r="W6" s="1397">
        <v>39172</v>
      </c>
      <c r="X6" s="1396">
        <v>39263</v>
      </c>
      <c r="Y6" s="1396">
        <v>39355</v>
      </c>
      <c r="Z6" s="1396">
        <v>39447</v>
      </c>
      <c r="AA6" s="1397">
        <v>39538</v>
      </c>
      <c r="AB6" s="1396">
        <v>39629</v>
      </c>
      <c r="AC6" s="1396">
        <v>39721</v>
      </c>
      <c r="AD6" s="1396">
        <v>39813</v>
      </c>
      <c r="AE6" s="1397">
        <v>39903</v>
      </c>
      <c r="AF6" s="1396">
        <v>39994</v>
      </c>
      <c r="AG6" s="1396">
        <v>40086</v>
      </c>
      <c r="AH6" s="1396">
        <v>40178</v>
      </c>
      <c r="AI6" s="1397">
        <v>40268</v>
      </c>
      <c r="AJ6" s="1396">
        <v>40359</v>
      </c>
      <c r="AK6" s="1396">
        <v>40451</v>
      </c>
      <c r="AL6" s="1396">
        <v>40543</v>
      </c>
      <c r="AM6" s="1396">
        <v>40633</v>
      </c>
      <c r="AN6" s="1396">
        <v>40724</v>
      </c>
      <c r="AO6" s="1396">
        <v>40816</v>
      </c>
      <c r="AP6" s="1396">
        <v>40908</v>
      </c>
      <c r="AQ6" s="1396">
        <v>40999</v>
      </c>
      <c r="AR6" s="1398">
        <v>41090</v>
      </c>
      <c r="AS6" s="1396">
        <v>41182</v>
      </c>
      <c r="AT6" s="1396">
        <v>41274</v>
      </c>
      <c r="AU6" s="1397">
        <v>41364</v>
      </c>
      <c r="AV6" s="1398">
        <v>41455</v>
      </c>
      <c r="AW6" s="1396">
        <v>41547</v>
      </c>
      <c r="AX6" s="1396">
        <v>41639</v>
      </c>
      <c r="AY6" s="1397">
        <v>41729</v>
      </c>
      <c r="AZ6" s="1398">
        <v>41820</v>
      </c>
      <c r="BA6" s="1396">
        <v>41912</v>
      </c>
      <c r="BB6" s="1396">
        <v>42004</v>
      </c>
      <c r="BC6" s="1396">
        <v>42094</v>
      </c>
      <c r="BD6" s="1398">
        <v>42185</v>
      </c>
      <c r="BE6" s="1396">
        <v>42277</v>
      </c>
      <c r="BF6" s="1396">
        <v>42369</v>
      </c>
      <c r="BG6" s="1397">
        <v>42460</v>
      </c>
      <c r="BH6" s="1396">
        <v>42551</v>
      </c>
      <c r="BI6" s="1396">
        <v>42643</v>
      </c>
      <c r="BJ6" s="1396">
        <v>42735</v>
      </c>
      <c r="BK6" s="1396">
        <v>42825</v>
      </c>
      <c r="BL6" s="1460">
        <v>42916</v>
      </c>
      <c r="BM6" s="1458">
        <v>43008</v>
      </c>
      <c r="BN6" s="1458">
        <v>43100</v>
      </c>
      <c r="BO6" s="1459">
        <v>43190</v>
      </c>
      <c r="BP6" s="1398">
        <v>43281</v>
      </c>
      <c r="BQ6" s="1396">
        <v>43373</v>
      </c>
      <c r="BR6" s="1396">
        <v>43465</v>
      </c>
      <c r="BS6" s="1397">
        <v>43555</v>
      </c>
      <c r="BT6" s="1505">
        <v>43646</v>
      </c>
      <c r="BU6" s="1503">
        <v>43738</v>
      </c>
      <c r="BV6" s="1503">
        <v>43830</v>
      </c>
      <c r="BW6" s="1504">
        <v>43921</v>
      </c>
      <c r="BX6" s="8"/>
      <c r="BY6" s="482" t="str">
        <f>LEFT(BY7,6)</f>
        <v>FY2003</v>
      </c>
      <c r="BZ6" s="482" t="str">
        <f>LEFT(BZ7,6)</f>
        <v>FY2004</v>
      </c>
      <c r="CA6" s="482" t="str">
        <f>LEFT(CA7,6)</f>
        <v>FY2005</v>
      </c>
      <c r="CB6" s="482" t="str">
        <f t="shared" ref="CB6:CP6" si="1">LEFT(CB7,6)</f>
        <v>FY2006</v>
      </c>
      <c r="CC6" s="482" t="str">
        <f t="shared" si="1"/>
        <v>FY2007</v>
      </c>
      <c r="CD6" s="482" t="str">
        <f t="shared" si="1"/>
        <v>FY2008</v>
      </c>
      <c r="CE6" s="482" t="str">
        <f t="shared" si="1"/>
        <v>FY2009</v>
      </c>
      <c r="CF6" s="482" t="str">
        <f t="shared" si="1"/>
        <v>FY2010</v>
      </c>
      <c r="CG6" s="482" t="str">
        <f t="shared" si="1"/>
        <v>FY2011</v>
      </c>
      <c r="CH6" s="1530" t="str">
        <f t="shared" si="1"/>
        <v>FY2012</v>
      </c>
      <c r="CI6" s="1530" t="str">
        <f t="shared" si="1"/>
        <v>FY2013</v>
      </c>
      <c r="CJ6" s="1530" t="str">
        <f t="shared" si="1"/>
        <v>FY2014</v>
      </c>
      <c r="CK6" s="1530" t="str">
        <f t="shared" si="1"/>
        <v>FY2015</v>
      </c>
      <c r="CL6" s="1530" t="str">
        <f t="shared" si="1"/>
        <v>FY2016</v>
      </c>
      <c r="CM6" s="1531" t="str">
        <f t="shared" si="1"/>
        <v>FY2017</v>
      </c>
      <c r="CN6" s="1531" t="str">
        <f t="shared" si="1"/>
        <v>FY2018</v>
      </c>
      <c r="CO6" s="1531" t="str">
        <f t="shared" si="1"/>
        <v>FY2019</v>
      </c>
      <c r="CP6" s="1531" t="str">
        <f t="shared" si="1"/>
        <v>FY2020</v>
      </c>
      <c r="CQ6" s="232"/>
      <c r="CR6" s="1304">
        <v>37986</v>
      </c>
      <c r="CS6" s="1305">
        <v>38352</v>
      </c>
      <c r="CT6" s="1305">
        <v>38717</v>
      </c>
      <c r="CU6" s="1305">
        <v>39082</v>
      </c>
      <c r="CV6" s="1305">
        <v>39447</v>
      </c>
      <c r="CW6" s="1305">
        <v>39813</v>
      </c>
      <c r="CX6" s="1305">
        <v>40178</v>
      </c>
      <c r="CY6" s="1305">
        <v>40543</v>
      </c>
      <c r="CZ6" s="1305">
        <v>40908</v>
      </c>
      <c r="DA6" s="1306">
        <v>41274</v>
      </c>
      <c r="DB6" s="1304">
        <v>41639</v>
      </c>
      <c r="DC6" s="1354">
        <v>42004</v>
      </c>
      <c r="DD6" s="1355">
        <v>42369</v>
      </c>
      <c r="DE6" s="1355">
        <v>42735</v>
      </c>
      <c r="DF6" s="1355">
        <v>43100</v>
      </c>
      <c r="DG6" s="1355">
        <v>43465</v>
      </c>
      <c r="DH6" s="1356">
        <v>43830</v>
      </c>
      <c r="DI6" s="22"/>
    </row>
    <row r="7" spans="1:113" ht="14.25" customHeight="1">
      <c r="A7" s="8"/>
      <c r="B7" s="606"/>
      <c r="C7" s="16"/>
      <c r="D7" s="1374" t="s">
        <v>425</v>
      </c>
      <c r="E7" s="1374" t="s">
        <v>426</v>
      </c>
      <c r="F7" s="1374" t="s">
        <v>427</v>
      </c>
      <c r="G7" s="1375" t="s">
        <v>428</v>
      </c>
      <c r="H7" s="1374" t="s">
        <v>429</v>
      </c>
      <c r="I7" s="1374" t="s">
        <v>430</v>
      </c>
      <c r="J7" s="1374" t="s">
        <v>431</v>
      </c>
      <c r="K7" s="1375" t="s">
        <v>432</v>
      </c>
      <c r="L7" s="1374" t="s">
        <v>433</v>
      </c>
      <c r="M7" s="1374" t="s">
        <v>434</v>
      </c>
      <c r="N7" s="1374" t="s">
        <v>435</v>
      </c>
      <c r="O7" s="1375" t="s">
        <v>436</v>
      </c>
      <c r="P7" s="1374" t="s">
        <v>253</v>
      </c>
      <c r="Q7" s="1374" t="s">
        <v>254</v>
      </c>
      <c r="R7" s="1374" t="s">
        <v>255</v>
      </c>
      <c r="S7" s="1375" t="s">
        <v>256</v>
      </c>
      <c r="T7" s="1374" t="s">
        <v>257</v>
      </c>
      <c r="U7" s="1374" t="s">
        <v>258</v>
      </c>
      <c r="V7" s="1374" t="s">
        <v>259</v>
      </c>
      <c r="W7" s="1375" t="s">
        <v>260</v>
      </c>
      <c r="X7" s="1374" t="s">
        <v>261</v>
      </c>
      <c r="Y7" s="1374" t="s">
        <v>262</v>
      </c>
      <c r="Z7" s="1374" t="s">
        <v>263</v>
      </c>
      <c r="AA7" s="1375" t="s">
        <v>264</v>
      </c>
      <c r="AB7" s="1374" t="s">
        <v>265</v>
      </c>
      <c r="AC7" s="1374" t="s">
        <v>266</v>
      </c>
      <c r="AD7" s="1374" t="s">
        <v>267</v>
      </c>
      <c r="AE7" s="1375" t="s">
        <v>268</v>
      </c>
      <c r="AF7" s="1374" t="s">
        <v>269</v>
      </c>
      <c r="AG7" s="1374" t="s">
        <v>270</v>
      </c>
      <c r="AH7" s="1374" t="s">
        <v>271</v>
      </c>
      <c r="AI7" s="1375" t="s">
        <v>272</v>
      </c>
      <c r="AJ7" s="1374" t="s">
        <v>273</v>
      </c>
      <c r="AK7" s="1374" t="s">
        <v>274</v>
      </c>
      <c r="AL7" s="1374" t="s">
        <v>275</v>
      </c>
      <c r="AM7" s="1374" t="s">
        <v>276</v>
      </c>
      <c r="AN7" s="1374" t="s">
        <v>277</v>
      </c>
      <c r="AO7" s="1374" t="s">
        <v>278</v>
      </c>
      <c r="AP7" s="1374" t="s">
        <v>279</v>
      </c>
      <c r="AQ7" s="1374" t="s">
        <v>290</v>
      </c>
      <c r="AR7" s="1373" t="s">
        <v>334</v>
      </c>
      <c r="AS7" s="1374" t="s">
        <v>342</v>
      </c>
      <c r="AT7" s="1374" t="s">
        <v>367</v>
      </c>
      <c r="AU7" s="1375" t="s">
        <v>452</v>
      </c>
      <c r="AV7" s="1373" t="s">
        <v>467</v>
      </c>
      <c r="AW7" s="1374" t="s">
        <v>471</v>
      </c>
      <c r="AX7" s="1374" t="s">
        <v>493</v>
      </c>
      <c r="AY7" s="1375" t="s">
        <v>498</v>
      </c>
      <c r="AZ7" s="1373" t="s">
        <v>501</v>
      </c>
      <c r="BA7" s="1374" t="s">
        <v>504</v>
      </c>
      <c r="BB7" s="1374" t="s">
        <v>507</v>
      </c>
      <c r="BC7" s="1374" t="s">
        <v>510</v>
      </c>
      <c r="BD7" s="1373" t="s">
        <v>553</v>
      </c>
      <c r="BE7" s="1374" t="s">
        <v>552</v>
      </c>
      <c r="BF7" s="1374" t="s">
        <v>551</v>
      </c>
      <c r="BG7" s="1375" t="s">
        <v>544</v>
      </c>
      <c r="BH7" s="1374" t="s">
        <v>546</v>
      </c>
      <c r="BI7" s="1374" t="s">
        <v>554</v>
      </c>
      <c r="BJ7" s="1374" t="s">
        <v>556</v>
      </c>
      <c r="BK7" s="1374" t="s">
        <v>559</v>
      </c>
      <c r="BL7" s="1438" t="s">
        <v>560</v>
      </c>
      <c r="BM7" s="1439" t="s">
        <v>573</v>
      </c>
      <c r="BN7" s="1439" t="s">
        <v>575</v>
      </c>
      <c r="BO7" s="1440" t="s">
        <v>517</v>
      </c>
      <c r="BP7" s="1373" t="s">
        <v>531</v>
      </c>
      <c r="BQ7" s="1374" t="s">
        <v>532</v>
      </c>
      <c r="BR7" s="1374" t="s">
        <v>533</v>
      </c>
      <c r="BS7" s="1375" t="s">
        <v>534</v>
      </c>
      <c r="BT7" s="1491" t="s">
        <v>566</v>
      </c>
      <c r="BU7" s="1492" t="s">
        <v>567</v>
      </c>
      <c r="BV7" s="1492" t="s">
        <v>568</v>
      </c>
      <c r="BW7" s="1493" t="s">
        <v>569</v>
      </c>
      <c r="BX7" s="20"/>
      <c r="BY7" s="17" t="s">
        <v>451</v>
      </c>
      <c r="BZ7" s="18" t="s">
        <v>450</v>
      </c>
      <c r="CA7" s="18" t="s">
        <v>449</v>
      </c>
      <c r="CB7" s="18" t="s">
        <v>280</v>
      </c>
      <c r="CC7" s="18" t="s">
        <v>281</v>
      </c>
      <c r="CD7" s="18" t="s">
        <v>282</v>
      </c>
      <c r="CE7" s="18" t="s">
        <v>283</v>
      </c>
      <c r="CF7" s="18" t="s">
        <v>284</v>
      </c>
      <c r="CG7" s="18" t="s">
        <v>285</v>
      </c>
      <c r="CH7" s="1353" t="s">
        <v>292</v>
      </c>
      <c r="CI7" s="1353" t="s">
        <v>472</v>
      </c>
      <c r="CJ7" s="1353" t="s">
        <v>499</v>
      </c>
      <c r="CK7" s="1353" t="s">
        <v>515</v>
      </c>
      <c r="CL7" s="1353" t="s">
        <v>543</v>
      </c>
      <c r="CM7" s="1353" t="s">
        <v>570</v>
      </c>
      <c r="CN7" s="1353" t="s">
        <v>286</v>
      </c>
      <c r="CO7" s="1353" t="s">
        <v>287</v>
      </c>
      <c r="CP7" s="1345" t="s">
        <v>288</v>
      </c>
      <c r="CQ7" s="20"/>
      <c r="DC7" s="1307"/>
      <c r="DD7" s="1174"/>
      <c r="DE7" s="1174"/>
      <c r="DF7" s="1174"/>
      <c r="DG7" s="1174"/>
      <c r="DH7" s="1300"/>
      <c r="DI7" s="22"/>
    </row>
    <row r="8" spans="1:113" ht="14.25" customHeight="1">
      <c r="A8" s="8"/>
      <c r="B8" s="673" t="s">
        <v>44</v>
      </c>
      <c r="C8" s="74"/>
      <c r="D8" s="944">
        <v>157.54400000000001</v>
      </c>
      <c r="E8" s="944">
        <v>166.77799999999999</v>
      </c>
      <c r="F8" s="944">
        <v>167.47399999999999</v>
      </c>
      <c r="G8" s="1294">
        <f>651.462-F8-E8-D8</f>
        <v>159.66600000000003</v>
      </c>
      <c r="H8" s="944">
        <v>161.28299999999999</v>
      </c>
      <c r="I8" s="944">
        <v>168.48599999999999</v>
      </c>
      <c r="J8" s="944">
        <v>177.96700000000001</v>
      </c>
      <c r="K8" s="1294">
        <f>699.26-J8-I8-H8</f>
        <v>191.52400000000003</v>
      </c>
      <c r="L8" s="944">
        <v>212.77500000000001</v>
      </c>
      <c r="M8" s="944">
        <v>220.69399999999999</v>
      </c>
      <c r="N8" s="944">
        <v>205.38399999999999</v>
      </c>
      <c r="O8" s="1294">
        <f>846.936-N8-M8-L8</f>
        <v>208.08300000000006</v>
      </c>
      <c r="P8" s="944">
        <v>218.52699999999999</v>
      </c>
      <c r="Q8" s="944">
        <v>227.298</v>
      </c>
      <c r="R8" s="944">
        <v>234.89599999999999</v>
      </c>
      <c r="S8" s="946">
        <v>247.172</v>
      </c>
      <c r="T8" s="944">
        <v>262.55700000000002</v>
      </c>
      <c r="U8" s="944">
        <v>267.93400000000003</v>
      </c>
      <c r="V8" s="944">
        <v>251.00399999999999</v>
      </c>
      <c r="W8" s="946">
        <v>258.17599999999999</v>
      </c>
      <c r="X8" s="944">
        <v>264.072</v>
      </c>
      <c r="Y8" s="944">
        <v>258.64699999999999</v>
      </c>
      <c r="Z8" s="944">
        <v>252.6</v>
      </c>
      <c r="AA8" s="946">
        <v>260.41800000000001</v>
      </c>
      <c r="AB8" s="944">
        <v>268.17200000000003</v>
      </c>
      <c r="AC8" s="944">
        <v>269.70600000000002</v>
      </c>
      <c r="AD8" s="944">
        <v>192.166</v>
      </c>
      <c r="AE8" s="946">
        <v>173.25299999999999</v>
      </c>
      <c r="AF8" s="944">
        <v>192.94900000000001</v>
      </c>
      <c r="AG8" s="944">
        <v>226.661</v>
      </c>
      <c r="AH8" s="944">
        <v>250.09899999999999</v>
      </c>
      <c r="AI8" s="1295">
        <f>947.729-AH8-AG8-AF8</f>
        <v>278.0200000000001</v>
      </c>
      <c r="AJ8" s="945">
        <v>357.125</v>
      </c>
      <c r="AK8" s="944">
        <v>382.27100000000002</v>
      </c>
      <c r="AL8" s="944">
        <v>367.82400000000001</v>
      </c>
      <c r="AM8" s="946">
        <f>1487.205-AL8-AK8-AJ8</f>
        <v>379.9849999999999</v>
      </c>
      <c r="AN8" s="945">
        <v>374.50700000000001</v>
      </c>
      <c r="AO8" s="944">
        <v>340.60199999999998</v>
      </c>
      <c r="AP8" s="944">
        <v>329.15600000000001</v>
      </c>
      <c r="AQ8" s="946">
        <f>1383.176-AP8-AO8-AN8</f>
        <v>338.911</v>
      </c>
      <c r="AR8" s="944">
        <v>352.13400000000001</v>
      </c>
      <c r="AS8" s="944">
        <v>383.298</v>
      </c>
      <c r="AT8" s="944">
        <v>416.04700000000003</v>
      </c>
      <c r="AU8" s="946">
        <f>1581.623-AR8-AS8-AT8</f>
        <v>430.14400000000001</v>
      </c>
      <c r="AV8" s="944">
        <v>462.79199999999997</v>
      </c>
      <c r="AW8" s="944">
        <v>492.66899999999998</v>
      </c>
      <c r="AX8" s="944">
        <v>482.37200000000001</v>
      </c>
      <c r="AY8" s="946">
        <f>1931.217-AV8-AW8-AX8</f>
        <v>493.38400000000019</v>
      </c>
      <c r="AZ8" s="945">
        <v>528.87599999999998</v>
      </c>
      <c r="BA8" s="944">
        <v>546.24300000000005</v>
      </c>
      <c r="BB8" s="944">
        <v>528.71</v>
      </c>
      <c r="BC8" s="944">
        <v>543.20699999999999</v>
      </c>
      <c r="BD8" s="945">
        <v>533.952</v>
      </c>
      <c r="BE8" s="944">
        <v>541.39099999999996</v>
      </c>
      <c r="BF8" s="944">
        <v>540.34400000000005</v>
      </c>
      <c r="BG8" s="946">
        <v>557.6</v>
      </c>
      <c r="BH8" s="944">
        <v>799.41099999999994</v>
      </c>
      <c r="BI8" s="944">
        <v>871.36400000000003</v>
      </c>
      <c r="BJ8" s="944">
        <v>834.36599999999999</v>
      </c>
      <c r="BK8" s="944">
        <v>902.66600000000005</v>
      </c>
      <c r="BL8" s="945">
        <v>972.14099999999996</v>
      </c>
      <c r="BM8" s="944">
        <v>1012.139</v>
      </c>
      <c r="BN8" s="944">
        <v>994.20500000000004</v>
      </c>
      <c r="BO8" s="1297">
        <f>'BU Segment'!BO66</f>
        <v>985.53216599999996</v>
      </c>
      <c r="BP8" s="1298">
        <f>'BU Segment'!BP66</f>
        <v>1029.1018515000001</v>
      </c>
      <c r="BQ8" s="1296">
        <f>'BU Segment'!BQ66</f>
        <v>1061.3265526545001</v>
      </c>
      <c r="BR8" s="1296">
        <f>'BU Segment'!BR66</f>
        <v>1039.7374200049585</v>
      </c>
      <c r="BS8" s="1297">
        <f>'BU Segment'!BS66</f>
        <v>1030.3623180237353</v>
      </c>
      <c r="BT8" s="1298">
        <f>'BU Segment'!BT66</f>
        <v>1071.4096212196996</v>
      </c>
      <c r="BU8" s="1296">
        <f>'BU Segment'!BU66</f>
        <v>1098.9462959489163</v>
      </c>
      <c r="BV8" s="1296">
        <f>'BU Segment'!BV66</f>
        <v>1083.0117619537671</v>
      </c>
      <c r="BW8" s="1297">
        <f>'BU Segment'!BW66</f>
        <v>1073.2236018299827</v>
      </c>
      <c r="BX8" s="20"/>
      <c r="BY8" s="432">
        <f>SUM(D8:G8)</f>
        <v>651.46199999999999</v>
      </c>
      <c r="BZ8" s="25">
        <f>SUM(H8:K8)</f>
        <v>699.26</v>
      </c>
      <c r="CA8" s="25">
        <f>SUM(L8:O8)</f>
        <v>846.93600000000004</v>
      </c>
      <c r="CB8" s="25">
        <f>SUM(P8:S8)</f>
        <v>927.89300000000003</v>
      </c>
      <c r="CC8" s="25">
        <f>SUM(T8:W8)</f>
        <v>1039.671</v>
      </c>
      <c r="CD8" s="25">
        <f>SUM(X8:AA8)</f>
        <v>1035.7370000000001</v>
      </c>
      <c r="CE8" s="25">
        <f>SUM(AB8:AE8)</f>
        <v>903.29700000000003</v>
      </c>
      <c r="CF8" s="25">
        <f>SUM(AF8:AI8)</f>
        <v>947.72900000000016</v>
      </c>
      <c r="CG8" s="25">
        <f>SUM(AJ8:AM8)</f>
        <v>1487.2049999999999</v>
      </c>
      <c r="CH8" s="25">
        <f>SUM(AN8:AQ8)</f>
        <v>1383.1759999999999</v>
      </c>
      <c r="CI8" s="25">
        <f>SUM(AR8:AU8)</f>
        <v>1581.623</v>
      </c>
      <c r="CJ8" s="25">
        <f>SUM(AV8:AY8)</f>
        <v>1931.2170000000003</v>
      </c>
      <c r="CK8" s="25">
        <f>SUM(AZ8:BC8)</f>
        <v>2147.0360000000001</v>
      </c>
      <c r="CL8" s="25">
        <f>SUM(BD8:BG8)</f>
        <v>2173.2869999999998</v>
      </c>
      <c r="CM8" s="25">
        <f>SUM(BH8:BK8)</f>
        <v>3407.8070000000002</v>
      </c>
      <c r="CN8" s="25">
        <f>SUM(BL8:BO8)</f>
        <v>3964.0171660000001</v>
      </c>
      <c r="CO8" s="25">
        <f>SUM(BP8:BS8)</f>
        <v>4160.5281421831942</v>
      </c>
      <c r="CP8" s="527">
        <f>SUM(BT8:BW8)</f>
        <v>4326.5912809523652</v>
      </c>
      <c r="CQ8" s="20"/>
      <c r="CR8" s="1414">
        <f>SUM(G8:J8)</f>
        <v>667.40200000000004</v>
      </c>
      <c r="CS8" s="885">
        <f>SUM(K8:N8)</f>
        <v>830.37700000000007</v>
      </c>
      <c r="CT8" s="885">
        <f>SUM(O8:R8)</f>
        <v>888.80399999999997</v>
      </c>
      <c r="CU8" s="885">
        <f>SUM(S8:V8)</f>
        <v>1028.6669999999999</v>
      </c>
      <c r="CV8" s="885">
        <f>SUM(W8:Z8)</f>
        <v>1033.4949999999999</v>
      </c>
      <c r="CW8" s="885">
        <f>SUM(AA8:AD8)</f>
        <v>990.46199999999999</v>
      </c>
      <c r="CX8" s="885">
        <f>SUM(AE8:AH8)</f>
        <v>842.96199999999999</v>
      </c>
      <c r="CY8" s="885">
        <f>SUM(AI8:AL8)</f>
        <v>1385.2400000000002</v>
      </c>
      <c r="CZ8" s="885">
        <f>SUM(AM8:AP8)</f>
        <v>1424.25</v>
      </c>
      <c r="DA8" s="1415">
        <f>SUM(AQ8:AT8)</f>
        <v>1490.39</v>
      </c>
      <c r="DB8" s="25">
        <f>SUM(AU8:AX8)</f>
        <v>1867.9770000000001</v>
      </c>
      <c r="DC8" s="26">
        <f>SUM(AY8:BB8)</f>
        <v>2097.2130000000002</v>
      </c>
      <c r="DD8" s="25">
        <f>SUM(BC8:BF8)</f>
        <v>2158.8940000000002</v>
      </c>
      <c r="DE8" s="25">
        <f>SUM(BG8:BJ8)</f>
        <v>3062.741</v>
      </c>
      <c r="DF8" s="25">
        <f>SUM(BK8:BN8)</f>
        <v>3881.1509999999998</v>
      </c>
      <c r="DG8" s="25">
        <f>SUM(BO8:BR8)</f>
        <v>4115.6979901594586</v>
      </c>
      <c r="DH8" s="25">
        <f>SUM(BS8:BV8)</f>
        <v>4283.729997146118</v>
      </c>
      <c r="DI8" s="22"/>
    </row>
    <row r="9" spans="1:113" ht="14.25" hidden="1" customHeight="1" outlineLevel="1">
      <c r="A9" s="274"/>
      <c r="B9" s="616" t="s">
        <v>326</v>
      </c>
      <c r="C9" s="437"/>
      <c r="D9" s="767"/>
      <c r="E9" s="767"/>
      <c r="F9" s="767"/>
      <c r="G9" s="582"/>
      <c r="H9" s="767"/>
      <c r="I9" s="767"/>
      <c r="J9" s="767"/>
      <c r="K9" s="582"/>
      <c r="L9" s="767"/>
      <c r="M9" s="767"/>
      <c r="N9" s="767"/>
      <c r="O9" s="582"/>
      <c r="P9" s="767"/>
      <c r="Q9" s="767"/>
      <c r="R9" s="767"/>
      <c r="S9" s="582"/>
      <c r="T9" s="767"/>
      <c r="U9" s="767"/>
      <c r="V9" s="767"/>
      <c r="W9" s="582"/>
      <c r="X9" s="767"/>
      <c r="Y9" s="767"/>
      <c r="Z9" s="767"/>
      <c r="AA9" s="582"/>
      <c r="AB9" s="767"/>
      <c r="AC9" s="767"/>
      <c r="AD9" s="767"/>
      <c r="AE9" s="582"/>
      <c r="AF9" s="767"/>
      <c r="AG9" s="767"/>
      <c r="AH9" s="767"/>
      <c r="AI9" s="582"/>
      <c r="AJ9" s="768"/>
      <c r="AK9" s="767"/>
      <c r="AL9" s="767"/>
      <c r="AM9" s="582"/>
      <c r="AN9" s="768"/>
      <c r="AO9" s="767"/>
      <c r="AP9" s="767"/>
      <c r="AQ9" s="582"/>
      <c r="AR9" s="769"/>
      <c r="AS9" s="770"/>
      <c r="AT9" s="767"/>
      <c r="AU9" s="582"/>
      <c r="AV9" s="769"/>
      <c r="AW9" s="770"/>
      <c r="AX9" s="947"/>
      <c r="AY9" s="582"/>
      <c r="AZ9" s="769"/>
      <c r="BA9" s="947"/>
      <c r="BB9" s="1200" t="s">
        <v>598</v>
      </c>
      <c r="BC9" s="767"/>
      <c r="BD9" s="769"/>
      <c r="BE9" s="947"/>
      <c r="BF9" s="1200"/>
      <c r="BG9" s="582"/>
      <c r="BH9" s="770"/>
      <c r="BI9" s="947"/>
      <c r="BJ9" s="1200"/>
      <c r="BK9" s="767"/>
      <c r="BL9" s="769"/>
      <c r="BM9" s="947"/>
      <c r="BN9" s="1200"/>
      <c r="BO9" s="1201">
        <v>1005</v>
      </c>
      <c r="BP9" s="1202">
        <v>1036.7</v>
      </c>
      <c r="BQ9" s="1200">
        <v>1053.8</v>
      </c>
      <c r="BR9" s="1200">
        <v>1035.5</v>
      </c>
      <c r="BS9" s="1201">
        <v>1057.4000000000001</v>
      </c>
      <c r="BT9" s="1202" t="s">
        <v>597</v>
      </c>
      <c r="BU9" s="1200" t="s">
        <v>597</v>
      </c>
      <c r="BV9" s="1200" t="s">
        <v>597</v>
      </c>
      <c r="BW9" s="1201" t="s">
        <v>597</v>
      </c>
      <c r="BX9" s="441"/>
      <c r="BY9" s="335"/>
      <c r="BZ9" s="335"/>
      <c r="CA9" s="335"/>
      <c r="CB9" s="335"/>
      <c r="CC9" s="335"/>
      <c r="CD9" s="335"/>
      <c r="CE9" s="335"/>
      <c r="CF9" s="335"/>
      <c r="CG9" s="335"/>
      <c r="CH9" s="1200" t="s">
        <v>598</v>
      </c>
      <c r="CI9" s="1200" t="s">
        <v>598</v>
      </c>
      <c r="CJ9" s="1200" t="s">
        <v>598</v>
      </c>
      <c r="CK9" s="1200" t="s">
        <v>598</v>
      </c>
      <c r="CL9" s="1200" t="s">
        <v>598</v>
      </c>
      <c r="CM9" s="1200">
        <v>3479.7</v>
      </c>
      <c r="CN9" s="1200">
        <v>3982.7</v>
      </c>
      <c r="CO9" s="1200">
        <v>4184.8</v>
      </c>
      <c r="CP9" s="1201" t="s">
        <v>599</v>
      </c>
      <c r="CQ9" s="441"/>
      <c r="CR9" s="337"/>
      <c r="CS9" s="335"/>
      <c r="CT9" s="335"/>
      <c r="CU9" s="335"/>
      <c r="CV9" s="335"/>
      <c r="CW9" s="335"/>
      <c r="CX9" s="335"/>
      <c r="CY9" s="335"/>
      <c r="CZ9" s="335"/>
      <c r="DA9" s="336"/>
      <c r="DB9" s="335"/>
      <c r="DC9" s="337"/>
      <c r="DD9" s="335"/>
      <c r="DE9" s="335"/>
      <c r="DF9" s="335"/>
      <c r="DG9" s="335"/>
      <c r="DH9" s="335"/>
      <c r="DI9" s="313"/>
    </row>
    <row r="10" spans="1:113" ht="14.25" customHeight="1" collapsed="1">
      <c r="A10" s="11"/>
      <c r="B10" s="609" t="s">
        <v>294</v>
      </c>
      <c r="C10" s="35"/>
      <c r="D10" s="1376"/>
      <c r="E10" s="1376">
        <f t="shared" ref="E10:BO10" si="2">IF(ISERROR(E8/D8-1),"",E8/D8-1)</f>
        <v>5.8612197227441154E-2</v>
      </c>
      <c r="F10" s="1376">
        <f t="shared" si="2"/>
        <v>4.1732122941875449E-3</v>
      </c>
      <c r="G10" s="1377">
        <f t="shared" si="2"/>
        <v>-4.6622162246079735E-2</v>
      </c>
      <c r="H10" s="1376">
        <f t="shared" si="2"/>
        <v>1.0127390928563074E-2</v>
      </c>
      <c r="I10" s="1376">
        <f t="shared" si="2"/>
        <v>4.4660627592492785E-2</v>
      </c>
      <c r="J10" s="1376">
        <f t="shared" si="2"/>
        <v>5.6271737711145242E-2</v>
      </c>
      <c r="K10" s="1377">
        <f t="shared" si="2"/>
        <v>7.6177044058730159E-2</v>
      </c>
      <c r="L10" s="1376">
        <f t="shared" si="2"/>
        <v>0.11095737348843993</v>
      </c>
      <c r="M10" s="1376">
        <f t="shared" si="2"/>
        <v>3.7217718246974396E-2</v>
      </c>
      <c r="N10" s="1376">
        <f t="shared" si="2"/>
        <v>-6.9372071737337726E-2</v>
      </c>
      <c r="O10" s="1377">
        <f t="shared" si="2"/>
        <v>1.314123787636845E-2</v>
      </c>
      <c r="P10" s="1376">
        <f t="shared" si="2"/>
        <v>5.0191510118558158E-2</v>
      </c>
      <c r="Q10" s="1376">
        <f t="shared" si="2"/>
        <v>4.0136916719673232E-2</v>
      </c>
      <c r="R10" s="1376">
        <f t="shared" si="2"/>
        <v>3.34274828639054E-2</v>
      </c>
      <c r="S10" s="1377">
        <f t="shared" si="2"/>
        <v>5.2261426333356065E-2</v>
      </c>
      <c r="T10" s="1376">
        <f t="shared" si="2"/>
        <v>6.2244105319372744E-2</v>
      </c>
      <c r="U10" s="1376">
        <f t="shared" si="2"/>
        <v>2.0479362576507176E-2</v>
      </c>
      <c r="V10" s="1376">
        <f t="shared" si="2"/>
        <v>-6.3187202818604682E-2</v>
      </c>
      <c r="W10" s="1377">
        <f t="shared" si="2"/>
        <v>2.8573249828687919E-2</v>
      </c>
      <c r="X10" s="1376">
        <f t="shared" si="2"/>
        <v>2.2837134357957423E-2</v>
      </c>
      <c r="Y10" s="1376">
        <f t="shared" si="2"/>
        <v>-2.0543639613438747E-2</v>
      </c>
      <c r="Z10" s="1376">
        <f t="shared" si="2"/>
        <v>-2.3379354873630853E-2</v>
      </c>
      <c r="AA10" s="1377">
        <f t="shared" si="2"/>
        <v>3.0950118764845547E-2</v>
      </c>
      <c r="AB10" s="1376">
        <f t="shared" si="2"/>
        <v>2.9775207550937433E-2</v>
      </c>
      <c r="AC10" s="1376">
        <f t="shared" si="2"/>
        <v>5.7202094178363527E-3</v>
      </c>
      <c r="AD10" s="1376">
        <f t="shared" si="2"/>
        <v>-0.28749823882301473</v>
      </c>
      <c r="AE10" s="1377">
        <f t="shared" si="2"/>
        <v>-9.8420115941425745E-2</v>
      </c>
      <c r="AF10" s="1376">
        <f t="shared" si="2"/>
        <v>0.11368345714071348</v>
      </c>
      <c r="AG10" s="1376">
        <f t="shared" si="2"/>
        <v>0.17471974459572204</v>
      </c>
      <c r="AH10" s="1376">
        <f t="shared" si="2"/>
        <v>0.10340552631462829</v>
      </c>
      <c r="AI10" s="1377">
        <f t="shared" si="2"/>
        <v>0.11163979064290586</v>
      </c>
      <c r="AJ10" s="1378">
        <f>IF(ISERROR(AJ8/AI8-1),"",AJ8/AI8-1)</f>
        <v>0.28452988993597539</v>
      </c>
      <c r="AK10" s="1376">
        <f>IF(ISERROR(AK8/AJ8-1),"",AK8/AJ8-1)</f>
        <v>7.0412320616030755E-2</v>
      </c>
      <c r="AL10" s="1376">
        <f>IF(ISERROR(AL8/AK8-1),"",AL8/AK8-1)</f>
        <v>-3.7792560774947637E-2</v>
      </c>
      <c r="AM10" s="1377">
        <f>IF(ISERROR(AM8/AL8-1),"",AM8/AL8-1)</f>
        <v>3.3062007916829561E-2</v>
      </c>
      <c r="AN10" s="1378">
        <f t="shared" si="2"/>
        <v>-1.441635854046841E-2</v>
      </c>
      <c r="AO10" s="1376">
        <f t="shared" si="2"/>
        <v>-9.0532353200340809E-2</v>
      </c>
      <c r="AP10" s="1376">
        <f t="shared" si="2"/>
        <v>-3.3605204901908881E-2</v>
      </c>
      <c r="AQ10" s="1377">
        <f t="shared" si="2"/>
        <v>2.9636403407502732E-2</v>
      </c>
      <c r="AR10" s="1378">
        <f t="shared" si="2"/>
        <v>3.9016142881169502E-2</v>
      </c>
      <c r="AS10" s="1376">
        <f t="shared" si="2"/>
        <v>8.8500400415750802E-2</v>
      </c>
      <c r="AT10" s="1376">
        <f>IF(ISERROR(AT8/AS8-1),"",AT8/AS8-1)</f>
        <v>8.5440049256714223E-2</v>
      </c>
      <c r="AU10" s="1377">
        <f t="shared" si="2"/>
        <v>3.3883191081776731E-2</v>
      </c>
      <c r="AV10" s="1378">
        <f t="shared" si="2"/>
        <v>7.5900163666120957E-2</v>
      </c>
      <c r="AW10" s="1376">
        <f t="shared" si="2"/>
        <v>6.4558160037338608E-2</v>
      </c>
      <c r="AX10" s="1376">
        <f>IF(ISERROR(AX8/AW8-1),"",AX8/AW8-1)</f>
        <v>-2.0900442284779386E-2</v>
      </c>
      <c r="AY10" s="1377">
        <f t="shared" si="2"/>
        <v>2.2828854079424588E-2</v>
      </c>
      <c r="AZ10" s="1378">
        <f t="shared" si="2"/>
        <v>7.1935855236488822E-2</v>
      </c>
      <c r="BA10" s="1376">
        <f t="shared" si="2"/>
        <v>3.2837564949061981E-2</v>
      </c>
      <c r="BB10" s="1376">
        <f>IF(ISERROR(BB8/BA8-1),"",BB8/BA8-1)</f>
        <v>-3.2097436488888631E-2</v>
      </c>
      <c r="BC10" s="1376">
        <f t="shared" si="2"/>
        <v>2.7419568383423742E-2</v>
      </c>
      <c r="BD10" s="1378">
        <f t="shared" si="2"/>
        <v>-1.703770385874992E-2</v>
      </c>
      <c r="BE10" s="1376">
        <f t="shared" si="2"/>
        <v>1.3931963921850476E-2</v>
      </c>
      <c r="BF10" s="1376">
        <f t="shared" si="2"/>
        <v>-1.9339072869698493E-3</v>
      </c>
      <c r="BG10" s="1377">
        <f t="shared" si="2"/>
        <v>3.1935211642953432E-2</v>
      </c>
      <c r="BH10" s="1376">
        <f t="shared" si="2"/>
        <v>0.43366391678622662</v>
      </c>
      <c r="BI10" s="1376">
        <f t="shared" si="2"/>
        <v>9.0007518035153389E-2</v>
      </c>
      <c r="BJ10" s="1376">
        <f t="shared" si="2"/>
        <v>-4.2459867518052197E-2</v>
      </c>
      <c r="BK10" s="1441">
        <f t="shared" si="2"/>
        <v>8.1858560871368224E-2</v>
      </c>
      <c r="BL10" s="1442">
        <f t="shared" si="2"/>
        <v>7.6966452707867505E-2</v>
      </c>
      <c r="BM10" s="1441">
        <f t="shared" si="2"/>
        <v>4.1144237307139564E-2</v>
      </c>
      <c r="BN10" s="1494">
        <f t="shared" si="2"/>
        <v>-1.7718910149692846E-2</v>
      </c>
      <c r="BO10" s="1453">
        <f t="shared" si="2"/>
        <v>-8.7233860219975146E-3</v>
      </c>
      <c r="BP10" s="1378">
        <f t="shared" ref="BP10:BW10" si="3">IF(ISERROR(BP8/BO8-1),"",BP8/BO8-1)</f>
        <v>4.4209298288900412E-2</v>
      </c>
      <c r="BQ10" s="1376">
        <f t="shared" si="3"/>
        <v>3.1313422580602657E-2</v>
      </c>
      <c r="BR10" s="1376">
        <f t="shared" si="3"/>
        <v>-2.0341649415577812E-2</v>
      </c>
      <c r="BS10" s="1377">
        <f t="shared" si="3"/>
        <v>-9.0167977037688418E-3</v>
      </c>
      <c r="BT10" s="1495">
        <f t="shared" si="3"/>
        <v>3.9837737151232622E-2</v>
      </c>
      <c r="BU10" s="1494">
        <f t="shared" si="3"/>
        <v>2.5701350990173788E-2</v>
      </c>
      <c r="BV10" s="1494">
        <f t="shared" si="3"/>
        <v>-1.4499829567549583E-2</v>
      </c>
      <c r="BW10" s="1496">
        <f t="shared" si="3"/>
        <v>-9.0379074980001528E-3</v>
      </c>
      <c r="BX10" s="160"/>
      <c r="BY10" s="37"/>
      <c r="BZ10" s="37"/>
      <c r="CA10" s="37"/>
      <c r="CB10" s="37"/>
      <c r="CC10" s="37"/>
      <c r="CD10" s="37"/>
      <c r="CE10" s="37"/>
      <c r="CF10" s="37"/>
      <c r="CG10" s="37"/>
      <c r="CH10" s="1346"/>
      <c r="CI10" s="1346"/>
      <c r="CJ10" s="1346"/>
      <c r="CK10" s="1346"/>
      <c r="CL10" s="1346"/>
      <c r="CM10" s="1346"/>
      <c r="CN10" s="1346"/>
      <c r="CO10" s="1346"/>
      <c r="CP10" s="1358"/>
      <c r="CQ10" s="160"/>
      <c r="CR10" s="1378"/>
      <c r="CS10" s="1376"/>
      <c r="CT10" s="1376"/>
      <c r="CU10" s="1376"/>
      <c r="CV10" s="1376"/>
      <c r="CW10" s="1376"/>
      <c r="CX10" s="1376"/>
      <c r="CY10" s="1376"/>
      <c r="CZ10" s="1376"/>
      <c r="DA10" s="1377"/>
      <c r="DB10" s="1376"/>
      <c r="DC10" s="1378"/>
      <c r="DD10" s="1376"/>
      <c r="DE10" s="1376"/>
      <c r="DF10" s="1376"/>
      <c r="DG10" s="1441"/>
      <c r="DH10" s="1441"/>
      <c r="DI10" s="23"/>
    </row>
    <row r="11" spans="1:113" ht="14.25" customHeight="1">
      <c r="A11" s="11"/>
      <c r="B11" s="609" t="s">
        <v>298</v>
      </c>
      <c r="C11" s="35"/>
      <c r="D11" s="1376"/>
      <c r="E11" s="1376"/>
      <c r="F11" s="1376"/>
      <c r="G11" s="1377"/>
      <c r="H11" s="1376"/>
      <c r="I11" s="1376"/>
      <c r="J11" s="1376"/>
      <c r="K11" s="1377"/>
      <c r="L11" s="1376"/>
      <c r="M11" s="1376"/>
      <c r="N11" s="1376"/>
      <c r="O11" s="1377"/>
      <c r="P11" s="1376"/>
      <c r="Q11" s="1376"/>
      <c r="R11" s="1376"/>
      <c r="S11" s="1377"/>
      <c r="T11" s="1376">
        <f t="shared" ref="T11:BO11" si="4">IF(ISERROR(T8/P8-1),"",T8/P8-1)</f>
        <v>0.20148539997345871</v>
      </c>
      <c r="U11" s="1376">
        <f t="shared" si="4"/>
        <v>0.17877851982859516</v>
      </c>
      <c r="V11" s="1376">
        <f t="shared" si="4"/>
        <v>6.8575028948981709E-2</v>
      </c>
      <c r="W11" s="1377">
        <f t="shared" si="4"/>
        <v>4.4519605780589888E-2</v>
      </c>
      <c r="X11" s="1376">
        <f t="shared" si="4"/>
        <v>5.7701756190084996E-3</v>
      </c>
      <c r="Y11" s="1376">
        <f t="shared" si="4"/>
        <v>-3.4661521120873173E-2</v>
      </c>
      <c r="Z11" s="1376">
        <f t="shared" si="4"/>
        <v>6.3584644069416552E-3</v>
      </c>
      <c r="AA11" s="1377">
        <f t="shared" si="4"/>
        <v>8.6839985126425656E-3</v>
      </c>
      <c r="AB11" s="1376">
        <f t="shared" si="4"/>
        <v>1.5526068647944591E-2</v>
      </c>
      <c r="AC11" s="1376">
        <f t="shared" si="4"/>
        <v>4.2757116842646603E-2</v>
      </c>
      <c r="AD11" s="1376">
        <f t="shared" si="4"/>
        <v>-0.23924782264449718</v>
      </c>
      <c r="AE11" s="1377">
        <f t="shared" si="4"/>
        <v>-0.33471188627514237</v>
      </c>
      <c r="AF11" s="1376">
        <f t="shared" si="4"/>
        <v>-0.280502811628358</v>
      </c>
      <c r="AG11" s="1376">
        <f t="shared" si="4"/>
        <v>-0.15959971227929681</v>
      </c>
      <c r="AH11" s="1376">
        <f t="shared" si="4"/>
        <v>0.30147372584119969</v>
      </c>
      <c r="AI11" s="1377">
        <f t="shared" si="4"/>
        <v>0.60470525762901728</v>
      </c>
      <c r="AJ11" s="1378">
        <f>IF(ISERROR(AJ8/AF8-1),"",AJ8/AF8-1)</f>
        <v>0.85087769306915284</v>
      </c>
      <c r="AK11" s="1376">
        <f>IF(ISERROR(AK8/AG8-1),"",AK8/AG8-1)</f>
        <v>0.68653186917908249</v>
      </c>
      <c r="AL11" s="1376">
        <f>IF(ISERROR(AL8/AH8-1),"",AL8/AH8-1)</f>
        <v>0.47071359741542351</v>
      </c>
      <c r="AM11" s="1377">
        <f>IF(ISERROR(AM8/AI8-1),"",AM8/AI8-1)</f>
        <v>0.36675419034601742</v>
      </c>
      <c r="AN11" s="1378">
        <f t="shared" si="4"/>
        <v>4.8672033601680154E-2</v>
      </c>
      <c r="AO11" s="1376">
        <f t="shared" si="4"/>
        <v>-0.1090038218959849</v>
      </c>
      <c r="AP11" s="1376">
        <f t="shared" si="4"/>
        <v>-0.10512636478315718</v>
      </c>
      <c r="AQ11" s="1377">
        <f t="shared" si="4"/>
        <v>-0.10809374054238963</v>
      </c>
      <c r="AR11" s="1378">
        <f t="shared" si="4"/>
        <v>-5.9739871350869223E-2</v>
      </c>
      <c r="AS11" s="1376">
        <f t="shared" si="4"/>
        <v>0.12535451935103148</v>
      </c>
      <c r="AT11" s="1376">
        <f>IF(ISERROR(AT8/AP8-1),"",AT8/AP8-1)</f>
        <v>0.2639812125557488</v>
      </c>
      <c r="AU11" s="1377">
        <f t="shared" si="4"/>
        <v>0.26919456730528069</v>
      </c>
      <c r="AV11" s="1378">
        <f t="shared" si="4"/>
        <v>0.31424968903883177</v>
      </c>
      <c r="AW11" s="1376">
        <f t="shared" si="4"/>
        <v>0.28534195325830036</v>
      </c>
      <c r="AX11" s="1376">
        <f>IF(ISERROR(AX8/AT8-1),"",AX8/AT8-1)</f>
        <v>0.15941708508894425</v>
      </c>
      <c r="AY11" s="1377">
        <f t="shared" si="4"/>
        <v>0.14702053265883097</v>
      </c>
      <c r="AZ11" s="1378">
        <f t="shared" si="4"/>
        <v>0.14279417103147862</v>
      </c>
      <c r="BA11" s="1376">
        <f t="shared" si="4"/>
        <v>0.10874238078710063</v>
      </c>
      <c r="BB11" s="1376">
        <f>IF(ISERROR(BB8/AX8-1),"",BB8/AX8-1)</f>
        <v>9.60627897141626E-2</v>
      </c>
      <c r="BC11" s="1376">
        <f t="shared" si="4"/>
        <v>0.10098219642306971</v>
      </c>
      <c r="BD11" s="1378">
        <f t="shared" si="4"/>
        <v>9.5977128854400906E-3</v>
      </c>
      <c r="BE11" s="1376">
        <f t="shared" si="4"/>
        <v>-8.8824936887064165E-3</v>
      </c>
      <c r="BF11" s="1376">
        <f t="shared" si="4"/>
        <v>2.2004501522573827E-2</v>
      </c>
      <c r="BG11" s="1377">
        <f t="shared" si="4"/>
        <v>2.6496344855644338E-2</v>
      </c>
      <c r="BH11" s="1376">
        <f t="shared" si="4"/>
        <v>0.49715892065204348</v>
      </c>
      <c r="BI11" s="1376">
        <f t="shared" si="4"/>
        <v>0.60949110716653965</v>
      </c>
      <c r="BJ11" s="1376">
        <f t="shared" si="4"/>
        <v>0.54413854877633483</v>
      </c>
      <c r="BK11" s="1441">
        <f t="shared" si="4"/>
        <v>0.6188414634146342</v>
      </c>
      <c r="BL11" s="1442">
        <f t="shared" si="4"/>
        <v>0.21607158270276505</v>
      </c>
      <c r="BM11" s="1441">
        <f t="shared" si="4"/>
        <v>0.16155705307999879</v>
      </c>
      <c r="BN11" s="1494">
        <f t="shared" si="4"/>
        <v>0.19156940719060955</v>
      </c>
      <c r="BO11" s="1453">
        <f t="shared" si="4"/>
        <v>9.1801581094225204E-2</v>
      </c>
      <c r="BP11" s="1378">
        <f t="shared" ref="BP11:BW11" si="5">IF(ISERROR(BP8/BL8-1),"",BP8/BL8-1)</f>
        <v>5.8593199443290667E-2</v>
      </c>
      <c r="BQ11" s="1376">
        <f t="shared" si="5"/>
        <v>4.8597626071616773E-2</v>
      </c>
      <c r="BR11" s="1376">
        <f t="shared" si="5"/>
        <v>4.5797818362368403E-2</v>
      </c>
      <c r="BS11" s="1377">
        <f t="shared" si="5"/>
        <v>4.5488268744883653E-2</v>
      </c>
      <c r="BT11" s="1495">
        <f t="shared" si="5"/>
        <v>4.1111353223233005E-2</v>
      </c>
      <c r="BU11" s="1494">
        <f t="shared" si="5"/>
        <v>3.5445964486919612E-2</v>
      </c>
      <c r="BV11" s="1494">
        <f t="shared" si="5"/>
        <v>4.1620452545222619E-2</v>
      </c>
      <c r="BW11" s="1496">
        <f t="shared" si="5"/>
        <v>4.1598264082926217E-2</v>
      </c>
      <c r="BX11" s="160"/>
      <c r="BY11" s="36"/>
      <c r="BZ11" s="36"/>
      <c r="CA11" s="36"/>
      <c r="CB11" s="36"/>
      <c r="CC11" s="36">
        <f>IF(ISERROR(CC8/CB8-1),"",CC8/CB8-1)</f>
        <v>0.12046432077836555</v>
      </c>
      <c r="CD11" s="36">
        <f t="shared" ref="CD11:CP11" si="6">IF(ISERROR(CD8/CC8-1),"",CD8/CC8-1)</f>
        <v>-3.7838893265272899E-3</v>
      </c>
      <c r="CE11" s="36">
        <f t="shared" si="6"/>
        <v>-0.12787029912033654</v>
      </c>
      <c r="CF11" s="36">
        <f t="shared" si="6"/>
        <v>4.9188694305416947E-2</v>
      </c>
      <c r="CG11" s="36">
        <f t="shared" si="6"/>
        <v>0.56923023353722391</v>
      </c>
      <c r="CH11" s="1494">
        <f>IF(ISERROR(CH8/CG8-1),"",CH8/CG8-1)</f>
        <v>-6.9949334489865178E-2</v>
      </c>
      <c r="CI11" s="1494">
        <f t="shared" si="6"/>
        <v>0.14347198042765363</v>
      </c>
      <c r="CJ11" s="1494">
        <f t="shared" si="6"/>
        <v>0.2210349748328142</v>
      </c>
      <c r="CK11" s="1376">
        <f t="shared" si="6"/>
        <v>0.11175284807455599</v>
      </c>
      <c r="CL11" s="1376">
        <f t="shared" si="6"/>
        <v>1.2226623121363467E-2</v>
      </c>
      <c r="CM11" s="1376">
        <f t="shared" si="6"/>
        <v>0.5680427849612133</v>
      </c>
      <c r="CN11" s="1376">
        <f t="shared" si="6"/>
        <v>0.16321645151852793</v>
      </c>
      <c r="CO11" s="1376">
        <f t="shared" si="6"/>
        <v>4.9573694551249492E-2</v>
      </c>
      <c r="CP11" s="1377">
        <f t="shared" si="6"/>
        <v>3.9913956376228521E-2</v>
      </c>
      <c r="CQ11" s="160"/>
      <c r="CR11" s="1378"/>
      <c r="CS11" s="1376">
        <f>IF(ISERROR(CS8/CR8-1),"",CS8/CR8-1)</f>
        <v>0.24419315495008997</v>
      </c>
      <c r="CT11" s="1376">
        <f>IF(ISERROR(CT8/CS8-1),"",CT8/CS8-1)</f>
        <v>7.036201628898664E-2</v>
      </c>
      <c r="CU11" s="1376">
        <f>IF(ISERROR(CU8/CT8-1),"",CU8/CT8-1)</f>
        <v>0.15736090296623328</v>
      </c>
      <c r="CV11" s="1376">
        <f t="shared" ref="CV11:DH11" si="7">IF(ISERROR(CV8/CU8-1),"",CV8/CU8-1)</f>
        <v>4.6934527889006539E-3</v>
      </c>
      <c r="CW11" s="1376">
        <f t="shared" si="7"/>
        <v>-4.16383243266778E-2</v>
      </c>
      <c r="CX11" s="1376">
        <f t="shared" si="7"/>
        <v>-0.14892040280192476</v>
      </c>
      <c r="CY11" s="1376">
        <f t="shared" si="7"/>
        <v>0.64330064700425438</v>
      </c>
      <c r="CZ11" s="1376">
        <f t="shared" si="7"/>
        <v>2.8161185065403549E-2</v>
      </c>
      <c r="DA11" s="1377">
        <f t="shared" si="7"/>
        <v>4.6438476391083006E-2</v>
      </c>
      <c r="DB11" s="1376">
        <f t="shared" si="7"/>
        <v>0.2533477814531766</v>
      </c>
      <c r="DC11" s="1378">
        <f t="shared" si="7"/>
        <v>0.12271885574608254</v>
      </c>
      <c r="DD11" s="1376">
        <f t="shared" si="7"/>
        <v>2.9410937277234206E-2</v>
      </c>
      <c r="DE11" s="1376">
        <f t="shared" si="7"/>
        <v>0.41866205566368686</v>
      </c>
      <c r="DF11" s="1376">
        <f t="shared" si="7"/>
        <v>0.26721489019149836</v>
      </c>
      <c r="DG11" s="1441">
        <f t="shared" si="7"/>
        <v>6.0432327976793099E-2</v>
      </c>
      <c r="DH11" s="1441">
        <f t="shared" si="7"/>
        <v>4.082709843832566E-2</v>
      </c>
      <c r="DI11" s="23"/>
    </row>
    <row r="12" spans="1:113" ht="14.25" customHeight="1">
      <c r="A12" s="11"/>
      <c r="B12" s="609"/>
      <c r="C12" s="35"/>
      <c r="D12" s="1376"/>
      <c r="E12" s="1376"/>
      <c r="F12" s="1376"/>
      <c r="G12" s="1377"/>
      <c r="H12" s="1376"/>
      <c r="I12" s="1376"/>
      <c r="J12" s="1376"/>
      <c r="K12" s="1377"/>
      <c r="L12" s="1376"/>
      <c r="M12" s="1376"/>
      <c r="N12" s="1376"/>
      <c r="O12" s="1377"/>
      <c r="P12" s="1376"/>
      <c r="Q12" s="1376"/>
      <c r="R12" s="1376"/>
      <c r="S12" s="1377"/>
      <c r="T12" s="1376"/>
      <c r="U12" s="1376"/>
      <c r="V12" s="1376"/>
      <c r="W12" s="1377"/>
      <c r="X12" s="1376"/>
      <c r="Y12" s="1376"/>
      <c r="Z12" s="1376"/>
      <c r="AA12" s="1377"/>
      <c r="AB12" s="1376"/>
      <c r="AC12" s="1376"/>
      <c r="AD12" s="1376"/>
      <c r="AE12" s="1377"/>
      <c r="AF12" s="1376"/>
      <c r="AG12" s="1376"/>
      <c r="AH12" s="1376"/>
      <c r="AI12" s="1377"/>
      <c r="AJ12" s="1378"/>
      <c r="AK12" s="1376"/>
      <c r="AL12" s="1376"/>
      <c r="AM12" s="1377"/>
      <c r="AN12" s="1378"/>
      <c r="AO12" s="1376"/>
      <c r="AP12" s="1376"/>
      <c r="AQ12" s="1377"/>
      <c r="AR12" s="1378"/>
      <c r="AS12" s="1376"/>
      <c r="AT12" s="1376"/>
      <c r="AU12" s="1377"/>
      <c r="AV12" s="1378"/>
      <c r="AW12" s="1376"/>
      <c r="AX12" s="1376"/>
      <c r="AY12" s="1377"/>
      <c r="AZ12" s="1378"/>
      <c r="BA12" s="1376"/>
      <c r="BB12" s="1376"/>
      <c r="BC12" s="1376"/>
      <c r="BD12" s="1378"/>
      <c r="BE12" s="1376"/>
      <c r="BF12" s="1376"/>
      <c r="BG12" s="1377"/>
      <c r="BH12" s="1376"/>
      <c r="BI12" s="1376"/>
      <c r="BJ12" s="1376"/>
      <c r="BK12" s="1441"/>
      <c r="BL12" s="1442"/>
      <c r="BM12" s="1441"/>
      <c r="BN12" s="1494"/>
      <c r="BO12" s="1453"/>
      <c r="BP12" s="1378"/>
      <c r="BQ12" s="1376"/>
      <c r="BR12" s="1376"/>
      <c r="BS12" s="1377"/>
      <c r="BT12" s="1495"/>
      <c r="BU12" s="1494"/>
      <c r="BV12" s="1494"/>
      <c r="BW12" s="1496"/>
      <c r="BX12" s="160"/>
      <c r="BY12" s="37"/>
      <c r="BZ12" s="37"/>
      <c r="CA12" s="37"/>
      <c r="CB12" s="37"/>
      <c r="CC12" s="37"/>
      <c r="CD12" s="37"/>
      <c r="CE12" s="37"/>
      <c r="CF12" s="37"/>
      <c r="CG12" s="37"/>
      <c r="CH12" s="1346"/>
      <c r="CI12" s="1346"/>
      <c r="CJ12" s="1346"/>
      <c r="CK12" s="1346"/>
      <c r="CL12" s="1346"/>
      <c r="CM12" s="1346"/>
      <c r="CN12" s="1346"/>
      <c r="CO12" s="1346"/>
      <c r="CP12" s="1358"/>
      <c r="CQ12" s="160"/>
      <c r="CR12" s="1378"/>
      <c r="CS12" s="1376"/>
      <c r="CT12" s="1376"/>
      <c r="CU12" s="1376"/>
      <c r="CV12" s="1376"/>
      <c r="CW12" s="1376"/>
      <c r="CX12" s="1376"/>
      <c r="CY12" s="1376"/>
      <c r="CZ12" s="1376"/>
      <c r="DA12" s="1377"/>
      <c r="DB12" s="1376"/>
      <c r="DC12" s="1378"/>
      <c r="DD12" s="1376"/>
      <c r="DE12" s="1376"/>
      <c r="DF12" s="1376"/>
      <c r="DG12" s="1441"/>
      <c r="DH12" s="1441"/>
      <c r="DI12" s="23"/>
    </row>
    <row r="13" spans="1:113" ht="14.25" customHeight="1">
      <c r="A13" s="734"/>
      <c r="B13" s="610" t="s">
        <v>105</v>
      </c>
      <c r="C13" s="549"/>
      <c r="D13" s="557">
        <v>75.177000000000007</v>
      </c>
      <c r="E13" s="557">
        <v>76.477999999999994</v>
      </c>
      <c r="F13" s="557">
        <v>74.58</v>
      </c>
      <c r="G13" s="1096">
        <f>299.227-F13-E13-D13</f>
        <v>72.991999999999976</v>
      </c>
      <c r="H13" s="557">
        <v>105.762</v>
      </c>
      <c r="I13" s="557">
        <v>77.292000000000002</v>
      </c>
      <c r="J13" s="557">
        <v>80.947999999999993</v>
      </c>
      <c r="K13" s="1096">
        <f>349.301-J13-I13-H13</f>
        <v>85.299000000000007</v>
      </c>
      <c r="L13" s="557">
        <v>91.316000000000003</v>
      </c>
      <c r="M13" s="557">
        <v>94.316999999999993</v>
      </c>
      <c r="N13" s="557">
        <v>88.596000000000004</v>
      </c>
      <c r="O13" s="1096">
        <f>362.961-N13-M13-L13</f>
        <v>88.731999999999999</v>
      </c>
      <c r="P13" s="557">
        <v>91.022000000000006</v>
      </c>
      <c r="Q13" s="557">
        <v>92.742000000000004</v>
      </c>
      <c r="R13" s="557">
        <v>94.626000000000005</v>
      </c>
      <c r="S13" s="558">
        <v>98.626000000000005</v>
      </c>
      <c r="T13" s="557">
        <v>104.07299999999999</v>
      </c>
      <c r="U13" s="557">
        <v>105.973</v>
      </c>
      <c r="V13" s="557">
        <v>101.294</v>
      </c>
      <c r="W13" s="558">
        <v>103.575</v>
      </c>
      <c r="X13" s="557">
        <v>105.527</v>
      </c>
      <c r="Y13" s="557">
        <v>103.935</v>
      </c>
      <c r="Z13" s="557">
        <v>99.552999999999997</v>
      </c>
      <c r="AA13" s="558">
        <v>101.78400000000001</v>
      </c>
      <c r="AB13" s="557">
        <v>104.575</v>
      </c>
      <c r="AC13" s="557">
        <v>105.553</v>
      </c>
      <c r="AD13" s="557">
        <v>87.379000000000005</v>
      </c>
      <c r="AE13" s="558">
        <v>89.286000000000001</v>
      </c>
      <c r="AF13" s="557">
        <v>96.513999999999996</v>
      </c>
      <c r="AG13" s="557">
        <v>103.321</v>
      </c>
      <c r="AH13" s="557">
        <v>104.10299999999999</v>
      </c>
      <c r="AI13" s="948">
        <f>413.487-AH13-AG13-AF13</f>
        <v>109.54900000000002</v>
      </c>
      <c r="AJ13" s="943">
        <v>149.68199999999999</v>
      </c>
      <c r="AK13" s="557">
        <v>157.26599999999999</v>
      </c>
      <c r="AL13" s="557">
        <v>151.42699999999999</v>
      </c>
      <c r="AM13" s="558">
        <f>612.769-AL13-AK13-AJ13</f>
        <v>154.39400000000003</v>
      </c>
      <c r="AN13" s="943">
        <v>154.75899999999999</v>
      </c>
      <c r="AO13" s="557">
        <v>143.899</v>
      </c>
      <c r="AP13" s="557">
        <v>143.66800000000001</v>
      </c>
      <c r="AQ13" s="558">
        <f>590.782-AP13-AO13-AN13</f>
        <v>148.45600000000005</v>
      </c>
      <c r="AR13" s="943">
        <v>149.05500000000001</v>
      </c>
      <c r="AS13" s="557">
        <v>189.10300000000001</v>
      </c>
      <c r="AT13" s="557">
        <v>215.619</v>
      </c>
      <c r="AU13" s="558">
        <f>743.164-AR13-AS13-AT13</f>
        <v>189.38699999999992</v>
      </c>
      <c r="AV13" s="943">
        <v>196.21799999999999</v>
      </c>
      <c r="AW13" s="557">
        <v>203.80600000000001</v>
      </c>
      <c r="AX13" s="557">
        <v>199.65199999999999</v>
      </c>
      <c r="AY13" s="558">
        <f>802.474-AV13-AW13-AX13</f>
        <v>202.79800000000006</v>
      </c>
      <c r="AZ13" s="943">
        <v>222.357</v>
      </c>
      <c r="BA13" s="557">
        <v>238.78899999999999</v>
      </c>
      <c r="BB13" s="557">
        <v>226.751</v>
      </c>
      <c r="BC13" s="557">
        <v>229.57499999999999</v>
      </c>
      <c r="BD13" s="943">
        <v>224.935</v>
      </c>
      <c r="BE13" s="557">
        <v>240.441</v>
      </c>
      <c r="BF13" s="557">
        <v>247.626</v>
      </c>
      <c r="BG13" s="558">
        <v>254.86799999999999</v>
      </c>
      <c r="BH13" s="557">
        <v>450.92099999999999</v>
      </c>
      <c r="BI13" s="557">
        <v>460.74299999999999</v>
      </c>
      <c r="BJ13" s="557">
        <v>369.10700000000003</v>
      </c>
      <c r="BK13" s="557">
        <v>369.84</v>
      </c>
      <c r="BL13" s="943">
        <v>387.702</v>
      </c>
      <c r="BM13" s="557">
        <v>398.04500000000002</v>
      </c>
      <c r="BN13" s="557">
        <v>387.14600000000002</v>
      </c>
      <c r="BO13" s="1308">
        <f>+'BU Segment'!BO76</f>
        <v>381.82185860799996</v>
      </c>
      <c r="BP13" s="1309">
        <f>+'BU Segment'!BP76</f>
        <v>395.95251434590011</v>
      </c>
      <c r="BQ13" s="1299">
        <f>+'BU Segment'!BQ76</f>
        <v>406.57908654580569</v>
      </c>
      <c r="BR13" s="1299">
        <f>+'BU Segment'!BR76</f>
        <v>399.84185768348914</v>
      </c>
      <c r="BS13" s="1308">
        <f>+'BU Segment'!BS76</f>
        <v>396.39529078019325</v>
      </c>
      <c r="BT13" s="1309">
        <f>+'BU Segment'!BT76</f>
        <v>410.26071295504528</v>
      </c>
      <c r="BU13" s="1299">
        <f>+'BU Segment'!BU76</f>
        <v>418.96723022417882</v>
      </c>
      <c r="BV13" s="1299">
        <f>+'BU Segment'!BV76</f>
        <v>414.50466088905648</v>
      </c>
      <c r="BW13" s="1308">
        <f>+'BU Segment'!BW76</f>
        <v>409.71257294934435</v>
      </c>
      <c r="BX13" s="735"/>
      <c r="BY13" s="550">
        <f>SUM(D13:G13)</f>
        <v>299.22699999999998</v>
      </c>
      <c r="BZ13" s="550">
        <f>SUM(H13:K13)</f>
        <v>349.30100000000004</v>
      </c>
      <c r="CA13" s="550">
        <f>SUM(L13:O13)</f>
        <v>362.96100000000001</v>
      </c>
      <c r="CB13" s="550">
        <f>SUM(P13:S13)</f>
        <v>377.01599999999996</v>
      </c>
      <c r="CC13" s="550">
        <f>SUM(T13:W13)</f>
        <v>414.91499999999996</v>
      </c>
      <c r="CD13" s="550">
        <f>SUM(X13:AA13)</f>
        <v>410.79899999999998</v>
      </c>
      <c r="CE13" s="550">
        <f>SUM(AB13:AE13)</f>
        <v>386.79300000000001</v>
      </c>
      <c r="CF13" s="550">
        <f>SUM(AF13:AI13)</f>
        <v>413.48700000000002</v>
      </c>
      <c r="CG13" s="550">
        <f>SUM(AJ13:AM13)</f>
        <v>612.76900000000001</v>
      </c>
      <c r="CH13" s="550">
        <f>SUM(AN13:AQ13)</f>
        <v>590.78200000000004</v>
      </c>
      <c r="CI13" s="550">
        <f>SUM(AR13:AU13)</f>
        <v>743.16399999999999</v>
      </c>
      <c r="CJ13" s="550">
        <f>SUM(AV13:AY13)</f>
        <v>802.47399999999993</v>
      </c>
      <c r="CK13" s="550">
        <f>SUM(AZ13:BC13)</f>
        <v>917.47199999999998</v>
      </c>
      <c r="CL13" s="550">
        <f>SUM(BD13:BG13)</f>
        <v>967.86999999999989</v>
      </c>
      <c r="CM13" s="550">
        <f>SUM(BH13:BK13)</f>
        <v>1650.6109999999999</v>
      </c>
      <c r="CN13" s="550">
        <f>SUM(BL13:BO13)</f>
        <v>1554.714858608</v>
      </c>
      <c r="CO13" s="550">
        <f>SUM(BP13:BS13)</f>
        <v>1598.7687493553881</v>
      </c>
      <c r="CP13" s="551">
        <f>SUM(BT13:BW13)</f>
        <v>1653.4451770176249</v>
      </c>
      <c r="CQ13" s="735"/>
      <c r="CR13" s="555">
        <f>SUM(G13:J13)</f>
        <v>336.99399999999991</v>
      </c>
      <c r="CS13" s="550">
        <f>SUM(K13:N13)</f>
        <v>359.52800000000002</v>
      </c>
      <c r="CT13" s="550">
        <f>SUM(O13:R13)</f>
        <v>367.12200000000007</v>
      </c>
      <c r="CU13" s="550">
        <f>SUM(S13:V13)</f>
        <v>409.96600000000001</v>
      </c>
      <c r="CV13" s="550">
        <f>SUM(W13:Z13)</f>
        <v>412.59000000000003</v>
      </c>
      <c r="CW13" s="550">
        <f>SUM(AA13:AD13)</f>
        <v>399.29100000000005</v>
      </c>
      <c r="CX13" s="550">
        <f>SUM(AE13:AH13)</f>
        <v>393.22399999999999</v>
      </c>
      <c r="CY13" s="550">
        <f>SUM(AI13:AL13)</f>
        <v>567.92399999999998</v>
      </c>
      <c r="CZ13" s="550">
        <f>SUM(AM13:AP13)</f>
        <v>596.72</v>
      </c>
      <c r="DA13" s="551">
        <f>SUM(AQ13:AT13)</f>
        <v>702.23300000000006</v>
      </c>
      <c r="DB13" s="550">
        <f>SUM(AU13:AX13)</f>
        <v>789.06299999999987</v>
      </c>
      <c r="DC13" s="555">
        <f>SUM(AY13:BB13)</f>
        <v>890.69500000000005</v>
      </c>
      <c r="DD13" s="550">
        <f>SUM(BC13:BF13)</f>
        <v>942.577</v>
      </c>
      <c r="DE13" s="550">
        <f>SUM(BG13:BJ13)</f>
        <v>1535.6389999999999</v>
      </c>
      <c r="DF13" s="550">
        <f>SUM(BK13:BN13)</f>
        <v>1542.7329999999999</v>
      </c>
      <c r="DG13" s="550">
        <f>SUM(BO13:BR13)</f>
        <v>1584.1953171831951</v>
      </c>
      <c r="DH13" s="550">
        <f>SUM(BS13:BV13)</f>
        <v>1640.1278948484737</v>
      </c>
      <c r="DI13" s="548"/>
    </row>
    <row r="14" spans="1:113" ht="8.25" hidden="1" customHeight="1" outlineLevel="1">
      <c r="A14" s="24"/>
      <c r="B14" s="1307"/>
      <c r="C14" s="35"/>
      <c r="D14" s="1376"/>
      <c r="E14" s="1376"/>
      <c r="F14" s="1376"/>
      <c r="G14" s="1377"/>
      <c r="H14" s="1376"/>
      <c r="I14" s="1376"/>
      <c r="J14" s="1376"/>
      <c r="K14" s="1377"/>
      <c r="L14" s="1376"/>
      <c r="M14" s="1376"/>
      <c r="N14" s="1376"/>
      <c r="O14" s="1377"/>
      <c r="P14" s="1376"/>
      <c r="Q14" s="1376"/>
      <c r="R14" s="1376"/>
      <c r="S14" s="1377"/>
      <c r="T14" s="1376"/>
      <c r="U14" s="1376"/>
      <c r="V14" s="1376"/>
      <c r="W14" s="1377"/>
      <c r="X14" s="1376"/>
      <c r="Y14" s="1376"/>
      <c r="Z14" s="1376"/>
      <c r="AA14" s="1377"/>
      <c r="AB14" s="1376"/>
      <c r="AC14" s="1376"/>
      <c r="AD14" s="1376"/>
      <c r="AE14" s="1377"/>
      <c r="AF14" s="1376"/>
      <c r="AG14" s="1376"/>
      <c r="AH14" s="1376"/>
      <c r="AI14" s="1377"/>
      <c r="AJ14" s="1378"/>
      <c r="AK14" s="1376"/>
      <c r="AL14" s="1376"/>
      <c r="AM14" s="1377"/>
      <c r="AN14" s="1378"/>
      <c r="AO14" s="1376"/>
      <c r="AP14" s="1376"/>
      <c r="AQ14" s="1377"/>
      <c r="AR14" s="1378"/>
      <c r="AS14" s="1376"/>
      <c r="AT14" s="1376"/>
      <c r="AU14" s="1377"/>
      <c r="AV14" s="1378"/>
      <c r="AW14" s="1376"/>
      <c r="AX14" s="1376"/>
      <c r="AY14" s="1377"/>
      <c r="AZ14" s="1378"/>
      <c r="BA14" s="1376"/>
      <c r="BB14" s="1376"/>
      <c r="BC14" s="1376"/>
      <c r="BD14" s="1378"/>
      <c r="BE14" s="1376"/>
      <c r="BF14" s="1376"/>
      <c r="BG14" s="1377"/>
      <c r="BH14" s="1376"/>
      <c r="BI14" s="1376"/>
      <c r="BJ14" s="1376"/>
      <c r="BK14" s="1441"/>
      <c r="BL14" s="1442"/>
      <c r="BM14" s="1441"/>
      <c r="BN14" s="1494"/>
      <c r="BO14" s="1453"/>
      <c r="BP14" s="1378"/>
      <c r="BQ14" s="1376"/>
      <c r="BR14" s="1376"/>
      <c r="BS14" s="1377"/>
      <c r="BT14" s="1495"/>
      <c r="BU14" s="1494"/>
      <c r="BV14" s="1494"/>
      <c r="BW14" s="1496"/>
      <c r="BX14" s="160"/>
      <c r="BY14" s="36"/>
      <c r="BZ14" s="36"/>
      <c r="CA14" s="36"/>
      <c r="CB14" s="36"/>
      <c r="CC14" s="36"/>
      <c r="CD14" s="36"/>
      <c r="CE14" s="36"/>
      <c r="CF14" s="36"/>
      <c r="CG14" s="36"/>
      <c r="CH14" s="1494"/>
      <c r="CI14" s="1494"/>
      <c r="CJ14" s="1494"/>
      <c r="CK14" s="1376"/>
      <c r="CL14" s="1376"/>
      <c r="CM14" s="1376"/>
      <c r="CN14" s="1376"/>
      <c r="CO14" s="1376"/>
      <c r="CP14" s="1377"/>
      <c r="CQ14" s="160"/>
      <c r="CR14" s="1378"/>
      <c r="CS14" s="1376"/>
      <c r="CT14" s="1376"/>
      <c r="CU14" s="1376"/>
      <c r="CV14" s="1376"/>
      <c r="CW14" s="1376"/>
      <c r="CX14" s="1376"/>
      <c r="CY14" s="1376"/>
      <c r="CZ14" s="1376"/>
      <c r="DA14" s="1377"/>
      <c r="DB14" s="1376"/>
      <c r="DC14" s="1378"/>
      <c r="DD14" s="1376"/>
      <c r="DE14" s="1376"/>
      <c r="DF14" s="1376"/>
      <c r="DG14" s="1441"/>
      <c r="DH14" s="1441"/>
      <c r="DI14" s="23"/>
    </row>
    <row r="15" spans="1:113" ht="14.25" customHeight="1" collapsed="1">
      <c r="A15" s="24"/>
      <c r="B15" s="1307" t="s">
        <v>518</v>
      </c>
      <c r="C15" s="24"/>
      <c r="D15" s="29"/>
      <c r="E15" s="29"/>
      <c r="F15" s="29"/>
      <c r="G15" s="455"/>
      <c r="H15" s="29"/>
      <c r="I15" s="29"/>
      <c r="J15" s="29"/>
      <c r="K15" s="455"/>
      <c r="L15" s="29"/>
      <c r="M15" s="29"/>
      <c r="N15" s="29"/>
      <c r="O15" s="455"/>
      <c r="P15" s="29"/>
      <c r="Q15" s="29"/>
      <c r="R15" s="29"/>
      <c r="S15" s="30"/>
      <c r="T15" s="29"/>
      <c r="U15" s="29"/>
      <c r="V15" s="29"/>
      <c r="W15" s="30"/>
      <c r="X15" s="29"/>
      <c r="Y15" s="29"/>
      <c r="Z15" s="29"/>
      <c r="AA15" s="30"/>
      <c r="AB15" s="29"/>
      <c r="AC15" s="29"/>
      <c r="AD15" s="29"/>
      <c r="AE15" s="30"/>
      <c r="AF15" s="29"/>
      <c r="AG15" s="29"/>
      <c r="AH15" s="29"/>
      <c r="AI15" s="949"/>
      <c r="AJ15" s="577"/>
      <c r="AK15" s="29"/>
      <c r="AL15" s="29"/>
      <c r="AM15" s="30"/>
      <c r="AN15" s="577"/>
      <c r="AO15" s="29"/>
      <c r="AP15" s="29"/>
      <c r="AQ15" s="30"/>
      <c r="AR15" s="577"/>
      <c r="AS15" s="29"/>
      <c r="AT15" s="29"/>
      <c r="AU15" s="30"/>
      <c r="AV15" s="577"/>
      <c r="AW15" s="29"/>
      <c r="AX15" s="29"/>
      <c r="AY15" s="30"/>
      <c r="AZ15" s="577"/>
      <c r="BA15" s="29"/>
      <c r="BB15" s="29"/>
      <c r="BC15" s="29"/>
      <c r="BD15" s="577"/>
      <c r="BE15" s="29"/>
      <c r="BF15" s="29"/>
      <c r="BG15" s="30"/>
      <c r="BH15" s="1359">
        <v>2</v>
      </c>
      <c r="BI15" s="1359">
        <v>4</v>
      </c>
      <c r="BJ15" s="29"/>
      <c r="BK15" s="29"/>
      <c r="BL15" s="1434">
        <v>6.5</v>
      </c>
      <c r="BM15" s="1485">
        <v>8</v>
      </c>
      <c r="BN15" s="1485">
        <v>8</v>
      </c>
      <c r="BO15" s="1362">
        <v>10</v>
      </c>
      <c r="BP15" s="1360">
        <v>10</v>
      </c>
      <c r="BQ15" s="1361">
        <v>10</v>
      </c>
      <c r="BR15" s="1361">
        <v>11</v>
      </c>
      <c r="BS15" s="1362">
        <v>11</v>
      </c>
      <c r="BT15" s="1360">
        <v>11</v>
      </c>
      <c r="BU15" s="1361">
        <v>11</v>
      </c>
      <c r="BV15" s="1361">
        <v>11</v>
      </c>
      <c r="BW15" s="1362">
        <v>11</v>
      </c>
      <c r="BX15" s="160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1363">
        <f>SUM(BH15:BK15)</f>
        <v>6</v>
      </c>
      <c r="CN15" s="1363">
        <f>SUM(BL15:BO15)</f>
        <v>32.5</v>
      </c>
      <c r="CO15" s="1363">
        <f>SUM(BP15:BS15)</f>
        <v>42</v>
      </c>
      <c r="CP15" s="1364">
        <f>SUM(BT15:BW15)</f>
        <v>44</v>
      </c>
      <c r="CQ15" s="757"/>
      <c r="CR15" s="33"/>
      <c r="CS15" s="31"/>
      <c r="CT15" s="31"/>
      <c r="CU15" s="31"/>
      <c r="CV15" s="31"/>
      <c r="CW15" s="31"/>
      <c r="CX15" s="31"/>
      <c r="CY15" s="31"/>
      <c r="CZ15" s="31"/>
      <c r="DA15" s="32"/>
      <c r="DB15" s="31"/>
      <c r="DC15" s="33"/>
      <c r="DD15" s="31"/>
      <c r="DE15" s="31">
        <f>SUM(BG15:BJ15)</f>
        <v>6</v>
      </c>
      <c r="DF15" s="31">
        <f>SUM(BK15:BN15)</f>
        <v>22.5</v>
      </c>
      <c r="DG15" s="31">
        <f>SUM(BO15:BR15)</f>
        <v>41</v>
      </c>
      <c r="DH15" s="32">
        <f>SUM(BS15:BV15)</f>
        <v>44</v>
      </c>
    </row>
    <row r="16" spans="1:113" ht="6" hidden="1" customHeight="1" outlineLevel="1">
      <c r="A16" s="24"/>
      <c r="B16" s="1307"/>
      <c r="C16" s="35"/>
      <c r="D16" s="1376"/>
      <c r="E16" s="1376"/>
      <c r="F16" s="1376"/>
      <c r="G16" s="1377"/>
      <c r="H16" s="1376"/>
      <c r="I16" s="1376"/>
      <c r="J16" s="1376"/>
      <c r="K16" s="1377"/>
      <c r="L16" s="1376"/>
      <c r="M16" s="1376"/>
      <c r="N16" s="1376"/>
      <c r="O16" s="1377"/>
      <c r="P16" s="1376"/>
      <c r="Q16" s="1376"/>
      <c r="R16" s="1376"/>
      <c r="S16" s="1377"/>
      <c r="T16" s="1376"/>
      <c r="U16" s="1376"/>
      <c r="V16" s="1376"/>
      <c r="W16" s="1377"/>
      <c r="X16" s="1376"/>
      <c r="Y16" s="1376"/>
      <c r="Z16" s="1376"/>
      <c r="AA16" s="1377"/>
      <c r="AB16" s="1376"/>
      <c r="AC16" s="1376"/>
      <c r="AD16" s="1376"/>
      <c r="AE16" s="1377"/>
      <c r="AF16" s="1376"/>
      <c r="AG16" s="1376"/>
      <c r="AH16" s="1376"/>
      <c r="AI16" s="1377"/>
      <c r="AJ16" s="1378"/>
      <c r="AK16" s="1376"/>
      <c r="AL16" s="1376"/>
      <c r="AM16" s="1377"/>
      <c r="AN16" s="1378"/>
      <c r="AO16" s="1376"/>
      <c r="AP16" s="1376"/>
      <c r="AQ16" s="1377"/>
      <c r="AR16" s="1378"/>
      <c r="AS16" s="1376"/>
      <c r="AT16" s="1376"/>
      <c r="AU16" s="1377"/>
      <c r="AV16" s="1378"/>
      <c r="AW16" s="1376"/>
      <c r="AX16" s="1376"/>
      <c r="AY16" s="1377"/>
      <c r="AZ16" s="1378"/>
      <c r="BA16" s="1376"/>
      <c r="BB16" s="1376"/>
      <c r="BC16" s="1376"/>
      <c r="BD16" s="1378"/>
      <c r="BE16" s="1376"/>
      <c r="BF16" s="1376"/>
      <c r="BG16" s="1377"/>
      <c r="BH16" s="1376"/>
      <c r="BI16" s="1376"/>
      <c r="BJ16" s="1376"/>
      <c r="BK16" s="1441"/>
      <c r="BL16" s="1442"/>
      <c r="BM16" s="1441"/>
      <c r="BN16" s="1494"/>
      <c r="BO16" s="1453"/>
      <c r="BP16" s="1378"/>
      <c r="BQ16" s="1376"/>
      <c r="BR16" s="1376"/>
      <c r="BS16" s="1377"/>
      <c r="BT16" s="1495"/>
      <c r="BU16" s="1494"/>
      <c r="BV16" s="1494"/>
      <c r="BW16" s="1496"/>
      <c r="BX16" s="160"/>
      <c r="BY16" s="36"/>
      <c r="BZ16" s="36"/>
      <c r="CA16" s="36"/>
      <c r="CB16" s="36"/>
      <c r="CC16" s="36"/>
      <c r="CD16" s="36"/>
      <c r="CE16" s="36"/>
      <c r="CF16" s="36"/>
      <c r="CG16" s="36"/>
      <c r="CH16" s="1494"/>
      <c r="CI16" s="1494"/>
      <c r="CJ16" s="1494"/>
      <c r="CK16" s="1376"/>
      <c r="CL16" s="1376"/>
      <c r="CM16" s="1376"/>
      <c r="CN16" s="1376"/>
      <c r="CO16" s="1376"/>
      <c r="CP16" s="1377"/>
      <c r="CQ16" s="160"/>
      <c r="CR16" s="1378"/>
      <c r="CS16" s="1376"/>
      <c r="CT16" s="1376"/>
      <c r="CU16" s="1376"/>
      <c r="CV16" s="1376"/>
      <c r="CW16" s="1376"/>
      <c r="CX16" s="1376"/>
      <c r="CY16" s="1376"/>
      <c r="CZ16" s="1376"/>
      <c r="DA16" s="1377"/>
      <c r="DB16" s="1376"/>
      <c r="DC16" s="1378"/>
      <c r="DD16" s="1376"/>
      <c r="DE16" s="1376"/>
      <c r="DF16" s="1376"/>
      <c r="DG16" s="1441"/>
      <c r="DH16" s="1441"/>
      <c r="DI16" s="23"/>
    </row>
    <row r="17" spans="1:113" ht="14.25" hidden="1" customHeight="1" outlineLevel="1">
      <c r="A17" s="24"/>
      <c r="B17" s="1307" t="s">
        <v>303</v>
      </c>
      <c r="C17" s="35"/>
      <c r="D17" s="1403">
        <v>0</v>
      </c>
      <c r="E17" s="1403">
        <v>0</v>
      </c>
      <c r="F17" s="1403">
        <v>0</v>
      </c>
      <c r="G17" s="1097">
        <f>0-F17-E17-D17</f>
        <v>0</v>
      </c>
      <c r="H17" s="29">
        <f>30.608+1.147</f>
        <v>31.754999999999999</v>
      </c>
      <c r="I17" s="1403">
        <v>0</v>
      </c>
      <c r="J17" s="1403">
        <v>0</v>
      </c>
      <c r="K17" s="1097">
        <v>0</v>
      </c>
      <c r="L17" s="1403">
        <v>0</v>
      </c>
      <c r="M17" s="1403">
        <v>0</v>
      </c>
      <c r="N17" s="1403">
        <v>0</v>
      </c>
      <c r="O17" s="1097">
        <f>0-N17-M17-L17</f>
        <v>0</v>
      </c>
      <c r="P17" s="1403">
        <v>0</v>
      </c>
      <c r="Q17" s="1403">
        <v>0</v>
      </c>
      <c r="R17" s="1403">
        <v>0</v>
      </c>
      <c r="S17" s="1404">
        <v>0</v>
      </c>
      <c r="T17" s="1403">
        <v>0</v>
      </c>
      <c r="U17" s="1403">
        <v>0</v>
      </c>
      <c r="V17" s="1403">
        <v>0</v>
      </c>
      <c r="W17" s="1404">
        <v>0</v>
      </c>
      <c r="X17" s="1403">
        <v>0</v>
      </c>
      <c r="Y17" s="1403">
        <v>0</v>
      </c>
      <c r="Z17" s="1403">
        <v>0</v>
      </c>
      <c r="AA17" s="1404">
        <v>0</v>
      </c>
      <c r="AB17" s="1403">
        <v>0</v>
      </c>
      <c r="AC17" s="1403">
        <v>0</v>
      </c>
      <c r="AD17" s="1403">
        <v>0.308</v>
      </c>
      <c r="AE17" s="1404">
        <v>0.23799999999999999</v>
      </c>
      <c r="AF17" s="1403">
        <v>0.96699999999999997</v>
      </c>
      <c r="AG17" s="1403">
        <v>0.57999999999999996</v>
      </c>
      <c r="AH17" s="1403">
        <v>0.32100000000000001</v>
      </c>
      <c r="AI17" s="1404">
        <v>0.66900000000000004</v>
      </c>
      <c r="AJ17" s="1405">
        <v>5.91</v>
      </c>
      <c r="AK17" s="1403">
        <v>3.3690000000000002</v>
      </c>
      <c r="AL17" s="1403">
        <v>1.7470000000000001</v>
      </c>
      <c r="AM17" s="1404">
        <v>1.861</v>
      </c>
      <c r="AN17" s="1405">
        <v>1.7090000000000001</v>
      </c>
      <c r="AO17" s="1403">
        <v>0</v>
      </c>
      <c r="AP17" s="1403">
        <v>0</v>
      </c>
      <c r="AQ17" s="1404">
        <v>1.7729999999999999</v>
      </c>
      <c r="AR17" s="1405">
        <f>0.131+3.218</f>
        <v>3.3490000000000002</v>
      </c>
      <c r="AS17" s="1403">
        <f>15.737+22.65</f>
        <v>38.387</v>
      </c>
      <c r="AT17" s="1403">
        <v>30.808</v>
      </c>
      <c r="AU17" s="1404">
        <v>1.083</v>
      </c>
      <c r="AV17" s="1405">
        <v>0</v>
      </c>
      <c r="AW17" s="1403">
        <v>0</v>
      </c>
      <c r="AX17" s="1403">
        <v>4.2000000000000003E-2</v>
      </c>
      <c r="AY17" s="1404">
        <v>0.32</v>
      </c>
      <c r="AZ17" s="1405">
        <f>1.362+7.811</f>
        <v>9.173</v>
      </c>
      <c r="BA17" s="1403">
        <v>12.69</v>
      </c>
      <c r="BB17" s="1403">
        <f>3.203+4.191</f>
        <v>7.3940000000000001</v>
      </c>
      <c r="BC17" s="1403">
        <f>1.792+1.511</f>
        <v>3.3029999999999999</v>
      </c>
      <c r="BD17" s="1405">
        <v>0.54300000000000004</v>
      </c>
      <c r="BE17" s="1403">
        <f>11.463+9.089</f>
        <v>20.552</v>
      </c>
      <c r="BF17" s="1403">
        <f>6.936+17.817</f>
        <v>24.753</v>
      </c>
      <c r="BG17" s="1404">
        <f>5.395+18.197+3.624</f>
        <v>27.215999999999998</v>
      </c>
      <c r="BH17" s="1403">
        <f>23.416+0.8+90.488</f>
        <v>114.70400000000001</v>
      </c>
      <c r="BI17" s="1403">
        <f>0.922+84.278</f>
        <v>85.2</v>
      </c>
      <c r="BJ17" s="1403">
        <f>25.985+15.008</f>
        <v>40.992999999999995</v>
      </c>
      <c r="BK17" s="1464">
        <f>-1.35</f>
        <v>-1.35</v>
      </c>
      <c r="BL17" s="1466">
        <v>-0.66</v>
      </c>
      <c r="BM17" s="1464">
        <v>0</v>
      </c>
      <c r="BN17" s="1510">
        <v>0</v>
      </c>
      <c r="BO17" s="1465">
        <v>0</v>
      </c>
      <c r="BP17" s="1405">
        <v>0</v>
      </c>
      <c r="BQ17" s="1403">
        <v>0</v>
      </c>
      <c r="BR17" s="1403">
        <v>0</v>
      </c>
      <c r="BS17" s="1404">
        <v>0</v>
      </c>
      <c r="BT17" s="1512">
        <v>0</v>
      </c>
      <c r="BU17" s="1510">
        <v>0</v>
      </c>
      <c r="BV17" s="1510">
        <v>0</v>
      </c>
      <c r="BW17" s="1511">
        <v>0</v>
      </c>
      <c r="BX17" s="160"/>
      <c r="BY17" s="31">
        <f>SUM(D17:G17)</f>
        <v>0</v>
      </c>
      <c r="BZ17" s="31">
        <f>SUM(H17:K17)</f>
        <v>31.754999999999999</v>
      </c>
      <c r="CA17" s="31">
        <f>SUM(L17:O17)</f>
        <v>0</v>
      </c>
      <c r="CB17" s="31">
        <f>SUM(P17:S17)</f>
        <v>0</v>
      </c>
      <c r="CC17" s="31">
        <f>SUM(T17:W17)</f>
        <v>0</v>
      </c>
      <c r="CD17" s="31">
        <f>SUM(X17:AA17)</f>
        <v>0</v>
      </c>
      <c r="CE17" s="31">
        <f>SUM(AB17:AE17)</f>
        <v>0.54600000000000004</v>
      </c>
      <c r="CF17" s="31">
        <f>SUM(AF17:AI17)</f>
        <v>2.5369999999999999</v>
      </c>
      <c r="CG17" s="31">
        <f>SUM(AJ17:AM17)</f>
        <v>12.887</v>
      </c>
      <c r="CH17" s="31">
        <f>SUM(AN17:AQ17)</f>
        <v>3.4820000000000002</v>
      </c>
      <c r="CI17" s="31">
        <f>SUM(AR17:AU17)</f>
        <v>73.62700000000001</v>
      </c>
      <c r="CJ17" s="31">
        <f>SUM(AV17:AY17)</f>
        <v>0.36199999999999999</v>
      </c>
      <c r="CK17" s="31">
        <f>SUM(AZ17:BC17)</f>
        <v>32.559999999999995</v>
      </c>
      <c r="CL17" s="31">
        <f>SUM(BD17:BG17)</f>
        <v>73.063999999999993</v>
      </c>
      <c r="CM17" s="31">
        <f>SUM(BH17:BK17)</f>
        <v>239.547</v>
      </c>
      <c r="CN17" s="31">
        <f>SUM(BL17:BO17)</f>
        <v>-0.66</v>
      </c>
      <c r="CO17" s="31">
        <f>SUM(BP17:BS17)</f>
        <v>0</v>
      </c>
      <c r="CP17" s="32">
        <f>SUM(BT17:BW17)</f>
        <v>0</v>
      </c>
      <c r="CQ17" s="160"/>
      <c r="CR17" s="33">
        <f>SUM(G17:J17)</f>
        <v>31.754999999999999</v>
      </c>
      <c r="CS17" s="31">
        <f>SUM(K17:N17)</f>
        <v>0</v>
      </c>
      <c r="CT17" s="31">
        <f>SUM(O17:R17)</f>
        <v>0</v>
      </c>
      <c r="CU17" s="31">
        <f>SUM(S17:V17)</f>
        <v>0</v>
      </c>
      <c r="CV17" s="31">
        <f>SUM(W17:Z17)</f>
        <v>0</v>
      </c>
      <c r="CW17" s="31">
        <f>SUM(AA17:AD17)</f>
        <v>0.308</v>
      </c>
      <c r="CX17" s="31">
        <f>SUM(AE17:AH17)</f>
        <v>2.1060000000000003</v>
      </c>
      <c r="CY17" s="31">
        <f>SUM(AI17:AL17)</f>
        <v>11.695</v>
      </c>
      <c r="CZ17" s="31">
        <f>SUM(AM17:AP17)</f>
        <v>3.5700000000000003</v>
      </c>
      <c r="DA17" s="32">
        <f>SUM(AQ17:AT17)</f>
        <v>74.317000000000007</v>
      </c>
      <c r="DB17" s="31">
        <f>SUM(AU17:AX17)</f>
        <v>1.125</v>
      </c>
      <c r="DC17" s="33">
        <f>SUM(AY17:BB17)</f>
        <v>29.576999999999998</v>
      </c>
      <c r="DD17" s="31">
        <f>SUM(BC17:BF17)</f>
        <v>49.150999999999996</v>
      </c>
      <c r="DE17" s="31">
        <f>SUM(BG17:BJ17)</f>
        <v>268.113</v>
      </c>
      <c r="DF17" s="31">
        <f>SUM(BK17:BN17)</f>
        <v>-2.0100000000000002</v>
      </c>
      <c r="DG17" s="31">
        <f>SUM(BO17:BR17)</f>
        <v>0</v>
      </c>
      <c r="DH17" s="31">
        <f>SUM(BS17:BV17)</f>
        <v>0</v>
      </c>
      <c r="DI17" s="23"/>
    </row>
    <row r="18" spans="1:113" ht="14.25" hidden="1" customHeight="1" outlineLevel="1">
      <c r="A18" s="11"/>
      <c r="B18" s="612" t="s">
        <v>1</v>
      </c>
      <c r="C18" s="24"/>
      <c r="D18" s="31">
        <f t="shared" ref="D18:AI18" si="8">D13-D17</f>
        <v>75.177000000000007</v>
      </c>
      <c r="E18" s="31">
        <f t="shared" si="8"/>
        <v>76.477999999999994</v>
      </c>
      <c r="F18" s="31">
        <f t="shared" si="8"/>
        <v>74.58</v>
      </c>
      <c r="G18" s="32">
        <f t="shared" si="8"/>
        <v>72.991999999999976</v>
      </c>
      <c r="H18" s="31">
        <f t="shared" si="8"/>
        <v>74.007000000000005</v>
      </c>
      <c r="I18" s="31">
        <f t="shared" si="8"/>
        <v>77.292000000000002</v>
      </c>
      <c r="J18" s="31">
        <f t="shared" si="8"/>
        <v>80.947999999999993</v>
      </c>
      <c r="K18" s="32">
        <f t="shared" si="8"/>
        <v>85.299000000000007</v>
      </c>
      <c r="L18" s="31">
        <f t="shared" si="8"/>
        <v>91.316000000000003</v>
      </c>
      <c r="M18" s="31">
        <f t="shared" si="8"/>
        <v>94.316999999999993</v>
      </c>
      <c r="N18" s="31">
        <f t="shared" si="8"/>
        <v>88.596000000000004</v>
      </c>
      <c r="O18" s="32">
        <f t="shared" si="8"/>
        <v>88.731999999999999</v>
      </c>
      <c r="P18" s="31">
        <f t="shared" si="8"/>
        <v>91.022000000000006</v>
      </c>
      <c r="Q18" s="31">
        <f t="shared" si="8"/>
        <v>92.742000000000004</v>
      </c>
      <c r="R18" s="31">
        <f t="shared" si="8"/>
        <v>94.626000000000005</v>
      </c>
      <c r="S18" s="32">
        <f t="shared" si="8"/>
        <v>98.626000000000005</v>
      </c>
      <c r="T18" s="31">
        <f t="shared" si="8"/>
        <v>104.07299999999999</v>
      </c>
      <c r="U18" s="31">
        <f t="shared" si="8"/>
        <v>105.973</v>
      </c>
      <c r="V18" s="31">
        <f t="shared" si="8"/>
        <v>101.294</v>
      </c>
      <c r="W18" s="32">
        <f t="shared" si="8"/>
        <v>103.575</v>
      </c>
      <c r="X18" s="31">
        <f t="shared" si="8"/>
        <v>105.527</v>
      </c>
      <c r="Y18" s="31">
        <f t="shared" si="8"/>
        <v>103.935</v>
      </c>
      <c r="Z18" s="31">
        <f t="shared" si="8"/>
        <v>99.552999999999997</v>
      </c>
      <c r="AA18" s="32">
        <f t="shared" si="8"/>
        <v>101.78400000000001</v>
      </c>
      <c r="AB18" s="31">
        <f t="shared" si="8"/>
        <v>104.575</v>
      </c>
      <c r="AC18" s="31">
        <f t="shared" si="8"/>
        <v>105.553</v>
      </c>
      <c r="AD18" s="31">
        <f t="shared" si="8"/>
        <v>87.070999999999998</v>
      </c>
      <c r="AE18" s="32">
        <f t="shared" si="8"/>
        <v>89.048000000000002</v>
      </c>
      <c r="AF18" s="31">
        <f t="shared" si="8"/>
        <v>95.546999999999997</v>
      </c>
      <c r="AG18" s="31">
        <f t="shared" si="8"/>
        <v>102.741</v>
      </c>
      <c r="AH18" s="31">
        <f t="shared" si="8"/>
        <v>103.782</v>
      </c>
      <c r="AI18" s="32">
        <f t="shared" si="8"/>
        <v>108.88000000000002</v>
      </c>
      <c r="AJ18" s="33">
        <f t="shared" ref="AJ18:BO18" si="9">AJ13-AJ17</f>
        <v>143.77199999999999</v>
      </c>
      <c r="AK18" s="31">
        <f t="shared" si="9"/>
        <v>153.89699999999999</v>
      </c>
      <c r="AL18" s="31">
        <f t="shared" si="9"/>
        <v>149.67999999999998</v>
      </c>
      <c r="AM18" s="32">
        <f t="shared" si="9"/>
        <v>152.53300000000004</v>
      </c>
      <c r="AN18" s="33">
        <f t="shared" si="9"/>
        <v>153.04999999999998</v>
      </c>
      <c r="AO18" s="31">
        <f t="shared" si="9"/>
        <v>143.899</v>
      </c>
      <c r="AP18" s="31">
        <f t="shared" si="9"/>
        <v>143.66800000000001</v>
      </c>
      <c r="AQ18" s="32">
        <f t="shared" si="9"/>
        <v>146.68300000000005</v>
      </c>
      <c r="AR18" s="33">
        <f t="shared" si="9"/>
        <v>145.70600000000002</v>
      </c>
      <c r="AS18" s="31">
        <f t="shared" si="9"/>
        <v>150.71600000000001</v>
      </c>
      <c r="AT18" s="31">
        <f t="shared" si="9"/>
        <v>184.81100000000001</v>
      </c>
      <c r="AU18" s="32">
        <f t="shared" si="9"/>
        <v>188.30399999999992</v>
      </c>
      <c r="AV18" s="33">
        <f t="shared" si="9"/>
        <v>196.21799999999999</v>
      </c>
      <c r="AW18" s="31">
        <f t="shared" si="9"/>
        <v>203.80600000000001</v>
      </c>
      <c r="AX18" s="31">
        <f t="shared" si="9"/>
        <v>199.60999999999999</v>
      </c>
      <c r="AY18" s="32">
        <f t="shared" si="9"/>
        <v>202.47800000000007</v>
      </c>
      <c r="AZ18" s="33">
        <f t="shared" si="9"/>
        <v>213.184</v>
      </c>
      <c r="BA18" s="31">
        <f t="shared" si="9"/>
        <v>226.09899999999999</v>
      </c>
      <c r="BB18" s="31">
        <f t="shared" si="9"/>
        <v>219.357</v>
      </c>
      <c r="BC18" s="31">
        <f t="shared" si="9"/>
        <v>226.27199999999999</v>
      </c>
      <c r="BD18" s="33">
        <f t="shared" si="9"/>
        <v>224.392</v>
      </c>
      <c r="BE18" s="31">
        <f t="shared" si="9"/>
        <v>219.88900000000001</v>
      </c>
      <c r="BF18" s="31">
        <f t="shared" si="9"/>
        <v>222.87299999999999</v>
      </c>
      <c r="BG18" s="32">
        <f t="shared" si="9"/>
        <v>227.65199999999999</v>
      </c>
      <c r="BH18" s="31">
        <f>BH13-BH17</f>
        <v>336.21699999999998</v>
      </c>
      <c r="BI18" s="31">
        <f t="shared" ref="BI18:BK18" si="10">BI13-BI17</f>
        <v>375.54300000000001</v>
      </c>
      <c r="BJ18" s="31">
        <f t="shared" si="10"/>
        <v>328.11400000000003</v>
      </c>
      <c r="BK18" s="31">
        <f t="shared" si="10"/>
        <v>371.19</v>
      </c>
      <c r="BL18" s="33">
        <f>BL13-BL17</f>
        <v>388.36200000000002</v>
      </c>
      <c r="BM18" s="31">
        <f t="shared" ref="BM18:BN18" si="11">BM13-BM17</f>
        <v>398.04500000000002</v>
      </c>
      <c r="BN18" s="31">
        <f t="shared" si="11"/>
        <v>387.14600000000002</v>
      </c>
      <c r="BO18" s="32">
        <f t="shared" si="9"/>
        <v>381.82185860799996</v>
      </c>
      <c r="BP18" s="33">
        <f t="shared" ref="BP18:BW18" si="12">BP13-BP17</f>
        <v>395.95251434590011</v>
      </c>
      <c r="BQ18" s="31">
        <f t="shared" si="12"/>
        <v>406.57908654580569</v>
      </c>
      <c r="BR18" s="31">
        <f t="shared" si="12"/>
        <v>399.84185768348914</v>
      </c>
      <c r="BS18" s="32">
        <f t="shared" si="12"/>
        <v>396.39529078019325</v>
      </c>
      <c r="BT18" s="33">
        <f t="shared" si="12"/>
        <v>410.26071295504528</v>
      </c>
      <c r="BU18" s="31">
        <f t="shared" si="12"/>
        <v>418.96723022417882</v>
      </c>
      <c r="BV18" s="31">
        <f t="shared" si="12"/>
        <v>414.50466088905648</v>
      </c>
      <c r="BW18" s="32">
        <f t="shared" si="12"/>
        <v>409.71257294934435</v>
      </c>
      <c r="BX18" s="160"/>
      <c r="BY18" s="31">
        <f t="shared" ref="BY18:CO18" si="13">BY13-BY17</f>
        <v>299.22699999999998</v>
      </c>
      <c r="BZ18" s="31">
        <f t="shared" si="13"/>
        <v>317.54600000000005</v>
      </c>
      <c r="CA18" s="31">
        <f t="shared" si="13"/>
        <v>362.96100000000001</v>
      </c>
      <c r="CB18" s="31">
        <f t="shared" si="13"/>
        <v>377.01599999999996</v>
      </c>
      <c r="CC18" s="31">
        <f t="shared" si="13"/>
        <v>414.91499999999996</v>
      </c>
      <c r="CD18" s="31">
        <f t="shared" si="13"/>
        <v>410.79899999999998</v>
      </c>
      <c r="CE18" s="31">
        <f t="shared" si="13"/>
        <v>386.24700000000001</v>
      </c>
      <c r="CF18" s="31">
        <f t="shared" si="13"/>
        <v>410.95000000000005</v>
      </c>
      <c r="CG18" s="31">
        <f t="shared" si="13"/>
        <v>599.88200000000006</v>
      </c>
      <c r="CH18" s="31">
        <f t="shared" si="13"/>
        <v>587.30000000000007</v>
      </c>
      <c r="CI18" s="31">
        <f t="shared" si="13"/>
        <v>669.53700000000003</v>
      </c>
      <c r="CJ18" s="31">
        <f t="shared" si="13"/>
        <v>802.11199999999997</v>
      </c>
      <c r="CK18" s="31">
        <f t="shared" si="13"/>
        <v>884.91200000000003</v>
      </c>
      <c r="CL18" s="31">
        <f t="shared" si="13"/>
        <v>894.80599999999993</v>
      </c>
      <c r="CM18" s="31">
        <f t="shared" si="13"/>
        <v>1411.0639999999999</v>
      </c>
      <c r="CN18" s="31">
        <f t="shared" si="13"/>
        <v>1555.3748586080001</v>
      </c>
      <c r="CO18" s="31">
        <f t="shared" si="13"/>
        <v>1598.7687493553881</v>
      </c>
      <c r="CP18" s="32">
        <f t="shared" ref="CP18" si="14">CP13-CP17</f>
        <v>1653.4451770176249</v>
      </c>
      <c r="CQ18" s="160"/>
      <c r="CR18" s="33">
        <f t="shared" ref="CR18:DG18" si="15">CR13-CR17</f>
        <v>305.23899999999992</v>
      </c>
      <c r="CS18" s="31">
        <f t="shared" si="15"/>
        <v>359.52800000000002</v>
      </c>
      <c r="CT18" s="31">
        <f t="shared" si="15"/>
        <v>367.12200000000007</v>
      </c>
      <c r="CU18" s="31">
        <f t="shared" si="15"/>
        <v>409.96600000000001</v>
      </c>
      <c r="CV18" s="31">
        <f t="shared" si="15"/>
        <v>412.59000000000003</v>
      </c>
      <c r="CW18" s="31">
        <f t="shared" si="15"/>
        <v>398.98300000000006</v>
      </c>
      <c r="CX18" s="31">
        <f t="shared" si="15"/>
        <v>391.11799999999999</v>
      </c>
      <c r="CY18" s="31">
        <f t="shared" si="15"/>
        <v>556.22899999999993</v>
      </c>
      <c r="CZ18" s="31">
        <f t="shared" si="15"/>
        <v>593.15</v>
      </c>
      <c r="DA18" s="32">
        <f t="shared" si="15"/>
        <v>627.91600000000005</v>
      </c>
      <c r="DB18" s="31">
        <f t="shared" si="15"/>
        <v>787.93799999999987</v>
      </c>
      <c r="DC18" s="33">
        <f t="shared" si="15"/>
        <v>861.11800000000005</v>
      </c>
      <c r="DD18" s="31">
        <f t="shared" si="15"/>
        <v>893.42600000000004</v>
      </c>
      <c r="DE18" s="31">
        <f t="shared" si="15"/>
        <v>1267.5259999999998</v>
      </c>
      <c r="DF18" s="31">
        <f t="shared" si="15"/>
        <v>1544.7429999999999</v>
      </c>
      <c r="DG18" s="31">
        <f t="shared" si="15"/>
        <v>1584.1953171831951</v>
      </c>
      <c r="DH18" s="31">
        <f t="shared" ref="DH18" si="16">DH13-DH17</f>
        <v>1640.1278948484737</v>
      </c>
      <c r="DI18" s="23"/>
    </row>
    <row r="19" spans="1:113" ht="14.25" hidden="1" customHeight="1" outlineLevel="1">
      <c r="A19" s="11"/>
      <c r="B19" s="609"/>
      <c r="C19" s="35"/>
      <c r="D19" s="1376"/>
      <c r="E19" s="1376"/>
      <c r="F19" s="1376"/>
      <c r="G19" s="1377"/>
      <c r="H19" s="1376"/>
      <c r="I19" s="1376"/>
      <c r="J19" s="1376"/>
      <c r="K19" s="1377"/>
      <c r="L19" s="1376"/>
      <c r="M19" s="1376"/>
      <c r="N19" s="1376"/>
      <c r="O19" s="1377"/>
      <c r="P19" s="1376"/>
      <c r="Q19" s="1376"/>
      <c r="R19" s="1376"/>
      <c r="S19" s="1377"/>
      <c r="T19" s="1376"/>
      <c r="U19" s="1376"/>
      <c r="V19" s="1376"/>
      <c r="W19" s="1377"/>
      <c r="X19" s="1376"/>
      <c r="Y19" s="1376"/>
      <c r="Z19" s="1376"/>
      <c r="AA19" s="1377"/>
      <c r="AB19" s="1376"/>
      <c r="AC19" s="1376"/>
      <c r="AD19" s="1376"/>
      <c r="AE19" s="1377"/>
      <c r="AF19" s="1376"/>
      <c r="AG19" s="1376"/>
      <c r="AH19" s="1376"/>
      <c r="AI19" s="1377"/>
      <c r="AJ19" s="1378"/>
      <c r="AK19" s="1376"/>
      <c r="AL19" s="1376"/>
      <c r="AM19" s="1377"/>
      <c r="AN19" s="1378"/>
      <c r="AO19" s="1376"/>
      <c r="AP19" s="1376"/>
      <c r="AQ19" s="1377"/>
      <c r="AR19" s="1378"/>
      <c r="AS19" s="1376"/>
      <c r="AT19" s="1376"/>
      <c r="AU19" s="1377"/>
      <c r="AV19" s="1378"/>
      <c r="AW19" s="1376"/>
      <c r="AX19" s="1376"/>
      <c r="AY19" s="1377"/>
      <c r="AZ19" s="1378"/>
      <c r="BA19" s="1376"/>
      <c r="BB19" s="1376"/>
      <c r="BC19" s="1376"/>
      <c r="BD19" s="1378"/>
      <c r="BE19" s="1376"/>
      <c r="BF19" s="1376"/>
      <c r="BG19" s="1377"/>
      <c r="BH19" s="1376"/>
      <c r="BI19" s="1376"/>
      <c r="BJ19" s="1376"/>
      <c r="BK19" s="1441"/>
      <c r="BL19" s="1442"/>
      <c r="BM19" s="1441"/>
      <c r="BN19" s="1494"/>
      <c r="BO19" s="1453"/>
      <c r="BP19" s="1378"/>
      <c r="BQ19" s="1376"/>
      <c r="BR19" s="1376"/>
      <c r="BS19" s="1377"/>
      <c r="BT19" s="1495"/>
      <c r="BU19" s="1494"/>
      <c r="BV19" s="1494"/>
      <c r="BW19" s="1496"/>
      <c r="BX19" s="160"/>
      <c r="BY19" s="36"/>
      <c r="BZ19" s="36"/>
      <c r="CA19" s="36"/>
      <c r="CB19" s="36"/>
      <c r="CC19" s="36"/>
      <c r="CD19" s="36"/>
      <c r="CE19" s="36"/>
      <c r="CF19" s="36"/>
      <c r="CG19" s="36"/>
      <c r="CH19" s="1494"/>
      <c r="CI19" s="1494"/>
      <c r="CJ19" s="1494"/>
      <c r="CK19" s="1376"/>
      <c r="CL19" s="1376"/>
      <c r="CM19" s="1376"/>
      <c r="CN19" s="1376"/>
      <c r="CO19" s="1376"/>
      <c r="CP19" s="1377"/>
      <c r="CQ19" s="160"/>
      <c r="CR19" s="1378"/>
      <c r="CS19" s="1376"/>
      <c r="CT19" s="1376"/>
      <c r="CU19" s="1376"/>
      <c r="CV19" s="1376"/>
      <c r="CW19" s="1376"/>
      <c r="CX19" s="1376"/>
      <c r="CY19" s="1376"/>
      <c r="CZ19" s="1376"/>
      <c r="DA19" s="1377"/>
      <c r="DB19" s="1376"/>
      <c r="DC19" s="1378"/>
      <c r="DD19" s="1376"/>
      <c r="DE19" s="1376"/>
      <c r="DF19" s="1376"/>
      <c r="DG19" s="1441"/>
      <c r="DH19" s="1441"/>
      <c r="DI19" s="23"/>
    </row>
    <row r="20" spans="1:113" ht="14.25" customHeight="1" collapsed="1">
      <c r="A20" s="11"/>
      <c r="B20" s="613" t="s">
        <v>107</v>
      </c>
      <c r="C20" s="45"/>
      <c r="D20" s="47">
        <f t="shared" ref="D20:AI20" si="17">D8-D13</f>
        <v>82.367000000000004</v>
      </c>
      <c r="E20" s="47">
        <f t="shared" si="17"/>
        <v>90.3</v>
      </c>
      <c r="F20" s="47">
        <f t="shared" si="17"/>
        <v>92.893999999999991</v>
      </c>
      <c r="G20" s="48">
        <f t="shared" si="17"/>
        <v>86.674000000000049</v>
      </c>
      <c r="H20" s="47">
        <f t="shared" si="17"/>
        <v>55.520999999999987</v>
      </c>
      <c r="I20" s="47">
        <f t="shared" si="17"/>
        <v>91.193999999999988</v>
      </c>
      <c r="J20" s="47">
        <f t="shared" si="17"/>
        <v>97.01900000000002</v>
      </c>
      <c r="K20" s="48">
        <f t="shared" si="17"/>
        <v>106.22500000000002</v>
      </c>
      <c r="L20" s="47">
        <f t="shared" si="17"/>
        <v>121.459</v>
      </c>
      <c r="M20" s="47">
        <f t="shared" si="17"/>
        <v>126.377</v>
      </c>
      <c r="N20" s="47">
        <f t="shared" si="17"/>
        <v>116.78799999999998</v>
      </c>
      <c r="O20" s="48">
        <f t="shared" si="17"/>
        <v>119.35100000000006</v>
      </c>
      <c r="P20" s="47">
        <f t="shared" si="17"/>
        <v>127.50499999999998</v>
      </c>
      <c r="Q20" s="47">
        <f t="shared" si="17"/>
        <v>134.55599999999998</v>
      </c>
      <c r="R20" s="47">
        <f t="shared" si="17"/>
        <v>140.26999999999998</v>
      </c>
      <c r="S20" s="48">
        <f t="shared" si="17"/>
        <v>148.54599999999999</v>
      </c>
      <c r="T20" s="47">
        <f t="shared" si="17"/>
        <v>158.48400000000004</v>
      </c>
      <c r="U20" s="47">
        <f t="shared" si="17"/>
        <v>161.96100000000001</v>
      </c>
      <c r="V20" s="47">
        <f t="shared" si="17"/>
        <v>149.70999999999998</v>
      </c>
      <c r="W20" s="48">
        <f t="shared" si="17"/>
        <v>154.601</v>
      </c>
      <c r="X20" s="47">
        <f t="shared" si="17"/>
        <v>158.54500000000002</v>
      </c>
      <c r="Y20" s="47">
        <f t="shared" si="17"/>
        <v>154.71199999999999</v>
      </c>
      <c r="Z20" s="47">
        <f t="shared" si="17"/>
        <v>153.047</v>
      </c>
      <c r="AA20" s="48">
        <f t="shared" si="17"/>
        <v>158.63400000000001</v>
      </c>
      <c r="AB20" s="47">
        <f t="shared" si="17"/>
        <v>163.59700000000004</v>
      </c>
      <c r="AC20" s="47">
        <f t="shared" si="17"/>
        <v>164.15300000000002</v>
      </c>
      <c r="AD20" s="47">
        <f t="shared" si="17"/>
        <v>104.78699999999999</v>
      </c>
      <c r="AE20" s="48">
        <f t="shared" si="17"/>
        <v>83.966999999999985</v>
      </c>
      <c r="AF20" s="47">
        <f t="shared" si="17"/>
        <v>96.435000000000016</v>
      </c>
      <c r="AG20" s="47">
        <f t="shared" si="17"/>
        <v>123.34</v>
      </c>
      <c r="AH20" s="47">
        <f t="shared" si="17"/>
        <v>145.99599999999998</v>
      </c>
      <c r="AI20" s="48">
        <f t="shared" si="17"/>
        <v>168.47100000000006</v>
      </c>
      <c r="AJ20" s="46">
        <f t="shared" ref="AJ20:BS20" si="18">AJ8-AJ13</f>
        <v>207.44300000000001</v>
      </c>
      <c r="AK20" s="47">
        <f t="shared" si="18"/>
        <v>225.00500000000002</v>
      </c>
      <c r="AL20" s="47">
        <f t="shared" si="18"/>
        <v>216.39700000000002</v>
      </c>
      <c r="AM20" s="48">
        <f t="shared" si="18"/>
        <v>225.59099999999987</v>
      </c>
      <c r="AN20" s="46">
        <f t="shared" si="18"/>
        <v>219.74800000000002</v>
      </c>
      <c r="AO20" s="47">
        <f t="shared" si="18"/>
        <v>196.70299999999997</v>
      </c>
      <c r="AP20" s="47">
        <f t="shared" si="18"/>
        <v>185.488</v>
      </c>
      <c r="AQ20" s="48">
        <f t="shared" si="18"/>
        <v>190.45499999999996</v>
      </c>
      <c r="AR20" s="46">
        <f t="shared" si="18"/>
        <v>203.07900000000001</v>
      </c>
      <c r="AS20" s="47">
        <f t="shared" si="18"/>
        <v>194.19499999999999</v>
      </c>
      <c r="AT20" s="47">
        <f t="shared" si="18"/>
        <v>200.42800000000003</v>
      </c>
      <c r="AU20" s="48">
        <f t="shared" si="18"/>
        <v>240.75700000000009</v>
      </c>
      <c r="AV20" s="46">
        <f t="shared" si="18"/>
        <v>266.57399999999996</v>
      </c>
      <c r="AW20" s="47">
        <f t="shared" si="18"/>
        <v>288.86299999999994</v>
      </c>
      <c r="AX20" s="47">
        <f t="shared" si="18"/>
        <v>282.72000000000003</v>
      </c>
      <c r="AY20" s="48">
        <f t="shared" si="18"/>
        <v>290.58600000000013</v>
      </c>
      <c r="AZ20" s="46">
        <f t="shared" si="18"/>
        <v>306.51900000000001</v>
      </c>
      <c r="BA20" s="47">
        <f t="shared" si="18"/>
        <v>307.45400000000006</v>
      </c>
      <c r="BB20" s="47">
        <f t="shared" si="18"/>
        <v>301.95900000000006</v>
      </c>
      <c r="BC20" s="47">
        <f t="shared" si="18"/>
        <v>313.63200000000001</v>
      </c>
      <c r="BD20" s="46">
        <f t="shared" si="18"/>
        <v>309.017</v>
      </c>
      <c r="BE20" s="47">
        <f t="shared" si="18"/>
        <v>300.94999999999993</v>
      </c>
      <c r="BF20" s="47">
        <f t="shared" si="18"/>
        <v>292.71800000000007</v>
      </c>
      <c r="BG20" s="48">
        <f t="shared" si="18"/>
        <v>302.73200000000003</v>
      </c>
      <c r="BH20" s="47">
        <f>BH8-BH13</f>
        <v>348.48999999999995</v>
      </c>
      <c r="BI20" s="47">
        <f t="shared" si="18"/>
        <v>410.62100000000004</v>
      </c>
      <c r="BJ20" s="47">
        <f t="shared" ref="BJ20:BK20" si="19">BJ8-BJ13</f>
        <v>465.25899999999996</v>
      </c>
      <c r="BK20" s="47">
        <f t="shared" si="19"/>
        <v>532.82600000000002</v>
      </c>
      <c r="BL20" s="46">
        <f>BL8-BL13</f>
        <v>584.43899999999996</v>
      </c>
      <c r="BM20" s="47">
        <f t="shared" ref="BM20:BN20" si="20">BM8-BM13</f>
        <v>614.09400000000005</v>
      </c>
      <c r="BN20" s="47">
        <f t="shared" si="20"/>
        <v>607.05899999999997</v>
      </c>
      <c r="BO20" s="48">
        <f t="shared" si="18"/>
        <v>603.710307392</v>
      </c>
      <c r="BP20" s="46">
        <f t="shared" si="18"/>
        <v>633.14933715409995</v>
      </c>
      <c r="BQ20" s="47">
        <f t="shared" si="18"/>
        <v>654.74746610869443</v>
      </c>
      <c r="BR20" s="47">
        <f t="shared" si="18"/>
        <v>639.89556232146936</v>
      </c>
      <c r="BS20" s="48">
        <f t="shared" si="18"/>
        <v>633.96702724354202</v>
      </c>
      <c r="BT20" s="46">
        <f t="shared" ref="BT20:BW20" si="21">BT8-BT13</f>
        <v>661.14890826465432</v>
      </c>
      <c r="BU20" s="47">
        <f t="shared" si="21"/>
        <v>679.97906572473744</v>
      </c>
      <c r="BV20" s="47">
        <f t="shared" si="21"/>
        <v>668.50710106471058</v>
      </c>
      <c r="BW20" s="48">
        <f t="shared" si="21"/>
        <v>663.51102888063838</v>
      </c>
      <c r="BX20" s="160"/>
      <c r="BY20" s="47">
        <f t="shared" ref="BY20:CO20" si="22">BY8-BY13</f>
        <v>352.23500000000001</v>
      </c>
      <c r="BZ20" s="47">
        <f t="shared" si="22"/>
        <v>349.95899999999995</v>
      </c>
      <c r="CA20" s="47">
        <f t="shared" si="22"/>
        <v>483.97500000000002</v>
      </c>
      <c r="CB20" s="47">
        <f t="shared" si="22"/>
        <v>550.87700000000007</v>
      </c>
      <c r="CC20" s="47">
        <f t="shared" si="22"/>
        <v>624.75600000000009</v>
      </c>
      <c r="CD20" s="47">
        <f t="shared" si="22"/>
        <v>624.9380000000001</v>
      </c>
      <c r="CE20" s="47">
        <f t="shared" si="22"/>
        <v>516.50400000000002</v>
      </c>
      <c r="CF20" s="47">
        <f t="shared" si="22"/>
        <v>534.24200000000019</v>
      </c>
      <c r="CG20" s="47">
        <f t="shared" si="22"/>
        <v>874.43599999999992</v>
      </c>
      <c r="CH20" s="47">
        <f t="shared" si="22"/>
        <v>792.39399999999989</v>
      </c>
      <c r="CI20" s="47">
        <f t="shared" si="22"/>
        <v>838.45900000000006</v>
      </c>
      <c r="CJ20" s="47">
        <f t="shared" si="22"/>
        <v>1128.7430000000004</v>
      </c>
      <c r="CK20" s="47">
        <f t="shared" si="22"/>
        <v>1229.5640000000001</v>
      </c>
      <c r="CL20" s="47">
        <f t="shared" si="22"/>
        <v>1205.4169999999999</v>
      </c>
      <c r="CM20" s="47">
        <f t="shared" si="22"/>
        <v>1757.1960000000004</v>
      </c>
      <c r="CN20" s="47">
        <f t="shared" si="22"/>
        <v>2409.3023073920003</v>
      </c>
      <c r="CO20" s="47">
        <f t="shared" si="22"/>
        <v>2561.7593928278061</v>
      </c>
      <c r="CP20" s="48">
        <f t="shared" ref="CP20" si="23">CP8-CP13</f>
        <v>2673.1461039347405</v>
      </c>
      <c r="CQ20" s="160"/>
      <c r="CR20" s="46">
        <f t="shared" ref="CR20:DG20" si="24">CR8-CR13</f>
        <v>330.40800000000013</v>
      </c>
      <c r="CS20" s="47">
        <f t="shared" si="24"/>
        <v>470.84900000000005</v>
      </c>
      <c r="CT20" s="47">
        <f t="shared" si="24"/>
        <v>521.6819999999999</v>
      </c>
      <c r="CU20" s="47">
        <f t="shared" si="24"/>
        <v>618.70099999999991</v>
      </c>
      <c r="CV20" s="47">
        <f t="shared" si="24"/>
        <v>620.90499999999986</v>
      </c>
      <c r="CW20" s="47">
        <f t="shared" si="24"/>
        <v>591.17099999999994</v>
      </c>
      <c r="CX20" s="47">
        <f t="shared" si="24"/>
        <v>449.738</v>
      </c>
      <c r="CY20" s="47">
        <f t="shared" si="24"/>
        <v>817.31600000000026</v>
      </c>
      <c r="CZ20" s="47">
        <f t="shared" si="24"/>
        <v>827.53</v>
      </c>
      <c r="DA20" s="48">
        <f t="shared" si="24"/>
        <v>788.15700000000004</v>
      </c>
      <c r="DB20" s="47">
        <f t="shared" si="24"/>
        <v>1078.9140000000002</v>
      </c>
      <c r="DC20" s="46">
        <f t="shared" si="24"/>
        <v>1206.518</v>
      </c>
      <c r="DD20" s="47">
        <f t="shared" si="24"/>
        <v>1216.3170000000002</v>
      </c>
      <c r="DE20" s="47">
        <f t="shared" si="24"/>
        <v>1527.1020000000001</v>
      </c>
      <c r="DF20" s="47">
        <f t="shared" si="24"/>
        <v>2338.4179999999997</v>
      </c>
      <c r="DG20" s="47">
        <f t="shared" si="24"/>
        <v>2531.5026729762635</v>
      </c>
      <c r="DH20" s="47">
        <f t="shared" ref="DH20" si="25">DH8-DH13</f>
        <v>2643.6021022976443</v>
      </c>
      <c r="DI20" s="23"/>
    </row>
    <row r="21" spans="1:113" ht="14.25" customHeight="1">
      <c r="A21" s="11"/>
      <c r="B21" s="609" t="s">
        <v>93</v>
      </c>
      <c r="C21" s="35"/>
      <c r="D21" s="1376">
        <f t="shared" ref="D21:AI21" si="26">D20/D8</f>
        <v>0.52281902198750829</v>
      </c>
      <c r="E21" s="1376">
        <f t="shared" si="26"/>
        <v>0.54143831920277252</v>
      </c>
      <c r="F21" s="1376">
        <f t="shared" si="26"/>
        <v>0.55467714391487632</v>
      </c>
      <c r="G21" s="1377">
        <f t="shared" si="26"/>
        <v>0.5428456903786657</v>
      </c>
      <c r="H21" s="1376">
        <f t="shared" si="26"/>
        <v>0.34424582876062565</v>
      </c>
      <c r="I21" s="1376">
        <f t="shared" si="26"/>
        <v>0.54125565328870051</v>
      </c>
      <c r="J21" s="1376">
        <f t="shared" si="26"/>
        <v>0.54515162923463345</v>
      </c>
      <c r="K21" s="1377">
        <f t="shared" si="26"/>
        <v>0.55463022910966775</v>
      </c>
      <c r="L21" s="1376">
        <f t="shared" si="26"/>
        <v>0.57083303959581722</v>
      </c>
      <c r="M21" s="1376">
        <f t="shared" si="26"/>
        <v>0.57263450750813349</v>
      </c>
      <c r="N21" s="1376">
        <f t="shared" si="26"/>
        <v>0.56863241537802356</v>
      </c>
      <c r="O21" s="1377">
        <f t="shared" si="26"/>
        <v>0.57357400652624202</v>
      </c>
      <c r="P21" s="1376">
        <f t="shared" si="26"/>
        <v>0.58347481089293307</v>
      </c>
      <c r="Q21" s="1376">
        <f t="shared" si="26"/>
        <v>0.59198057176042018</v>
      </c>
      <c r="R21" s="1376">
        <f t="shared" si="26"/>
        <v>0.59715789115182882</v>
      </c>
      <c r="S21" s="1377">
        <f t="shared" si="26"/>
        <v>0.60098231191235252</v>
      </c>
      <c r="T21" s="1376">
        <f t="shared" si="26"/>
        <v>0.60361750019995664</v>
      </c>
      <c r="U21" s="1376">
        <f t="shared" si="26"/>
        <v>0.60448095426485626</v>
      </c>
      <c r="V21" s="1376">
        <f t="shared" si="26"/>
        <v>0.59644467817245939</v>
      </c>
      <c r="W21" s="1377">
        <f t="shared" si="26"/>
        <v>0.59882018468021814</v>
      </c>
      <c r="X21" s="1376">
        <f t="shared" si="26"/>
        <v>0.60038550092399046</v>
      </c>
      <c r="Y21" s="1376">
        <f t="shared" si="26"/>
        <v>0.59815888063654321</v>
      </c>
      <c r="Z21" s="1376">
        <f t="shared" si="26"/>
        <v>0.60588677751385589</v>
      </c>
      <c r="AA21" s="1377">
        <f t="shared" si="26"/>
        <v>0.60915144114462139</v>
      </c>
      <c r="AB21" s="1376">
        <f t="shared" si="26"/>
        <v>0.61004504571692797</v>
      </c>
      <c r="AC21" s="1376">
        <f t="shared" si="26"/>
        <v>0.60863681193595998</v>
      </c>
      <c r="AD21" s="1376">
        <f t="shared" si="26"/>
        <v>0.54529417274647962</v>
      </c>
      <c r="AE21" s="1377">
        <f t="shared" si="26"/>
        <v>0.48464961645685783</v>
      </c>
      <c r="AF21" s="1376">
        <f t="shared" si="26"/>
        <v>0.49979528269128115</v>
      </c>
      <c r="AG21" s="1376">
        <f t="shared" si="26"/>
        <v>0.54416066284010045</v>
      </c>
      <c r="AH21" s="1376">
        <f t="shared" si="26"/>
        <v>0.58375283387778432</v>
      </c>
      <c r="AI21" s="1377">
        <f t="shared" si="26"/>
        <v>0.60596719660456089</v>
      </c>
      <c r="AJ21" s="1378">
        <f t="shared" ref="AJ21:BO21" si="27">AJ20/AJ8</f>
        <v>0.58086944347217362</v>
      </c>
      <c r="AK21" s="1376">
        <f t="shared" si="27"/>
        <v>0.58860075705455039</v>
      </c>
      <c r="AL21" s="1376">
        <f t="shared" si="27"/>
        <v>0.58831669494105876</v>
      </c>
      <c r="AM21" s="1377">
        <f t="shared" si="27"/>
        <v>0.59368396120899491</v>
      </c>
      <c r="AN21" s="1378">
        <f t="shared" si="27"/>
        <v>0.5867660684579995</v>
      </c>
      <c r="AO21" s="1376">
        <f t="shared" si="27"/>
        <v>0.5775156928027434</v>
      </c>
      <c r="AP21" s="1376">
        <f t="shared" si="27"/>
        <v>0.56352610920050061</v>
      </c>
      <c r="AQ21" s="1377">
        <f t="shared" si="27"/>
        <v>0.5619616949582632</v>
      </c>
      <c r="AR21" s="1378">
        <f t="shared" si="27"/>
        <v>0.57670943447664813</v>
      </c>
      <c r="AS21" s="1376">
        <f t="shared" si="27"/>
        <v>0.50664235138195346</v>
      </c>
      <c r="AT21" s="1376">
        <f t="shared" si="27"/>
        <v>0.48174364915502338</v>
      </c>
      <c r="AU21" s="1377">
        <f t="shared" si="27"/>
        <v>0.55971256137479564</v>
      </c>
      <c r="AV21" s="1378">
        <f t="shared" si="27"/>
        <v>0.57601254991443229</v>
      </c>
      <c r="AW21" s="1376">
        <f t="shared" si="27"/>
        <v>0.58632266288319324</v>
      </c>
      <c r="AX21" s="1376">
        <f t="shared" si="27"/>
        <v>0.58610367102568151</v>
      </c>
      <c r="AY21" s="1377">
        <f t="shared" si="27"/>
        <v>0.58896518735913617</v>
      </c>
      <c r="AZ21" s="1378">
        <f t="shared" si="27"/>
        <v>0.5795668549905838</v>
      </c>
      <c r="BA21" s="1376">
        <f t="shared" si="27"/>
        <v>0.56285206400814292</v>
      </c>
      <c r="BB21" s="1376">
        <f t="shared" si="27"/>
        <v>0.57112405666622545</v>
      </c>
      <c r="BC21" s="1376">
        <f t="shared" si="27"/>
        <v>0.57737105744219053</v>
      </c>
      <c r="BD21" s="1378">
        <f t="shared" si="27"/>
        <v>0.57873554177154496</v>
      </c>
      <c r="BE21" s="1376">
        <f t="shared" si="27"/>
        <v>0.55588290163670984</v>
      </c>
      <c r="BF21" s="1376">
        <f t="shared" si="27"/>
        <v>0.54172527130864789</v>
      </c>
      <c r="BG21" s="1377">
        <f t="shared" si="27"/>
        <v>0.54291965566714495</v>
      </c>
      <c r="BH21" s="1376">
        <f>BH20/BH8</f>
        <v>0.43593345600698513</v>
      </c>
      <c r="BI21" s="1376">
        <f t="shared" ref="BI21:BK21" si="28">BI20/BI8</f>
        <v>0.47123934429239678</v>
      </c>
      <c r="BJ21" s="1376">
        <f t="shared" si="28"/>
        <v>0.55761979754687985</v>
      </c>
      <c r="BK21" s="1441">
        <f t="shared" si="28"/>
        <v>0.59028034732669665</v>
      </c>
      <c r="BL21" s="1442">
        <f>BL20/BL8</f>
        <v>0.60118748206278716</v>
      </c>
      <c r="BM21" s="1441">
        <f t="shared" ref="BM21:BN21" si="29">BM20/BM8</f>
        <v>0.60672891766842307</v>
      </c>
      <c r="BN21" s="1494">
        <f t="shared" si="29"/>
        <v>0.6105974120025548</v>
      </c>
      <c r="BO21" s="1453">
        <f t="shared" si="27"/>
        <v>0.61257291057509733</v>
      </c>
      <c r="BP21" s="1378">
        <f t="shared" ref="BP21:BW21" si="30">BP20/BP8</f>
        <v>0.61524458072952937</v>
      </c>
      <c r="BQ21" s="1376">
        <f t="shared" si="30"/>
        <v>0.6169142423423738</v>
      </c>
      <c r="BR21" s="1376">
        <f t="shared" si="30"/>
        <v>0.61543958119581543</v>
      </c>
      <c r="BS21" s="1377">
        <f t="shared" si="30"/>
        <v>0.61528553223831894</v>
      </c>
      <c r="BT21" s="1495">
        <f t="shared" si="30"/>
        <v>0.61708322864601328</v>
      </c>
      <c r="BU21" s="1494">
        <f t="shared" si="30"/>
        <v>0.61875550082052944</v>
      </c>
      <c r="BV21" s="1494">
        <f t="shared" si="30"/>
        <v>0.6172667043418949</v>
      </c>
      <c r="BW21" s="1496">
        <f t="shared" si="30"/>
        <v>0.61824118268482697</v>
      </c>
      <c r="BX21" s="160"/>
      <c r="BY21" s="36">
        <f t="shared" ref="BY21:CO21" si="31">BY20/BY8</f>
        <v>0.54068387718700406</v>
      </c>
      <c r="BZ21" s="36">
        <f t="shared" si="31"/>
        <v>0.50047049738294758</v>
      </c>
      <c r="CA21" s="36">
        <f t="shared" si="31"/>
        <v>0.57144223412394801</v>
      </c>
      <c r="CB21" s="36">
        <f t="shared" si="31"/>
        <v>0.59368590990556025</v>
      </c>
      <c r="CC21" s="36">
        <f t="shared" si="31"/>
        <v>0.60091702086525456</v>
      </c>
      <c r="CD21" s="36">
        <f t="shared" si="31"/>
        <v>0.60337518115119959</v>
      </c>
      <c r="CE21" s="36">
        <f t="shared" si="31"/>
        <v>0.57179864429971539</v>
      </c>
      <c r="CF21" s="36">
        <f t="shared" si="31"/>
        <v>0.56370755775121384</v>
      </c>
      <c r="CG21" s="36">
        <f t="shared" si="31"/>
        <v>0.58797274081246365</v>
      </c>
      <c r="CH21" s="1494">
        <f t="shared" si="31"/>
        <v>0.57288009624227132</v>
      </c>
      <c r="CI21" s="1494">
        <f t="shared" si="31"/>
        <v>0.53012569999298187</v>
      </c>
      <c r="CJ21" s="1494">
        <f t="shared" si="31"/>
        <v>0.58447238192290152</v>
      </c>
      <c r="CK21" s="1376">
        <f t="shared" si="31"/>
        <v>0.5726797314996116</v>
      </c>
      <c r="CL21" s="1376">
        <f t="shared" si="31"/>
        <v>0.55465154855295229</v>
      </c>
      <c r="CM21" s="1376">
        <f t="shared" si="31"/>
        <v>0.51563835628015331</v>
      </c>
      <c r="CN21" s="1376">
        <f t="shared" si="31"/>
        <v>0.6077931064620421</v>
      </c>
      <c r="CO21" s="1376">
        <f t="shared" si="31"/>
        <v>0.61572937504120551</v>
      </c>
      <c r="CP21" s="1377">
        <f t="shared" ref="CP21" si="32">CP20/CP8</f>
        <v>0.61784114337380402</v>
      </c>
      <c r="CQ21" s="160"/>
      <c r="CR21" s="1378">
        <f t="shared" ref="CR21:DG21" si="33">CR20/CR8</f>
        <v>0.49506594226568112</v>
      </c>
      <c r="CS21" s="1376">
        <f t="shared" si="33"/>
        <v>0.5670303970365268</v>
      </c>
      <c r="CT21" s="1376">
        <f t="shared" si="33"/>
        <v>0.58694830356299021</v>
      </c>
      <c r="CU21" s="1376">
        <f t="shared" si="33"/>
        <v>0.60145897554796646</v>
      </c>
      <c r="CV21" s="1376">
        <f t="shared" si="33"/>
        <v>0.60078181316793977</v>
      </c>
      <c r="CW21" s="1376">
        <f t="shared" si="33"/>
        <v>0.59686388776146881</v>
      </c>
      <c r="CX21" s="1376">
        <f t="shared" si="33"/>
        <v>0.53352108398717857</v>
      </c>
      <c r="CY21" s="1376">
        <f t="shared" si="33"/>
        <v>0.59001761427622657</v>
      </c>
      <c r="CZ21" s="1376">
        <f t="shared" si="33"/>
        <v>0.58102861154993857</v>
      </c>
      <c r="DA21" s="1377">
        <f t="shared" si="33"/>
        <v>0.52882601198344059</v>
      </c>
      <c r="DB21" s="1376">
        <f t="shared" si="33"/>
        <v>0.5775841993771873</v>
      </c>
      <c r="DC21" s="1378">
        <f t="shared" si="33"/>
        <v>0.57529588077129024</v>
      </c>
      <c r="DD21" s="1376">
        <f t="shared" si="33"/>
        <v>0.56339820296874232</v>
      </c>
      <c r="DE21" s="1376">
        <f t="shared" si="33"/>
        <v>0.49860631375620729</v>
      </c>
      <c r="DF21" s="1376">
        <f t="shared" si="33"/>
        <v>0.60250631835762114</v>
      </c>
      <c r="DG21" s="1441">
        <f t="shared" si="33"/>
        <v>0.61508465369155596</v>
      </c>
      <c r="DH21" s="1441">
        <f t="shared" ref="DH21" si="34">DH20/DH8</f>
        <v>0.61712622038710419</v>
      </c>
      <c r="DI21" s="23"/>
    </row>
    <row r="22" spans="1:113" ht="14.25" hidden="1" customHeight="1" outlineLevel="1">
      <c r="A22" s="11"/>
      <c r="B22" s="613"/>
      <c r="C22" s="45"/>
      <c r="D22" s="47"/>
      <c r="E22" s="47"/>
      <c r="F22" s="47"/>
      <c r="G22" s="48"/>
      <c r="H22" s="47"/>
      <c r="I22" s="47"/>
      <c r="J22" s="47"/>
      <c r="K22" s="48"/>
      <c r="L22" s="47"/>
      <c r="M22" s="47"/>
      <c r="N22" s="47"/>
      <c r="O22" s="48"/>
      <c r="P22" s="47"/>
      <c r="Q22" s="47"/>
      <c r="R22" s="47"/>
      <c r="S22" s="48"/>
      <c r="T22" s="47"/>
      <c r="U22" s="47"/>
      <c r="V22" s="47"/>
      <c r="W22" s="48"/>
      <c r="X22" s="47"/>
      <c r="Y22" s="47"/>
      <c r="Z22" s="47"/>
      <c r="AA22" s="48"/>
      <c r="AB22" s="47"/>
      <c r="AC22" s="47"/>
      <c r="AD22" s="47"/>
      <c r="AE22" s="48"/>
      <c r="AF22" s="47"/>
      <c r="AG22" s="47"/>
      <c r="AH22" s="47"/>
      <c r="AI22" s="48"/>
      <c r="AJ22" s="46"/>
      <c r="AK22" s="47"/>
      <c r="AL22" s="47"/>
      <c r="AM22" s="48"/>
      <c r="AN22" s="46"/>
      <c r="AO22" s="47"/>
      <c r="AP22" s="47"/>
      <c r="AQ22" s="48"/>
      <c r="AR22" s="46"/>
      <c r="AS22" s="47"/>
      <c r="AT22" s="47"/>
      <c r="AU22" s="48"/>
      <c r="AV22" s="46"/>
      <c r="AW22" s="47"/>
      <c r="AX22" s="47"/>
      <c r="AY22" s="48"/>
      <c r="AZ22" s="46"/>
      <c r="BA22" s="47"/>
      <c r="BB22" s="47"/>
      <c r="BC22" s="47"/>
      <c r="BD22" s="46"/>
      <c r="BE22" s="47"/>
      <c r="BF22" s="47"/>
      <c r="BG22" s="48"/>
      <c r="BH22" s="47"/>
      <c r="BI22" s="47"/>
      <c r="BJ22" s="47"/>
      <c r="BK22" s="47"/>
      <c r="BL22" s="46"/>
      <c r="BM22" s="47"/>
      <c r="BN22" s="47"/>
      <c r="BO22" s="48"/>
      <c r="BP22" s="46"/>
      <c r="BQ22" s="47"/>
      <c r="BR22" s="47"/>
      <c r="BS22" s="48"/>
      <c r="BT22" s="46"/>
      <c r="BU22" s="47"/>
      <c r="BV22" s="47"/>
      <c r="BW22" s="48"/>
      <c r="BX22" s="75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8"/>
      <c r="CQ22" s="160"/>
      <c r="CR22" s="46"/>
      <c r="CS22" s="47"/>
      <c r="CT22" s="47"/>
      <c r="CU22" s="47"/>
      <c r="CV22" s="47"/>
      <c r="CW22" s="47"/>
      <c r="CX22" s="47"/>
      <c r="CY22" s="47"/>
      <c r="CZ22" s="47"/>
      <c r="DA22" s="48"/>
      <c r="DB22" s="47"/>
      <c r="DC22" s="46"/>
      <c r="DD22" s="47"/>
      <c r="DE22" s="47"/>
      <c r="DF22" s="47"/>
      <c r="DG22" s="47"/>
      <c r="DH22" s="47"/>
      <c r="DI22" s="23"/>
    </row>
    <row r="23" spans="1:113" ht="14.25" hidden="1" customHeight="1" outlineLevel="1">
      <c r="A23" s="11"/>
      <c r="B23" s="613" t="s">
        <v>2</v>
      </c>
      <c r="C23" s="45"/>
      <c r="D23" s="47">
        <f t="shared" ref="D23:AI23" si="35">D8-D18</f>
        <v>82.367000000000004</v>
      </c>
      <c r="E23" s="47">
        <f t="shared" si="35"/>
        <v>90.3</v>
      </c>
      <c r="F23" s="47">
        <f t="shared" si="35"/>
        <v>92.893999999999991</v>
      </c>
      <c r="G23" s="48">
        <f t="shared" si="35"/>
        <v>86.674000000000049</v>
      </c>
      <c r="H23" s="47">
        <f t="shared" si="35"/>
        <v>87.275999999999982</v>
      </c>
      <c r="I23" s="47">
        <f t="shared" si="35"/>
        <v>91.193999999999988</v>
      </c>
      <c r="J23" s="47">
        <f t="shared" si="35"/>
        <v>97.01900000000002</v>
      </c>
      <c r="K23" s="48">
        <f t="shared" si="35"/>
        <v>106.22500000000002</v>
      </c>
      <c r="L23" s="47">
        <f t="shared" si="35"/>
        <v>121.459</v>
      </c>
      <c r="M23" s="47">
        <f t="shared" si="35"/>
        <v>126.377</v>
      </c>
      <c r="N23" s="47">
        <f t="shared" si="35"/>
        <v>116.78799999999998</v>
      </c>
      <c r="O23" s="48">
        <f t="shared" si="35"/>
        <v>119.35100000000006</v>
      </c>
      <c r="P23" s="47">
        <f t="shared" si="35"/>
        <v>127.50499999999998</v>
      </c>
      <c r="Q23" s="47">
        <f t="shared" si="35"/>
        <v>134.55599999999998</v>
      </c>
      <c r="R23" s="47">
        <f t="shared" si="35"/>
        <v>140.26999999999998</v>
      </c>
      <c r="S23" s="48">
        <f t="shared" si="35"/>
        <v>148.54599999999999</v>
      </c>
      <c r="T23" s="47">
        <f t="shared" si="35"/>
        <v>158.48400000000004</v>
      </c>
      <c r="U23" s="47">
        <f t="shared" si="35"/>
        <v>161.96100000000001</v>
      </c>
      <c r="V23" s="47">
        <f t="shared" si="35"/>
        <v>149.70999999999998</v>
      </c>
      <c r="W23" s="48">
        <f t="shared" si="35"/>
        <v>154.601</v>
      </c>
      <c r="X23" s="47">
        <f t="shared" si="35"/>
        <v>158.54500000000002</v>
      </c>
      <c r="Y23" s="47">
        <f t="shared" si="35"/>
        <v>154.71199999999999</v>
      </c>
      <c r="Z23" s="47">
        <f t="shared" si="35"/>
        <v>153.047</v>
      </c>
      <c r="AA23" s="48">
        <f t="shared" si="35"/>
        <v>158.63400000000001</v>
      </c>
      <c r="AB23" s="47">
        <f t="shared" si="35"/>
        <v>163.59700000000004</v>
      </c>
      <c r="AC23" s="47">
        <f t="shared" si="35"/>
        <v>164.15300000000002</v>
      </c>
      <c r="AD23" s="47">
        <f t="shared" si="35"/>
        <v>105.095</v>
      </c>
      <c r="AE23" s="48">
        <f t="shared" si="35"/>
        <v>84.204999999999984</v>
      </c>
      <c r="AF23" s="47">
        <f t="shared" si="35"/>
        <v>97.402000000000015</v>
      </c>
      <c r="AG23" s="47">
        <f t="shared" si="35"/>
        <v>123.92</v>
      </c>
      <c r="AH23" s="47">
        <f t="shared" si="35"/>
        <v>146.31700000000001</v>
      </c>
      <c r="AI23" s="48">
        <f t="shared" si="35"/>
        <v>169.14000000000007</v>
      </c>
      <c r="AJ23" s="46">
        <f t="shared" ref="AJ23:BF23" si="36">AJ8-AJ18</f>
        <v>213.35300000000001</v>
      </c>
      <c r="AK23" s="47">
        <f t="shared" si="36"/>
        <v>228.37400000000002</v>
      </c>
      <c r="AL23" s="47">
        <f t="shared" si="36"/>
        <v>218.14400000000003</v>
      </c>
      <c r="AM23" s="48">
        <f t="shared" si="36"/>
        <v>227.45199999999986</v>
      </c>
      <c r="AN23" s="46">
        <f t="shared" si="36"/>
        <v>221.45700000000002</v>
      </c>
      <c r="AO23" s="47">
        <f t="shared" si="36"/>
        <v>196.70299999999997</v>
      </c>
      <c r="AP23" s="47">
        <f t="shared" si="36"/>
        <v>185.488</v>
      </c>
      <c r="AQ23" s="48">
        <f t="shared" si="36"/>
        <v>192.22799999999995</v>
      </c>
      <c r="AR23" s="46">
        <f t="shared" si="36"/>
        <v>206.428</v>
      </c>
      <c r="AS23" s="47">
        <f t="shared" si="36"/>
        <v>232.58199999999999</v>
      </c>
      <c r="AT23" s="47">
        <f t="shared" si="36"/>
        <v>231.23600000000002</v>
      </c>
      <c r="AU23" s="48">
        <f t="shared" si="36"/>
        <v>241.84000000000009</v>
      </c>
      <c r="AV23" s="46">
        <f t="shared" si="36"/>
        <v>266.57399999999996</v>
      </c>
      <c r="AW23" s="47">
        <f t="shared" si="36"/>
        <v>288.86299999999994</v>
      </c>
      <c r="AX23" s="47">
        <f t="shared" si="36"/>
        <v>282.76200000000006</v>
      </c>
      <c r="AY23" s="48">
        <f t="shared" si="36"/>
        <v>290.90600000000012</v>
      </c>
      <c r="AZ23" s="46">
        <f t="shared" si="36"/>
        <v>315.69200000000001</v>
      </c>
      <c r="BA23" s="47">
        <f t="shared" si="36"/>
        <v>320.14400000000006</v>
      </c>
      <c r="BB23" s="47">
        <f t="shared" si="36"/>
        <v>309.35300000000007</v>
      </c>
      <c r="BC23" s="47">
        <f t="shared" si="36"/>
        <v>316.935</v>
      </c>
      <c r="BD23" s="46">
        <f t="shared" si="36"/>
        <v>309.56</v>
      </c>
      <c r="BE23" s="891">
        <f t="shared" si="36"/>
        <v>321.50199999999995</v>
      </c>
      <c r="BF23" s="47">
        <f t="shared" si="36"/>
        <v>317.47100000000006</v>
      </c>
      <c r="BG23" s="48">
        <f>BG20+BG17</f>
        <v>329.94800000000004</v>
      </c>
      <c r="BH23" s="47">
        <f>BH8-BH18</f>
        <v>463.19399999999996</v>
      </c>
      <c r="BI23" s="891">
        <f t="shared" ref="BI23:BJ23" si="37">BI8-BI18</f>
        <v>495.82100000000003</v>
      </c>
      <c r="BJ23" s="47">
        <f t="shared" si="37"/>
        <v>506.25199999999995</v>
      </c>
      <c r="BK23" s="47">
        <f>BK20+BK17</f>
        <v>531.476</v>
      </c>
      <c r="BL23" s="46">
        <f>BL8-BL18</f>
        <v>583.779</v>
      </c>
      <c r="BM23" s="891">
        <f t="shared" ref="BM23:BN23" si="38">BM8-BM18</f>
        <v>614.09400000000005</v>
      </c>
      <c r="BN23" s="47">
        <f t="shared" si="38"/>
        <v>607.05899999999997</v>
      </c>
      <c r="BO23" s="893">
        <f t="shared" ref="BO23:BS23" si="39">BO125-BO18</f>
        <v>603.710307392</v>
      </c>
      <c r="BP23" s="892">
        <f t="shared" si="39"/>
        <v>633.14933715409995</v>
      </c>
      <c r="BQ23" s="891">
        <f t="shared" si="39"/>
        <v>654.74746610869443</v>
      </c>
      <c r="BR23" s="891">
        <f t="shared" si="39"/>
        <v>639.89556232146936</v>
      </c>
      <c r="BS23" s="893">
        <f t="shared" si="39"/>
        <v>633.96702724354202</v>
      </c>
      <c r="BT23" s="892">
        <f t="shared" ref="BT23:BW23" si="40">BT125-BT18</f>
        <v>661.14890826465432</v>
      </c>
      <c r="BU23" s="891">
        <f t="shared" si="40"/>
        <v>679.97906572473744</v>
      </c>
      <c r="BV23" s="891">
        <f t="shared" si="40"/>
        <v>668.50710106471058</v>
      </c>
      <c r="BW23" s="893">
        <f t="shared" si="40"/>
        <v>663.51102888063838</v>
      </c>
      <c r="BX23" s="160"/>
      <c r="BY23" s="47">
        <f t="shared" ref="BY23:CO23" si="41">BY8-BY18</f>
        <v>352.23500000000001</v>
      </c>
      <c r="BZ23" s="47">
        <f t="shared" si="41"/>
        <v>381.71399999999994</v>
      </c>
      <c r="CA23" s="47">
        <f t="shared" si="41"/>
        <v>483.97500000000002</v>
      </c>
      <c r="CB23" s="47">
        <f t="shared" si="41"/>
        <v>550.87700000000007</v>
      </c>
      <c r="CC23" s="47">
        <f t="shared" si="41"/>
        <v>624.75600000000009</v>
      </c>
      <c r="CD23" s="47">
        <f t="shared" si="41"/>
        <v>624.9380000000001</v>
      </c>
      <c r="CE23" s="47">
        <f t="shared" si="41"/>
        <v>517.04999999999995</v>
      </c>
      <c r="CF23" s="47">
        <f t="shared" si="41"/>
        <v>536.77900000000011</v>
      </c>
      <c r="CG23" s="47">
        <f t="shared" si="41"/>
        <v>887.32299999999987</v>
      </c>
      <c r="CH23" s="47">
        <f t="shared" si="41"/>
        <v>795.87599999999986</v>
      </c>
      <c r="CI23" s="47">
        <f t="shared" si="41"/>
        <v>912.08600000000001</v>
      </c>
      <c r="CJ23" s="47">
        <f t="shared" si="41"/>
        <v>1129.1050000000005</v>
      </c>
      <c r="CK23" s="47">
        <f t="shared" si="41"/>
        <v>1262.124</v>
      </c>
      <c r="CL23" s="47">
        <f t="shared" si="41"/>
        <v>1278.4809999999998</v>
      </c>
      <c r="CM23" s="47">
        <f t="shared" si="41"/>
        <v>1996.7430000000004</v>
      </c>
      <c r="CN23" s="47">
        <f t="shared" si="41"/>
        <v>2408.642307392</v>
      </c>
      <c r="CO23" s="47">
        <f t="shared" si="41"/>
        <v>2561.7593928278061</v>
      </c>
      <c r="CP23" s="48">
        <f t="shared" ref="CP23" si="42">CP8-CP18</f>
        <v>2673.1461039347405</v>
      </c>
      <c r="CQ23" s="160"/>
      <c r="CR23" s="46">
        <f t="shared" ref="CR23:DG23" si="43">CR8-CR18</f>
        <v>362.16300000000012</v>
      </c>
      <c r="CS23" s="47">
        <f t="shared" si="43"/>
        <v>470.84900000000005</v>
      </c>
      <c r="CT23" s="47">
        <f t="shared" si="43"/>
        <v>521.6819999999999</v>
      </c>
      <c r="CU23" s="47">
        <f t="shared" si="43"/>
        <v>618.70099999999991</v>
      </c>
      <c r="CV23" s="47">
        <f t="shared" si="43"/>
        <v>620.90499999999986</v>
      </c>
      <c r="CW23" s="47">
        <f t="shared" si="43"/>
        <v>591.47899999999993</v>
      </c>
      <c r="CX23" s="47">
        <f t="shared" si="43"/>
        <v>451.84399999999999</v>
      </c>
      <c r="CY23" s="47">
        <f t="shared" si="43"/>
        <v>829.01100000000031</v>
      </c>
      <c r="CZ23" s="47">
        <f t="shared" si="43"/>
        <v>831.1</v>
      </c>
      <c r="DA23" s="48">
        <f t="shared" si="43"/>
        <v>862.47400000000005</v>
      </c>
      <c r="DB23" s="47">
        <f t="shared" si="43"/>
        <v>1080.0390000000002</v>
      </c>
      <c r="DC23" s="46">
        <f t="shared" si="43"/>
        <v>1236.0950000000003</v>
      </c>
      <c r="DD23" s="47">
        <f t="shared" si="43"/>
        <v>1265.4680000000003</v>
      </c>
      <c r="DE23" s="47">
        <f t="shared" si="43"/>
        <v>1795.2150000000001</v>
      </c>
      <c r="DF23" s="47">
        <f t="shared" si="43"/>
        <v>2336.4079999999999</v>
      </c>
      <c r="DG23" s="47">
        <f t="shared" si="43"/>
        <v>2531.5026729762635</v>
      </c>
      <c r="DH23" s="47">
        <f t="shared" ref="DH23" si="44">DH8-DH18</f>
        <v>2643.6021022976443</v>
      </c>
      <c r="DI23" s="80"/>
    </row>
    <row r="24" spans="1:113" ht="14.25" hidden="1" customHeight="1" outlineLevel="1">
      <c r="A24" s="11"/>
      <c r="B24" s="609" t="s">
        <v>3</v>
      </c>
      <c r="C24" s="35"/>
      <c r="D24" s="1376">
        <f t="shared" ref="D24:AI24" si="45">D23/D8</f>
        <v>0.52281902198750829</v>
      </c>
      <c r="E24" s="1376">
        <f t="shared" si="45"/>
        <v>0.54143831920277252</v>
      </c>
      <c r="F24" s="1376">
        <f t="shared" si="45"/>
        <v>0.55467714391487632</v>
      </c>
      <c r="G24" s="1377">
        <f t="shared" si="45"/>
        <v>0.5428456903786657</v>
      </c>
      <c r="H24" s="1376">
        <f t="shared" si="45"/>
        <v>0.54113576756384729</v>
      </c>
      <c r="I24" s="1376">
        <f t="shared" si="45"/>
        <v>0.54125565328870051</v>
      </c>
      <c r="J24" s="1376">
        <f t="shared" si="45"/>
        <v>0.54515162923463345</v>
      </c>
      <c r="K24" s="1377">
        <f t="shared" si="45"/>
        <v>0.55463022910966775</v>
      </c>
      <c r="L24" s="1376">
        <f t="shared" si="45"/>
        <v>0.57083303959581722</v>
      </c>
      <c r="M24" s="1376">
        <f t="shared" si="45"/>
        <v>0.57263450750813349</v>
      </c>
      <c r="N24" s="1376">
        <f t="shared" si="45"/>
        <v>0.56863241537802356</v>
      </c>
      <c r="O24" s="1377">
        <f t="shared" si="45"/>
        <v>0.57357400652624202</v>
      </c>
      <c r="P24" s="1376">
        <f t="shared" si="45"/>
        <v>0.58347481089293307</v>
      </c>
      <c r="Q24" s="1376">
        <f t="shared" si="45"/>
        <v>0.59198057176042018</v>
      </c>
      <c r="R24" s="1376">
        <f t="shared" si="45"/>
        <v>0.59715789115182882</v>
      </c>
      <c r="S24" s="1377">
        <f t="shared" si="45"/>
        <v>0.60098231191235252</v>
      </c>
      <c r="T24" s="1376">
        <f t="shared" si="45"/>
        <v>0.60361750019995664</v>
      </c>
      <c r="U24" s="1376">
        <f t="shared" si="45"/>
        <v>0.60448095426485626</v>
      </c>
      <c r="V24" s="1376">
        <f t="shared" si="45"/>
        <v>0.59644467817245939</v>
      </c>
      <c r="W24" s="1377">
        <f t="shared" si="45"/>
        <v>0.59882018468021814</v>
      </c>
      <c r="X24" s="1376">
        <f t="shared" si="45"/>
        <v>0.60038550092399046</v>
      </c>
      <c r="Y24" s="1376">
        <f t="shared" si="45"/>
        <v>0.59815888063654321</v>
      </c>
      <c r="Z24" s="1376">
        <f t="shared" si="45"/>
        <v>0.60588677751385589</v>
      </c>
      <c r="AA24" s="1377">
        <f t="shared" si="45"/>
        <v>0.60915144114462139</v>
      </c>
      <c r="AB24" s="1376">
        <f t="shared" si="45"/>
        <v>0.61004504571692797</v>
      </c>
      <c r="AC24" s="1376">
        <f t="shared" si="45"/>
        <v>0.60863681193595998</v>
      </c>
      <c r="AD24" s="1376">
        <f t="shared" si="45"/>
        <v>0.54689695367546809</v>
      </c>
      <c r="AE24" s="1377">
        <f t="shared" si="45"/>
        <v>0.48602333004334697</v>
      </c>
      <c r="AF24" s="1376">
        <f t="shared" si="45"/>
        <v>0.50480696971738648</v>
      </c>
      <c r="AG24" s="1376">
        <f t="shared" si="45"/>
        <v>0.54671955034169972</v>
      </c>
      <c r="AH24" s="1376">
        <f t="shared" si="45"/>
        <v>0.58503632561505647</v>
      </c>
      <c r="AI24" s="1377">
        <f t="shared" si="45"/>
        <v>0.60837349830947418</v>
      </c>
      <c r="AJ24" s="1378">
        <f t="shared" ref="AJ24:AY24" si="46">AJ23/AJ8</f>
        <v>0.59741827091354571</v>
      </c>
      <c r="AK24" s="1376">
        <f t="shared" si="46"/>
        <v>0.59741387654308076</v>
      </c>
      <c r="AL24" s="1376">
        <f t="shared" si="46"/>
        <v>0.59306624907564498</v>
      </c>
      <c r="AM24" s="1377">
        <f t="shared" si="46"/>
        <v>0.59858152295485323</v>
      </c>
      <c r="AN24" s="1378">
        <f t="shared" si="46"/>
        <v>0.5913294010525838</v>
      </c>
      <c r="AO24" s="1376">
        <f t="shared" si="46"/>
        <v>0.5775156928027434</v>
      </c>
      <c r="AP24" s="1376">
        <f t="shared" si="46"/>
        <v>0.56352610920050061</v>
      </c>
      <c r="AQ24" s="1377">
        <f t="shared" si="46"/>
        <v>0.5671931569055001</v>
      </c>
      <c r="AR24" s="1378">
        <f t="shared" si="46"/>
        <v>0.58622001851567862</v>
      </c>
      <c r="AS24" s="1376">
        <f t="shared" si="46"/>
        <v>0.60679158252847654</v>
      </c>
      <c r="AT24" s="1376">
        <f t="shared" si="46"/>
        <v>0.5557929753128853</v>
      </c>
      <c r="AU24" s="1377">
        <f t="shared" si="46"/>
        <v>0.56223032286862096</v>
      </c>
      <c r="AV24" s="1378">
        <f t="shared" si="46"/>
        <v>0.57601254991443229</v>
      </c>
      <c r="AW24" s="1376">
        <f t="shared" si="46"/>
        <v>0.58632266288319324</v>
      </c>
      <c r="AX24" s="1376">
        <f t="shared" si="46"/>
        <v>0.58619074075609701</v>
      </c>
      <c r="AY24" s="1377">
        <f t="shared" si="46"/>
        <v>0.58961376939665655</v>
      </c>
      <c r="AZ24" s="1376">
        <f t="shared" ref="AZ24" si="47">AZ23/AZ125</f>
        <v>0.59413751893778988</v>
      </c>
      <c r="BA24" s="1376">
        <f t="shared" ref="BA24" si="48">BA23/BA125</f>
        <v>0.58608348299200175</v>
      </c>
      <c r="BB24" s="1376">
        <f t="shared" ref="BB24" si="49">BB23/BB125</f>
        <v>0.57736655468458398</v>
      </c>
      <c r="BC24" s="1376">
        <f t="shared" ref="BC24" si="50">BC23/BC125</f>
        <v>0.57920466382792091</v>
      </c>
      <c r="BD24" s="1378">
        <f t="shared" ref="BD24" si="51">BD23/BD125</f>
        <v>0.57975248711494665</v>
      </c>
      <c r="BE24" s="1376">
        <f t="shared" ref="BE24" si="52">BE23/BE125</f>
        <v>0.57472649267071851</v>
      </c>
      <c r="BF24" s="1376">
        <f t="shared" ref="BF24" si="53">BF23/BF125</f>
        <v>0.57511507881154977</v>
      </c>
      <c r="BG24" s="1377">
        <f t="shared" ref="BG24" si="54">BG23/BG125</f>
        <v>0.58048557353976082</v>
      </c>
      <c r="BH24" s="1376">
        <f t="shared" ref="BH24" si="55">BH23/BH125</f>
        <v>0.54880935736814529</v>
      </c>
      <c r="BI24" s="1376">
        <f t="shared" ref="BI24" si="56">BI23/BI125</f>
        <v>0.56740803469762602</v>
      </c>
      <c r="BJ24" s="1376">
        <f t="shared" ref="BJ24" si="57">BJ23/BJ125</f>
        <v>0.57450295052201539</v>
      </c>
      <c r="BK24" s="1441">
        <f>BK23/BK125</f>
        <v>0.58878477753676328</v>
      </c>
      <c r="BL24" s="1442">
        <f t="shared" ref="BL24:BN24" si="58">BL23/BL125</f>
        <v>0.60050856820152632</v>
      </c>
      <c r="BM24" s="1441">
        <f t="shared" si="58"/>
        <v>0.60672891766842307</v>
      </c>
      <c r="BN24" s="1494">
        <f t="shared" si="58"/>
        <v>0.6105974120025548</v>
      </c>
      <c r="BO24" s="1453">
        <f t="shared" ref="BO24" si="59">BO23/BO125</f>
        <v>0.61257291057509733</v>
      </c>
      <c r="BP24" s="1378">
        <f t="shared" ref="BP24" si="60">BP23/BP125</f>
        <v>0.61524458072952937</v>
      </c>
      <c r="BQ24" s="1376">
        <f t="shared" ref="BQ24" si="61">BQ23/BQ125</f>
        <v>0.6169142423423738</v>
      </c>
      <c r="BR24" s="1376">
        <f t="shared" ref="BR24" si="62">BR23/BR125</f>
        <v>0.61543958119581543</v>
      </c>
      <c r="BS24" s="1377">
        <f t="shared" ref="BS24:BV24" si="63">BS23/BS125</f>
        <v>0.61528553223831894</v>
      </c>
      <c r="BT24" s="1495">
        <f t="shared" si="63"/>
        <v>0.61708322864601328</v>
      </c>
      <c r="BU24" s="1494">
        <f t="shared" si="63"/>
        <v>0.61875550082052944</v>
      </c>
      <c r="BV24" s="1494">
        <f t="shared" si="63"/>
        <v>0.6172667043418949</v>
      </c>
      <c r="BW24" s="1496">
        <f t="shared" ref="BW24" si="64">BW23/BW125</f>
        <v>0.61824118268482697</v>
      </c>
      <c r="BX24" s="160"/>
      <c r="BY24" s="36">
        <f t="shared" ref="BY24:CO24" si="65">BY23/BY8</f>
        <v>0.54068387718700406</v>
      </c>
      <c r="BZ24" s="36">
        <f t="shared" si="65"/>
        <v>0.54588279037839993</v>
      </c>
      <c r="CA24" s="36">
        <f t="shared" si="65"/>
        <v>0.57144223412394801</v>
      </c>
      <c r="CB24" s="36">
        <f t="shared" si="65"/>
        <v>0.59368590990556025</v>
      </c>
      <c r="CC24" s="36">
        <f t="shared" si="65"/>
        <v>0.60091702086525456</v>
      </c>
      <c r="CD24" s="36">
        <f t="shared" si="65"/>
        <v>0.60337518115119959</v>
      </c>
      <c r="CE24" s="36">
        <f t="shared" si="65"/>
        <v>0.57240309665591704</v>
      </c>
      <c r="CF24" s="36">
        <f t="shared" si="65"/>
        <v>0.56638448332804003</v>
      </c>
      <c r="CG24" s="36">
        <f t="shared" si="65"/>
        <v>0.596637988710366</v>
      </c>
      <c r="CH24" s="1494">
        <f t="shared" si="65"/>
        <v>0.57539749099174642</v>
      </c>
      <c r="CI24" s="1494">
        <f t="shared" si="65"/>
        <v>0.57667724862372383</v>
      </c>
      <c r="CJ24" s="1494">
        <f t="shared" si="65"/>
        <v>0.58465982849156795</v>
      </c>
      <c r="CK24" s="1376">
        <f t="shared" si="65"/>
        <v>0.58784482421347384</v>
      </c>
      <c r="CL24" s="1376">
        <f t="shared" si="65"/>
        <v>0.5882706701876006</v>
      </c>
      <c r="CM24" s="1376">
        <f t="shared" si="65"/>
        <v>0.58593194978471497</v>
      </c>
      <c r="CN24" s="1376">
        <f t="shared" si="65"/>
        <v>0.60762660869667884</v>
      </c>
      <c r="CO24" s="1376">
        <f t="shared" si="65"/>
        <v>0.61572937504120551</v>
      </c>
      <c r="CP24" s="1377">
        <f t="shared" ref="CP24" si="66">CP23/CP8</f>
        <v>0.61784114337380402</v>
      </c>
      <c r="CQ24" s="160"/>
      <c r="CR24" s="1378">
        <f t="shared" ref="CR24:DG24" si="67">CR23/CR8</f>
        <v>0.54264596150446076</v>
      </c>
      <c r="CS24" s="1376">
        <f t="shared" si="67"/>
        <v>0.5670303970365268</v>
      </c>
      <c r="CT24" s="1376">
        <f t="shared" si="67"/>
        <v>0.58694830356299021</v>
      </c>
      <c r="CU24" s="1376">
        <f t="shared" si="67"/>
        <v>0.60145897554796646</v>
      </c>
      <c r="CV24" s="1376">
        <f t="shared" si="67"/>
        <v>0.60078181316793977</v>
      </c>
      <c r="CW24" s="1376">
        <f t="shared" si="67"/>
        <v>0.59717485375511625</v>
      </c>
      <c r="CX24" s="1376">
        <f t="shared" si="67"/>
        <v>0.53601941724537994</v>
      </c>
      <c r="CY24" s="1376">
        <f t="shared" si="67"/>
        <v>0.59846019462331446</v>
      </c>
      <c r="CZ24" s="1376">
        <f t="shared" si="67"/>
        <v>0.58353519396173426</v>
      </c>
      <c r="DA24" s="1377">
        <f t="shared" si="67"/>
        <v>0.57869014150658549</v>
      </c>
      <c r="DB24" s="1376">
        <f t="shared" si="67"/>
        <v>0.57818645518654677</v>
      </c>
      <c r="DC24" s="1378">
        <f t="shared" si="67"/>
        <v>0.58939888318449296</v>
      </c>
      <c r="DD24" s="1376">
        <f t="shared" si="67"/>
        <v>0.58616495298055404</v>
      </c>
      <c r="DE24" s="1376">
        <f t="shared" si="67"/>
        <v>0.58614652691820823</v>
      </c>
      <c r="DF24" s="1376">
        <f t="shared" si="67"/>
        <v>0.60198843075159925</v>
      </c>
      <c r="DG24" s="1441">
        <f t="shared" si="67"/>
        <v>0.61508465369155596</v>
      </c>
      <c r="DH24" s="1441">
        <f t="shared" ref="DH24" si="68">DH23/DH8</f>
        <v>0.61712622038710419</v>
      </c>
      <c r="DI24" s="23"/>
    </row>
    <row r="25" spans="1:113" ht="14.25" customHeight="1" collapsed="1">
      <c r="A25" s="11"/>
      <c r="B25" s="612"/>
      <c r="C25" s="24"/>
      <c r="D25" s="38"/>
      <c r="E25" s="38"/>
      <c r="F25" s="38"/>
      <c r="G25" s="39"/>
      <c r="H25" s="38"/>
      <c r="I25" s="38"/>
      <c r="J25" s="38"/>
      <c r="K25" s="39"/>
      <c r="L25" s="38"/>
      <c r="M25" s="38"/>
      <c r="N25" s="38"/>
      <c r="O25" s="39"/>
      <c r="P25" s="38"/>
      <c r="Q25" s="38"/>
      <c r="R25" s="38"/>
      <c r="S25" s="39"/>
      <c r="T25" s="38"/>
      <c r="U25" s="38"/>
      <c r="V25" s="38"/>
      <c r="W25" s="39"/>
      <c r="X25" s="38"/>
      <c r="Y25" s="38"/>
      <c r="Z25" s="38"/>
      <c r="AA25" s="39"/>
      <c r="AB25" s="38"/>
      <c r="AC25" s="38"/>
      <c r="AD25" s="38"/>
      <c r="AE25" s="39"/>
      <c r="AF25" s="38"/>
      <c r="AG25" s="38"/>
      <c r="AH25" s="38"/>
      <c r="AI25" s="39"/>
      <c r="AJ25" s="40"/>
      <c r="AK25" s="38"/>
      <c r="AL25" s="38"/>
      <c r="AM25" s="39"/>
      <c r="AN25" s="40"/>
      <c r="AO25" s="38"/>
      <c r="AP25" s="38"/>
      <c r="AQ25" s="39"/>
      <c r="AR25" s="40"/>
      <c r="AS25" s="38"/>
      <c r="AT25" s="38"/>
      <c r="AU25" s="39"/>
      <c r="AV25" s="40"/>
      <c r="AW25" s="38"/>
      <c r="AX25" s="38"/>
      <c r="AY25" s="39"/>
      <c r="AZ25" s="1084"/>
      <c r="BA25" s="38"/>
      <c r="BB25" s="38"/>
      <c r="BC25" s="38"/>
      <c r="BD25" s="1084"/>
      <c r="BE25" s="38"/>
      <c r="BF25" s="38"/>
      <c r="BG25" s="39"/>
      <c r="BH25" s="1341"/>
      <c r="BI25" s="38"/>
      <c r="BJ25" s="38"/>
      <c r="BK25" s="38"/>
      <c r="BL25" s="1454"/>
      <c r="BM25" s="38"/>
      <c r="BN25" s="38"/>
      <c r="BO25" s="39"/>
      <c r="BP25" s="40"/>
      <c r="BQ25" s="38"/>
      <c r="BR25" s="38"/>
      <c r="BS25" s="39"/>
      <c r="BT25" s="40"/>
      <c r="BU25" s="38"/>
      <c r="BV25" s="38"/>
      <c r="BW25" s="39"/>
      <c r="BX25" s="160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2"/>
      <c r="CQ25" s="160"/>
      <c r="CR25" s="95"/>
      <c r="CS25" s="96"/>
      <c r="CT25" s="96"/>
      <c r="CU25" s="96"/>
      <c r="CV25" s="96"/>
      <c r="CW25" s="96"/>
      <c r="CX25" s="96"/>
      <c r="CY25" s="96"/>
      <c r="CZ25" s="96"/>
      <c r="DA25" s="97"/>
      <c r="DB25" s="96"/>
      <c r="DC25" s="95"/>
      <c r="DD25" s="96"/>
      <c r="DE25" s="96"/>
      <c r="DF25" s="96"/>
      <c r="DG25" s="96"/>
      <c r="DH25" s="96"/>
      <c r="DI25" s="23"/>
    </row>
    <row r="26" spans="1:113" ht="14.25" customHeight="1">
      <c r="A26" s="11"/>
      <c r="B26" s="612" t="s">
        <v>108</v>
      </c>
      <c r="C26" s="24"/>
      <c r="D26" s="29">
        <v>21.56</v>
      </c>
      <c r="E26" s="29">
        <v>22.337</v>
      </c>
      <c r="F26" s="29">
        <v>22.323</v>
      </c>
      <c r="G26" s="455">
        <f>87.963-F26-E26-D26</f>
        <v>21.742999999999984</v>
      </c>
      <c r="H26" s="29">
        <v>21.282</v>
      </c>
      <c r="I26" s="29">
        <v>21.148</v>
      </c>
      <c r="J26" s="29">
        <v>20.858000000000001</v>
      </c>
      <c r="K26" s="455">
        <f>85.389-J26-I26-H26</f>
        <v>22.100999999999996</v>
      </c>
      <c r="L26" s="29">
        <v>23.280999999999999</v>
      </c>
      <c r="M26" s="29">
        <v>23.318000000000001</v>
      </c>
      <c r="N26" s="29">
        <v>23.11</v>
      </c>
      <c r="O26" s="455">
        <f>93.04-N26-M26-L26</f>
        <v>23.33100000000001</v>
      </c>
      <c r="P26" s="29">
        <v>23.395</v>
      </c>
      <c r="Q26" s="29">
        <v>23.637</v>
      </c>
      <c r="R26" s="29">
        <v>23.376999999999999</v>
      </c>
      <c r="S26" s="30">
        <v>24.516999999999999</v>
      </c>
      <c r="T26" s="29">
        <v>28.024000000000001</v>
      </c>
      <c r="U26" s="29">
        <v>29.084</v>
      </c>
      <c r="V26" s="29">
        <v>28.042999999999999</v>
      </c>
      <c r="W26" s="30">
        <v>28.547000000000001</v>
      </c>
      <c r="X26" s="29">
        <v>29.745999999999999</v>
      </c>
      <c r="Y26" s="29">
        <v>29.306000000000001</v>
      </c>
      <c r="Z26" s="29">
        <v>30.306000000000001</v>
      </c>
      <c r="AA26" s="30">
        <v>31.506</v>
      </c>
      <c r="AB26" s="29">
        <v>31.552</v>
      </c>
      <c r="AC26" s="29">
        <v>31.343</v>
      </c>
      <c r="AD26" s="29">
        <v>26.972999999999999</v>
      </c>
      <c r="AE26" s="30">
        <v>25.655999999999999</v>
      </c>
      <c r="AF26" s="29">
        <v>27.635999999999999</v>
      </c>
      <c r="AG26" s="29">
        <v>29.568000000000001</v>
      </c>
      <c r="AH26" s="29">
        <v>30.332000000000001</v>
      </c>
      <c r="AI26" s="949">
        <f>120.823-AH26-AG26-AF26</f>
        <v>33.286999999999992</v>
      </c>
      <c r="AJ26" s="577">
        <v>40.53</v>
      </c>
      <c r="AK26" s="29">
        <v>43.72</v>
      </c>
      <c r="AL26" s="29">
        <v>42.198</v>
      </c>
      <c r="AM26" s="30">
        <f>170.607-AL26-AK26-AJ26</f>
        <v>44.158999999999992</v>
      </c>
      <c r="AN26" s="577">
        <v>45.298000000000002</v>
      </c>
      <c r="AO26" s="29">
        <v>45.383000000000003</v>
      </c>
      <c r="AP26" s="29">
        <v>44.256</v>
      </c>
      <c r="AQ26" s="30">
        <f>182.65-AP26-AO26-AN26</f>
        <v>47.712999999999994</v>
      </c>
      <c r="AR26" s="577">
        <v>48.826000000000001</v>
      </c>
      <c r="AS26" s="29">
        <v>64.081999999999994</v>
      </c>
      <c r="AT26" s="29">
        <v>71.376999999999995</v>
      </c>
      <c r="AU26" s="30">
        <f>254.723-AR26-AS26-AT26</f>
        <v>70.438000000000031</v>
      </c>
      <c r="AV26" s="577">
        <v>73.084999999999994</v>
      </c>
      <c r="AW26" s="29">
        <v>78.254000000000005</v>
      </c>
      <c r="AX26" s="29">
        <v>76.340999999999994</v>
      </c>
      <c r="AY26" s="30">
        <f>305.043-AV26-AW26-AX26</f>
        <v>77.363000000000014</v>
      </c>
      <c r="AZ26" s="577">
        <v>84.37</v>
      </c>
      <c r="BA26" s="29">
        <v>88.813999999999993</v>
      </c>
      <c r="BB26" s="29">
        <v>88.697000000000003</v>
      </c>
      <c r="BC26" s="29">
        <v>87.662000000000006</v>
      </c>
      <c r="BD26" s="577">
        <v>84.68</v>
      </c>
      <c r="BE26" s="29">
        <v>95.256</v>
      </c>
      <c r="BF26" s="29">
        <v>97.022000000000006</v>
      </c>
      <c r="BG26" s="30">
        <v>95.638000000000005</v>
      </c>
      <c r="BH26" s="29">
        <v>147.88300000000001</v>
      </c>
      <c r="BI26" s="29">
        <v>137.79499999999999</v>
      </c>
      <c r="BJ26" s="29">
        <v>132.43299999999999</v>
      </c>
      <c r="BK26" s="29">
        <v>127.182</v>
      </c>
      <c r="BL26" s="577">
        <v>130.47999999999999</v>
      </c>
      <c r="BM26" s="29">
        <v>133.62100000000001</v>
      </c>
      <c r="BN26" s="29">
        <v>131.55500000000001</v>
      </c>
      <c r="BO26" s="1252">
        <f t="shared" ref="BO26:BS26" si="69">BO30-BO32</f>
        <v>131.29913436458878</v>
      </c>
      <c r="BP26" s="1262">
        <f t="shared" si="69"/>
        <v>135.08245616480534</v>
      </c>
      <c r="BQ26" s="1263">
        <f t="shared" si="69"/>
        <v>137.62067809579202</v>
      </c>
      <c r="BR26" s="1263">
        <f t="shared" si="69"/>
        <v>135.56585722591888</v>
      </c>
      <c r="BS26" s="1252">
        <f t="shared" si="69"/>
        <v>134.42900731783286</v>
      </c>
      <c r="BT26" s="1262">
        <f t="shared" ref="BT26:BW26" si="70">BT30-BT32</f>
        <v>138.02465806990207</v>
      </c>
      <c r="BU26" s="1263">
        <f t="shared" si="70"/>
        <v>140.39984314881971</v>
      </c>
      <c r="BV26" s="1263">
        <f t="shared" si="70"/>
        <v>139.26595761379502</v>
      </c>
      <c r="BW26" s="1252">
        <f t="shared" si="70"/>
        <v>138.4239899962939</v>
      </c>
      <c r="BX26" s="160"/>
      <c r="BY26" s="31">
        <f>SUM(D26:G26)</f>
        <v>87.96299999999998</v>
      </c>
      <c r="BZ26" s="31">
        <f>SUM(H26:K26)</f>
        <v>85.388999999999996</v>
      </c>
      <c r="CA26" s="31">
        <f>SUM(L26:O26)</f>
        <v>93.04000000000002</v>
      </c>
      <c r="CB26" s="31">
        <f>SUM(P26:S26)</f>
        <v>94.925999999999988</v>
      </c>
      <c r="CC26" s="31">
        <f>SUM(T26:W26)</f>
        <v>113.69800000000001</v>
      </c>
      <c r="CD26" s="31">
        <f>SUM(X26:AA26)</f>
        <v>120.864</v>
      </c>
      <c r="CE26" s="31">
        <f>SUM(AB26:AE26)</f>
        <v>115.524</v>
      </c>
      <c r="CF26" s="31">
        <f>SUM(AF26:AI26)</f>
        <v>120.82299999999999</v>
      </c>
      <c r="CG26" s="31">
        <f>SUM(AJ26:AM26)</f>
        <v>170.607</v>
      </c>
      <c r="CH26" s="31">
        <f>SUM(AN26:AQ26)</f>
        <v>182.65</v>
      </c>
      <c r="CI26" s="31">
        <f>SUM(AR26:AU26)</f>
        <v>254.72300000000001</v>
      </c>
      <c r="CJ26" s="31">
        <f>SUM(AV26:AY26)</f>
        <v>305.04300000000001</v>
      </c>
      <c r="CK26" s="31">
        <f>SUM(AZ26:BC26)</f>
        <v>349.54300000000001</v>
      </c>
      <c r="CL26" s="31">
        <f>SUM(BD26:BG26)</f>
        <v>372.596</v>
      </c>
      <c r="CM26" s="31">
        <f>SUM(BH26:BK26)</f>
        <v>545.29300000000001</v>
      </c>
      <c r="CN26" s="31">
        <f>SUM(BL26:BO26)</f>
        <v>526.95513436458873</v>
      </c>
      <c r="CO26" s="31">
        <f>SUM(BP26:BS26)</f>
        <v>542.69799880434914</v>
      </c>
      <c r="CP26" s="32">
        <f>SUM(BT26:BW26)</f>
        <v>556.11444882881074</v>
      </c>
      <c r="CQ26" s="757"/>
      <c r="CR26" s="33">
        <f>SUM(G26:J26)</f>
        <v>85.030999999999992</v>
      </c>
      <c r="CS26" s="31">
        <f>SUM(K26:N26)</f>
        <v>91.809999999999988</v>
      </c>
      <c r="CT26" s="31">
        <f>SUM(O26:R26)</f>
        <v>93.740000000000009</v>
      </c>
      <c r="CU26" s="31">
        <f>SUM(S26:V26)</f>
        <v>109.66800000000001</v>
      </c>
      <c r="CV26" s="31">
        <f>SUM(W26:Z26)</f>
        <v>117.905</v>
      </c>
      <c r="CW26" s="31">
        <f>SUM(AA26:AD26)</f>
        <v>121.374</v>
      </c>
      <c r="CX26" s="31">
        <f>SUM(AE26:AH26)</f>
        <v>113.19200000000001</v>
      </c>
      <c r="CY26" s="31">
        <f>SUM(AI26:AL26)</f>
        <v>159.73499999999999</v>
      </c>
      <c r="CZ26" s="31">
        <f>SUM(AM26:AP26)</f>
        <v>179.096</v>
      </c>
      <c r="DA26" s="32">
        <f>SUM(AQ26:AT26)</f>
        <v>231.99799999999999</v>
      </c>
      <c r="DB26" s="31">
        <f>SUM(AU26:AX26)</f>
        <v>298.11800000000005</v>
      </c>
      <c r="DC26" s="33">
        <f>SUM(AY26:BB26)</f>
        <v>339.24400000000003</v>
      </c>
      <c r="DD26" s="31">
        <f>SUM(BC26:BF26)</f>
        <v>364.62</v>
      </c>
      <c r="DE26" s="31">
        <f>SUM(BG26:BJ26)</f>
        <v>513.74900000000002</v>
      </c>
      <c r="DF26" s="31">
        <f>SUM(BK26:BN26)</f>
        <v>522.83799999999997</v>
      </c>
      <c r="DG26" s="31">
        <f>SUM(BO26:BR26)</f>
        <v>539.56812585110492</v>
      </c>
      <c r="DH26" s="31">
        <f>SUM(BS26:BV26)</f>
        <v>552.11946615034958</v>
      </c>
      <c r="DI26" s="23"/>
    </row>
    <row r="27" spans="1:113" ht="14.25" customHeight="1">
      <c r="A27" s="11"/>
      <c r="B27" s="609" t="s">
        <v>299</v>
      </c>
      <c r="C27" s="35"/>
      <c r="D27" s="1376">
        <f t="shared" ref="D27:AI27" si="71">D26/D8</f>
        <v>0.13685065759406895</v>
      </c>
      <c r="E27" s="1376">
        <f t="shared" si="71"/>
        <v>0.13393253306791064</v>
      </c>
      <c r="F27" s="1376">
        <f t="shared" si="71"/>
        <v>0.13329233194406298</v>
      </c>
      <c r="G27" s="1377">
        <f t="shared" si="71"/>
        <v>0.1361780216201319</v>
      </c>
      <c r="H27" s="1376">
        <f t="shared" si="71"/>
        <v>0.13195439072933912</v>
      </c>
      <c r="I27" s="1376">
        <f t="shared" si="71"/>
        <v>0.12551784718018114</v>
      </c>
      <c r="J27" s="1376">
        <f t="shared" si="71"/>
        <v>0.11720150364955301</v>
      </c>
      <c r="K27" s="1377">
        <f t="shared" si="71"/>
        <v>0.11539545957686762</v>
      </c>
      <c r="L27" s="1376">
        <f t="shared" si="71"/>
        <v>0.10941604981788274</v>
      </c>
      <c r="M27" s="1376">
        <f t="shared" si="71"/>
        <v>0.105657607365855</v>
      </c>
      <c r="N27" s="1376">
        <f t="shared" si="71"/>
        <v>0.11252093639231878</v>
      </c>
      <c r="O27" s="1377">
        <f t="shared" si="71"/>
        <v>0.11212352763080119</v>
      </c>
      <c r="P27" s="1376">
        <f t="shared" si="71"/>
        <v>0.10705770911603602</v>
      </c>
      <c r="Q27" s="1376">
        <f t="shared" si="71"/>
        <v>0.1039912361745374</v>
      </c>
      <c r="R27" s="1376">
        <f t="shared" si="71"/>
        <v>9.9520638921054422E-2</v>
      </c>
      <c r="S27" s="1377">
        <f t="shared" si="71"/>
        <v>9.9190037706536338E-2</v>
      </c>
      <c r="T27" s="1376">
        <f t="shared" si="71"/>
        <v>0.10673491851293243</v>
      </c>
      <c r="U27" s="1376">
        <f t="shared" si="71"/>
        <v>0.10854912030574693</v>
      </c>
      <c r="V27" s="1376">
        <f t="shared" si="71"/>
        <v>0.11172331915029243</v>
      </c>
      <c r="W27" s="1377">
        <f t="shared" si="71"/>
        <v>0.11057185795736242</v>
      </c>
      <c r="X27" s="1376">
        <f t="shared" si="71"/>
        <v>0.11264352146384318</v>
      </c>
      <c r="Y27" s="1376">
        <f t="shared" si="71"/>
        <v>0.11330500643734512</v>
      </c>
      <c r="Z27" s="1376">
        <f t="shared" si="71"/>
        <v>0.11997624703087886</v>
      </c>
      <c r="AA27" s="1377">
        <f t="shared" si="71"/>
        <v>0.12098242057000667</v>
      </c>
      <c r="AB27" s="1376">
        <f t="shared" si="71"/>
        <v>0.11765583282371014</v>
      </c>
      <c r="AC27" s="1376">
        <f t="shared" si="71"/>
        <v>0.11621172684330344</v>
      </c>
      <c r="AD27" s="1376">
        <f t="shared" si="71"/>
        <v>0.14036301947274751</v>
      </c>
      <c r="AE27" s="1377">
        <f t="shared" si="71"/>
        <v>0.14808401586119721</v>
      </c>
      <c r="AF27" s="1376">
        <f t="shared" si="71"/>
        <v>0.14322955806974899</v>
      </c>
      <c r="AG27" s="1376">
        <f t="shared" si="71"/>
        <v>0.13045032008153146</v>
      </c>
      <c r="AH27" s="1376">
        <f t="shared" si="71"/>
        <v>0.12127997313064028</v>
      </c>
      <c r="AI27" s="1377">
        <f t="shared" si="71"/>
        <v>0.11972879648946112</v>
      </c>
      <c r="AJ27" s="1378">
        <f t="shared" ref="AJ27:BO27" si="72">AJ26/AJ8</f>
        <v>0.11348967448372418</v>
      </c>
      <c r="AK27" s="1376">
        <f t="shared" si="72"/>
        <v>0.1143691255679871</v>
      </c>
      <c r="AL27" s="1376">
        <f t="shared" si="72"/>
        <v>0.11472334594806212</v>
      </c>
      <c r="AM27" s="1377">
        <f t="shared" si="72"/>
        <v>0.11621248207166074</v>
      </c>
      <c r="AN27" s="1378">
        <f t="shared" si="72"/>
        <v>0.12095368043854988</v>
      </c>
      <c r="AO27" s="1376">
        <f t="shared" si="72"/>
        <v>0.13324349240462477</v>
      </c>
      <c r="AP27" s="1376">
        <f t="shared" si="72"/>
        <v>0.1344529645517627</v>
      </c>
      <c r="AQ27" s="326">
        <f t="shared" si="72"/>
        <v>0.14078327348477918</v>
      </c>
      <c r="AR27" s="578">
        <f t="shared" si="72"/>
        <v>0.13865744290525767</v>
      </c>
      <c r="AS27" s="1376">
        <f t="shared" si="72"/>
        <v>0.16718584495614378</v>
      </c>
      <c r="AT27" s="1376">
        <f t="shared" si="72"/>
        <v>0.17155994394864041</v>
      </c>
      <c r="AU27" s="326">
        <f t="shared" si="72"/>
        <v>0.16375446362148496</v>
      </c>
      <c r="AV27" s="578">
        <f t="shared" si="72"/>
        <v>0.15792191740565956</v>
      </c>
      <c r="AW27" s="1376">
        <f t="shared" si="72"/>
        <v>0.15883686613121589</v>
      </c>
      <c r="AX27" s="1376">
        <f t="shared" si="72"/>
        <v>0.15826167356314214</v>
      </c>
      <c r="AY27" s="326">
        <f t="shared" si="72"/>
        <v>0.15680078802717556</v>
      </c>
      <c r="AZ27" s="578">
        <f t="shared" si="72"/>
        <v>0.15952699687639449</v>
      </c>
      <c r="BA27" s="1376">
        <f t="shared" si="72"/>
        <v>0.16259064189380915</v>
      </c>
      <c r="BB27" s="1376">
        <f t="shared" si="72"/>
        <v>0.16776115450814244</v>
      </c>
      <c r="BC27" s="325">
        <f t="shared" si="72"/>
        <v>0.16137862730045821</v>
      </c>
      <c r="BD27" s="578">
        <f t="shared" si="72"/>
        <v>0.15859103440009589</v>
      </c>
      <c r="BE27" s="1376">
        <f t="shared" si="72"/>
        <v>0.17594677414290227</v>
      </c>
      <c r="BF27" s="1376">
        <f t="shared" si="72"/>
        <v>0.17955598655671201</v>
      </c>
      <c r="BG27" s="326">
        <f t="shared" si="72"/>
        <v>0.17151721664275466</v>
      </c>
      <c r="BH27" s="325">
        <f>BH26/BH8</f>
        <v>0.18498994884984071</v>
      </c>
      <c r="BI27" s="1376">
        <f t="shared" ref="BI27:BK27" si="73">BI26/BI8</f>
        <v>0.15813712753797493</v>
      </c>
      <c r="BJ27" s="1376">
        <f t="shared" si="73"/>
        <v>0.15872291056922261</v>
      </c>
      <c r="BK27" s="325">
        <f t="shared" si="73"/>
        <v>0.14089596816541222</v>
      </c>
      <c r="BL27" s="578">
        <f>BL26/BL8</f>
        <v>0.13421921305654219</v>
      </c>
      <c r="BM27" s="1441">
        <f t="shared" ref="BM27:BN27" si="74">BM26/BM8</f>
        <v>0.13201842829887991</v>
      </c>
      <c r="BN27" s="1494">
        <f t="shared" si="74"/>
        <v>0.13232180485915881</v>
      </c>
      <c r="BO27" s="326">
        <f t="shared" si="72"/>
        <v>0.13322663520714431</v>
      </c>
      <c r="BP27" s="578">
        <f t="shared" ref="BP27:BW27" si="75">BP26/BP8</f>
        <v>0.13126247510672692</v>
      </c>
      <c r="BQ27" s="325">
        <f t="shared" si="75"/>
        <v>0.1296685527668999</v>
      </c>
      <c r="BR27" s="325">
        <f t="shared" si="75"/>
        <v>0.13038470542425257</v>
      </c>
      <c r="BS27" s="326">
        <f t="shared" si="75"/>
        <v>0.13046770535598737</v>
      </c>
      <c r="BT27" s="578">
        <f t="shared" si="75"/>
        <v>0.12882529271369983</v>
      </c>
      <c r="BU27" s="325">
        <f t="shared" si="75"/>
        <v>0.1277586026418038</v>
      </c>
      <c r="BV27" s="325">
        <f t="shared" si="75"/>
        <v>0.12859136207584437</v>
      </c>
      <c r="BW27" s="326">
        <f t="shared" si="75"/>
        <v>0.12897963645251875</v>
      </c>
      <c r="BX27" s="160"/>
      <c r="BY27" s="36">
        <f t="shared" ref="BY27:CO27" si="76">BY26/BY8</f>
        <v>0.13502399218987443</v>
      </c>
      <c r="BZ27" s="36">
        <f t="shared" si="76"/>
        <v>0.12211337699854131</v>
      </c>
      <c r="CA27" s="36">
        <f t="shared" si="76"/>
        <v>0.10985481783747535</v>
      </c>
      <c r="CB27" s="36">
        <f t="shared" si="76"/>
        <v>0.10230274395862453</v>
      </c>
      <c r="CC27" s="36">
        <f t="shared" si="76"/>
        <v>0.10935959548741862</v>
      </c>
      <c r="CD27" s="36">
        <f t="shared" si="76"/>
        <v>0.11669371664814523</v>
      </c>
      <c r="CE27" s="36">
        <f t="shared" si="76"/>
        <v>0.12789149083856141</v>
      </c>
      <c r="CF27" s="36">
        <f t="shared" si="76"/>
        <v>0.1274868659711795</v>
      </c>
      <c r="CG27" s="36">
        <f t="shared" si="76"/>
        <v>0.11471653201811452</v>
      </c>
      <c r="CH27" s="1494">
        <f t="shared" si="76"/>
        <v>0.13205116340942874</v>
      </c>
      <c r="CI27" s="1494">
        <f t="shared" si="76"/>
        <v>0.16105165390235221</v>
      </c>
      <c r="CJ27" s="1494">
        <f t="shared" si="76"/>
        <v>0.1579537669769891</v>
      </c>
      <c r="CK27" s="1376">
        <f t="shared" si="76"/>
        <v>0.16280257992879485</v>
      </c>
      <c r="CL27" s="1376">
        <f t="shared" si="76"/>
        <v>0.1714435323084342</v>
      </c>
      <c r="CM27" s="1376">
        <f t="shared" si="76"/>
        <v>0.16001287631605898</v>
      </c>
      <c r="CN27" s="1376">
        <f t="shared" si="76"/>
        <v>0.13293462472472772</v>
      </c>
      <c r="CO27" s="1376">
        <f t="shared" si="76"/>
        <v>0.13043968944759354</v>
      </c>
      <c r="CP27" s="1377">
        <f t="shared" ref="CP27" si="77">CP26/CP8</f>
        <v>0.12853408439042557</v>
      </c>
      <c r="CQ27" s="160"/>
      <c r="CR27" s="1378">
        <f t="shared" ref="CR27:DG27" si="78">CR26/CR8</f>
        <v>0.12740597121375122</v>
      </c>
      <c r="CS27" s="1376">
        <f t="shared" si="78"/>
        <v>0.1105642376896277</v>
      </c>
      <c r="CT27" s="1376">
        <f t="shared" si="78"/>
        <v>0.10546757215314063</v>
      </c>
      <c r="CU27" s="1376">
        <f t="shared" si="78"/>
        <v>0.10661176065723894</v>
      </c>
      <c r="CV27" s="1376">
        <f t="shared" si="78"/>
        <v>0.11408376431429278</v>
      </c>
      <c r="CW27" s="1376">
        <f t="shared" si="78"/>
        <v>0.12254281335376824</v>
      </c>
      <c r="CX27" s="1376">
        <f t="shared" si="78"/>
        <v>0.13427888801630442</v>
      </c>
      <c r="CY27" s="1376">
        <f t="shared" si="78"/>
        <v>0.11531214807542373</v>
      </c>
      <c r="CZ27" s="1376">
        <f t="shared" si="78"/>
        <v>0.12574758644900824</v>
      </c>
      <c r="DA27" s="1377">
        <f t="shared" si="78"/>
        <v>0.15566261179959606</v>
      </c>
      <c r="DB27" s="1376">
        <f t="shared" si="78"/>
        <v>0.15959404211079689</v>
      </c>
      <c r="DC27" s="1378">
        <f t="shared" si="78"/>
        <v>0.16175943978985444</v>
      </c>
      <c r="DD27" s="1376">
        <f t="shared" si="78"/>
        <v>0.16889203453249671</v>
      </c>
      <c r="DE27" s="1376">
        <f t="shared" si="78"/>
        <v>0.16774157527521916</v>
      </c>
      <c r="DF27" s="1376">
        <f t="shared" si="78"/>
        <v>0.13471209958076868</v>
      </c>
      <c r="DG27" s="1441">
        <f t="shared" si="78"/>
        <v>0.13110002899658824</v>
      </c>
      <c r="DH27" s="1441">
        <f t="shared" ref="DH27" si="79">DH26/DH8</f>
        <v>0.12888755045677003</v>
      </c>
      <c r="DI27" s="23"/>
    </row>
    <row r="28" spans="1:113" ht="14.25" customHeight="1">
      <c r="A28" s="8"/>
      <c r="B28" s="609" t="s">
        <v>302</v>
      </c>
      <c r="C28" s="35"/>
      <c r="D28" s="1376"/>
      <c r="E28" s="1376">
        <f t="shared" ref="E28:AJ28" si="80">(E26/D26-1)/E10</f>
        <v>0.61487135346784638</v>
      </c>
      <c r="F28" s="1376">
        <f t="shared" si="80"/>
        <v>-0.1501871283098502</v>
      </c>
      <c r="G28" s="1377">
        <f t="shared" si="80"/>
        <v>0.5572922748205924</v>
      </c>
      <c r="H28" s="1376">
        <f t="shared" si="80"/>
        <v>-2.0935526389104169</v>
      </c>
      <c r="I28" s="1376">
        <f t="shared" si="80"/>
        <v>-0.14098325647526155</v>
      </c>
      <c r="J28" s="1376">
        <f t="shared" si="80"/>
        <v>-0.24369037119563611</v>
      </c>
      <c r="K28" s="1377">
        <f t="shared" si="80"/>
        <v>0.78230183517594087</v>
      </c>
      <c r="L28" s="1376">
        <f t="shared" si="80"/>
        <v>0.48118703233635768</v>
      </c>
      <c r="M28" s="1376">
        <f t="shared" si="80"/>
        <v>4.2702209751315029E-2</v>
      </c>
      <c r="N28" s="1376">
        <f t="shared" si="80"/>
        <v>0.12858413050270492</v>
      </c>
      <c r="O28" s="1377">
        <f t="shared" si="80"/>
        <v>0.72770616038219671</v>
      </c>
      <c r="P28" s="1376">
        <f t="shared" si="80"/>
        <v>5.4653295936357593E-2</v>
      </c>
      <c r="Q28" s="1376">
        <f t="shared" si="80"/>
        <v>0.25772011063777356</v>
      </c>
      <c r="R28" s="1376">
        <f t="shared" si="80"/>
        <v>-0.32906168552716314</v>
      </c>
      <c r="S28" s="1377">
        <f t="shared" si="80"/>
        <v>0.93311423769952806</v>
      </c>
      <c r="T28" s="1376">
        <f t="shared" si="80"/>
        <v>2.2981068113098138</v>
      </c>
      <c r="U28" s="1376">
        <f t="shared" si="80"/>
        <v>1.8469677230351316</v>
      </c>
      <c r="V28" s="1376">
        <f t="shared" si="80"/>
        <v>0.5664576719871135</v>
      </c>
      <c r="W28" s="1377">
        <f t="shared" si="80"/>
        <v>0.62899388893628361</v>
      </c>
      <c r="X28" s="1376">
        <f t="shared" si="80"/>
        <v>1.8391497865002893</v>
      </c>
      <c r="Y28" s="1376">
        <f t="shared" si="80"/>
        <v>0.72002357285539464</v>
      </c>
      <c r="Z28" s="1376">
        <f t="shared" si="80"/>
        <v>-1.4595229608563118</v>
      </c>
      <c r="AA28" s="1377">
        <f t="shared" si="80"/>
        <v>1.279352750828735</v>
      </c>
      <c r="AB28" s="1376">
        <f t="shared" si="80"/>
        <v>4.9035404877867859E-2</v>
      </c>
      <c r="AC28" s="1376">
        <f t="shared" si="80"/>
        <v>-1.1579970797157517</v>
      </c>
      <c r="AD28" s="1376">
        <f t="shared" si="80"/>
        <v>0.48495973943885029</v>
      </c>
      <c r="AE28" s="1377">
        <f t="shared" si="80"/>
        <v>0.49610391041622859</v>
      </c>
      <c r="AF28" s="1376">
        <f t="shared" si="80"/>
        <v>0.67885804832138841</v>
      </c>
      <c r="AG28" s="1376">
        <f t="shared" si="80"/>
        <v>0.40011971601392499</v>
      </c>
      <c r="AH28" s="1376">
        <f t="shared" si="80"/>
        <v>0.24987779192889403</v>
      </c>
      <c r="AI28" s="1377">
        <f t="shared" si="80"/>
        <v>0.87264463804814296</v>
      </c>
      <c r="AJ28" s="1378">
        <f t="shared" si="80"/>
        <v>0.76474374470584483</v>
      </c>
      <c r="AK28" s="1376">
        <f t="shared" ref="AK28:BS28" si="81">(AK26/AJ26-1)/AK10</f>
        <v>1.1178033877026166</v>
      </c>
      <c r="AL28" s="1376">
        <f t="shared" si="81"/>
        <v>0.92114538163312676</v>
      </c>
      <c r="AM28" s="1377">
        <f t="shared" si="81"/>
        <v>1.4055830143639165</v>
      </c>
      <c r="AN28" s="1378">
        <f t="shared" si="81"/>
        <v>-1.7891589249479904</v>
      </c>
      <c r="AO28" s="1376">
        <f t="shared" si="81"/>
        <v>-2.0726982903282256E-2</v>
      </c>
      <c r="AP28" s="1376">
        <f t="shared" si="81"/>
        <v>0.73896550703570429</v>
      </c>
      <c r="AQ28" s="1377">
        <f t="shared" si="81"/>
        <v>2.6357348772326237</v>
      </c>
      <c r="AR28" s="1378">
        <f t="shared" si="81"/>
        <v>0.59788011202547886</v>
      </c>
      <c r="AS28" s="1376">
        <f t="shared" si="81"/>
        <v>3.5305656995684922</v>
      </c>
      <c r="AT28" s="1376">
        <f t="shared" si="81"/>
        <v>1.332378906465538</v>
      </c>
      <c r="AU28" s="1377">
        <f t="shared" si="81"/>
        <v>-0.38826030989819132</v>
      </c>
      <c r="AV28" s="1378">
        <f t="shared" si="81"/>
        <v>0.4951128667454533</v>
      </c>
      <c r="AW28" s="1376">
        <f t="shared" si="81"/>
        <v>1.0955372194637274</v>
      </c>
      <c r="AX28" s="1376">
        <f t="shared" si="81"/>
        <v>1.1696419805093718</v>
      </c>
      <c r="AY28" s="1377">
        <f t="shared" si="81"/>
        <v>0.5864202235241065</v>
      </c>
      <c r="AZ28" s="1378">
        <f t="shared" si="81"/>
        <v>1.2590802269778161</v>
      </c>
      <c r="BA28" s="1376">
        <f t="shared" si="81"/>
        <v>1.6040394913429823</v>
      </c>
      <c r="BB28" s="1376">
        <f t="shared" si="81"/>
        <v>4.1042526126695011E-2</v>
      </c>
      <c r="BC28" s="1376">
        <f t="shared" si="81"/>
        <v>-0.4255698033518549</v>
      </c>
      <c r="BD28" s="1378">
        <f t="shared" si="81"/>
        <v>1.9965730241249713</v>
      </c>
      <c r="BE28" s="1376">
        <f t="shared" si="81"/>
        <v>8.9645450006455647</v>
      </c>
      <c r="BF28" s="1376">
        <f t="shared" si="81"/>
        <v>-9.5865581024358661</v>
      </c>
      <c r="BG28" s="1377">
        <f t="shared" si="81"/>
        <v>-0.44667954857453795</v>
      </c>
      <c r="BH28" s="1376">
        <f t="shared" si="81"/>
        <v>1.2596821056464187</v>
      </c>
      <c r="BI28" s="1376">
        <f t="shared" si="81"/>
        <v>-0.75789324309533423</v>
      </c>
      <c r="BJ28" s="1376">
        <f t="shared" si="81"/>
        <v>0.91646253510356401</v>
      </c>
      <c r="BK28" s="1376">
        <f t="shared" si="81"/>
        <v>-0.48437497326612872</v>
      </c>
      <c r="BL28" s="1442">
        <f t="shared" si="81"/>
        <v>0.33691746953697305</v>
      </c>
      <c r="BM28" s="1441">
        <f t="shared" si="81"/>
        <v>0.58507962204517883</v>
      </c>
      <c r="BN28" s="1494">
        <f t="shared" si="81"/>
        <v>0.87260680131128487</v>
      </c>
      <c r="BO28" s="1453">
        <f t="shared" si="81"/>
        <v>0.22295617802442136</v>
      </c>
      <c r="BP28" s="1378">
        <f t="shared" si="81"/>
        <v>0.6517751502382374</v>
      </c>
      <c r="BQ28" s="1376">
        <f t="shared" si="81"/>
        <v>0.60006749840915352</v>
      </c>
      <c r="BR28" s="1376">
        <f t="shared" si="81"/>
        <v>0.73401360477350241</v>
      </c>
      <c r="BS28" s="1377">
        <f t="shared" si="81"/>
        <v>0.93003754317871035</v>
      </c>
      <c r="BT28" s="1495">
        <f t="shared" ref="BT28" si="82">(BT26/BS26-1)/BT10</f>
        <v>0.67141315845101135</v>
      </c>
      <c r="BU28" s="1494">
        <f t="shared" ref="BU28" si="83">(BU26/BT26-1)/BU10</f>
        <v>0.66955278958299402</v>
      </c>
      <c r="BV28" s="1494">
        <f t="shared" ref="BV28" si="84">(BV26/BU26-1)/BV10</f>
        <v>0.55698012063674629</v>
      </c>
      <c r="BW28" s="1496">
        <f t="shared" ref="BW28" si="85">(BW26/BV26-1)/BW10</f>
        <v>0.66893285455029883</v>
      </c>
      <c r="BX28" s="20"/>
      <c r="BY28" s="36"/>
      <c r="BZ28" s="36"/>
      <c r="CA28" s="36"/>
      <c r="CB28" s="36"/>
      <c r="CC28" s="36">
        <f t="shared" ref="CC28:CP28" si="86">(CC26/CB26-1)/CC11</f>
        <v>1.6415984310647387</v>
      </c>
      <c r="CD28" s="36">
        <f t="shared" si="86"/>
        <v>-16.656569187294959</v>
      </c>
      <c r="CE28" s="36">
        <f t="shared" si="86"/>
        <v>0.345521131123804</v>
      </c>
      <c r="CF28" s="36">
        <f t="shared" si="86"/>
        <v>0.93251624692214508</v>
      </c>
      <c r="CG28" s="36">
        <f t="shared" si="86"/>
        <v>0.72385605955878674</v>
      </c>
      <c r="CH28" s="1494">
        <f t="shared" si="86"/>
        <v>-1.0091465810508826</v>
      </c>
      <c r="CI28" s="1494">
        <f t="shared" si="86"/>
        <v>2.7503364845655831</v>
      </c>
      <c r="CJ28" s="1494">
        <f t="shared" si="86"/>
        <v>0.89374057095588966</v>
      </c>
      <c r="CK28" s="1376">
        <f t="shared" si="86"/>
        <v>1.3053901982632909</v>
      </c>
      <c r="CL28" s="1376">
        <f t="shared" si="86"/>
        <v>5.3941164192064175</v>
      </c>
      <c r="CM28" s="1376">
        <f t="shared" si="86"/>
        <v>0.81595377701530281</v>
      </c>
      <c r="CN28" s="1376">
        <f t="shared" si="86"/>
        <v>-0.20604160867457313</v>
      </c>
      <c r="CO28" s="1376">
        <f t="shared" si="86"/>
        <v>0.60264121340261811</v>
      </c>
      <c r="CP28" s="1377">
        <f t="shared" si="86"/>
        <v>0.61937635055971418</v>
      </c>
      <c r="CQ28" s="20"/>
      <c r="CR28" s="1378"/>
      <c r="CS28" s="1376"/>
      <c r="CT28" s="1376"/>
      <c r="CU28" s="1376"/>
      <c r="CV28" s="1376"/>
      <c r="CW28" s="1376"/>
      <c r="CX28" s="1376"/>
      <c r="CY28" s="1376"/>
      <c r="CZ28" s="1376"/>
      <c r="DA28" s="1377"/>
      <c r="DB28" s="1376"/>
      <c r="DC28" s="1378"/>
      <c r="DD28" s="1376"/>
      <c r="DE28" s="1376"/>
      <c r="DF28" s="1376"/>
      <c r="DG28" s="1441"/>
      <c r="DH28" s="1441"/>
      <c r="DI28" s="22"/>
    </row>
    <row r="29" spans="1:113" ht="9.75" customHeight="1">
      <c r="A29" s="8"/>
      <c r="B29" s="608"/>
      <c r="C29" s="28"/>
      <c r="D29" s="29"/>
      <c r="E29" s="29"/>
      <c r="F29" s="29"/>
      <c r="G29" s="455"/>
      <c r="H29" s="29"/>
      <c r="I29" s="29"/>
      <c r="J29" s="29"/>
      <c r="K29" s="455"/>
      <c r="L29" s="29"/>
      <c r="M29" s="29"/>
      <c r="N29" s="29"/>
      <c r="O29" s="455"/>
      <c r="P29" s="29"/>
      <c r="Q29" s="29"/>
      <c r="R29" s="29"/>
      <c r="S29" s="455"/>
      <c r="T29" s="29"/>
      <c r="U29" s="29"/>
      <c r="V29" s="29"/>
      <c r="W29" s="455"/>
      <c r="X29" s="29"/>
      <c r="Y29" s="29"/>
      <c r="Z29" s="29"/>
      <c r="AA29" s="455"/>
      <c r="AB29" s="29"/>
      <c r="AC29" s="29"/>
      <c r="AD29" s="29"/>
      <c r="AE29" s="455"/>
      <c r="AF29" s="29"/>
      <c r="AG29" s="29"/>
      <c r="AH29" s="29"/>
      <c r="AI29" s="455"/>
      <c r="AJ29" s="577"/>
      <c r="AK29" s="29"/>
      <c r="AL29" s="29"/>
      <c r="AM29" s="455"/>
      <c r="AN29" s="577"/>
      <c r="AO29" s="29"/>
      <c r="AP29" s="29"/>
      <c r="AQ29" s="30"/>
      <c r="AR29" s="33"/>
      <c r="AS29" s="29"/>
      <c r="AT29" s="29"/>
      <c r="AU29" s="30"/>
      <c r="AV29" s="33"/>
      <c r="AW29" s="29"/>
      <c r="AX29" s="29"/>
      <c r="AY29" s="30"/>
      <c r="AZ29" s="33"/>
      <c r="BA29" s="29"/>
      <c r="BB29" s="29"/>
      <c r="BC29" s="29"/>
      <c r="BD29" s="33"/>
      <c r="BE29" s="29"/>
      <c r="BF29" s="29"/>
      <c r="BG29" s="30"/>
      <c r="BH29" s="31"/>
      <c r="BI29" s="29"/>
      <c r="BJ29" s="29"/>
      <c r="BK29" s="29"/>
      <c r="BL29" s="33"/>
      <c r="BM29" s="29"/>
      <c r="BN29" s="29"/>
      <c r="BO29" s="32"/>
      <c r="BP29" s="33"/>
      <c r="BQ29" s="31"/>
      <c r="BR29" s="31"/>
      <c r="BS29" s="32"/>
      <c r="BT29" s="33"/>
      <c r="BU29" s="31"/>
      <c r="BV29" s="31"/>
      <c r="BW29" s="32"/>
      <c r="BX29" s="20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2"/>
      <c r="CQ29" s="20"/>
      <c r="CR29" s="33"/>
      <c r="CS29" s="31"/>
      <c r="CT29" s="31"/>
      <c r="CU29" s="31"/>
      <c r="CV29" s="31"/>
      <c r="CW29" s="31"/>
      <c r="CX29" s="31"/>
      <c r="CY29" s="31"/>
      <c r="CZ29" s="31"/>
      <c r="DA29" s="32"/>
      <c r="DB29" s="31"/>
      <c r="DC29" s="33"/>
      <c r="DD29" s="31"/>
      <c r="DE29" s="31"/>
      <c r="DF29" s="31"/>
      <c r="DG29" s="31"/>
      <c r="DH29" s="31"/>
      <c r="DI29" s="22"/>
    </row>
    <row r="30" spans="1:113" ht="12.75" customHeight="1">
      <c r="A30" s="8"/>
      <c r="B30" s="612" t="s">
        <v>537</v>
      </c>
      <c r="C30" s="28"/>
      <c r="D30" s="29"/>
      <c r="E30" s="29"/>
      <c r="F30" s="29"/>
      <c r="G30" s="455"/>
      <c r="H30" s="29"/>
      <c r="I30" s="29"/>
      <c r="J30" s="29"/>
      <c r="K30" s="455"/>
      <c r="L30" s="29"/>
      <c r="M30" s="29"/>
      <c r="N30" s="29"/>
      <c r="O30" s="455"/>
      <c r="P30" s="29"/>
      <c r="Q30" s="29"/>
      <c r="R30" s="29"/>
      <c r="S30" s="455"/>
      <c r="T30" s="29"/>
      <c r="U30" s="29"/>
      <c r="V30" s="29"/>
      <c r="W30" s="455"/>
      <c r="X30" s="29"/>
      <c r="Y30" s="29"/>
      <c r="Z30" s="29"/>
      <c r="AA30" s="455"/>
      <c r="AB30" s="29"/>
      <c r="AC30" s="29"/>
      <c r="AD30" s="29"/>
      <c r="AE30" s="455"/>
      <c r="AF30" s="29"/>
      <c r="AG30" s="29"/>
      <c r="AH30" s="29"/>
      <c r="AI30" s="455"/>
      <c r="AJ30" s="577"/>
      <c r="AK30" s="29"/>
      <c r="AL30" s="29"/>
      <c r="AM30" s="455"/>
      <c r="AN30" s="577"/>
      <c r="AO30" s="29"/>
      <c r="AP30" s="29"/>
      <c r="AQ30" s="30"/>
      <c r="AR30" s="33"/>
      <c r="AS30" s="29"/>
      <c r="AT30" s="29"/>
      <c r="AU30" s="30"/>
      <c r="AV30" s="33"/>
      <c r="AW30" s="29"/>
      <c r="AX30" s="29"/>
      <c r="AY30" s="30"/>
      <c r="AZ30" s="33"/>
      <c r="BA30" s="29"/>
      <c r="BB30" s="29"/>
      <c r="BC30" s="29"/>
      <c r="BD30" s="33"/>
      <c r="BE30" s="29"/>
      <c r="BF30" s="29"/>
      <c r="BG30" s="30"/>
      <c r="BH30" s="31">
        <f>BH35-BH32</f>
        <v>145.084</v>
      </c>
      <c r="BI30" s="31">
        <f t="shared" ref="BI30:BN30" si="87">BI35+BI32</f>
        <v>145.34199999999998</v>
      </c>
      <c r="BJ30" s="31">
        <f t="shared" si="87"/>
        <v>145.20999999999998</v>
      </c>
      <c r="BK30" s="31">
        <f t="shared" si="87"/>
        <v>141.34899999999999</v>
      </c>
      <c r="BL30" s="33">
        <f t="shared" si="87"/>
        <v>145.47999999999999</v>
      </c>
      <c r="BM30" s="31">
        <f t="shared" si="87"/>
        <v>148.62100000000001</v>
      </c>
      <c r="BN30" s="31">
        <f t="shared" si="87"/>
        <v>146.655</v>
      </c>
      <c r="BO30" s="1252">
        <f t="shared" ref="BO30:BS30" si="88">BN30*(1+BO10*BO31)</f>
        <v>146.39913436458878</v>
      </c>
      <c r="BP30" s="1262">
        <f t="shared" si="88"/>
        <v>150.28245616480532</v>
      </c>
      <c r="BQ30" s="1263">
        <f t="shared" si="88"/>
        <v>152.87067809579202</v>
      </c>
      <c r="BR30" s="1263">
        <f t="shared" si="88"/>
        <v>151.31585722591888</v>
      </c>
      <c r="BS30" s="1252">
        <f t="shared" si="88"/>
        <v>150.42900731783286</v>
      </c>
      <c r="BT30" s="1262">
        <f t="shared" ref="BT30" si="89">BS30*(1+BT10*BT31)</f>
        <v>154.02465806990207</v>
      </c>
      <c r="BU30" s="1263">
        <f t="shared" ref="BU30" si="90">BT30*(1+BU10*BU31)</f>
        <v>156.39984314881971</v>
      </c>
      <c r="BV30" s="1263">
        <f t="shared" ref="BV30" si="91">BU30*(1+BV10*BV31)</f>
        <v>155.26595761379502</v>
      </c>
      <c r="BW30" s="1252">
        <f t="shared" ref="BW30" si="92">BV30*(1+BW10*BW31)</f>
        <v>154.4239899962939</v>
      </c>
      <c r="BX30" s="20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>
        <f>SUM(BH30:BK30)</f>
        <v>576.9849999999999</v>
      </c>
      <c r="CN30" s="31">
        <f>SUM(BL30:BO30)</f>
        <v>587.15513436458878</v>
      </c>
      <c r="CO30" s="31">
        <f>SUM(BP30:BS30)</f>
        <v>604.89799880434907</v>
      </c>
      <c r="CP30" s="32">
        <f>SUM(BT30:BW30)</f>
        <v>620.11444882881074</v>
      </c>
      <c r="CQ30" s="20"/>
      <c r="CR30" s="33"/>
      <c r="CS30" s="31"/>
      <c r="CT30" s="31"/>
      <c r="CU30" s="31"/>
      <c r="CV30" s="31"/>
      <c r="CW30" s="31"/>
      <c r="CX30" s="31"/>
      <c r="CY30" s="31"/>
      <c r="CZ30" s="31"/>
      <c r="DA30" s="32"/>
      <c r="DB30" s="31"/>
      <c r="DC30" s="33"/>
      <c r="DD30" s="31"/>
      <c r="DE30" s="31">
        <f>SUM(BG30:BJ30)</f>
        <v>435.63599999999997</v>
      </c>
      <c r="DF30" s="31">
        <f>SUM(BK30:BN30)</f>
        <v>582.1049999999999</v>
      </c>
      <c r="DG30" s="31">
        <f>SUM(BO30:BR30)</f>
        <v>600.86812585110499</v>
      </c>
      <c r="DH30" s="31">
        <f>SUM(BS30:BV30)</f>
        <v>616.11946615034958</v>
      </c>
      <c r="DI30" s="22"/>
    </row>
    <row r="31" spans="1:113" ht="12.75" customHeight="1">
      <c r="A31" s="232"/>
      <c r="B31" s="1307" t="s">
        <v>302</v>
      </c>
      <c r="C31" s="28"/>
      <c r="D31" s="29"/>
      <c r="E31" s="29"/>
      <c r="F31" s="29"/>
      <c r="G31" s="455"/>
      <c r="H31" s="29"/>
      <c r="I31" s="29"/>
      <c r="J31" s="29"/>
      <c r="K31" s="455"/>
      <c r="L31" s="29"/>
      <c r="M31" s="29"/>
      <c r="N31" s="29"/>
      <c r="O31" s="455"/>
      <c r="P31" s="29"/>
      <c r="Q31" s="29"/>
      <c r="R31" s="29"/>
      <c r="S31" s="455"/>
      <c r="T31" s="29"/>
      <c r="U31" s="29"/>
      <c r="V31" s="29"/>
      <c r="W31" s="455"/>
      <c r="X31" s="29"/>
      <c r="Y31" s="29"/>
      <c r="Z31" s="29"/>
      <c r="AA31" s="455"/>
      <c r="AB31" s="29"/>
      <c r="AC31" s="29"/>
      <c r="AD31" s="29"/>
      <c r="AE31" s="455"/>
      <c r="AF31" s="29"/>
      <c r="AG31" s="29"/>
      <c r="AH31" s="29"/>
      <c r="AI31" s="455"/>
      <c r="AJ31" s="577"/>
      <c r="AK31" s="29"/>
      <c r="AL31" s="29"/>
      <c r="AM31" s="455"/>
      <c r="AN31" s="577"/>
      <c r="AO31" s="29"/>
      <c r="AP31" s="29"/>
      <c r="AQ31" s="30"/>
      <c r="AR31" s="33"/>
      <c r="AS31" s="29"/>
      <c r="AT31" s="29"/>
      <c r="AU31" s="30"/>
      <c r="AV31" s="33"/>
      <c r="AW31" s="29"/>
      <c r="AX31" s="29"/>
      <c r="AY31" s="30"/>
      <c r="AZ31" s="33"/>
      <c r="BA31" s="29"/>
      <c r="BB31" s="29"/>
      <c r="BC31" s="29"/>
      <c r="BD31" s="33"/>
      <c r="BE31" s="29"/>
      <c r="BF31" s="29"/>
      <c r="BG31" s="30"/>
      <c r="BH31" s="1174"/>
      <c r="BI31" s="29"/>
      <c r="BJ31" s="29"/>
      <c r="BK31" s="29"/>
      <c r="BL31" s="1435"/>
      <c r="BM31" s="29"/>
      <c r="BN31" s="29"/>
      <c r="BO31" s="1213">
        <v>0.2</v>
      </c>
      <c r="BP31" s="1211">
        <v>0.6</v>
      </c>
      <c r="BQ31" s="1212">
        <v>0.55000000000000004</v>
      </c>
      <c r="BR31" s="1212">
        <v>0.5</v>
      </c>
      <c r="BS31" s="1213">
        <v>0.65</v>
      </c>
      <c r="BT31" s="1211">
        <v>0.6</v>
      </c>
      <c r="BU31" s="1212">
        <v>0.6</v>
      </c>
      <c r="BV31" s="1212">
        <v>0.5</v>
      </c>
      <c r="BW31" s="1213">
        <v>0.6</v>
      </c>
      <c r="BX31" s="20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2"/>
      <c r="CQ31" s="20"/>
      <c r="CR31" s="33"/>
      <c r="CS31" s="31"/>
      <c r="CT31" s="31"/>
      <c r="CU31" s="31"/>
      <c r="CV31" s="31"/>
      <c r="CW31" s="31"/>
      <c r="CX31" s="31"/>
      <c r="CY31" s="31"/>
      <c r="CZ31" s="31"/>
      <c r="DA31" s="32"/>
      <c r="DB31" s="31"/>
      <c r="DC31" s="33"/>
      <c r="DD31" s="31"/>
      <c r="DE31" s="31"/>
      <c r="DF31" s="31"/>
      <c r="DG31" s="31"/>
      <c r="DH31" s="31"/>
      <c r="DI31" s="22"/>
    </row>
    <row r="32" spans="1:113" ht="14.25" customHeight="1">
      <c r="A32" s="232"/>
      <c r="B32" s="1307" t="s">
        <v>518</v>
      </c>
      <c r="C32" s="28"/>
      <c r="D32" s="29"/>
      <c r="E32" s="29"/>
      <c r="F32" s="29"/>
      <c r="G32" s="455"/>
      <c r="H32" s="29"/>
      <c r="I32" s="29"/>
      <c r="J32" s="29"/>
      <c r="K32" s="455"/>
      <c r="L32" s="29"/>
      <c r="M32" s="29"/>
      <c r="N32" s="29"/>
      <c r="O32" s="455"/>
      <c r="P32" s="29"/>
      <c r="Q32" s="29"/>
      <c r="R32" s="29"/>
      <c r="S32" s="455"/>
      <c r="T32" s="29"/>
      <c r="U32" s="29"/>
      <c r="V32" s="29"/>
      <c r="W32" s="455"/>
      <c r="X32" s="29"/>
      <c r="Y32" s="29"/>
      <c r="Z32" s="29"/>
      <c r="AA32" s="455"/>
      <c r="AB32" s="29"/>
      <c r="AC32" s="29"/>
      <c r="AD32" s="29"/>
      <c r="AE32" s="455"/>
      <c r="AF32" s="29"/>
      <c r="AG32" s="29"/>
      <c r="AH32" s="29"/>
      <c r="AI32" s="455"/>
      <c r="AJ32" s="577"/>
      <c r="AK32" s="29"/>
      <c r="AL32" s="29"/>
      <c r="AM32" s="455"/>
      <c r="AN32" s="577"/>
      <c r="AO32" s="29"/>
      <c r="AP32" s="29"/>
      <c r="AQ32" s="30"/>
      <c r="AR32" s="33"/>
      <c r="AS32" s="29"/>
      <c r="AT32" s="29"/>
      <c r="AU32" s="30"/>
      <c r="AV32" s="33"/>
      <c r="AW32" s="29"/>
      <c r="AX32" s="29"/>
      <c r="AY32" s="30"/>
      <c r="AZ32" s="33"/>
      <c r="BA32" s="29"/>
      <c r="BB32" s="29"/>
      <c r="BC32" s="29"/>
      <c r="BD32" s="33"/>
      <c r="BE32" s="29"/>
      <c r="BF32" s="29"/>
      <c r="BG32" s="30"/>
      <c r="BH32" s="31">
        <v>4</v>
      </c>
      <c r="BI32" s="1363">
        <v>8</v>
      </c>
      <c r="BJ32" s="1372">
        <v>13.5</v>
      </c>
      <c r="BK32" s="1372">
        <v>15</v>
      </c>
      <c r="BL32" s="1484">
        <v>15</v>
      </c>
      <c r="BM32" s="1486">
        <v>15</v>
      </c>
      <c r="BN32" s="1486">
        <v>15.1</v>
      </c>
      <c r="BO32" s="1456">
        <v>15.1</v>
      </c>
      <c r="BP32" s="1371">
        <v>15.2</v>
      </c>
      <c r="BQ32" s="1372">
        <v>15.25</v>
      </c>
      <c r="BR32" s="1372">
        <v>15.75</v>
      </c>
      <c r="BS32" s="1370">
        <v>16</v>
      </c>
      <c r="BT32" s="1499">
        <v>16</v>
      </c>
      <c r="BU32" s="1500">
        <f>BT32</f>
        <v>16</v>
      </c>
      <c r="BV32" s="1500">
        <f>BU32</f>
        <v>16</v>
      </c>
      <c r="BW32" s="1498">
        <v>16</v>
      </c>
      <c r="BX32" s="20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1363">
        <f>SUM(BH32:BK32)</f>
        <v>40.5</v>
      </c>
      <c r="CN32" s="1363">
        <f>SUM(BL32:BO32)</f>
        <v>60.2</v>
      </c>
      <c r="CO32" s="1363">
        <f>SUM(BP32:BS32)</f>
        <v>62.2</v>
      </c>
      <c r="CP32" s="1364">
        <f>SUM(BT32:BW32)</f>
        <v>64</v>
      </c>
      <c r="CQ32" s="20"/>
      <c r="CR32" s="33"/>
      <c r="CS32" s="31"/>
      <c r="CT32" s="31"/>
      <c r="CU32" s="31"/>
      <c r="CV32" s="31"/>
      <c r="CW32" s="31"/>
      <c r="CX32" s="31"/>
      <c r="CY32" s="31"/>
      <c r="CZ32" s="31"/>
      <c r="DA32" s="32"/>
      <c r="DB32" s="31"/>
      <c r="DC32" s="33"/>
      <c r="DD32" s="31"/>
      <c r="DE32" s="31">
        <f>SUM(BG32:BJ32)</f>
        <v>25.5</v>
      </c>
      <c r="DF32" s="31">
        <f>SUM(BK32:BN32)</f>
        <v>60.1</v>
      </c>
      <c r="DG32" s="31">
        <f>SUM(BO32:BR32)</f>
        <v>61.3</v>
      </c>
      <c r="DH32" s="31">
        <f>SUM(BS32:BV32)</f>
        <v>64</v>
      </c>
      <c r="DI32" s="22"/>
    </row>
    <row r="33" spans="1:113" ht="14.25" customHeight="1">
      <c r="A33" s="232"/>
      <c r="B33" s="1307"/>
      <c r="C33" s="28"/>
      <c r="D33" s="29"/>
      <c r="E33" s="29"/>
      <c r="F33" s="29"/>
      <c r="G33" s="455"/>
      <c r="H33" s="29"/>
      <c r="I33" s="29"/>
      <c r="J33" s="29"/>
      <c r="K33" s="455"/>
      <c r="L33" s="29"/>
      <c r="M33" s="29"/>
      <c r="N33" s="29"/>
      <c r="O33" s="455"/>
      <c r="P33" s="29"/>
      <c r="Q33" s="29"/>
      <c r="R33" s="29"/>
      <c r="S33" s="455"/>
      <c r="T33" s="29"/>
      <c r="U33" s="29"/>
      <c r="V33" s="29"/>
      <c r="W33" s="455"/>
      <c r="X33" s="29"/>
      <c r="Y33" s="29"/>
      <c r="Z33" s="29"/>
      <c r="AA33" s="455"/>
      <c r="AB33" s="29"/>
      <c r="AC33" s="29"/>
      <c r="AD33" s="29"/>
      <c r="AE33" s="455"/>
      <c r="AF33" s="29"/>
      <c r="AG33" s="29"/>
      <c r="AH33" s="29"/>
      <c r="AI33" s="455"/>
      <c r="AJ33" s="577"/>
      <c r="AK33" s="29"/>
      <c r="AL33" s="29"/>
      <c r="AM33" s="455"/>
      <c r="AN33" s="577"/>
      <c r="AO33" s="29"/>
      <c r="AP33" s="29"/>
      <c r="AQ33" s="30"/>
      <c r="AR33" s="33"/>
      <c r="AS33" s="29"/>
      <c r="AT33" s="29"/>
      <c r="AU33" s="30"/>
      <c r="AV33" s="33"/>
      <c r="AW33" s="29"/>
      <c r="AX33" s="29"/>
      <c r="AY33" s="30"/>
      <c r="AZ33" s="33"/>
      <c r="BA33" s="29"/>
      <c r="BB33" s="29"/>
      <c r="BC33" s="29"/>
      <c r="BD33" s="33"/>
      <c r="BE33" s="29"/>
      <c r="BF33" s="29"/>
      <c r="BG33" s="30"/>
      <c r="BH33" s="31"/>
      <c r="BI33" s="29"/>
      <c r="BJ33" s="29"/>
      <c r="BK33" s="29"/>
      <c r="BL33" s="33"/>
      <c r="BM33" s="29"/>
      <c r="BN33" s="1487"/>
      <c r="BO33" s="1300"/>
      <c r="BP33" s="1307"/>
      <c r="BQ33" s="1174"/>
      <c r="BR33" s="1174"/>
      <c r="BS33" s="1300"/>
      <c r="BT33" s="1307"/>
      <c r="BU33" s="1174"/>
      <c r="BV33" s="1174"/>
      <c r="BW33" s="1300"/>
      <c r="BX33" s="20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2"/>
      <c r="CQ33" s="20"/>
      <c r="CR33" s="33"/>
      <c r="CS33" s="31"/>
      <c r="CT33" s="31"/>
      <c r="CU33" s="31"/>
      <c r="CV33" s="31"/>
      <c r="CW33" s="31"/>
      <c r="CX33" s="31"/>
      <c r="CY33" s="31"/>
      <c r="CZ33" s="31"/>
      <c r="DA33" s="32"/>
      <c r="DB33" s="31"/>
      <c r="DC33" s="33"/>
      <c r="DD33" s="31"/>
      <c r="DE33" s="31"/>
      <c r="DF33" s="31"/>
      <c r="DG33" s="31"/>
      <c r="DH33" s="31"/>
      <c r="DI33" s="22"/>
    </row>
    <row r="34" spans="1:113" ht="14.25" hidden="1" customHeight="1" outlineLevel="1">
      <c r="A34" s="1196"/>
      <c r="B34" s="1307" t="s">
        <v>303</v>
      </c>
      <c r="C34" s="588"/>
      <c r="D34" s="1400">
        <v>0</v>
      </c>
      <c r="E34" s="1400">
        <v>0</v>
      </c>
      <c r="F34" s="1400">
        <v>0</v>
      </c>
      <c r="G34" s="1098">
        <f>0-F34-E34-D34</f>
        <v>0</v>
      </c>
      <c r="H34" s="1400">
        <v>0</v>
      </c>
      <c r="I34" s="1400">
        <v>0</v>
      </c>
      <c r="J34" s="1400">
        <v>0</v>
      </c>
      <c r="K34" s="1098">
        <f>0-J34-I34-H34</f>
        <v>0</v>
      </c>
      <c r="L34" s="1400">
        <v>0</v>
      </c>
      <c r="M34" s="1400">
        <v>0</v>
      </c>
      <c r="N34" s="1400">
        <v>0</v>
      </c>
      <c r="O34" s="1098">
        <f>0-N34-M34-L34</f>
        <v>0</v>
      </c>
      <c r="P34" s="1400">
        <v>0</v>
      </c>
      <c r="Q34" s="1400">
        <v>0</v>
      </c>
      <c r="R34" s="1400">
        <v>0</v>
      </c>
      <c r="S34" s="1401">
        <v>0</v>
      </c>
      <c r="T34" s="1400">
        <v>0</v>
      </c>
      <c r="U34" s="1400">
        <v>0</v>
      </c>
      <c r="V34" s="1400">
        <v>0</v>
      </c>
      <c r="W34" s="1401">
        <v>0</v>
      </c>
      <c r="X34" s="1400">
        <v>0</v>
      </c>
      <c r="Y34" s="1400">
        <v>0</v>
      </c>
      <c r="Z34" s="1400">
        <v>0</v>
      </c>
      <c r="AA34" s="1401">
        <v>0</v>
      </c>
      <c r="AB34" s="1400">
        <v>0</v>
      </c>
      <c r="AC34" s="1400">
        <v>0</v>
      </c>
      <c r="AD34" s="1400">
        <v>0</v>
      </c>
      <c r="AE34" s="1401">
        <v>0</v>
      </c>
      <c r="AF34" s="1400">
        <v>0</v>
      </c>
      <c r="AG34" s="1400">
        <v>0</v>
      </c>
      <c r="AH34" s="1400">
        <v>0</v>
      </c>
      <c r="AI34" s="1401">
        <v>0</v>
      </c>
      <c r="AJ34" s="1402">
        <v>0</v>
      </c>
      <c r="AK34" s="1400">
        <v>0</v>
      </c>
      <c r="AL34" s="1400">
        <v>0</v>
      </c>
      <c r="AM34" s="1401">
        <v>0</v>
      </c>
      <c r="AN34" s="1402">
        <v>0</v>
      </c>
      <c r="AO34" s="1400">
        <v>0</v>
      </c>
      <c r="AP34" s="1400">
        <v>0</v>
      </c>
      <c r="AQ34" s="1401">
        <v>0</v>
      </c>
      <c r="AR34" s="1402">
        <v>0</v>
      </c>
      <c r="AS34" s="1400">
        <v>1.7000000000000001E-2</v>
      </c>
      <c r="AT34" s="1400">
        <v>0</v>
      </c>
      <c r="AU34" s="1401">
        <v>0</v>
      </c>
      <c r="AV34" s="1402">
        <v>0</v>
      </c>
      <c r="AW34" s="1400">
        <v>0</v>
      </c>
      <c r="AX34" s="1400">
        <v>0</v>
      </c>
      <c r="AY34" s="1401">
        <v>0</v>
      </c>
      <c r="AZ34" s="1402">
        <v>0</v>
      </c>
      <c r="BA34" s="1400">
        <v>0</v>
      </c>
      <c r="BB34" s="1400">
        <v>0</v>
      </c>
      <c r="BC34" s="1400">
        <v>0</v>
      </c>
      <c r="BD34" s="1402">
        <v>0</v>
      </c>
      <c r="BE34" s="1400">
        <v>0</v>
      </c>
      <c r="BF34" s="1400">
        <v>0</v>
      </c>
      <c r="BG34" s="1401">
        <v>0</v>
      </c>
      <c r="BH34" s="1400">
        <f>-1.201</f>
        <v>-1.2010000000000001</v>
      </c>
      <c r="BI34" s="1400">
        <v>0.45300000000000001</v>
      </c>
      <c r="BJ34" s="1400">
        <v>0.72299999999999998</v>
      </c>
      <c r="BK34" s="1400">
        <v>0.83299999999999996</v>
      </c>
      <c r="BL34" s="1463">
        <v>0</v>
      </c>
      <c r="BM34" s="1461">
        <v>0</v>
      </c>
      <c r="BN34" s="1507">
        <v>0</v>
      </c>
      <c r="BO34" s="1462">
        <v>0</v>
      </c>
      <c r="BP34" s="1402">
        <v>0</v>
      </c>
      <c r="BQ34" s="1400">
        <v>0</v>
      </c>
      <c r="BR34" s="1400">
        <v>0</v>
      </c>
      <c r="BS34" s="1401">
        <v>0</v>
      </c>
      <c r="BT34" s="1509">
        <v>0</v>
      </c>
      <c r="BU34" s="1507">
        <v>0</v>
      </c>
      <c r="BV34" s="1507">
        <v>0</v>
      </c>
      <c r="BW34" s="1508">
        <v>0</v>
      </c>
      <c r="BX34" s="552"/>
      <c r="BY34" s="550">
        <f>SUM(D34:G34)</f>
        <v>0</v>
      </c>
      <c r="BZ34" s="550">
        <f>SUM(H34:K34)</f>
        <v>0</v>
      </c>
      <c r="CA34" s="550">
        <f>SUM(L34:O34)</f>
        <v>0</v>
      </c>
      <c r="CB34" s="550">
        <f>SUM(P34:S34)</f>
        <v>0</v>
      </c>
      <c r="CC34" s="550">
        <f>SUM(T34:W34)</f>
        <v>0</v>
      </c>
      <c r="CD34" s="550">
        <f>SUM(X34:AA34)</f>
        <v>0</v>
      </c>
      <c r="CE34" s="550">
        <f>SUM(AB34:AE34)</f>
        <v>0</v>
      </c>
      <c r="CF34" s="550">
        <f>SUM(AF34:AI34)</f>
        <v>0</v>
      </c>
      <c r="CG34" s="550">
        <f>SUM(AJ34:AM34)</f>
        <v>0</v>
      </c>
      <c r="CH34" s="550">
        <f>SUM(AN34:AQ34)</f>
        <v>0</v>
      </c>
      <c r="CI34" s="550">
        <f>SUM(AR34:AU34)</f>
        <v>1.7000000000000001E-2</v>
      </c>
      <c r="CJ34" s="550">
        <f>SUM(AV34:AY34)</f>
        <v>0</v>
      </c>
      <c r="CK34" s="550">
        <f>SUM(AZ34:BC34)</f>
        <v>0</v>
      </c>
      <c r="CL34" s="550">
        <f>SUM(BD34:BG34)</f>
        <v>0</v>
      </c>
      <c r="CM34" s="550">
        <f>SUM(BH34:BK34)</f>
        <v>0.80799999999999994</v>
      </c>
      <c r="CN34" s="550">
        <f>SUM(BL34:BO34)</f>
        <v>0</v>
      </c>
      <c r="CO34" s="550">
        <f>SUM(BP34:BS34)</f>
        <v>0</v>
      </c>
      <c r="CP34" s="551">
        <f>SUM(BT34:BW34)</f>
        <v>0</v>
      </c>
      <c r="CQ34" s="552"/>
      <c r="CR34" s="555">
        <f>SUM(G34:J34)</f>
        <v>0</v>
      </c>
      <c r="CS34" s="550">
        <f>SUM(K34:N34)</f>
        <v>0</v>
      </c>
      <c r="CT34" s="550">
        <f>SUM(O34:R34)</f>
        <v>0</v>
      </c>
      <c r="CU34" s="550">
        <f>SUM(S34:V34)</f>
        <v>0</v>
      </c>
      <c r="CV34" s="550">
        <f>SUM(W34:Z34)</f>
        <v>0</v>
      </c>
      <c r="CW34" s="550">
        <f>SUM(AA34:AD34)</f>
        <v>0</v>
      </c>
      <c r="CX34" s="550">
        <f>SUM(AE34:AH34)</f>
        <v>0</v>
      </c>
      <c r="CY34" s="550">
        <f>SUM(AI34:AL34)</f>
        <v>0</v>
      </c>
      <c r="CZ34" s="550">
        <f>SUM(AM34:AP34)</f>
        <v>0</v>
      </c>
      <c r="DA34" s="551">
        <f>SUM(AQ34:AT34)</f>
        <v>1.7000000000000001E-2</v>
      </c>
      <c r="DB34" s="550">
        <f>SUM(AU34:AX34)</f>
        <v>0</v>
      </c>
      <c r="DC34" s="555">
        <f>SUM(AY34:BB34)</f>
        <v>0</v>
      </c>
      <c r="DD34" s="550">
        <f>SUM(BC34:BF34)</f>
        <v>0</v>
      </c>
      <c r="DE34" s="550">
        <f>SUM(BG34:BJ34)</f>
        <v>-2.5000000000000022E-2</v>
      </c>
      <c r="DF34" s="550">
        <f>SUM(BK34:BN34)</f>
        <v>0.83299999999999996</v>
      </c>
      <c r="DG34" s="550">
        <f>SUM(BO34:BR34)</f>
        <v>0</v>
      </c>
      <c r="DH34" s="550">
        <f>SUM(BS34:BV34)</f>
        <v>0</v>
      </c>
      <c r="DI34" s="556"/>
    </row>
    <row r="35" spans="1:113" ht="14.25" hidden="1" customHeight="1" outlineLevel="1">
      <c r="A35" s="8"/>
      <c r="B35" s="612" t="s">
        <v>4</v>
      </c>
      <c r="C35" s="24"/>
      <c r="D35" s="31">
        <f t="shared" ref="D35:AI35" si="93">D26-D34</f>
        <v>21.56</v>
      </c>
      <c r="E35" s="31">
        <f t="shared" si="93"/>
        <v>22.337</v>
      </c>
      <c r="F35" s="31">
        <f t="shared" si="93"/>
        <v>22.323</v>
      </c>
      <c r="G35" s="32">
        <f t="shared" si="93"/>
        <v>21.742999999999984</v>
      </c>
      <c r="H35" s="31">
        <f t="shared" si="93"/>
        <v>21.282</v>
      </c>
      <c r="I35" s="31">
        <f t="shared" si="93"/>
        <v>21.148</v>
      </c>
      <c r="J35" s="31">
        <f t="shared" si="93"/>
        <v>20.858000000000001</v>
      </c>
      <c r="K35" s="32">
        <f t="shared" si="93"/>
        <v>22.100999999999996</v>
      </c>
      <c r="L35" s="31">
        <f t="shared" si="93"/>
        <v>23.280999999999999</v>
      </c>
      <c r="M35" s="31">
        <f t="shared" si="93"/>
        <v>23.318000000000001</v>
      </c>
      <c r="N35" s="31">
        <f t="shared" si="93"/>
        <v>23.11</v>
      </c>
      <c r="O35" s="32">
        <f t="shared" si="93"/>
        <v>23.33100000000001</v>
      </c>
      <c r="P35" s="31">
        <f t="shared" si="93"/>
        <v>23.395</v>
      </c>
      <c r="Q35" s="31">
        <f t="shared" si="93"/>
        <v>23.637</v>
      </c>
      <c r="R35" s="31">
        <f t="shared" si="93"/>
        <v>23.376999999999999</v>
      </c>
      <c r="S35" s="32">
        <f t="shared" si="93"/>
        <v>24.516999999999999</v>
      </c>
      <c r="T35" s="31">
        <f t="shared" si="93"/>
        <v>28.024000000000001</v>
      </c>
      <c r="U35" s="31">
        <f t="shared" si="93"/>
        <v>29.084</v>
      </c>
      <c r="V35" s="31">
        <f t="shared" si="93"/>
        <v>28.042999999999999</v>
      </c>
      <c r="W35" s="32">
        <f t="shared" si="93"/>
        <v>28.547000000000001</v>
      </c>
      <c r="X35" s="31">
        <f t="shared" si="93"/>
        <v>29.745999999999999</v>
      </c>
      <c r="Y35" s="31">
        <f t="shared" si="93"/>
        <v>29.306000000000001</v>
      </c>
      <c r="Z35" s="31">
        <f t="shared" si="93"/>
        <v>30.306000000000001</v>
      </c>
      <c r="AA35" s="32">
        <f t="shared" si="93"/>
        <v>31.506</v>
      </c>
      <c r="AB35" s="31">
        <f t="shared" si="93"/>
        <v>31.552</v>
      </c>
      <c r="AC35" s="31">
        <f t="shared" si="93"/>
        <v>31.343</v>
      </c>
      <c r="AD35" s="31">
        <f t="shared" si="93"/>
        <v>26.972999999999999</v>
      </c>
      <c r="AE35" s="32">
        <f t="shared" si="93"/>
        <v>25.655999999999999</v>
      </c>
      <c r="AF35" s="31">
        <f t="shared" si="93"/>
        <v>27.635999999999999</v>
      </c>
      <c r="AG35" s="31">
        <f t="shared" si="93"/>
        <v>29.568000000000001</v>
      </c>
      <c r="AH35" s="31">
        <f t="shared" si="93"/>
        <v>30.332000000000001</v>
      </c>
      <c r="AI35" s="32">
        <f t="shared" si="93"/>
        <v>33.286999999999992</v>
      </c>
      <c r="AJ35" s="33">
        <f t="shared" ref="AJ35:BO35" si="94">AJ26-AJ34</f>
        <v>40.53</v>
      </c>
      <c r="AK35" s="31">
        <f t="shared" si="94"/>
        <v>43.72</v>
      </c>
      <c r="AL35" s="31">
        <f t="shared" si="94"/>
        <v>42.198</v>
      </c>
      <c r="AM35" s="32">
        <f t="shared" si="94"/>
        <v>44.158999999999992</v>
      </c>
      <c r="AN35" s="33">
        <f t="shared" si="94"/>
        <v>45.298000000000002</v>
      </c>
      <c r="AO35" s="31">
        <f t="shared" si="94"/>
        <v>45.383000000000003</v>
      </c>
      <c r="AP35" s="31">
        <f t="shared" si="94"/>
        <v>44.256</v>
      </c>
      <c r="AQ35" s="32">
        <f t="shared" si="94"/>
        <v>47.712999999999994</v>
      </c>
      <c r="AR35" s="33">
        <f t="shared" si="94"/>
        <v>48.826000000000001</v>
      </c>
      <c r="AS35" s="31">
        <f t="shared" si="94"/>
        <v>64.064999999999998</v>
      </c>
      <c r="AT35" s="31">
        <f t="shared" si="94"/>
        <v>71.376999999999995</v>
      </c>
      <c r="AU35" s="32">
        <f t="shared" si="94"/>
        <v>70.438000000000031</v>
      </c>
      <c r="AV35" s="33">
        <f t="shared" si="94"/>
        <v>73.084999999999994</v>
      </c>
      <c r="AW35" s="31">
        <f t="shared" si="94"/>
        <v>78.254000000000005</v>
      </c>
      <c r="AX35" s="31">
        <f t="shared" si="94"/>
        <v>76.340999999999994</v>
      </c>
      <c r="AY35" s="32">
        <f t="shared" si="94"/>
        <v>77.363000000000014</v>
      </c>
      <c r="AZ35" s="33">
        <f t="shared" si="94"/>
        <v>84.37</v>
      </c>
      <c r="BA35" s="31">
        <f t="shared" si="94"/>
        <v>88.813999999999993</v>
      </c>
      <c r="BB35" s="31">
        <f t="shared" si="94"/>
        <v>88.697000000000003</v>
      </c>
      <c r="BC35" s="31">
        <f t="shared" si="94"/>
        <v>87.662000000000006</v>
      </c>
      <c r="BD35" s="33">
        <f t="shared" si="94"/>
        <v>84.68</v>
      </c>
      <c r="BE35" s="31">
        <f t="shared" si="94"/>
        <v>95.256</v>
      </c>
      <c r="BF35" s="31">
        <f t="shared" si="94"/>
        <v>97.022000000000006</v>
      </c>
      <c r="BG35" s="32">
        <f t="shared" si="94"/>
        <v>95.638000000000005</v>
      </c>
      <c r="BH35" s="31">
        <f>BH26-BH34</f>
        <v>149.084</v>
      </c>
      <c r="BI35" s="31">
        <f t="shared" ref="BI35:BK35" si="95">BI26-BI34</f>
        <v>137.34199999999998</v>
      </c>
      <c r="BJ35" s="31">
        <f t="shared" si="95"/>
        <v>131.70999999999998</v>
      </c>
      <c r="BK35" s="31">
        <f t="shared" si="95"/>
        <v>126.349</v>
      </c>
      <c r="BL35" s="33">
        <f>BL26-BL34</f>
        <v>130.47999999999999</v>
      </c>
      <c r="BM35" s="31">
        <f t="shared" ref="BM35:BN35" si="96">BM26-BM34</f>
        <v>133.62100000000001</v>
      </c>
      <c r="BN35" s="31">
        <f t="shared" si="96"/>
        <v>131.55500000000001</v>
      </c>
      <c r="BO35" s="32">
        <f t="shared" si="94"/>
        <v>131.29913436458878</v>
      </c>
      <c r="BP35" s="33">
        <f t="shared" ref="BP35:BW35" si="97">BP26-BP34</f>
        <v>135.08245616480534</v>
      </c>
      <c r="BQ35" s="31">
        <f t="shared" si="97"/>
        <v>137.62067809579202</v>
      </c>
      <c r="BR35" s="31">
        <f t="shared" si="97"/>
        <v>135.56585722591888</v>
      </c>
      <c r="BS35" s="32">
        <f t="shared" si="97"/>
        <v>134.42900731783286</v>
      </c>
      <c r="BT35" s="33">
        <f t="shared" si="97"/>
        <v>138.02465806990207</v>
      </c>
      <c r="BU35" s="31">
        <f t="shared" si="97"/>
        <v>140.39984314881971</v>
      </c>
      <c r="BV35" s="31">
        <f t="shared" si="97"/>
        <v>139.26595761379502</v>
      </c>
      <c r="BW35" s="32">
        <f t="shared" si="97"/>
        <v>138.4239899962939</v>
      </c>
      <c r="BX35" s="20"/>
      <c r="BY35" s="31">
        <f t="shared" ref="BY35:CO35" si="98">BY26-BY34</f>
        <v>87.96299999999998</v>
      </c>
      <c r="BZ35" s="31">
        <f t="shared" si="98"/>
        <v>85.388999999999996</v>
      </c>
      <c r="CA35" s="31">
        <f t="shared" si="98"/>
        <v>93.04000000000002</v>
      </c>
      <c r="CB35" s="31">
        <f t="shared" si="98"/>
        <v>94.925999999999988</v>
      </c>
      <c r="CC35" s="31">
        <f t="shared" si="98"/>
        <v>113.69800000000001</v>
      </c>
      <c r="CD35" s="31">
        <f t="shared" si="98"/>
        <v>120.864</v>
      </c>
      <c r="CE35" s="31">
        <f t="shared" si="98"/>
        <v>115.524</v>
      </c>
      <c r="CF35" s="31">
        <f t="shared" si="98"/>
        <v>120.82299999999999</v>
      </c>
      <c r="CG35" s="31">
        <f t="shared" si="98"/>
        <v>170.607</v>
      </c>
      <c r="CH35" s="31">
        <f t="shared" si="98"/>
        <v>182.65</v>
      </c>
      <c r="CI35" s="31">
        <f t="shared" si="98"/>
        <v>254.70600000000002</v>
      </c>
      <c r="CJ35" s="31">
        <f t="shared" si="98"/>
        <v>305.04300000000001</v>
      </c>
      <c r="CK35" s="31">
        <f t="shared" si="98"/>
        <v>349.54300000000001</v>
      </c>
      <c r="CL35" s="31">
        <f t="shared" si="98"/>
        <v>372.596</v>
      </c>
      <c r="CM35" s="31">
        <f t="shared" si="98"/>
        <v>544.48500000000001</v>
      </c>
      <c r="CN35" s="31">
        <f t="shared" si="98"/>
        <v>526.95513436458873</v>
      </c>
      <c r="CO35" s="31">
        <f t="shared" si="98"/>
        <v>542.69799880434914</v>
      </c>
      <c r="CP35" s="32">
        <f t="shared" ref="CP35" si="99">CP26-CP34</f>
        <v>556.11444882881074</v>
      </c>
      <c r="CQ35" s="20"/>
      <c r="CR35" s="33">
        <f t="shared" ref="CR35:DG35" si="100">CR26-CR34</f>
        <v>85.030999999999992</v>
      </c>
      <c r="CS35" s="31">
        <f t="shared" si="100"/>
        <v>91.809999999999988</v>
      </c>
      <c r="CT35" s="31">
        <f t="shared" si="100"/>
        <v>93.740000000000009</v>
      </c>
      <c r="CU35" s="31">
        <f t="shared" si="100"/>
        <v>109.66800000000001</v>
      </c>
      <c r="CV35" s="31">
        <f t="shared" si="100"/>
        <v>117.905</v>
      </c>
      <c r="CW35" s="31">
        <f t="shared" si="100"/>
        <v>121.374</v>
      </c>
      <c r="CX35" s="31">
        <f t="shared" si="100"/>
        <v>113.19200000000001</v>
      </c>
      <c r="CY35" s="31">
        <f t="shared" si="100"/>
        <v>159.73499999999999</v>
      </c>
      <c r="CZ35" s="31">
        <f t="shared" si="100"/>
        <v>179.096</v>
      </c>
      <c r="DA35" s="32">
        <f t="shared" si="100"/>
        <v>231.98099999999999</v>
      </c>
      <c r="DB35" s="31">
        <f t="shared" si="100"/>
        <v>298.11800000000005</v>
      </c>
      <c r="DC35" s="33">
        <f t="shared" si="100"/>
        <v>339.24400000000003</v>
      </c>
      <c r="DD35" s="31">
        <f t="shared" si="100"/>
        <v>364.62</v>
      </c>
      <c r="DE35" s="31">
        <f t="shared" si="100"/>
        <v>513.774</v>
      </c>
      <c r="DF35" s="31">
        <f>DF26-DF34</f>
        <v>522.005</v>
      </c>
      <c r="DG35" s="31">
        <f t="shared" si="100"/>
        <v>539.56812585110492</v>
      </c>
      <c r="DH35" s="31">
        <f t="shared" ref="DH35" si="101">DH26-DH34</f>
        <v>552.11946615034958</v>
      </c>
      <c r="DI35" s="22"/>
    </row>
    <row r="36" spans="1:113" ht="14.25" hidden="1" customHeight="1" outlineLevel="1">
      <c r="A36" s="8"/>
      <c r="B36" s="609" t="s">
        <v>299</v>
      </c>
      <c r="C36" s="35"/>
      <c r="D36" s="1376">
        <f t="shared" ref="D36:AI36" si="102">D35/D8</f>
        <v>0.13685065759406895</v>
      </c>
      <c r="E36" s="1376">
        <f t="shared" si="102"/>
        <v>0.13393253306791064</v>
      </c>
      <c r="F36" s="1376">
        <f t="shared" si="102"/>
        <v>0.13329233194406298</v>
      </c>
      <c r="G36" s="1377">
        <f t="shared" si="102"/>
        <v>0.1361780216201319</v>
      </c>
      <c r="H36" s="1376">
        <f t="shared" si="102"/>
        <v>0.13195439072933912</v>
      </c>
      <c r="I36" s="1376">
        <f t="shared" si="102"/>
        <v>0.12551784718018114</v>
      </c>
      <c r="J36" s="1376">
        <f t="shared" si="102"/>
        <v>0.11720150364955301</v>
      </c>
      <c r="K36" s="1377">
        <f t="shared" si="102"/>
        <v>0.11539545957686762</v>
      </c>
      <c r="L36" s="1376">
        <f t="shared" si="102"/>
        <v>0.10941604981788274</v>
      </c>
      <c r="M36" s="1376">
        <f t="shared" si="102"/>
        <v>0.105657607365855</v>
      </c>
      <c r="N36" s="1376">
        <f t="shared" si="102"/>
        <v>0.11252093639231878</v>
      </c>
      <c r="O36" s="1377">
        <f t="shared" si="102"/>
        <v>0.11212352763080119</v>
      </c>
      <c r="P36" s="1376">
        <f t="shared" si="102"/>
        <v>0.10705770911603602</v>
      </c>
      <c r="Q36" s="1376">
        <f t="shared" si="102"/>
        <v>0.1039912361745374</v>
      </c>
      <c r="R36" s="1376">
        <f t="shared" si="102"/>
        <v>9.9520638921054422E-2</v>
      </c>
      <c r="S36" s="1377">
        <f t="shared" si="102"/>
        <v>9.9190037706536338E-2</v>
      </c>
      <c r="T36" s="1376">
        <f t="shared" si="102"/>
        <v>0.10673491851293243</v>
      </c>
      <c r="U36" s="1376">
        <f t="shared" si="102"/>
        <v>0.10854912030574693</v>
      </c>
      <c r="V36" s="1376">
        <f t="shared" si="102"/>
        <v>0.11172331915029243</v>
      </c>
      <c r="W36" s="1377">
        <f t="shared" si="102"/>
        <v>0.11057185795736242</v>
      </c>
      <c r="X36" s="1376">
        <f t="shared" si="102"/>
        <v>0.11264352146384318</v>
      </c>
      <c r="Y36" s="1376">
        <f t="shared" si="102"/>
        <v>0.11330500643734512</v>
      </c>
      <c r="Z36" s="1376">
        <f t="shared" si="102"/>
        <v>0.11997624703087886</v>
      </c>
      <c r="AA36" s="1377">
        <f t="shared" si="102"/>
        <v>0.12098242057000667</v>
      </c>
      <c r="AB36" s="1376">
        <f t="shared" si="102"/>
        <v>0.11765583282371014</v>
      </c>
      <c r="AC36" s="1376">
        <f t="shared" si="102"/>
        <v>0.11621172684330344</v>
      </c>
      <c r="AD36" s="1376">
        <f t="shared" si="102"/>
        <v>0.14036301947274751</v>
      </c>
      <c r="AE36" s="1377">
        <f t="shared" si="102"/>
        <v>0.14808401586119721</v>
      </c>
      <c r="AF36" s="1376">
        <f t="shared" si="102"/>
        <v>0.14322955806974899</v>
      </c>
      <c r="AG36" s="1376">
        <f t="shared" si="102"/>
        <v>0.13045032008153146</v>
      </c>
      <c r="AH36" s="1376">
        <f t="shared" si="102"/>
        <v>0.12127997313064028</v>
      </c>
      <c r="AI36" s="1377">
        <f t="shared" si="102"/>
        <v>0.11972879648946112</v>
      </c>
      <c r="AJ36" s="1378">
        <f t="shared" ref="AJ36:BO36" si="103">AJ35/AJ8</f>
        <v>0.11348967448372418</v>
      </c>
      <c r="AK36" s="1376">
        <f t="shared" si="103"/>
        <v>0.1143691255679871</v>
      </c>
      <c r="AL36" s="1376">
        <f t="shared" si="103"/>
        <v>0.11472334594806212</v>
      </c>
      <c r="AM36" s="1377">
        <f t="shared" si="103"/>
        <v>0.11621248207166074</v>
      </c>
      <c r="AN36" s="1378">
        <f t="shared" si="103"/>
        <v>0.12095368043854988</v>
      </c>
      <c r="AO36" s="1376">
        <f t="shared" si="103"/>
        <v>0.13324349240462477</v>
      </c>
      <c r="AP36" s="1376">
        <f t="shared" si="103"/>
        <v>0.1344529645517627</v>
      </c>
      <c r="AQ36" s="1377">
        <f t="shared" si="103"/>
        <v>0.14078327348477918</v>
      </c>
      <c r="AR36" s="1378">
        <f t="shared" si="103"/>
        <v>0.13865744290525767</v>
      </c>
      <c r="AS36" s="1376">
        <f t="shared" si="103"/>
        <v>0.16714149304196735</v>
      </c>
      <c r="AT36" s="1376">
        <f t="shared" si="103"/>
        <v>0.17155994394864041</v>
      </c>
      <c r="AU36" s="1377">
        <f t="shared" si="103"/>
        <v>0.16375446362148496</v>
      </c>
      <c r="AV36" s="1378">
        <f t="shared" si="103"/>
        <v>0.15792191740565956</v>
      </c>
      <c r="AW36" s="1376">
        <f t="shared" si="103"/>
        <v>0.15883686613121589</v>
      </c>
      <c r="AX36" s="1376">
        <f t="shared" si="103"/>
        <v>0.15826167356314214</v>
      </c>
      <c r="AY36" s="1377">
        <f t="shared" si="103"/>
        <v>0.15680078802717556</v>
      </c>
      <c r="AZ36" s="1378">
        <f t="shared" si="103"/>
        <v>0.15952699687639449</v>
      </c>
      <c r="BA36" s="1376">
        <f t="shared" si="103"/>
        <v>0.16259064189380915</v>
      </c>
      <c r="BB36" s="1376">
        <f t="shared" si="103"/>
        <v>0.16776115450814244</v>
      </c>
      <c r="BC36" s="1376">
        <f t="shared" si="103"/>
        <v>0.16137862730045821</v>
      </c>
      <c r="BD36" s="1378">
        <f t="shared" si="103"/>
        <v>0.15859103440009589</v>
      </c>
      <c r="BE36" s="1376">
        <f t="shared" si="103"/>
        <v>0.17594677414290227</v>
      </c>
      <c r="BF36" s="1376">
        <f t="shared" si="103"/>
        <v>0.17955598655671201</v>
      </c>
      <c r="BG36" s="1377">
        <f t="shared" si="103"/>
        <v>0.17151721664275466</v>
      </c>
      <c r="BH36" s="1376">
        <f>BH35/BH8</f>
        <v>0.18649230495952646</v>
      </c>
      <c r="BI36" s="1376">
        <f t="shared" ref="BI36:BK36" si="104">BI35/BI8</f>
        <v>0.15761725295054649</v>
      </c>
      <c r="BJ36" s="1376">
        <f t="shared" si="104"/>
        <v>0.15785638436849053</v>
      </c>
      <c r="BK36" s="1376">
        <f t="shared" si="104"/>
        <v>0.13997314621354964</v>
      </c>
      <c r="BL36" s="1442">
        <f>BL35/BL8</f>
        <v>0.13421921305654219</v>
      </c>
      <c r="BM36" s="1441">
        <f t="shared" ref="BM36:BN36" si="105">BM35/BM8</f>
        <v>0.13201842829887991</v>
      </c>
      <c r="BN36" s="1494">
        <f t="shared" si="105"/>
        <v>0.13232180485915881</v>
      </c>
      <c r="BO36" s="1453">
        <f t="shared" si="103"/>
        <v>0.13322663520714431</v>
      </c>
      <c r="BP36" s="1378">
        <f t="shared" ref="BP36:BW36" si="106">BP35/BP8</f>
        <v>0.13126247510672692</v>
      </c>
      <c r="BQ36" s="1376">
        <f t="shared" si="106"/>
        <v>0.1296685527668999</v>
      </c>
      <c r="BR36" s="1376">
        <f t="shared" si="106"/>
        <v>0.13038470542425257</v>
      </c>
      <c r="BS36" s="1377">
        <f t="shared" si="106"/>
        <v>0.13046770535598737</v>
      </c>
      <c r="BT36" s="1495">
        <f t="shared" si="106"/>
        <v>0.12882529271369983</v>
      </c>
      <c r="BU36" s="1494">
        <f t="shared" si="106"/>
        <v>0.1277586026418038</v>
      </c>
      <c r="BV36" s="1494">
        <f t="shared" si="106"/>
        <v>0.12859136207584437</v>
      </c>
      <c r="BW36" s="1496">
        <f t="shared" si="106"/>
        <v>0.12897963645251875</v>
      </c>
      <c r="BX36" s="20"/>
      <c r="BY36" s="36">
        <f t="shared" ref="BY36:CO36" si="107">BY35/BY8</f>
        <v>0.13502399218987443</v>
      </c>
      <c r="BZ36" s="36">
        <f t="shared" si="107"/>
        <v>0.12211337699854131</v>
      </c>
      <c r="CA36" s="36">
        <f t="shared" si="107"/>
        <v>0.10985481783747535</v>
      </c>
      <c r="CB36" s="36">
        <f t="shared" si="107"/>
        <v>0.10230274395862453</v>
      </c>
      <c r="CC36" s="36">
        <f t="shared" si="107"/>
        <v>0.10935959548741862</v>
      </c>
      <c r="CD36" s="36">
        <f t="shared" si="107"/>
        <v>0.11669371664814523</v>
      </c>
      <c r="CE36" s="36">
        <f t="shared" si="107"/>
        <v>0.12789149083856141</v>
      </c>
      <c r="CF36" s="36">
        <f t="shared" si="107"/>
        <v>0.1274868659711795</v>
      </c>
      <c r="CG36" s="36">
        <f t="shared" si="107"/>
        <v>0.11471653201811452</v>
      </c>
      <c r="CH36" s="1494">
        <f t="shared" si="107"/>
        <v>0.13205116340942874</v>
      </c>
      <c r="CI36" s="1494">
        <f t="shared" si="107"/>
        <v>0.16104090544965521</v>
      </c>
      <c r="CJ36" s="1494">
        <f t="shared" si="107"/>
        <v>0.1579537669769891</v>
      </c>
      <c r="CK36" s="1376">
        <f t="shared" si="107"/>
        <v>0.16280257992879485</v>
      </c>
      <c r="CL36" s="1376">
        <f t="shared" si="107"/>
        <v>0.1714435323084342</v>
      </c>
      <c r="CM36" s="1376">
        <f t="shared" si="107"/>
        <v>0.15977577368671406</v>
      </c>
      <c r="CN36" s="1376">
        <f t="shared" si="107"/>
        <v>0.13293462472472772</v>
      </c>
      <c r="CO36" s="1376">
        <f t="shared" si="107"/>
        <v>0.13043968944759354</v>
      </c>
      <c r="CP36" s="1377">
        <f t="shared" ref="CP36" si="108">CP35/CP8</f>
        <v>0.12853408439042557</v>
      </c>
      <c r="CQ36" s="20"/>
      <c r="CR36" s="1378">
        <f t="shared" ref="CR36:DG36" si="109">CR35/CR8</f>
        <v>0.12740597121375122</v>
      </c>
      <c r="CS36" s="1376">
        <f t="shared" si="109"/>
        <v>0.1105642376896277</v>
      </c>
      <c r="CT36" s="1376">
        <f t="shared" si="109"/>
        <v>0.10546757215314063</v>
      </c>
      <c r="CU36" s="1376">
        <f t="shared" si="109"/>
        <v>0.10661176065723894</v>
      </c>
      <c r="CV36" s="1376">
        <f t="shared" si="109"/>
        <v>0.11408376431429278</v>
      </c>
      <c r="CW36" s="1376">
        <f t="shared" si="109"/>
        <v>0.12254281335376824</v>
      </c>
      <c r="CX36" s="1376">
        <f t="shared" si="109"/>
        <v>0.13427888801630442</v>
      </c>
      <c r="CY36" s="1376">
        <f t="shared" si="109"/>
        <v>0.11531214807542373</v>
      </c>
      <c r="CZ36" s="1376">
        <f t="shared" si="109"/>
        <v>0.12574758644900824</v>
      </c>
      <c r="DA36" s="1377">
        <f t="shared" si="109"/>
        <v>0.15565120538919341</v>
      </c>
      <c r="DB36" s="1376">
        <f t="shared" si="109"/>
        <v>0.15959404211079689</v>
      </c>
      <c r="DC36" s="1378">
        <f t="shared" si="109"/>
        <v>0.16175943978985444</v>
      </c>
      <c r="DD36" s="1376">
        <f t="shared" si="109"/>
        <v>0.16889203453249671</v>
      </c>
      <c r="DE36" s="1376">
        <f t="shared" si="109"/>
        <v>0.16774973789817682</v>
      </c>
      <c r="DF36" s="1376">
        <f t="shared" si="109"/>
        <v>0.13449747252812375</v>
      </c>
      <c r="DG36" s="1441">
        <f t="shared" si="109"/>
        <v>0.13110002899658824</v>
      </c>
      <c r="DH36" s="1441">
        <f t="shared" ref="DH36" si="110">DH35/DH8</f>
        <v>0.12888755045677003</v>
      </c>
      <c r="DI36" s="22"/>
    </row>
    <row r="37" spans="1:113" ht="14.25" customHeight="1" collapsed="1">
      <c r="A37" s="8"/>
      <c r="B37" s="615"/>
      <c r="C37" s="50"/>
      <c r="D37" s="38"/>
      <c r="E37" s="38"/>
      <c r="F37" s="38"/>
      <c r="G37" s="39"/>
      <c r="H37" s="38"/>
      <c r="I37" s="38"/>
      <c r="J37" s="38"/>
      <c r="K37" s="39"/>
      <c r="L37" s="38"/>
      <c r="M37" s="38"/>
      <c r="N37" s="38"/>
      <c r="O37" s="39"/>
      <c r="P37" s="38"/>
      <c r="Q37" s="38"/>
      <c r="R37" s="38"/>
      <c r="S37" s="39"/>
      <c r="T37" s="38"/>
      <c r="U37" s="38"/>
      <c r="V37" s="38"/>
      <c r="W37" s="39"/>
      <c r="X37" s="38"/>
      <c r="Y37" s="38"/>
      <c r="Z37" s="38"/>
      <c r="AA37" s="39"/>
      <c r="AB37" s="38"/>
      <c r="AC37" s="38"/>
      <c r="AD37" s="38"/>
      <c r="AE37" s="39"/>
      <c r="AF37" s="38"/>
      <c r="AG37" s="38"/>
      <c r="AH37" s="38"/>
      <c r="AI37" s="39"/>
      <c r="AJ37" s="40"/>
      <c r="AK37" s="38"/>
      <c r="AL37" s="38"/>
      <c r="AM37" s="39"/>
      <c r="AN37" s="40"/>
      <c r="AO37" s="38"/>
      <c r="AP37" s="38"/>
      <c r="AQ37" s="39"/>
      <c r="AR37" s="40"/>
      <c r="AS37" s="38"/>
      <c r="AT37" s="38"/>
      <c r="AU37" s="39"/>
      <c r="AV37" s="40"/>
      <c r="AW37" s="38"/>
      <c r="AX37" s="38"/>
      <c r="AY37" s="39"/>
      <c r="AZ37" s="40"/>
      <c r="BA37" s="38"/>
      <c r="BB37" s="38"/>
      <c r="BC37" s="38"/>
      <c r="BD37" s="40"/>
      <c r="BE37" s="38"/>
      <c r="BF37" s="38"/>
      <c r="BG37" s="39"/>
      <c r="BH37" s="38"/>
      <c r="BI37" s="38"/>
      <c r="BJ37" s="38"/>
      <c r="BK37" s="38"/>
      <c r="BL37" s="40"/>
      <c r="BM37" s="38"/>
      <c r="BN37" s="38"/>
      <c r="BO37" s="39"/>
      <c r="BP37" s="40"/>
      <c r="BQ37" s="38"/>
      <c r="BR37" s="38"/>
      <c r="BS37" s="39"/>
      <c r="BT37" s="40"/>
      <c r="BU37" s="38"/>
      <c r="BV37" s="38"/>
      <c r="BW37" s="39"/>
      <c r="BX37" s="20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2"/>
      <c r="CQ37" s="20"/>
      <c r="CR37" s="95"/>
      <c r="CS37" s="96"/>
      <c r="CT37" s="96"/>
      <c r="CU37" s="96"/>
      <c r="CV37" s="96"/>
      <c r="CW37" s="96"/>
      <c r="CX37" s="96"/>
      <c r="CY37" s="96"/>
      <c r="CZ37" s="96"/>
      <c r="DA37" s="97"/>
      <c r="DB37" s="96"/>
      <c r="DC37" s="95"/>
      <c r="DD37" s="96"/>
      <c r="DE37" s="96"/>
      <c r="DF37" s="96"/>
      <c r="DG37" s="96"/>
      <c r="DH37" s="96"/>
      <c r="DI37" s="22"/>
    </row>
    <row r="38" spans="1:113" ht="14.25" customHeight="1">
      <c r="A38" s="8"/>
      <c r="B38" s="612" t="s">
        <v>109</v>
      </c>
      <c r="C38" s="24"/>
      <c r="D38" s="29">
        <v>21.940999999999999</v>
      </c>
      <c r="E38" s="29">
        <v>23.126999999999999</v>
      </c>
      <c r="F38" s="29">
        <v>22.43</v>
      </c>
      <c r="G38" s="455">
        <f>89.355-F38-E38-D38</f>
        <v>21.857000000000017</v>
      </c>
      <c r="H38" s="29">
        <v>22.114999999999998</v>
      </c>
      <c r="I38" s="29">
        <v>22.452000000000002</v>
      </c>
      <c r="J38" s="29">
        <v>23.056000000000001</v>
      </c>
      <c r="K38" s="455">
        <f>92.411-J38-I38-H38</f>
        <v>24.788000000000007</v>
      </c>
      <c r="L38" s="29">
        <v>27.224</v>
      </c>
      <c r="M38" s="29">
        <v>28.007999999999999</v>
      </c>
      <c r="N38" s="29">
        <v>28.056000000000001</v>
      </c>
      <c r="O38" s="455">
        <f>111.188-N38-M38-L38</f>
        <v>27.900000000000009</v>
      </c>
      <c r="P38" s="29">
        <v>31.081</v>
      </c>
      <c r="Q38" s="29">
        <v>31.623999999999999</v>
      </c>
      <c r="R38" s="29">
        <v>32.305</v>
      </c>
      <c r="S38" s="30">
        <v>34.576999999999998</v>
      </c>
      <c r="T38" s="29">
        <v>40.779000000000003</v>
      </c>
      <c r="U38" s="29">
        <v>41.518000000000001</v>
      </c>
      <c r="V38" s="29">
        <v>40.185000000000002</v>
      </c>
      <c r="W38" s="30">
        <v>40.765000000000001</v>
      </c>
      <c r="X38" s="29">
        <v>43.78</v>
      </c>
      <c r="Y38" s="29">
        <v>42.969000000000001</v>
      </c>
      <c r="Z38" s="29">
        <v>43.500999999999998</v>
      </c>
      <c r="AA38" s="30">
        <v>45.396000000000001</v>
      </c>
      <c r="AB38" s="29">
        <v>45.412999999999997</v>
      </c>
      <c r="AC38" s="29">
        <v>45.628999999999998</v>
      </c>
      <c r="AD38" s="29">
        <v>36.840000000000003</v>
      </c>
      <c r="AE38" s="30">
        <v>33.335999999999999</v>
      </c>
      <c r="AF38" s="29">
        <v>36.383000000000003</v>
      </c>
      <c r="AG38" s="29">
        <v>41.045999999999999</v>
      </c>
      <c r="AH38" s="29">
        <v>43.095999999999997</v>
      </c>
      <c r="AI38" s="949">
        <f>167.222-AH38-AG38-AF38</f>
        <v>46.69700000000001</v>
      </c>
      <c r="AJ38" s="577">
        <v>57.212000000000003</v>
      </c>
      <c r="AK38" s="29">
        <v>57.584000000000003</v>
      </c>
      <c r="AL38" s="29">
        <v>56.1</v>
      </c>
      <c r="AM38" s="30">
        <f>227.781-AL38-AK38-AJ38</f>
        <v>56.885000000000005</v>
      </c>
      <c r="AN38" s="577">
        <v>57.59</v>
      </c>
      <c r="AO38" s="29">
        <v>50.997</v>
      </c>
      <c r="AP38" s="29">
        <v>51.087000000000003</v>
      </c>
      <c r="AQ38" s="30">
        <f>212.391-AP38-AO38-AN38</f>
        <v>52.71699999999997</v>
      </c>
      <c r="AR38" s="577">
        <v>57.92</v>
      </c>
      <c r="AS38" s="29">
        <v>71.766999999999996</v>
      </c>
      <c r="AT38" s="29">
        <v>69.367999999999995</v>
      </c>
      <c r="AU38" s="30">
        <f>261.471-AR38-AS38-AT38</f>
        <v>62.415999999999997</v>
      </c>
      <c r="AV38" s="577">
        <v>65.709999999999994</v>
      </c>
      <c r="AW38" s="29">
        <v>69.367999999999995</v>
      </c>
      <c r="AX38" s="29">
        <v>66.855999999999995</v>
      </c>
      <c r="AY38" s="30">
        <f>267.278-AV38-AW38-AX38</f>
        <v>65.344000000000051</v>
      </c>
      <c r="AZ38" s="577">
        <v>69.254999999999995</v>
      </c>
      <c r="BA38" s="29">
        <v>71.114000000000004</v>
      </c>
      <c r="BB38" s="29">
        <v>66.668000000000006</v>
      </c>
      <c r="BC38" s="29">
        <v>67.778000000000006</v>
      </c>
      <c r="BD38" s="577">
        <v>66.849000000000004</v>
      </c>
      <c r="BE38" s="29">
        <v>80.257999999999996</v>
      </c>
      <c r="BF38" s="29">
        <v>76.27</v>
      </c>
      <c r="BG38" s="30">
        <v>78.293000000000006</v>
      </c>
      <c r="BH38" s="29">
        <v>157.505</v>
      </c>
      <c r="BI38" s="29">
        <v>120.129</v>
      </c>
      <c r="BJ38" s="29">
        <v>111.017</v>
      </c>
      <c r="BK38" s="29">
        <v>111.16</v>
      </c>
      <c r="BL38" s="577">
        <v>114.27200000000001</v>
      </c>
      <c r="BM38" s="29">
        <v>114.289</v>
      </c>
      <c r="BN38" s="29">
        <v>109.059</v>
      </c>
      <c r="BO38" s="1252">
        <f t="shared" ref="BO38:BS38" si="111">BO42-BO45</f>
        <v>107.62351287384553</v>
      </c>
      <c r="BP38" s="1262">
        <f t="shared" si="111"/>
        <v>110.77882510646646</v>
      </c>
      <c r="BQ38" s="1263">
        <f t="shared" si="111"/>
        <v>112.89848060918808</v>
      </c>
      <c r="BR38" s="1263">
        <f t="shared" si="111"/>
        <v>111.09510487634255</v>
      </c>
      <c r="BS38" s="1252">
        <f t="shared" si="111"/>
        <v>110.10167605359338</v>
      </c>
      <c r="BT38" s="1262">
        <f t="shared" ref="BT38:BW38" si="112">BT42-BT45</f>
        <v>113.11583930856514</v>
      </c>
      <c r="BU38" s="1263">
        <f t="shared" si="112"/>
        <v>115.10691021124134</v>
      </c>
      <c r="BV38" s="1263">
        <f t="shared" si="112"/>
        <v>114.15639628464584</v>
      </c>
      <c r="BW38" s="1252">
        <f t="shared" si="112"/>
        <v>113.45059140270962</v>
      </c>
      <c r="BX38" s="20"/>
      <c r="BY38" s="31">
        <f>SUM(D38:G38)</f>
        <v>89.355000000000004</v>
      </c>
      <c r="BZ38" s="31">
        <f>SUM(H38:K38)</f>
        <v>92.411000000000016</v>
      </c>
      <c r="CA38" s="31">
        <f>SUM(L38:O38)</f>
        <v>111.188</v>
      </c>
      <c r="CB38" s="31">
        <f>SUM(P38:S38)</f>
        <v>129.58699999999999</v>
      </c>
      <c r="CC38" s="31">
        <f>SUM(T38:W38)</f>
        <v>163.24700000000001</v>
      </c>
      <c r="CD38" s="31">
        <f>SUM(X38:AA38)</f>
        <v>175.64600000000002</v>
      </c>
      <c r="CE38" s="31">
        <f>SUM(AB38:AE38)</f>
        <v>161.21800000000002</v>
      </c>
      <c r="CF38" s="31">
        <f>SUM(AF38:AI38)</f>
        <v>167.22200000000001</v>
      </c>
      <c r="CG38" s="31">
        <f>SUM(AJ38:AM38)</f>
        <v>227.78100000000001</v>
      </c>
      <c r="CH38" s="31">
        <f>SUM(AN38:AQ38)</f>
        <v>212.39099999999996</v>
      </c>
      <c r="CI38" s="31">
        <f>SUM(AR38:AU38)</f>
        <v>261.471</v>
      </c>
      <c r="CJ38" s="31">
        <f>SUM(AV38:AY38)</f>
        <v>267.27800000000002</v>
      </c>
      <c r="CK38" s="31">
        <f>SUM(AZ38:BC38)</f>
        <v>274.815</v>
      </c>
      <c r="CL38" s="31">
        <f>SUM(BD38:BG38)</f>
        <v>301.67</v>
      </c>
      <c r="CM38" s="31">
        <f>SUM(BH38:BK38)</f>
        <v>499.81100000000004</v>
      </c>
      <c r="CN38" s="31">
        <f>SUM(BL38:BO38)</f>
        <v>445.24351287384553</v>
      </c>
      <c r="CO38" s="31">
        <f>SUM(BP38:BS38)</f>
        <v>444.87408664559047</v>
      </c>
      <c r="CP38" s="32">
        <f>SUM(BT38:BW38)</f>
        <v>455.82973720716194</v>
      </c>
      <c r="CQ38" s="20"/>
      <c r="CR38" s="33">
        <f>SUM(G38:J38)</f>
        <v>89.480000000000018</v>
      </c>
      <c r="CS38" s="31">
        <f>SUM(K38:N38)</f>
        <v>108.07600000000001</v>
      </c>
      <c r="CT38" s="31">
        <f>SUM(O38:R38)</f>
        <v>122.91</v>
      </c>
      <c r="CU38" s="31">
        <f>SUM(S38:V38)</f>
        <v>157.059</v>
      </c>
      <c r="CV38" s="31">
        <f>SUM(W38:Z38)</f>
        <v>171.01500000000001</v>
      </c>
      <c r="CW38" s="31">
        <f>SUM(AA38:AD38)</f>
        <v>173.27799999999999</v>
      </c>
      <c r="CX38" s="31">
        <f>SUM(AE38:AH38)</f>
        <v>153.86099999999999</v>
      </c>
      <c r="CY38" s="31">
        <f>SUM(AI38:AL38)</f>
        <v>217.59300000000002</v>
      </c>
      <c r="CZ38" s="31">
        <f>SUM(AM38:AP38)</f>
        <v>216.55900000000003</v>
      </c>
      <c r="DA38" s="32">
        <f>SUM(AQ38:AT38)</f>
        <v>251.77199999999996</v>
      </c>
      <c r="DB38" s="31">
        <f>SUM(AU38:AX38)</f>
        <v>264.34999999999997</v>
      </c>
      <c r="DC38" s="33">
        <f>SUM(AY38:BB38)</f>
        <v>272.38100000000009</v>
      </c>
      <c r="DD38" s="31">
        <f>SUM(BC38:BF38)</f>
        <v>291.15499999999997</v>
      </c>
      <c r="DE38" s="31">
        <f>SUM(BG38:BJ38)</f>
        <v>466.94400000000002</v>
      </c>
      <c r="DF38" s="31">
        <f>SUM(BK38:BN38)</f>
        <v>448.78</v>
      </c>
      <c r="DG38" s="31">
        <f>SUM(BO38:BR38)</f>
        <v>442.3959234658426</v>
      </c>
      <c r="DH38" s="31">
        <f>SUM(BS38:BV38)</f>
        <v>452.48082185804566</v>
      </c>
      <c r="DI38" s="22"/>
    </row>
    <row r="39" spans="1:113" ht="14.25" customHeight="1">
      <c r="A39" s="11"/>
      <c r="B39" s="609" t="s">
        <v>299</v>
      </c>
      <c r="C39" s="35"/>
      <c r="D39" s="1376">
        <f t="shared" ref="D39:AI39" si="113">D38/D8</f>
        <v>0.13926902960442794</v>
      </c>
      <c r="E39" s="1376">
        <f t="shared" si="113"/>
        <v>0.13866936886160044</v>
      </c>
      <c r="F39" s="1376">
        <f t="shared" si="113"/>
        <v>0.13393123708754792</v>
      </c>
      <c r="G39" s="1377">
        <f t="shared" si="113"/>
        <v>0.13689201207520707</v>
      </c>
      <c r="H39" s="1376">
        <f t="shared" si="113"/>
        <v>0.13711922521282466</v>
      </c>
      <c r="I39" s="1376">
        <f t="shared" si="113"/>
        <v>0.133257362629536</v>
      </c>
      <c r="J39" s="1376">
        <f t="shared" si="113"/>
        <v>0.12955210797507402</v>
      </c>
      <c r="K39" s="1377">
        <f t="shared" si="113"/>
        <v>0.12942503289404986</v>
      </c>
      <c r="L39" s="1376">
        <f t="shared" si="113"/>
        <v>0.12794736223710493</v>
      </c>
      <c r="M39" s="1376">
        <f t="shared" si="113"/>
        <v>0.12690875148395517</v>
      </c>
      <c r="N39" s="1376">
        <f t="shared" si="113"/>
        <v>0.13660265648736028</v>
      </c>
      <c r="O39" s="1377">
        <f t="shared" si="113"/>
        <v>0.13408111186401581</v>
      </c>
      <c r="P39" s="1376">
        <f t="shared" si="113"/>
        <v>0.14222956431013101</v>
      </c>
      <c r="Q39" s="1376">
        <f t="shared" si="113"/>
        <v>0.13913012872968525</v>
      </c>
      <c r="R39" s="1376">
        <f t="shared" si="113"/>
        <v>0.137528948981677</v>
      </c>
      <c r="S39" s="1377">
        <f t="shared" si="113"/>
        <v>0.13989044066480022</v>
      </c>
      <c r="T39" s="1376">
        <f t="shared" si="113"/>
        <v>0.15531484591917183</v>
      </c>
      <c r="U39" s="1376">
        <f t="shared" si="113"/>
        <v>0.15495607127128322</v>
      </c>
      <c r="V39" s="1376">
        <f t="shared" si="113"/>
        <v>0.16009705024621124</v>
      </c>
      <c r="W39" s="1377">
        <f t="shared" si="113"/>
        <v>0.15789616385721369</v>
      </c>
      <c r="X39" s="1376">
        <f t="shared" si="113"/>
        <v>0.1657881183919537</v>
      </c>
      <c r="Y39" s="1376">
        <f t="shared" si="113"/>
        <v>0.16612989905160316</v>
      </c>
      <c r="Z39" s="1376">
        <f t="shared" si="113"/>
        <v>0.17221298495645287</v>
      </c>
      <c r="AA39" s="1377">
        <f t="shared" si="113"/>
        <v>0.17431974748289289</v>
      </c>
      <c r="AB39" s="1376">
        <f t="shared" si="113"/>
        <v>0.16934280983846187</v>
      </c>
      <c r="AC39" s="1376">
        <f t="shared" si="113"/>
        <v>0.16918051507938273</v>
      </c>
      <c r="AD39" s="1376">
        <f t="shared" si="113"/>
        <v>0.19170925137641417</v>
      </c>
      <c r="AE39" s="1377">
        <f t="shared" si="113"/>
        <v>0.19241225260168657</v>
      </c>
      <c r="AF39" s="1376">
        <f t="shared" si="113"/>
        <v>0.1885627808384599</v>
      </c>
      <c r="AG39" s="1376">
        <f t="shared" si="113"/>
        <v>0.18108982136318114</v>
      </c>
      <c r="AH39" s="1376">
        <f t="shared" si="113"/>
        <v>0.17231576295786868</v>
      </c>
      <c r="AI39" s="1377">
        <f t="shared" si="113"/>
        <v>0.16796273649377741</v>
      </c>
      <c r="AJ39" s="1378">
        <f t="shared" ref="AJ39:BO39" si="114">AJ38/AJ8</f>
        <v>0.16020161008050404</v>
      </c>
      <c r="AK39" s="1376">
        <f t="shared" si="114"/>
        <v>0.15063659027234605</v>
      </c>
      <c r="AL39" s="1376">
        <f t="shared" si="114"/>
        <v>0.15251859585018923</v>
      </c>
      <c r="AM39" s="1377">
        <f t="shared" si="114"/>
        <v>0.14970327776096432</v>
      </c>
      <c r="AN39" s="1378">
        <f t="shared" si="114"/>
        <v>0.15377549685319633</v>
      </c>
      <c r="AO39" s="1376">
        <f t="shared" si="114"/>
        <v>0.14972607324678072</v>
      </c>
      <c r="AP39" s="1376">
        <f t="shared" si="114"/>
        <v>0.15520604211984593</v>
      </c>
      <c r="AQ39" s="1377">
        <f t="shared" si="114"/>
        <v>0.15554821177241213</v>
      </c>
      <c r="AR39" s="1378">
        <f t="shared" si="114"/>
        <v>0.16448283891927504</v>
      </c>
      <c r="AS39" s="1376">
        <f t="shared" si="114"/>
        <v>0.18723551910002137</v>
      </c>
      <c r="AT39" s="1376">
        <f t="shared" si="114"/>
        <v>0.16673116258499637</v>
      </c>
      <c r="AU39" s="1377">
        <f t="shared" si="114"/>
        <v>0.1451048951048951</v>
      </c>
      <c r="AV39" s="1378">
        <f t="shared" si="114"/>
        <v>0.14198603260211931</v>
      </c>
      <c r="AW39" s="1376">
        <f t="shared" si="114"/>
        <v>0.14080041569491888</v>
      </c>
      <c r="AX39" s="1376">
        <f t="shared" si="114"/>
        <v>0.13859842611096829</v>
      </c>
      <c r="AY39" s="1377">
        <f t="shared" si="114"/>
        <v>0.1324404520616802</v>
      </c>
      <c r="AZ39" s="1378">
        <f t="shared" si="114"/>
        <v>0.13094751888911579</v>
      </c>
      <c r="BA39" s="1376">
        <f t="shared" si="114"/>
        <v>0.13018748066336777</v>
      </c>
      <c r="BB39" s="1376">
        <f t="shared" si="114"/>
        <v>0.12609559115583213</v>
      </c>
      <c r="BC39" s="1376">
        <f t="shared" si="114"/>
        <v>0.12477379709760737</v>
      </c>
      <c r="BD39" s="1378">
        <f t="shared" si="114"/>
        <v>0.12519664688960805</v>
      </c>
      <c r="BE39" s="1376">
        <f t="shared" si="114"/>
        <v>0.14824406020787195</v>
      </c>
      <c r="BF39" s="1376">
        <f t="shared" si="114"/>
        <v>0.14115082243903881</v>
      </c>
      <c r="BG39" s="1377">
        <f t="shared" si="114"/>
        <v>0.14041068866571019</v>
      </c>
      <c r="BH39" s="1376">
        <f>BH38/BH8</f>
        <v>0.19702631062119486</v>
      </c>
      <c r="BI39" s="1376">
        <f t="shared" ref="BI39:BK39" si="115">BI38/BI8</f>
        <v>0.13786316625428638</v>
      </c>
      <c r="BJ39" s="1376">
        <f t="shared" si="115"/>
        <v>0.13305551760258688</v>
      </c>
      <c r="BK39" s="1376">
        <f t="shared" si="115"/>
        <v>0.12314632433258813</v>
      </c>
      <c r="BL39" s="1442">
        <f>BL38/BL8</f>
        <v>0.11754673447576021</v>
      </c>
      <c r="BM39" s="1441">
        <f t="shared" ref="BM39:BN39" si="116">BM38/BM8</f>
        <v>0.11291828493912398</v>
      </c>
      <c r="BN39" s="1494">
        <f t="shared" si="116"/>
        <v>0.10969468067450877</v>
      </c>
      <c r="BO39" s="1453">
        <f t="shared" si="114"/>
        <v>0.10920345026449957</v>
      </c>
      <c r="BP39" s="1378">
        <f t="shared" ref="BP39:BW39" si="117">BP38/BP8</f>
        <v>0.10764612360282635</v>
      </c>
      <c r="BQ39" s="1376">
        <f t="shared" si="117"/>
        <v>0.10637487616494279</v>
      </c>
      <c r="BR39" s="1376">
        <f t="shared" si="117"/>
        <v>0.10684919359333314</v>
      </c>
      <c r="BS39" s="1377">
        <f t="shared" si="117"/>
        <v>0.10685724247444489</v>
      </c>
      <c r="BT39" s="1495">
        <f t="shared" si="117"/>
        <v>0.10557665067427091</v>
      </c>
      <c r="BU39" s="1494">
        <f t="shared" si="117"/>
        <v>0.1047429802853551</v>
      </c>
      <c r="BV39" s="1494">
        <f t="shared" si="117"/>
        <v>0.10540642336026548</v>
      </c>
      <c r="BW39" s="1496">
        <f t="shared" si="117"/>
        <v>0.10571011596209955</v>
      </c>
      <c r="BX39" s="160"/>
      <c r="BY39" s="36">
        <f t="shared" ref="BY39:CO39" si="118">BY38/BY8</f>
        <v>0.1371607246470247</v>
      </c>
      <c r="BZ39" s="36">
        <f t="shared" si="118"/>
        <v>0.13215542144552817</v>
      </c>
      <c r="CA39" s="36">
        <f t="shared" si="118"/>
        <v>0.13128264709493986</v>
      </c>
      <c r="CB39" s="36">
        <f t="shared" si="118"/>
        <v>0.1396572665167212</v>
      </c>
      <c r="CC39" s="36">
        <f t="shared" si="118"/>
        <v>0.15701794125256932</v>
      </c>
      <c r="CD39" s="36">
        <f t="shared" si="118"/>
        <v>0.16958552219337536</v>
      </c>
      <c r="CE39" s="36">
        <f t="shared" si="118"/>
        <v>0.17847728930794635</v>
      </c>
      <c r="CF39" s="36">
        <f t="shared" si="118"/>
        <v>0.17644495420104267</v>
      </c>
      <c r="CG39" s="36">
        <f t="shared" si="118"/>
        <v>0.15316045871282036</v>
      </c>
      <c r="CH39" s="1494">
        <f t="shared" si="118"/>
        <v>0.15355312700625226</v>
      </c>
      <c r="CI39" s="1494">
        <f t="shared" si="118"/>
        <v>0.16531815736114105</v>
      </c>
      <c r="CJ39" s="1494">
        <f t="shared" si="118"/>
        <v>0.13839874027620924</v>
      </c>
      <c r="CK39" s="1376">
        <f t="shared" si="118"/>
        <v>0.1279973880270289</v>
      </c>
      <c r="CL39" s="1376">
        <f t="shared" si="118"/>
        <v>0.13880817397794218</v>
      </c>
      <c r="CM39" s="1376">
        <f t="shared" si="118"/>
        <v>0.14666646321226526</v>
      </c>
      <c r="CN39" s="1376">
        <f t="shared" si="118"/>
        <v>0.11232128778169008</v>
      </c>
      <c r="CO39" s="1376">
        <f t="shared" si="118"/>
        <v>0.1069273110149298</v>
      </c>
      <c r="CP39" s="1377">
        <f t="shared" ref="CP39" si="119">CP38/CP8</f>
        <v>0.10535539587802829</v>
      </c>
      <c r="CQ39" s="160"/>
      <c r="CR39" s="1378">
        <f t="shared" ref="CR39:DG39" si="120">CR38/CR8</f>
        <v>0.13407211845334599</v>
      </c>
      <c r="CS39" s="1376">
        <f t="shared" si="120"/>
        <v>0.13015293053637084</v>
      </c>
      <c r="CT39" s="1376">
        <f t="shared" si="120"/>
        <v>0.13828695640433661</v>
      </c>
      <c r="CU39" s="1376">
        <f t="shared" si="120"/>
        <v>0.15268206329161915</v>
      </c>
      <c r="CV39" s="1376">
        <f t="shared" si="120"/>
        <v>0.16547249865746813</v>
      </c>
      <c r="CW39" s="1376">
        <f t="shared" si="120"/>
        <v>0.17494664106245367</v>
      </c>
      <c r="CX39" s="1376">
        <f t="shared" si="120"/>
        <v>0.18252424189939759</v>
      </c>
      <c r="CY39" s="1376">
        <f t="shared" si="120"/>
        <v>0.15707963962923391</v>
      </c>
      <c r="CZ39" s="1376">
        <f t="shared" si="120"/>
        <v>0.15205125504651573</v>
      </c>
      <c r="DA39" s="1377">
        <f t="shared" si="120"/>
        <v>0.16893027999382709</v>
      </c>
      <c r="DB39" s="1376">
        <f t="shared" si="120"/>
        <v>0.14151673173706097</v>
      </c>
      <c r="DC39" s="1378">
        <f t="shared" si="120"/>
        <v>0.12987760422999478</v>
      </c>
      <c r="DD39" s="1376">
        <f t="shared" si="120"/>
        <v>0.13486303635102045</v>
      </c>
      <c r="DE39" s="1376">
        <f t="shared" si="120"/>
        <v>0.15245951257386767</v>
      </c>
      <c r="DF39" s="1376">
        <f t="shared" si="120"/>
        <v>0.11563064668187349</v>
      </c>
      <c r="DG39" s="1441">
        <f t="shared" si="120"/>
        <v>0.10748988981300409</v>
      </c>
      <c r="DH39" s="1441">
        <f t="shared" ref="DH39" si="121">DH38/DH8</f>
        <v>0.1056277641586876</v>
      </c>
      <c r="DI39" s="23"/>
    </row>
    <row r="40" spans="1:113" ht="14.25" customHeight="1">
      <c r="A40" s="11"/>
      <c r="B40" s="609" t="s">
        <v>302</v>
      </c>
      <c r="C40" s="35"/>
      <c r="D40" s="1376"/>
      <c r="E40" s="1376">
        <f t="shared" ref="E40:AJ40" si="122">(E38/D38-1)/E10</f>
        <v>0.92223217369416122</v>
      </c>
      <c r="F40" s="1376">
        <f t="shared" si="122"/>
        <v>-7.2217591370785481</v>
      </c>
      <c r="G40" s="1377">
        <f t="shared" si="122"/>
        <v>0.54793991370236173</v>
      </c>
      <c r="H40" s="1376">
        <f t="shared" si="122"/>
        <v>1.1655517992944624</v>
      </c>
      <c r="I40" s="1376">
        <f t="shared" si="122"/>
        <v>0.34120715961385939</v>
      </c>
      <c r="J40" s="1376">
        <f t="shared" si="122"/>
        <v>0.47807009557667451</v>
      </c>
      <c r="K40" s="1377">
        <f t="shared" si="122"/>
        <v>0.98614279892690615</v>
      </c>
      <c r="L40" s="1376">
        <f t="shared" si="122"/>
        <v>0.88568569160234212</v>
      </c>
      <c r="M40" s="1376">
        <f t="shared" si="122"/>
        <v>0.77377444569255605</v>
      </c>
      <c r="N40" s="1376">
        <f t="shared" si="122"/>
        <v>-2.4704409358827759E-2</v>
      </c>
      <c r="O40" s="1377">
        <f t="shared" si="122"/>
        <v>-0.42311904006518031</v>
      </c>
      <c r="P40" s="1376">
        <f t="shared" si="122"/>
        <v>2.2715861038699035</v>
      </c>
      <c r="Q40" s="1376">
        <f t="shared" si="122"/>
        <v>0.4352721082138219</v>
      </c>
      <c r="R40" s="1376">
        <f t="shared" si="122"/>
        <v>0.64420877430098689</v>
      </c>
      <c r="S40" s="1377">
        <f t="shared" si="122"/>
        <v>1.3457281070184284</v>
      </c>
      <c r="T40" s="1376">
        <f t="shared" si="122"/>
        <v>2.8816831234944065</v>
      </c>
      <c r="U40" s="1376">
        <f t="shared" si="122"/>
        <v>0.88489436952562417</v>
      </c>
      <c r="V40" s="1376">
        <f t="shared" si="122"/>
        <v>0.50811801694506142</v>
      </c>
      <c r="W40" s="1377">
        <f t="shared" si="122"/>
        <v>0.50513141916628113</v>
      </c>
      <c r="X40" s="1376">
        <f t="shared" si="122"/>
        <v>3.2386070938750824</v>
      </c>
      <c r="Y40" s="1376">
        <f t="shared" si="122"/>
        <v>0.90171170894270514</v>
      </c>
      <c r="Z40" s="1376">
        <f t="shared" si="122"/>
        <v>-0.52957059512519578</v>
      </c>
      <c r="AA40" s="1377">
        <f t="shared" si="122"/>
        <v>1.4074975702519581</v>
      </c>
      <c r="AB40" s="1376">
        <f t="shared" si="122"/>
        <v>1.2576984815456927E-2</v>
      </c>
      <c r="AC40" s="1376">
        <f t="shared" si="122"/>
        <v>0.83149880607564619</v>
      </c>
      <c r="AD40" s="1376">
        <f t="shared" si="122"/>
        <v>0.66998229312791979</v>
      </c>
      <c r="AE40" s="1377">
        <f t="shared" si="122"/>
        <v>0.96640819414665902</v>
      </c>
      <c r="AF40" s="1376">
        <f t="shared" si="122"/>
        <v>0.80401045221418876</v>
      </c>
      <c r="AG40" s="1376">
        <f t="shared" si="122"/>
        <v>0.73354189494770317</v>
      </c>
      <c r="AH40" s="1376">
        <f t="shared" si="122"/>
        <v>0.48299125866110404</v>
      </c>
      <c r="AI40" s="1377">
        <f t="shared" si="122"/>
        <v>0.74845750138718836</v>
      </c>
      <c r="AJ40" s="1378">
        <f t="shared" si="122"/>
        <v>0.7913933570564079</v>
      </c>
      <c r="AK40" s="1376">
        <f t="shared" ref="AK40:BS40" si="123">(AK38/AJ38-1)/AK10</f>
        <v>9.2343674557030658E-2</v>
      </c>
      <c r="AL40" s="1376">
        <f t="shared" si="123"/>
        <v>0.68190794655760789</v>
      </c>
      <c r="AM40" s="1377">
        <f t="shared" si="123"/>
        <v>0.42323109686572224</v>
      </c>
      <c r="AN40" s="1378">
        <f t="shared" si="123"/>
        <v>-0.85967793441180529</v>
      </c>
      <c r="AO40" s="1376">
        <f t="shared" si="123"/>
        <v>1.2645388836191045</v>
      </c>
      <c r="AP40" s="1376">
        <f t="shared" si="123"/>
        <v>-5.2515962924178344E-2</v>
      </c>
      <c r="AQ40" s="1377">
        <f t="shared" si="123"/>
        <v>1.0765933836728614</v>
      </c>
      <c r="AR40" s="1376">
        <f t="shared" si="123"/>
        <v>2.5296404970050945</v>
      </c>
      <c r="AS40" s="1376">
        <f t="shared" si="123"/>
        <v>2.7013565076948112</v>
      </c>
      <c r="AT40" s="1376">
        <f t="shared" si="123"/>
        <v>-0.39124064449334139</v>
      </c>
      <c r="AU40" s="1377">
        <f t="shared" si="123"/>
        <v>-2.9577828418447543</v>
      </c>
      <c r="AV40" s="1376">
        <f t="shared" si="123"/>
        <v>0.6953203650180253</v>
      </c>
      <c r="AW40" s="1376">
        <f t="shared" si="123"/>
        <v>0.86230536830895632</v>
      </c>
      <c r="AX40" s="1376">
        <f t="shared" si="123"/>
        <v>1.7326266308580087</v>
      </c>
      <c r="AY40" s="1377">
        <f t="shared" si="123"/>
        <v>-0.99066607246602001</v>
      </c>
      <c r="AZ40" s="1378">
        <f t="shared" si="123"/>
        <v>0.83202559931839803</v>
      </c>
      <c r="BA40" s="1376">
        <f t="shared" si="123"/>
        <v>0.81744268414328936</v>
      </c>
      <c r="BB40" s="1376">
        <f t="shared" si="123"/>
        <v>1.947798391116131</v>
      </c>
      <c r="BC40" s="1376">
        <f t="shared" si="123"/>
        <v>0.60721842057605935</v>
      </c>
      <c r="BD40" s="1378">
        <f t="shared" si="123"/>
        <v>0.80448119953822539</v>
      </c>
      <c r="BE40" s="1376">
        <f t="shared" si="123"/>
        <v>14.397567875680592</v>
      </c>
      <c r="BF40" s="1376">
        <f t="shared" si="123"/>
        <v>25.693967280261141</v>
      </c>
      <c r="BG40" s="1377">
        <f t="shared" si="123"/>
        <v>0.83056253620124543</v>
      </c>
      <c r="BH40" s="1376">
        <f t="shared" si="123"/>
        <v>2.3330000941543827</v>
      </c>
      <c r="BI40" s="1376">
        <f t="shared" si="123"/>
        <v>-2.6364509136795014</v>
      </c>
      <c r="BJ40" s="1376">
        <f t="shared" si="123"/>
        <v>1.7864349817855394</v>
      </c>
      <c r="BK40" s="1376">
        <f t="shared" si="123"/>
        <v>1.5735568758803702E-2</v>
      </c>
      <c r="BL40" s="1442">
        <f t="shared" si="123"/>
        <v>0.36373875779651627</v>
      </c>
      <c r="BM40" s="1441">
        <f t="shared" si="123"/>
        <v>3.615764001932629E-3</v>
      </c>
      <c r="BN40" s="1494">
        <f t="shared" si="123"/>
        <v>2.5826184556132432</v>
      </c>
      <c r="BO40" s="1453">
        <f t="shared" si="123"/>
        <v>1.5088730433970741</v>
      </c>
      <c r="BP40" s="1378">
        <f t="shared" si="123"/>
        <v>0.66316493697660273</v>
      </c>
      <c r="BQ40" s="1376">
        <f t="shared" si="123"/>
        <v>0.61105174569810872</v>
      </c>
      <c r="BR40" s="1376">
        <f t="shared" si="123"/>
        <v>0.78525725766009957</v>
      </c>
      <c r="BS40" s="1377">
        <f t="shared" si="123"/>
        <v>0.99172099336616515</v>
      </c>
      <c r="BT40" s="1495">
        <f t="shared" ref="BT40" si="124">(BT38/BS38-1)/BT10</f>
        <v>0.68719213316359751</v>
      </c>
      <c r="BU40" s="1494">
        <f t="shared" ref="BU40" si="125">(BU38/BT38-1)/BU10</f>
        <v>0.6848687509961624</v>
      </c>
      <c r="BV40" s="1494">
        <f t="shared" ref="BV40" si="126">(BV38/BU38-1)/BV10</f>
        <v>0.56950060587429452</v>
      </c>
      <c r="BW40" s="1496">
        <f t="shared" ref="BW40" si="127">(BW38/BV38-1)/BW10</f>
        <v>0.68409515640335838</v>
      </c>
      <c r="BX40" s="160"/>
      <c r="BY40" s="36"/>
      <c r="BZ40" s="36"/>
      <c r="CA40" s="36"/>
      <c r="CB40" s="36"/>
      <c r="CC40" s="36">
        <f t="shared" ref="CC40:CP40" si="128">(CC38/CB38-1)/CC11</f>
        <v>2.156225806453179</v>
      </c>
      <c r="CD40" s="36">
        <f t="shared" si="128"/>
        <v>-20.072572056848486</v>
      </c>
      <c r="CE40" s="36">
        <f t="shared" si="128"/>
        <v>0.64238913736850767</v>
      </c>
      <c r="CF40" s="36">
        <f t="shared" si="128"/>
        <v>0.75711501624652444</v>
      </c>
      <c r="CG40" s="36">
        <f t="shared" si="128"/>
        <v>0.63620535905537468</v>
      </c>
      <c r="CH40" s="1494">
        <f t="shared" si="128"/>
        <v>0.96591194691366289</v>
      </c>
      <c r="CI40" s="1494">
        <f t="shared" si="128"/>
        <v>1.6106506462203274</v>
      </c>
      <c r="CJ40" s="1494">
        <f t="shared" si="128"/>
        <v>0.10047714809474269</v>
      </c>
      <c r="CK40" s="1376">
        <f t="shared" si="128"/>
        <v>0.25233454038045511</v>
      </c>
      <c r="CL40" s="1376">
        <f t="shared" si="128"/>
        <v>7.9924181505454825</v>
      </c>
      <c r="CM40" s="1376">
        <f t="shared" si="128"/>
        <v>1.1562751156317108</v>
      </c>
      <c r="CN40" s="1376">
        <f t="shared" si="128"/>
        <v>-0.66890464690516371</v>
      </c>
      <c r="CO40" s="1376">
        <f t="shared" si="128"/>
        <v>-1.6737047120033308E-2</v>
      </c>
      <c r="CP40" s="1377">
        <f t="shared" si="128"/>
        <v>0.61698738425073452</v>
      </c>
      <c r="CQ40" s="160"/>
      <c r="CR40" s="1378"/>
      <c r="CS40" s="1376"/>
      <c r="CT40" s="1376"/>
      <c r="CU40" s="1376"/>
      <c r="CV40" s="1376"/>
      <c r="CW40" s="1376"/>
      <c r="CX40" s="1376"/>
      <c r="CY40" s="1376"/>
      <c r="CZ40" s="1376"/>
      <c r="DA40" s="1377"/>
      <c r="DB40" s="1376"/>
      <c r="DC40" s="1378"/>
      <c r="DD40" s="1376"/>
      <c r="DE40" s="1376"/>
      <c r="DF40" s="1376"/>
      <c r="DG40" s="1441"/>
      <c r="DH40" s="1441"/>
      <c r="DI40" s="23"/>
    </row>
    <row r="41" spans="1:113" ht="14.25" customHeight="1">
      <c r="A41" s="11"/>
      <c r="B41" s="608"/>
      <c r="C41" s="28"/>
      <c r="D41" s="29"/>
      <c r="E41" s="29"/>
      <c r="F41" s="29"/>
      <c r="G41" s="455"/>
      <c r="H41" s="29"/>
      <c r="I41" s="29"/>
      <c r="J41" s="29"/>
      <c r="K41" s="455"/>
      <c r="L41" s="29"/>
      <c r="M41" s="29"/>
      <c r="N41" s="29"/>
      <c r="O41" s="455"/>
      <c r="P41" s="29"/>
      <c r="Q41" s="29"/>
      <c r="R41" s="29"/>
      <c r="S41" s="455"/>
      <c r="T41" s="29"/>
      <c r="U41" s="29"/>
      <c r="V41" s="29"/>
      <c r="W41" s="455"/>
      <c r="X41" s="29"/>
      <c r="Y41" s="29"/>
      <c r="Z41" s="29"/>
      <c r="AA41" s="455"/>
      <c r="AB41" s="29"/>
      <c r="AC41" s="29"/>
      <c r="AD41" s="29"/>
      <c r="AE41" s="455"/>
      <c r="AF41" s="29"/>
      <c r="AG41" s="29"/>
      <c r="AH41" s="29"/>
      <c r="AI41" s="455"/>
      <c r="AJ41" s="577"/>
      <c r="AK41" s="29"/>
      <c r="AL41" s="29"/>
      <c r="AM41" s="455"/>
      <c r="AN41" s="577"/>
      <c r="AO41" s="29"/>
      <c r="AP41" s="29"/>
      <c r="AQ41" s="30"/>
      <c r="AR41" s="33"/>
      <c r="AS41" s="29"/>
      <c r="AT41" s="29"/>
      <c r="AU41" s="30"/>
      <c r="AV41" s="33"/>
      <c r="AW41" s="29"/>
      <c r="AX41" s="29"/>
      <c r="AY41" s="30"/>
      <c r="AZ41" s="33"/>
      <c r="BA41" s="29"/>
      <c r="BB41" s="29"/>
      <c r="BC41" s="29"/>
      <c r="BD41" s="33"/>
      <c r="BE41" s="29"/>
      <c r="BF41" s="29"/>
      <c r="BG41" s="30"/>
      <c r="BH41" s="31"/>
      <c r="BI41" s="29"/>
      <c r="BJ41" s="29"/>
      <c r="BK41" s="29"/>
      <c r="BL41" s="33"/>
      <c r="BM41" s="29"/>
      <c r="BN41" s="29"/>
      <c r="BO41" s="32"/>
      <c r="BP41" s="33"/>
      <c r="BQ41" s="31"/>
      <c r="BR41" s="31"/>
      <c r="BS41" s="32"/>
      <c r="BT41" s="33"/>
      <c r="BU41" s="31"/>
      <c r="BV41" s="31"/>
      <c r="BW41" s="32"/>
      <c r="BX41" s="160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2"/>
      <c r="CQ41" s="160"/>
      <c r="CR41" s="33"/>
      <c r="CS41" s="31"/>
      <c r="CT41" s="31"/>
      <c r="CU41" s="31"/>
      <c r="CV41" s="31"/>
      <c r="CW41" s="31"/>
      <c r="CX41" s="31"/>
      <c r="CY41" s="31"/>
      <c r="CZ41" s="31"/>
      <c r="DA41" s="32"/>
      <c r="DB41" s="31"/>
      <c r="DC41" s="33"/>
      <c r="DD41" s="31"/>
      <c r="DE41" s="31"/>
      <c r="DF41" s="31"/>
      <c r="DG41" s="31"/>
      <c r="DH41" s="31"/>
      <c r="DI41" s="23"/>
    </row>
    <row r="42" spans="1:113" ht="14.25" customHeight="1">
      <c r="A42" s="11"/>
      <c r="B42" s="612" t="s">
        <v>538</v>
      </c>
      <c r="C42" s="28"/>
      <c r="D42" s="29"/>
      <c r="E42" s="29"/>
      <c r="F42" s="29"/>
      <c r="G42" s="455"/>
      <c r="H42" s="29"/>
      <c r="I42" s="29"/>
      <c r="J42" s="29"/>
      <c r="K42" s="455"/>
      <c r="L42" s="29"/>
      <c r="M42" s="29"/>
      <c r="N42" s="29"/>
      <c r="O42" s="455"/>
      <c r="P42" s="29"/>
      <c r="Q42" s="29"/>
      <c r="R42" s="29"/>
      <c r="S42" s="455"/>
      <c r="T42" s="29"/>
      <c r="U42" s="29"/>
      <c r="V42" s="29"/>
      <c r="W42" s="455"/>
      <c r="X42" s="29"/>
      <c r="Y42" s="29"/>
      <c r="Z42" s="29"/>
      <c r="AA42" s="455"/>
      <c r="AB42" s="29"/>
      <c r="AC42" s="29"/>
      <c r="AD42" s="29"/>
      <c r="AE42" s="455"/>
      <c r="AF42" s="29"/>
      <c r="AG42" s="29"/>
      <c r="AH42" s="29"/>
      <c r="AI42" s="455"/>
      <c r="AJ42" s="577"/>
      <c r="AK42" s="29"/>
      <c r="AL42" s="29"/>
      <c r="AM42" s="455"/>
      <c r="AN42" s="577"/>
      <c r="AO42" s="29"/>
      <c r="AP42" s="29"/>
      <c r="AQ42" s="30"/>
      <c r="AR42" s="33"/>
      <c r="AS42" s="29"/>
      <c r="AT42" s="29"/>
      <c r="AU42" s="30"/>
      <c r="AV42" s="33"/>
      <c r="AW42" s="29"/>
      <c r="AX42" s="29"/>
      <c r="AY42" s="30"/>
      <c r="AZ42" s="33"/>
      <c r="BA42" s="29"/>
      <c r="BB42" s="29"/>
      <c r="BC42" s="29"/>
      <c r="BD42" s="33"/>
      <c r="BE42" s="29"/>
      <c r="BF42" s="29"/>
      <c r="BG42" s="30"/>
      <c r="BH42" s="31">
        <f t="shared" ref="BH42:BM42" si="129">BH48+BH45</f>
        <v>146.559</v>
      </c>
      <c r="BI42" s="31">
        <f t="shared" si="129"/>
        <v>124.527</v>
      </c>
      <c r="BJ42" s="31">
        <f t="shared" si="129"/>
        <v>121.07299999999999</v>
      </c>
      <c r="BK42" s="31">
        <f t="shared" si="129"/>
        <v>121.021</v>
      </c>
      <c r="BL42" s="33">
        <f t="shared" si="129"/>
        <v>126.41200000000001</v>
      </c>
      <c r="BM42" s="31">
        <f t="shared" si="129"/>
        <v>128.572</v>
      </c>
      <c r="BN42" s="31">
        <f t="shared" ref="BN42" si="130">BN48+BN45</f>
        <v>122.93799999999999</v>
      </c>
      <c r="BO42" s="1252">
        <f t="shared" ref="BO42:BS42" si="131">BN42*(1+BO10*BO43)</f>
        <v>122.72351287384552</v>
      </c>
      <c r="BP42" s="1262">
        <f t="shared" si="131"/>
        <v>125.97882510646646</v>
      </c>
      <c r="BQ42" s="1263">
        <f t="shared" si="131"/>
        <v>128.14848060918808</v>
      </c>
      <c r="BR42" s="1263">
        <f t="shared" si="131"/>
        <v>126.84510487634255</v>
      </c>
      <c r="BS42" s="1252">
        <f t="shared" si="131"/>
        <v>126.10167605359338</v>
      </c>
      <c r="BT42" s="1262">
        <f t="shared" ref="BT42" si="132">BS42*(1+BT10*BT43)</f>
        <v>129.11583930856514</v>
      </c>
      <c r="BU42" s="1263">
        <f t="shared" ref="BU42" si="133">BT42*(1+BU10*BU43)</f>
        <v>131.10691021124134</v>
      </c>
      <c r="BV42" s="1263">
        <f t="shared" ref="BV42" si="134">BU42*(1+BV10*BV43)</f>
        <v>130.15639628464584</v>
      </c>
      <c r="BW42" s="1252">
        <f t="shared" ref="BW42" si="135">BV42*(1+BW10*BW43)</f>
        <v>129.45059140270962</v>
      </c>
      <c r="BX42" s="160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>
        <f>SUM(BH42:BK42)</f>
        <v>513.17999999999995</v>
      </c>
      <c r="CN42" s="31">
        <f>SUM(BL42:BO42)</f>
        <v>500.64551287384552</v>
      </c>
      <c r="CO42" s="31">
        <f>SUM(BP42:BS42)</f>
        <v>507.07408664559046</v>
      </c>
      <c r="CP42" s="32">
        <f>SUM(BT42:BW42)</f>
        <v>519.829737207162</v>
      </c>
      <c r="CQ42" s="160"/>
      <c r="CR42" s="33"/>
      <c r="CS42" s="31"/>
      <c r="CT42" s="31"/>
      <c r="CU42" s="31"/>
      <c r="CV42" s="31"/>
      <c r="CW42" s="31"/>
      <c r="CX42" s="31"/>
      <c r="CY42" s="31"/>
      <c r="CZ42" s="31"/>
      <c r="DA42" s="32"/>
      <c r="DB42" s="31"/>
      <c r="DC42" s="33"/>
      <c r="DD42" s="31"/>
      <c r="DE42" s="31">
        <f>SUM(BG42:BJ42)</f>
        <v>392.15899999999999</v>
      </c>
      <c r="DF42" s="31">
        <f>SUM(BK42:BN42)</f>
        <v>498.94299999999998</v>
      </c>
      <c r="DG42" s="31">
        <f>SUM(BO42:BR42)</f>
        <v>503.69592346584261</v>
      </c>
      <c r="DH42" s="31">
        <f>SUM(BS42:BV42)</f>
        <v>516.4808218580456</v>
      </c>
      <c r="DI42" s="23"/>
    </row>
    <row r="43" spans="1:113" ht="14.25" customHeight="1">
      <c r="A43" s="11"/>
      <c r="B43" s="609" t="s">
        <v>302</v>
      </c>
      <c r="C43" s="28"/>
      <c r="D43" s="29"/>
      <c r="E43" s="29"/>
      <c r="F43" s="29"/>
      <c r="G43" s="455"/>
      <c r="H43" s="29"/>
      <c r="I43" s="29"/>
      <c r="J43" s="29"/>
      <c r="K43" s="455"/>
      <c r="L43" s="29"/>
      <c r="M43" s="29"/>
      <c r="N43" s="29"/>
      <c r="O43" s="455"/>
      <c r="P43" s="29"/>
      <c r="Q43" s="29"/>
      <c r="R43" s="29"/>
      <c r="S43" s="455"/>
      <c r="T43" s="29"/>
      <c r="U43" s="29"/>
      <c r="V43" s="29"/>
      <c r="W43" s="455"/>
      <c r="X43" s="29"/>
      <c r="Y43" s="29"/>
      <c r="Z43" s="29"/>
      <c r="AA43" s="455"/>
      <c r="AB43" s="29"/>
      <c r="AC43" s="29"/>
      <c r="AD43" s="29"/>
      <c r="AE43" s="455"/>
      <c r="AF43" s="29"/>
      <c r="AG43" s="29"/>
      <c r="AH43" s="29"/>
      <c r="AI43" s="455"/>
      <c r="AJ43" s="577"/>
      <c r="AK43" s="29"/>
      <c r="AL43" s="29"/>
      <c r="AM43" s="455"/>
      <c r="AN43" s="577"/>
      <c r="AO43" s="29"/>
      <c r="AP43" s="29"/>
      <c r="AQ43" s="30"/>
      <c r="AR43" s="33"/>
      <c r="AS43" s="29"/>
      <c r="AT43" s="29"/>
      <c r="AU43" s="30"/>
      <c r="AV43" s="33"/>
      <c r="AW43" s="29"/>
      <c r="AX43" s="29"/>
      <c r="AY43" s="30"/>
      <c r="AZ43" s="33"/>
      <c r="BA43" s="29"/>
      <c r="BB43" s="29"/>
      <c r="BC43" s="29"/>
      <c r="BD43" s="33"/>
      <c r="BE43" s="29"/>
      <c r="BF43" s="29"/>
      <c r="BG43" s="30"/>
      <c r="BH43" s="1174"/>
      <c r="BI43" s="1174"/>
      <c r="BJ43" s="29"/>
      <c r="BK43" s="29"/>
      <c r="BL43" s="1435"/>
      <c r="BM43" s="1487"/>
      <c r="BN43" s="1528"/>
      <c r="BO43" s="1213">
        <v>0.2</v>
      </c>
      <c r="BP43" s="1211">
        <v>0.6</v>
      </c>
      <c r="BQ43" s="1212">
        <v>0.55000000000000004</v>
      </c>
      <c r="BR43" s="1212">
        <v>0.5</v>
      </c>
      <c r="BS43" s="1213">
        <v>0.65</v>
      </c>
      <c r="BT43" s="1211">
        <v>0.6</v>
      </c>
      <c r="BU43" s="1212">
        <v>0.6</v>
      </c>
      <c r="BV43" s="1212">
        <v>0.5</v>
      </c>
      <c r="BW43" s="1213">
        <v>0.6</v>
      </c>
      <c r="BX43" s="160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2"/>
      <c r="CQ43" s="160"/>
      <c r="CR43" s="33"/>
      <c r="CS43" s="31"/>
      <c r="CT43" s="31"/>
      <c r="CU43" s="31"/>
      <c r="CV43" s="31"/>
      <c r="CW43" s="31"/>
      <c r="CX43" s="31"/>
      <c r="CY43" s="31"/>
      <c r="CZ43" s="31"/>
      <c r="DA43" s="32"/>
      <c r="DB43" s="31"/>
      <c r="DC43" s="33"/>
      <c r="DD43" s="31"/>
      <c r="DE43" s="31"/>
      <c r="DF43" s="31"/>
      <c r="DG43" s="31"/>
      <c r="DH43" s="31"/>
      <c r="DI43" s="23"/>
    </row>
    <row r="44" spans="1:113" ht="5.25" customHeight="1">
      <c r="A44" s="11"/>
      <c r="B44" s="608"/>
      <c r="C44" s="28"/>
      <c r="D44" s="29"/>
      <c r="E44" s="29"/>
      <c r="F44" s="29"/>
      <c r="G44" s="455"/>
      <c r="H44" s="29"/>
      <c r="I44" s="29"/>
      <c r="J44" s="29"/>
      <c r="K44" s="455"/>
      <c r="L44" s="29"/>
      <c r="M44" s="29"/>
      <c r="N44" s="29"/>
      <c r="O44" s="455"/>
      <c r="P44" s="29"/>
      <c r="Q44" s="29"/>
      <c r="R44" s="29"/>
      <c r="S44" s="455"/>
      <c r="T44" s="29"/>
      <c r="U44" s="29"/>
      <c r="V44" s="29"/>
      <c r="W44" s="455"/>
      <c r="X44" s="29"/>
      <c r="Y44" s="29"/>
      <c r="Z44" s="29"/>
      <c r="AA44" s="455"/>
      <c r="AB44" s="29"/>
      <c r="AC44" s="29"/>
      <c r="AD44" s="29"/>
      <c r="AE44" s="455"/>
      <c r="AF44" s="29"/>
      <c r="AG44" s="29"/>
      <c r="AH44" s="29"/>
      <c r="AI44" s="455"/>
      <c r="AJ44" s="577"/>
      <c r="AK44" s="29"/>
      <c r="AL44" s="29"/>
      <c r="AM44" s="455"/>
      <c r="AN44" s="577"/>
      <c r="AO44" s="29"/>
      <c r="AP44" s="29"/>
      <c r="AQ44" s="30"/>
      <c r="AR44" s="33"/>
      <c r="AS44" s="29"/>
      <c r="AT44" s="29"/>
      <c r="AU44" s="30"/>
      <c r="AV44" s="33"/>
      <c r="AW44" s="29"/>
      <c r="AX44" s="29"/>
      <c r="AY44" s="30"/>
      <c r="AZ44" s="33"/>
      <c r="BA44" s="29"/>
      <c r="BB44" s="29"/>
      <c r="BC44" s="29"/>
      <c r="BD44" s="33"/>
      <c r="BE44" s="29"/>
      <c r="BF44" s="29"/>
      <c r="BG44" s="30"/>
      <c r="BH44" s="31"/>
      <c r="BI44" s="31"/>
      <c r="BJ44" s="29"/>
      <c r="BK44" s="29"/>
      <c r="BL44" s="33"/>
      <c r="BM44" s="31"/>
      <c r="BN44" s="31"/>
      <c r="BO44" s="32"/>
      <c r="BP44" s="33"/>
      <c r="BQ44" s="31"/>
      <c r="BR44" s="31"/>
      <c r="BS44" s="32"/>
      <c r="BT44" s="33"/>
      <c r="BU44" s="31"/>
      <c r="BV44" s="31"/>
      <c r="BW44" s="32"/>
      <c r="BX44" s="160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2"/>
      <c r="CQ44" s="160"/>
      <c r="CR44" s="33"/>
      <c r="CS44" s="31"/>
      <c r="CT44" s="31"/>
      <c r="CU44" s="31"/>
      <c r="CV44" s="31"/>
      <c r="CW44" s="31"/>
      <c r="CX44" s="31"/>
      <c r="CY44" s="31"/>
      <c r="CZ44" s="31"/>
      <c r="DA44" s="32"/>
      <c r="DB44" s="31"/>
      <c r="DC44" s="33"/>
      <c r="DD44" s="31"/>
      <c r="DE44" s="31"/>
      <c r="DF44" s="31"/>
      <c r="DG44" s="31"/>
      <c r="DH44" s="31"/>
      <c r="DI44" s="23"/>
    </row>
    <row r="45" spans="1:113" ht="14.25" customHeight="1">
      <c r="A45" s="8"/>
      <c r="B45" s="612" t="s">
        <v>518</v>
      </c>
      <c r="C45" s="28"/>
      <c r="D45" s="29"/>
      <c r="E45" s="29"/>
      <c r="F45" s="29"/>
      <c r="G45" s="455"/>
      <c r="H45" s="29"/>
      <c r="I45" s="29"/>
      <c r="J45" s="29"/>
      <c r="K45" s="455"/>
      <c r="L45" s="29"/>
      <c r="M45" s="29"/>
      <c r="N45" s="29"/>
      <c r="O45" s="455"/>
      <c r="P45" s="29"/>
      <c r="Q45" s="29"/>
      <c r="R45" s="29"/>
      <c r="S45" s="455"/>
      <c r="T45" s="29"/>
      <c r="U45" s="29"/>
      <c r="V45" s="29"/>
      <c r="W45" s="455"/>
      <c r="X45" s="29"/>
      <c r="Y45" s="29"/>
      <c r="Z45" s="29"/>
      <c r="AA45" s="455"/>
      <c r="AB45" s="29"/>
      <c r="AC45" s="29"/>
      <c r="AD45" s="29"/>
      <c r="AE45" s="455"/>
      <c r="AF45" s="29"/>
      <c r="AG45" s="29"/>
      <c r="AH45" s="29"/>
      <c r="AI45" s="455"/>
      <c r="AJ45" s="577"/>
      <c r="AK45" s="29"/>
      <c r="AL45" s="29"/>
      <c r="AM45" s="455"/>
      <c r="AN45" s="577"/>
      <c r="AO45" s="29"/>
      <c r="AP45" s="29"/>
      <c r="AQ45" s="30"/>
      <c r="AR45" s="33"/>
      <c r="AS45" s="29"/>
      <c r="AT45" s="29"/>
      <c r="AU45" s="30"/>
      <c r="AV45" s="33"/>
      <c r="AW45" s="29"/>
      <c r="AX45" s="29"/>
      <c r="AY45" s="30"/>
      <c r="AZ45" s="33"/>
      <c r="BA45" s="29"/>
      <c r="BB45" s="29"/>
      <c r="BC45" s="29"/>
      <c r="BD45" s="33"/>
      <c r="BE45" s="29"/>
      <c r="BF45" s="29"/>
      <c r="BG45" s="30"/>
      <c r="BH45" s="31">
        <v>4</v>
      </c>
      <c r="BI45" s="1363">
        <v>8</v>
      </c>
      <c r="BJ45" s="1372">
        <v>13.5</v>
      </c>
      <c r="BK45" s="1372">
        <v>15</v>
      </c>
      <c r="BL45" s="1484">
        <v>15</v>
      </c>
      <c r="BM45" s="1363">
        <v>15</v>
      </c>
      <c r="BN45" s="1486">
        <v>15.1</v>
      </c>
      <c r="BO45" s="1456">
        <v>15.1</v>
      </c>
      <c r="BP45" s="1371">
        <v>15.2</v>
      </c>
      <c r="BQ45" s="1372">
        <v>15.25</v>
      </c>
      <c r="BR45" s="1372">
        <v>15.75</v>
      </c>
      <c r="BS45" s="1370">
        <v>16</v>
      </c>
      <c r="BT45" s="1499">
        <v>16</v>
      </c>
      <c r="BU45" s="1500">
        <f>BT45</f>
        <v>16</v>
      </c>
      <c r="BV45" s="1500">
        <f>BU45</f>
        <v>16</v>
      </c>
      <c r="BW45" s="1498">
        <v>16</v>
      </c>
      <c r="BX45" s="20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1363">
        <f>SUM(BH45:BK45)</f>
        <v>40.5</v>
      </c>
      <c r="CN45" s="1363">
        <f>SUM(BL45:BO45)</f>
        <v>60.2</v>
      </c>
      <c r="CO45" s="1363">
        <f>SUM(BP45:BS45)</f>
        <v>62.2</v>
      </c>
      <c r="CP45" s="1364">
        <f>SUM(BT45:BW45)</f>
        <v>64</v>
      </c>
      <c r="CQ45" s="20"/>
      <c r="CR45" s="33"/>
      <c r="CS45" s="31"/>
      <c r="CT45" s="31"/>
      <c r="CU45" s="31"/>
      <c r="CV45" s="31"/>
      <c r="CW45" s="31"/>
      <c r="CX45" s="31"/>
      <c r="CY45" s="31"/>
      <c r="CZ45" s="31"/>
      <c r="DA45" s="32"/>
      <c r="DB45" s="31"/>
      <c r="DC45" s="33"/>
      <c r="DD45" s="31"/>
      <c r="DE45" s="31">
        <f>SUM(BG45:BJ45)</f>
        <v>25.5</v>
      </c>
      <c r="DF45" s="31">
        <f>SUM(BK45:BN45)</f>
        <v>60.1</v>
      </c>
      <c r="DG45" s="31">
        <f>SUM(BO45:BR45)</f>
        <v>61.3</v>
      </c>
      <c r="DH45" s="31">
        <f>SUM(BS45:BV45)</f>
        <v>64</v>
      </c>
      <c r="DI45" s="22"/>
    </row>
    <row r="46" spans="1:113" ht="14.25" customHeight="1">
      <c r="A46" s="11"/>
      <c r="B46" s="608"/>
      <c r="C46" s="28"/>
      <c r="D46" s="29"/>
      <c r="E46" s="29"/>
      <c r="F46" s="29"/>
      <c r="G46" s="455"/>
      <c r="H46" s="29"/>
      <c r="I46" s="29"/>
      <c r="J46" s="29"/>
      <c r="K46" s="455"/>
      <c r="L46" s="29"/>
      <c r="M46" s="29"/>
      <c r="N46" s="29"/>
      <c r="O46" s="455"/>
      <c r="P46" s="29"/>
      <c r="Q46" s="29"/>
      <c r="R46" s="29"/>
      <c r="S46" s="455"/>
      <c r="T46" s="29"/>
      <c r="U46" s="29"/>
      <c r="V46" s="29"/>
      <c r="W46" s="455"/>
      <c r="X46" s="29"/>
      <c r="Y46" s="29"/>
      <c r="Z46" s="29"/>
      <c r="AA46" s="455"/>
      <c r="AB46" s="29"/>
      <c r="AC46" s="29"/>
      <c r="AD46" s="29"/>
      <c r="AE46" s="455"/>
      <c r="AF46" s="29"/>
      <c r="AG46" s="29"/>
      <c r="AH46" s="29"/>
      <c r="AI46" s="455"/>
      <c r="AJ46" s="577"/>
      <c r="AK46" s="29"/>
      <c r="AL46" s="29"/>
      <c r="AM46" s="455"/>
      <c r="AN46" s="577"/>
      <c r="AO46" s="29"/>
      <c r="AP46" s="29"/>
      <c r="AQ46" s="30"/>
      <c r="AR46" s="33"/>
      <c r="AS46" s="29"/>
      <c r="AT46" s="29"/>
      <c r="AU46" s="30"/>
      <c r="AV46" s="33"/>
      <c r="AW46" s="29"/>
      <c r="AX46" s="29"/>
      <c r="AY46" s="30"/>
      <c r="AZ46" s="33"/>
      <c r="BA46" s="29"/>
      <c r="BB46" s="29"/>
      <c r="BC46" s="29"/>
      <c r="BD46" s="33"/>
      <c r="BE46" s="29"/>
      <c r="BF46" s="29"/>
      <c r="BG46" s="30"/>
      <c r="BH46" s="31"/>
      <c r="BI46" s="29"/>
      <c r="BJ46" s="29"/>
      <c r="BK46" s="29"/>
      <c r="BL46" s="33"/>
      <c r="BM46" s="29"/>
      <c r="BN46" s="31"/>
      <c r="BO46" s="32"/>
      <c r="BP46" s="33"/>
      <c r="BQ46" s="31"/>
      <c r="BR46" s="31"/>
      <c r="BS46" s="32"/>
      <c r="BT46" s="33"/>
      <c r="BU46" s="31"/>
      <c r="BV46" s="31"/>
      <c r="BW46" s="32"/>
      <c r="BX46" s="160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2"/>
      <c r="CQ46" s="160"/>
      <c r="CR46" s="33"/>
      <c r="CS46" s="31"/>
      <c r="CT46" s="31"/>
      <c r="CU46" s="31"/>
      <c r="CV46" s="31"/>
      <c r="CW46" s="31"/>
      <c r="CX46" s="31"/>
      <c r="CY46" s="31"/>
      <c r="CZ46" s="31"/>
      <c r="DA46" s="32"/>
      <c r="DB46" s="31"/>
      <c r="DC46" s="33"/>
      <c r="DD46" s="31"/>
      <c r="DE46" s="31"/>
      <c r="DF46" s="31"/>
      <c r="DG46" s="31"/>
      <c r="DH46" s="31"/>
      <c r="DI46" s="23"/>
    </row>
    <row r="47" spans="1:113" ht="14.25" hidden="1" customHeight="1" outlineLevel="1">
      <c r="A47" s="8"/>
      <c r="B47" s="614" t="s">
        <v>303</v>
      </c>
      <c r="C47" s="588"/>
      <c r="D47" s="1400">
        <v>0</v>
      </c>
      <c r="E47" s="1400">
        <v>0</v>
      </c>
      <c r="F47" s="1400">
        <v>0</v>
      </c>
      <c r="G47" s="1098">
        <f>0-F47-E47-D47</f>
        <v>0</v>
      </c>
      <c r="H47" s="1400">
        <v>0</v>
      </c>
      <c r="I47" s="1400">
        <v>0</v>
      </c>
      <c r="J47" s="1400">
        <v>0</v>
      </c>
      <c r="K47" s="1098">
        <f>0-J47-I47-H47</f>
        <v>0</v>
      </c>
      <c r="L47" s="1400">
        <v>0</v>
      </c>
      <c r="M47" s="1400">
        <v>0</v>
      </c>
      <c r="N47" s="1400">
        <v>0</v>
      </c>
      <c r="O47" s="1098">
        <f>0-N47-M47-L47</f>
        <v>0</v>
      </c>
      <c r="P47" s="1400">
        <v>0</v>
      </c>
      <c r="Q47" s="1400">
        <v>0</v>
      </c>
      <c r="R47" s="1400">
        <v>0</v>
      </c>
      <c r="S47" s="1401">
        <v>0</v>
      </c>
      <c r="T47" s="1400">
        <v>0</v>
      </c>
      <c r="U47" s="1400">
        <v>0</v>
      </c>
      <c r="V47" s="1400">
        <v>0</v>
      </c>
      <c r="W47" s="1401">
        <v>0</v>
      </c>
      <c r="X47" s="1400">
        <v>0</v>
      </c>
      <c r="Y47" s="1400">
        <v>0</v>
      </c>
      <c r="Z47" s="1400">
        <v>0</v>
      </c>
      <c r="AA47" s="1401">
        <v>0</v>
      </c>
      <c r="AB47" s="1400">
        <v>0</v>
      </c>
      <c r="AC47" s="1400">
        <v>0</v>
      </c>
      <c r="AD47" s="1400">
        <v>0.128</v>
      </c>
      <c r="AE47" s="1401">
        <v>0.157</v>
      </c>
      <c r="AF47" s="1400">
        <v>0.308</v>
      </c>
      <c r="AG47" s="1400">
        <v>0.255</v>
      </c>
      <c r="AH47" s="1400">
        <v>0.29699999999999999</v>
      </c>
      <c r="AI47" s="1401">
        <v>1.006</v>
      </c>
      <c r="AJ47" s="1402">
        <v>2.66</v>
      </c>
      <c r="AK47" s="1400">
        <v>2.2109999999999999</v>
      </c>
      <c r="AL47" s="1400">
        <v>1.861</v>
      </c>
      <c r="AM47" s="1401">
        <v>1.861</v>
      </c>
      <c r="AN47" s="1402">
        <v>1.55</v>
      </c>
      <c r="AO47" s="1400">
        <v>0.14299999999999999</v>
      </c>
      <c r="AP47" s="1400">
        <v>0.24099999999999999</v>
      </c>
      <c r="AQ47" s="1401">
        <v>0.98299999999999998</v>
      </c>
      <c r="AR47" s="1402">
        <v>5.5149999999999997</v>
      </c>
      <c r="AS47" s="1400">
        <v>1.8320000000000001</v>
      </c>
      <c r="AT47" s="1400">
        <v>1.0349999999999999</v>
      </c>
      <c r="AU47" s="1401">
        <v>1.248</v>
      </c>
      <c r="AV47" s="1402">
        <v>0.88800000000000001</v>
      </c>
      <c r="AW47" s="1400">
        <v>0.38300000000000001</v>
      </c>
      <c r="AX47" s="1400">
        <v>0.503</v>
      </c>
      <c r="AY47" s="1401">
        <v>0.88</v>
      </c>
      <c r="AZ47" s="1402">
        <v>0.93600000000000005</v>
      </c>
      <c r="BA47" s="1400">
        <v>1.8009999999999999</v>
      </c>
      <c r="BB47" s="1400">
        <v>0.52300000000000002</v>
      </c>
      <c r="BC47" s="1400">
        <v>0.74099999999999999</v>
      </c>
      <c r="BD47" s="1402">
        <v>2.1739999999999999</v>
      </c>
      <c r="BE47" s="1400">
        <f>1.063</f>
        <v>1.0629999999999999</v>
      </c>
      <c r="BF47" s="1400">
        <f>1.461</f>
        <v>1.4610000000000001</v>
      </c>
      <c r="BG47" s="1401">
        <v>5.04</v>
      </c>
      <c r="BH47" s="1400">
        <f>14.946</f>
        <v>14.946</v>
      </c>
      <c r="BI47" s="1400">
        <v>3.6019999999999999</v>
      </c>
      <c r="BJ47" s="1400">
        <v>3.444</v>
      </c>
      <c r="BK47" s="1400">
        <v>5.1390000000000002</v>
      </c>
      <c r="BL47" s="1463">
        <f>2.86</f>
        <v>2.86</v>
      </c>
      <c r="BM47" s="1461">
        <v>0.71699999999999997</v>
      </c>
      <c r="BN47" s="1507">
        <v>1.2210000000000001</v>
      </c>
      <c r="BO47" s="1462">
        <v>0</v>
      </c>
      <c r="BP47" s="1402">
        <v>0</v>
      </c>
      <c r="BQ47" s="1400">
        <v>0</v>
      </c>
      <c r="BR47" s="1400">
        <v>0</v>
      </c>
      <c r="BS47" s="1401">
        <v>0</v>
      </c>
      <c r="BT47" s="1509">
        <v>0</v>
      </c>
      <c r="BU47" s="1507">
        <v>0</v>
      </c>
      <c r="BV47" s="1507">
        <v>0</v>
      </c>
      <c r="BW47" s="1508">
        <v>0</v>
      </c>
      <c r="BX47" s="552"/>
      <c r="BY47" s="550">
        <f>SUM(D47:G47)</f>
        <v>0</v>
      </c>
      <c r="BZ47" s="550">
        <f>SUM(H47:K47)</f>
        <v>0</v>
      </c>
      <c r="CA47" s="550">
        <f>SUM(L47:O47)</f>
        <v>0</v>
      </c>
      <c r="CB47" s="550">
        <f>SUM(P47:S47)</f>
        <v>0</v>
      </c>
      <c r="CC47" s="550">
        <f>SUM(T47:W47)</f>
        <v>0</v>
      </c>
      <c r="CD47" s="550">
        <f>SUM(X47:AA47)</f>
        <v>0</v>
      </c>
      <c r="CE47" s="550">
        <f>SUM(AB47:AE47)</f>
        <v>0.28500000000000003</v>
      </c>
      <c r="CF47" s="550">
        <f>SUM(AF47:AI47)</f>
        <v>1.8659999999999999</v>
      </c>
      <c r="CG47" s="550">
        <f>SUM(AJ47:AM47)</f>
        <v>8.593</v>
      </c>
      <c r="CH47" s="550">
        <f>SUM(AN47:AQ47)</f>
        <v>2.9170000000000003</v>
      </c>
      <c r="CI47" s="550">
        <f>SUM(AR47:AU47)</f>
        <v>9.629999999999999</v>
      </c>
      <c r="CJ47" s="550">
        <f>SUM(AV47:AY47)</f>
        <v>2.6539999999999999</v>
      </c>
      <c r="CK47" s="550">
        <f>SUM(AZ47:BC47)</f>
        <v>4.0010000000000003</v>
      </c>
      <c r="CL47" s="550">
        <f>SUM(BD47:BG47)</f>
        <v>9.7379999999999995</v>
      </c>
      <c r="CM47" s="550">
        <f>SUM(BH47:BK47)</f>
        <v>27.130999999999997</v>
      </c>
      <c r="CN47" s="550">
        <f>SUM(BL47:BO47)</f>
        <v>4.798</v>
      </c>
      <c r="CO47" s="550">
        <f>SUM(BP47:BS47)</f>
        <v>0</v>
      </c>
      <c r="CP47" s="551">
        <f>SUM(BT47:BW47)</f>
        <v>0</v>
      </c>
      <c r="CQ47" s="552"/>
      <c r="CR47" s="555">
        <f>SUM(G47:J47)</f>
        <v>0</v>
      </c>
      <c r="CS47" s="550">
        <f>SUM(K47:N47)</f>
        <v>0</v>
      </c>
      <c r="CT47" s="550">
        <f>SUM(O47:R47)</f>
        <v>0</v>
      </c>
      <c r="CU47" s="550">
        <f>SUM(S47:V47)</f>
        <v>0</v>
      </c>
      <c r="CV47" s="550">
        <f>SUM(W47:Z47)</f>
        <v>0</v>
      </c>
      <c r="CW47" s="550">
        <f>SUM(AA47:AD47)</f>
        <v>0.128</v>
      </c>
      <c r="CX47" s="550">
        <f>SUM(AE47:AH47)</f>
        <v>1.0169999999999999</v>
      </c>
      <c r="CY47" s="550">
        <f>SUM(AI47:AL47)</f>
        <v>7.7380000000000004</v>
      </c>
      <c r="CZ47" s="550">
        <f>SUM(AM47:AP47)</f>
        <v>3.7949999999999999</v>
      </c>
      <c r="DA47" s="551">
        <f>SUM(AQ47:AT47)</f>
        <v>9.3650000000000002</v>
      </c>
      <c r="DB47" s="550">
        <f>SUM(AU47:AX47)</f>
        <v>3.0220000000000002</v>
      </c>
      <c r="DC47" s="555">
        <f>SUM(AY47:BB47)</f>
        <v>4.1399999999999997</v>
      </c>
      <c r="DD47" s="550">
        <f>SUM(BC47:BF47)</f>
        <v>5.4390000000000001</v>
      </c>
      <c r="DE47" s="550">
        <f>SUM(BG47:BJ47)</f>
        <v>27.032</v>
      </c>
      <c r="DF47" s="550">
        <f>SUM(BK47:BN47)</f>
        <v>9.9370000000000012</v>
      </c>
      <c r="DG47" s="550">
        <f>SUM(BO47:BR47)</f>
        <v>0</v>
      </c>
      <c r="DH47" s="550">
        <f>SUM(BS47:BV47)</f>
        <v>0</v>
      </c>
      <c r="DI47" s="22"/>
    </row>
    <row r="48" spans="1:113" ht="14.25" hidden="1" customHeight="1" outlineLevel="1">
      <c r="A48" s="8"/>
      <c r="B48" s="612" t="s">
        <v>304</v>
      </c>
      <c r="C48" s="24"/>
      <c r="D48" s="31">
        <f t="shared" ref="D48:AI48" si="136">D38-D47</f>
        <v>21.940999999999999</v>
      </c>
      <c r="E48" s="31">
        <f t="shared" si="136"/>
        <v>23.126999999999999</v>
      </c>
      <c r="F48" s="31">
        <f t="shared" si="136"/>
        <v>22.43</v>
      </c>
      <c r="G48" s="32">
        <f t="shared" si="136"/>
        <v>21.857000000000017</v>
      </c>
      <c r="H48" s="31">
        <f t="shared" si="136"/>
        <v>22.114999999999998</v>
      </c>
      <c r="I48" s="31">
        <f t="shared" si="136"/>
        <v>22.452000000000002</v>
      </c>
      <c r="J48" s="31">
        <f t="shared" si="136"/>
        <v>23.056000000000001</v>
      </c>
      <c r="K48" s="32">
        <f t="shared" si="136"/>
        <v>24.788000000000007</v>
      </c>
      <c r="L48" s="31">
        <f t="shared" si="136"/>
        <v>27.224</v>
      </c>
      <c r="M48" s="31">
        <f t="shared" si="136"/>
        <v>28.007999999999999</v>
      </c>
      <c r="N48" s="31">
        <f t="shared" si="136"/>
        <v>28.056000000000001</v>
      </c>
      <c r="O48" s="32">
        <f t="shared" si="136"/>
        <v>27.900000000000009</v>
      </c>
      <c r="P48" s="31">
        <f t="shared" si="136"/>
        <v>31.081</v>
      </c>
      <c r="Q48" s="31">
        <f t="shared" si="136"/>
        <v>31.623999999999999</v>
      </c>
      <c r="R48" s="31">
        <f t="shared" si="136"/>
        <v>32.305</v>
      </c>
      <c r="S48" s="32">
        <f t="shared" si="136"/>
        <v>34.576999999999998</v>
      </c>
      <c r="T48" s="31">
        <f t="shared" si="136"/>
        <v>40.779000000000003</v>
      </c>
      <c r="U48" s="31">
        <f t="shared" si="136"/>
        <v>41.518000000000001</v>
      </c>
      <c r="V48" s="31">
        <f t="shared" si="136"/>
        <v>40.185000000000002</v>
      </c>
      <c r="W48" s="32">
        <f t="shared" si="136"/>
        <v>40.765000000000001</v>
      </c>
      <c r="X48" s="31">
        <f t="shared" si="136"/>
        <v>43.78</v>
      </c>
      <c r="Y48" s="31">
        <f t="shared" si="136"/>
        <v>42.969000000000001</v>
      </c>
      <c r="Z48" s="31">
        <f t="shared" si="136"/>
        <v>43.500999999999998</v>
      </c>
      <c r="AA48" s="32">
        <f t="shared" si="136"/>
        <v>45.396000000000001</v>
      </c>
      <c r="AB48" s="31">
        <f t="shared" si="136"/>
        <v>45.412999999999997</v>
      </c>
      <c r="AC48" s="31">
        <f t="shared" si="136"/>
        <v>45.628999999999998</v>
      </c>
      <c r="AD48" s="31">
        <f t="shared" si="136"/>
        <v>36.712000000000003</v>
      </c>
      <c r="AE48" s="32">
        <f t="shared" si="136"/>
        <v>33.179000000000002</v>
      </c>
      <c r="AF48" s="31">
        <f t="shared" si="136"/>
        <v>36.075000000000003</v>
      </c>
      <c r="AG48" s="31">
        <f t="shared" si="136"/>
        <v>40.790999999999997</v>
      </c>
      <c r="AH48" s="31">
        <f t="shared" si="136"/>
        <v>42.798999999999999</v>
      </c>
      <c r="AI48" s="32">
        <f t="shared" si="136"/>
        <v>45.69100000000001</v>
      </c>
      <c r="AJ48" s="33">
        <f t="shared" ref="AJ48:BG48" si="137">AJ38-AJ47</f>
        <v>54.552000000000007</v>
      </c>
      <c r="AK48" s="31">
        <f t="shared" si="137"/>
        <v>55.373000000000005</v>
      </c>
      <c r="AL48" s="31">
        <f t="shared" si="137"/>
        <v>54.239000000000004</v>
      </c>
      <c r="AM48" s="32">
        <f t="shared" si="137"/>
        <v>55.024000000000008</v>
      </c>
      <c r="AN48" s="33">
        <f t="shared" si="137"/>
        <v>56.040000000000006</v>
      </c>
      <c r="AO48" s="31">
        <f t="shared" si="137"/>
        <v>50.853999999999999</v>
      </c>
      <c r="AP48" s="31">
        <f t="shared" si="137"/>
        <v>50.846000000000004</v>
      </c>
      <c r="AQ48" s="32">
        <f t="shared" si="137"/>
        <v>51.733999999999973</v>
      </c>
      <c r="AR48" s="33">
        <f t="shared" si="137"/>
        <v>52.405000000000001</v>
      </c>
      <c r="AS48" s="31">
        <f t="shared" si="137"/>
        <v>69.935000000000002</v>
      </c>
      <c r="AT48" s="31">
        <f t="shared" si="137"/>
        <v>68.332999999999998</v>
      </c>
      <c r="AU48" s="32">
        <f t="shared" si="137"/>
        <v>61.167999999999999</v>
      </c>
      <c r="AV48" s="33">
        <f t="shared" si="137"/>
        <v>64.821999999999989</v>
      </c>
      <c r="AW48" s="31">
        <f t="shared" si="137"/>
        <v>68.984999999999999</v>
      </c>
      <c r="AX48" s="31">
        <f t="shared" si="137"/>
        <v>66.352999999999994</v>
      </c>
      <c r="AY48" s="32">
        <f t="shared" si="137"/>
        <v>64.464000000000055</v>
      </c>
      <c r="AZ48" s="33">
        <f t="shared" si="137"/>
        <v>68.318999999999988</v>
      </c>
      <c r="BA48" s="31">
        <f t="shared" si="137"/>
        <v>69.313000000000002</v>
      </c>
      <c r="BB48" s="31">
        <f t="shared" si="137"/>
        <v>66.14500000000001</v>
      </c>
      <c r="BC48" s="31">
        <f t="shared" si="137"/>
        <v>67.037000000000006</v>
      </c>
      <c r="BD48" s="33">
        <f t="shared" si="137"/>
        <v>64.674999999999997</v>
      </c>
      <c r="BE48" s="31">
        <f t="shared" si="137"/>
        <v>79.194999999999993</v>
      </c>
      <c r="BF48" s="31">
        <f t="shared" si="137"/>
        <v>74.808999999999997</v>
      </c>
      <c r="BG48" s="32">
        <f t="shared" si="137"/>
        <v>73.253</v>
      </c>
      <c r="BH48" s="31">
        <f>BH38-BH47</f>
        <v>142.559</v>
      </c>
      <c r="BI48" s="31">
        <f t="shared" ref="BI48:BS48" si="138">BI38-BI47</f>
        <v>116.527</v>
      </c>
      <c r="BJ48" s="31">
        <f t="shared" si="138"/>
        <v>107.57299999999999</v>
      </c>
      <c r="BK48" s="31">
        <f t="shared" si="138"/>
        <v>106.021</v>
      </c>
      <c r="BL48" s="33">
        <f>BL38-BL47</f>
        <v>111.41200000000001</v>
      </c>
      <c r="BM48" s="31">
        <f t="shared" ref="BM48:BN48" si="139">BM38-BM47</f>
        <v>113.572</v>
      </c>
      <c r="BN48" s="31">
        <f t="shared" si="139"/>
        <v>107.83799999999999</v>
      </c>
      <c r="BO48" s="32">
        <f t="shared" si="138"/>
        <v>107.62351287384553</v>
      </c>
      <c r="BP48" s="33">
        <f t="shared" si="138"/>
        <v>110.77882510646646</v>
      </c>
      <c r="BQ48" s="31">
        <f t="shared" si="138"/>
        <v>112.89848060918808</v>
      </c>
      <c r="BR48" s="31">
        <f t="shared" si="138"/>
        <v>111.09510487634255</v>
      </c>
      <c r="BS48" s="32">
        <f t="shared" si="138"/>
        <v>110.10167605359338</v>
      </c>
      <c r="BT48" s="33">
        <f t="shared" ref="BT48:BW48" si="140">BT38-BT47</f>
        <v>113.11583930856514</v>
      </c>
      <c r="BU48" s="31">
        <f t="shared" si="140"/>
        <v>115.10691021124134</v>
      </c>
      <c r="BV48" s="31">
        <f t="shared" si="140"/>
        <v>114.15639628464584</v>
      </c>
      <c r="BW48" s="32">
        <f t="shared" si="140"/>
        <v>113.45059140270962</v>
      </c>
      <c r="BX48" s="20"/>
      <c r="BY48" s="31">
        <f t="shared" ref="BY48:CO48" si="141">BY38-BY47</f>
        <v>89.355000000000004</v>
      </c>
      <c r="BZ48" s="31">
        <f t="shared" si="141"/>
        <v>92.411000000000016</v>
      </c>
      <c r="CA48" s="31">
        <f t="shared" si="141"/>
        <v>111.188</v>
      </c>
      <c r="CB48" s="31">
        <f t="shared" si="141"/>
        <v>129.58699999999999</v>
      </c>
      <c r="CC48" s="31">
        <f t="shared" si="141"/>
        <v>163.24700000000001</v>
      </c>
      <c r="CD48" s="31">
        <f t="shared" si="141"/>
        <v>175.64600000000002</v>
      </c>
      <c r="CE48" s="31">
        <f t="shared" si="141"/>
        <v>160.93300000000002</v>
      </c>
      <c r="CF48" s="31">
        <f t="shared" si="141"/>
        <v>165.35599999999999</v>
      </c>
      <c r="CG48" s="31">
        <f t="shared" si="141"/>
        <v>219.18800000000002</v>
      </c>
      <c r="CH48" s="31">
        <f t="shared" si="141"/>
        <v>209.47399999999996</v>
      </c>
      <c r="CI48" s="31">
        <f t="shared" si="141"/>
        <v>251.84100000000001</v>
      </c>
      <c r="CJ48" s="31">
        <f t="shared" si="141"/>
        <v>264.62400000000002</v>
      </c>
      <c r="CK48" s="31">
        <f t="shared" si="141"/>
        <v>270.81400000000002</v>
      </c>
      <c r="CL48" s="31">
        <f t="shared" si="141"/>
        <v>291.93200000000002</v>
      </c>
      <c r="CM48" s="31">
        <f t="shared" si="141"/>
        <v>472.68000000000006</v>
      </c>
      <c r="CN48" s="31">
        <f t="shared" si="141"/>
        <v>440.44551287384553</v>
      </c>
      <c r="CO48" s="31">
        <f t="shared" si="141"/>
        <v>444.87408664559047</v>
      </c>
      <c r="CP48" s="32">
        <f t="shared" ref="CP48" si="142">CP38-CP47</f>
        <v>455.82973720716194</v>
      </c>
      <c r="CQ48" s="20"/>
      <c r="CR48" s="33">
        <f t="shared" ref="CR48:DG48" si="143">CR38-CR47</f>
        <v>89.480000000000018</v>
      </c>
      <c r="CS48" s="31">
        <f t="shared" si="143"/>
        <v>108.07600000000001</v>
      </c>
      <c r="CT48" s="31">
        <f t="shared" si="143"/>
        <v>122.91</v>
      </c>
      <c r="CU48" s="31">
        <f t="shared" si="143"/>
        <v>157.059</v>
      </c>
      <c r="CV48" s="31">
        <f t="shared" si="143"/>
        <v>171.01500000000001</v>
      </c>
      <c r="CW48" s="31">
        <f t="shared" si="143"/>
        <v>173.15</v>
      </c>
      <c r="CX48" s="31">
        <f t="shared" si="143"/>
        <v>152.84399999999999</v>
      </c>
      <c r="CY48" s="31">
        <f t="shared" si="143"/>
        <v>209.85500000000002</v>
      </c>
      <c r="CZ48" s="31">
        <f t="shared" si="143"/>
        <v>212.76400000000004</v>
      </c>
      <c r="DA48" s="32">
        <f t="shared" si="143"/>
        <v>242.40699999999995</v>
      </c>
      <c r="DB48" s="31">
        <f t="shared" si="143"/>
        <v>261.32799999999997</v>
      </c>
      <c r="DC48" s="33">
        <f t="shared" si="143"/>
        <v>268.2410000000001</v>
      </c>
      <c r="DD48" s="31">
        <f t="shared" si="143"/>
        <v>285.71599999999995</v>
      </c>
      <c r="DE48" s="31">
        <f t="shared" si="143"/>
        <v>439.91200000000003</v>
      </c>
      <c r="DF48" s="31">
        <f t="shared" si="143"/>
        <v>438.84299999999996</v>
      </c>
      <c r="DG48" s="31">
        <f t="shared" si="143"/>
        <v>442.3959234658426</v>
      </c>
      <c r="DH48" s="31">
        <f t="shared" ref="DH48" si="144">DH38-DH47</f>
        <v>452.48082185804566</v>
      </c>
      <c r="DI48" s="22"/>
    </row>
    <row r="49" spans="1:113" ht="14.25" hidden="1" customHeight="1" outlineLevel="1">
      <c r="A49" s="8"/>
      <c r="B49" s="609" t="s">
        <v>299</v>
      </c>
      <c r="C49" s="35"/>
      <c r="D49" s="1376">
        <f t="shared" ref="D49:AI49" si="145">D48/D8</f>
        <v>0.13926902960442794</v>
      </c>
      <c r="E49" s="1376">
        <f t="shared" si="145"/>
        <v>0.13866936886160044</v>
      </c>
      <c r="F49" s="1376">
        <f t="shared" si="145"/>
        <v>0.13393123708754792</v>
      </c>
      <c r="G49" s="1377">
        <f t="shared" si="145"/>
        <v>0.13689201207520707</v>
      </c>
      <c r="H49" s="1376">
        <f t="shared" si="145"/>
        <v>0.13711922521282466</v>
      </c>
      <c r="I49" s="1376">
        <f t="shared" si="145"/>
        <v>0.133257362629536</v>
      </c>
      <c r="J49" s="1376">
        <f t="shared" si="145"/>
        <v>0.12955210797507402</v>
      </c>
      <c r="K49" s="1377">
        <f t="shared" si="145"/>
        <v>0.12942503289404986</v>
      </c>
      <c r="L49" s="1376">
        <f t="shared" si="145"/>
        <v>0.12794736223710493</v>
      </c>
      <c r="M49" s="1376">
        <f t="shared" si="145"/>
        <v>0.12690875148395517</v>
      </c>
      <c r="N49" s="1376">
        <f t="shared" si="145"/>
        <v>0.13660265648736028</v>
      </c>
      <c r="O49" s="1377">
        <f t="shared" si="145"/>
        <v>0.13408111186401581</v>
      </c>
      <c r="P49" s="1376">
        <f t="shared" si="145"/>
        <v>0.14222956431013101</v>
      </c>
      <c r="Q49" s="1376">
        <f t="shared" si="145"/>
        <v>0.13913012872968525</v>
      </c>
      <c r="R49" s="1376">
        <f t="shared" si="145"/>
        <v>0.137528948981677</v>
      </c>
      <c r="S49" s="1377">
        <f t="shared" si="145"/>
        <v>0.13989044066480022</v>
      </c>
      <c r="T49" s="1376">
        <f t="shared" si="145"/>
        <v>0.15531484591917183</v>
      </c>
      <c r="U49" s="1376">
        <f t="shared" si="145"/>
        <v>0.15495607127128322</v>
      </c>
      <c r="V49" s="1376">
        <f t="shared" si="145"/>
        <v>0.16009705024621124</v>
      </c>
      <c r="W49" s="1377">
        <f t="shared" si="145"/>
        <v>0.15789616385721369</v>
      </c>
      <c r="X49" s="1376">
        <f t="shared" si="145"/>
        <v>0.1657881183919537</v>
      </c>
      <c r="Y49" s="1376">
        <f t="shared" si="145"/>
        <v>0.16612989905160316</v>
      </c>
      <c r="Z49" s="1376">
        <f t="shared" si="145"/>
        <v>0.17221298495645287</v>
      </c>
      <c r="AA49" s="1377">
        <f t="shared" si="145"/>
        <v>0.17431974748289289</v>
      </c>
      <c r="AB49" s="1376">
        <f t="shared" si="145"/>
        <v>0.16934280983846187</v>
      </c>
      <c r="AC49" s="1376">
        <f t="shared" si="145"/>
        <v>0.16918051507938273</v>
      </c>
      <c r="AD49" s="1376">
        <f t="shared" si="145"/>
        <v>0.19104316060073065</v>
      </c>
      <c r="AE49" s="1377">
        <f t="shared" si="145"/>
        <v>0.1915060633870698</v>
      </c>
      <c r="AF49" s="1376">
        <f t="shared" si="145"/>
        <v>0.18696650410212026</v>
      </c>
      <c r="AG49" s="1376">
        <f t="shared" si="145"/>
        <v>0.17996479323747799</v>
      </c>
      <c r="AH49" s="1376">
        <f t="shared" si="145"/>
        <v>0.17112823321964502</v>
      </c>
      <c r="AI49" s="1377">
        <f t="shared" si="145"/>
        <v>0.16434429177756993</v>
      </c>
      <c r="AJ49" s="1378">
        <f t="shared" ref="AJ49:BO49" si="146">AJ48/AJ8</f>
        <v>0.15275323766188312</v>
      </c>
      <c r="AK49" s="1376">
        <f t="shared" si="146"/>
        <v>0.14485273536313245</v>
      </c>
      <c r="AL49" s="1376">
        <f t="shared" si="146"/>
        <v>0.14745911087911612</v>
      </c>
      <c r="AM49" s="1377">
        <f t="shared" si="146"/>
        <v>0.14480571601510592</v>
      </c>
      <c r="AN49" s="1378">
        <f t="shared" si="146"/>
        <v>0.1496367224110631</v>
      </c>
      <c r="AO49" s="1376">
        <f t="shared" si="146"/>
        <v>0.14930622838386151</v>
      </c>
      <c r="AP49" s="1376">
        <f t="shared" si="146"/>
        <v>0.15447386649491426</v>
      </c>
      <c r="AQ49" s="1377">
        <f t="shared" si="146"/>
        <v>0.15264774527825881</v>
      </c>
      <c r="AR49" s="1378">
        <f t="shared" si="146"/>
        <v>0.14882118738889172</v>
      </c>
      <c r="AS49" s="1376">
        <f t="shared" si="146"/>
        <v>0.18245594811347829</v>
      </c>
      <c r="AT49" s="1376">
        <f t="shared" si="146"/>
        <v>0.16424346287799213</v>
      </c>
      <c r="AU49" s="1377">
        <f t="shared" si="146"/>
        <v>0.14220354113971134</v>
      </c>
      <c r="AV49" s="1378">
        <f t="shared" si="146"/>
        <v>0.14006724403187606</v>
      </c>
      <c r="AW49" s="1376">
        <f t="shared" si="146"/>
        <v>0.14002301748232587</v>
      </c>
      <c r="AX49" s="1376">
        <f t="shared" si="146"/>
        <v>0.13755566243480133</v>
      </c>
      <c r="AY49" s="1377">
        <f t="shared" si="146"/>
        <v>0.13065685145849892</v>
      </c>
      <c r="AZ49" s="1378">
        <f t="shared" si="146"/>
        <v>0.12917772786059489</v>
      </c>
      <c r="BA49" s="1376">
        <f t="shared" si="146"/>
        <v>0.12689041324099348</v>
      </c>
      <c r="BB49" s="1376">
        <f t="shared" si="146"/>
        <v>0.12510639102721721</v>
      </c>
      <c r="BC49" s="1376">
        <f t="shared" si="146"/>
        <v>0.12340967623760372</v>
      </c>
      <c r="BD49" s="1378">
        <f t="shared" si="146"/>
        <v>0.12112511986096128</v>
      </c>
      <c r="BE49" s="1376">
        <f t="shared" si="146"/>
        <v>0.14628059941890426</v>
      </c>
      <c r="BF49" s="1376">
        <f t="shared" si="146"/>
        <v>0.13844698932531868</v>
      </c>
      <c r="BG49" s="1377">
        <f t="shared" si="146"/>
        <v>0.1313719512195122</v>
      </c>
      <c r="BH49" s="1376">
        <f>BH48/BH8</f>
        <v>0.17833004549599643</v>
      </c>
      <c r="BI49" s="1376">
        <f t="shared" ref="BI49:BK49" si="147">BI48/BI8</f>
        <v>0.13372941732731672</v>
      </c>
      <c r="BJ49" s="1376">
        <f t="shared" si="147"/>
        <v>0.12892783262980514</v>
      </c>
      <c r="BK49" s="1376">
        <f t="shared" si="147"/>
        <v>0.11745318866557508</v>
      </c>
      <c r="BL49" s="1442">
        <f>BL48/BL8</f>
        <v>0.11460477441029646</v>
      </c>
      <c r="BM49" s="1441">
        <f t="shared" ref="BM49:BN49" si="148">BM48/BM8</f>
        <v>0.11220988421550795</v>
      </c>
      <c r="BN49" s="1494">
        <f t="shared" si="148"/>
        <v>0.10846656373685507</v>
      </c>
      <c r="BO49" s="1453">
        <f t="shared" si="146"/>
        <v>0.10920345026449957</v>
      </c>
      <c r="BP49" s="1378">
        <f t="shared" ref="BP49:BW49" si="149">BP48/BP8</f>
        <v>0.10764612360282635</v>
      </c>
      <c r="BQ49" s="1376">
        <f t="shared" si="149"/>
        <v>0.10637487616494279</v>
      </c>
      <c r="BR49" s="1376">
        <f t="shared" si="149"/>
        <v>0.10684919359333314</v>
      </c>
      <c r="BS49" s="1377">
        <f t="shared" si="149"/>
        <v>0.10685724247444489</v>
      </c>
      <c r="BT49" s="1495">
        <f t="shared" si="149"/>
        <v>0.10557665067427091</v>
      </c>
      <c r="BU49" s="1494">
        <f t="shared" si="149"/>
        <v>0.1047429802853551</v>
      </c>
      <c r="BV49" s="1494">
        <f t="shared" si="149"/>
        <v>0.10540642336026548</v>
      </c>
      <c r="BW49" s="1496">
        <f t="shared" si="149"/>
        <v>0.10571011596209955</v>
      </c>
      <c r="BX49" s="20"/>
      <c r="BY49" s="36">
        <f t="shared" ref="BY49:CO49" si="150">BY48/BY8</f>
        <v>0.1371607246470247</v>
      </c>
      <c r="BZ49" s="36">
        <f t="shared" si="150"/>
        <v>0.13215542144552817</v>
      </c>
      <c r="CA49" s="36">
        <f t="shared" si="150"/>
        <v>0.13128264709493986</v>
      </c>
      <c r="CB49" s="36">
        <f t="shared" si="150"/>
        <v>0.1396572665167212</v>
      </c>
      <c r="CC49" s="36">
        <f t="shared" si="150"/>
        <v>0.15701794125256932</v>
      </c>
      <c r="CD49" s="36">
        <f t="shared" si="150"/>
        <v>0.16958552219337536</v>
      </c>
      <c r="CE49" s="36">
        <f t="shared" si="150"/>
        <v>0.1781617784626762</v>
      </c>
      <c r="CF49" s="36">
        <f t="shared" si="150"/>
        <v>0.17447603692616767</v>
      </c>
      <c r="CG49" s="36">
        <f t="shared" si="150"/>
        <v>0.14738250611045553</v>
      </c>
      <c r="CH49" s="1494">
        <f t="shared" si="150"/>
        <v>0.15144421245018708</v>
      </c>
      <c r="CI49" s="1494">
        <f t="shared" si="150"/>
        <v>0.15922947503924767</v>
      </c>
      <c r="CJ49" s="1494">
        <f t="shared" si="150"/>
        <v>0.13702447731145695</v>
      </c>
      <c r="CK49" s="1376">
        <f t="shared" si="150"/>
        <v>0.12613388876572168</v>
      </c>
      <c r="CL49" s="1376">
        <f t="shared" si="150"/>
        <v>0.1343274036056904</v>
      </c>
      <c r="CM49" s="1376">
        <f t="shared" si="150"/>
        <v>0.13870503816677413</v>
      </c>
      <c r="CN49" s="1376">
        <f t="shared" si="150"/>
        <v>0.11111089948136857</v>
      </c>
      <c r="CO49" s="1376">
        <f t="shared" si="150"/>
        <v>0.1069273110149298</v>
      </c>
      <c r="CP49" s="1377">
        <f t="shared" ref="CP49" si="151">CP48/CP8</f>
        <v>0.10535539587802829</v>
      </c>
      <c r="CQ49" s="20"/>
      <c r="CR49" s="1378">
        <f t="shared" ref="CR49:DG49" si="152">CR48/CR8</f>
        <v>0.13407211845334599</v>
      </c>
      <c r="CS49" s="1376">
        <f t="shared" si="152"/>
        <v>0.13015293053637084</v>
      </c>
      <c r="CT49" s="1376">
        <f t="shared" si="152"/>
        <v>0.13828695640433661</v>
      </c>
      <c r="CU49" s="1376">
        <f t="shared" si="152"/>
        <v>0.15268206329161915</v>
      </c>
      <c r="CV49" s="1376">
        <f t="shared" si="152"/>
        <v>0.16547249865746813</v>
      </c>
      <c r="CW49" s="1376">
        <f t="shared" si="152"/>
        <v>0.17481740844171711</v>
      </c>
      <c r="CX49" s="1376">
        <f t="shared" si="152"/>
        <v>0.18131778182171912</v>
      </c>
      <c r="CY49" s="1376">
        <f t="shared" si="152"/>
        <v>0.15149360399641937</v>
      </c>
      <c r="CZ49" s="1376">
        <f t="shared" si="152"/>
        <v>0.14938669475162369</v>
      </c>
      <c r="DA49" s="1377">
        <f t="shared" si="152"/>
        <v>0.16264668979260458</v>
      </c>
      <c r="DB49" s="1376">
        <f t="shared" si="152"/>
        <v>0.13989893879849696</v>
      </c>
      <c r="DC49" s="1378">
        <f t="shared" si="152"/>
        <v>0.1279035558143117</v>
      </c>
      <c r="DD49" s="1376">
        <f t="shared" si="152"/>
        <v>0.13234369079723224</v>
      </c>
      <c r="DE49" s="1376">
        <f t="shared" si="152"/>
        <v>0.14363343162219724</v>
      </c>
      <c r="DF49" s="1376">
        <f t="shared" si="152"/>
        <v>0.11307032372613175</v>
      </c>
      <c r="DG49" s="1441">
        <f t="shared" si="152"/>
        <v>0.10748988981300409</v>
      </c>
      <c r="DH49" s="1441">
        <f t="shared" ref="DH49" si="153">DH48/DH8</f>
        <v>0.1056277641586876</v>
      </c>
      <c r="DI49" s="22"/>
    </row>
    <row r="50" spans="1:113" ht="14.25" customHeight="1" collapsed="1">
      <c r="A50" s="8"/>
      <c r="B50" s="615"/>
      <c r="C50" s="50"/>
      <c r="D50" s="38"/>
      <c r="E50" s="38"/>
      <c r="F50" s="43"/>
      <c r="G50" s="39"/>
      <c r="H50" s="38"/>
      <c r="I50" s="38"/>
      <c r="J50" s="43"/>
      <c r="K50" s="39"/>
      <c r="L50" s="38"/>
      <c r="M50" s="38"/>
      <c r="N50" s="43"/>
      <c r="O50" s="39"/>
      <c r="P50" s="38"/>
      <c r="Q50" s="38"/>
      <c r="R50" s="43"/>
      <c r="S50" s="39"/>
      <c r="T50" s="38"/>
      <c r="U50" s="38"/>
      <c r="V50" s="43"/>
      <c r="W50" s="39"/>
      <c r="X50" s="38"/>
      <c r="Y50" s="38"/>
      <c r="Z50" s="43"/>
      <c r="AA50" s="39"/>
      <c r="AB50" s="38"/>
      <c r="AC50" s="38"/>
      <c r="AD50" s="43"/>
      <c r="AE50" s="39"/>
      <c r="AF50" s="38"/>
      <c r="AG50" s="38"/>
      <c r="AH50" s="43"/>
      <c r="AI50" s="39"/>
      <c r="AJ50" s="40"/>
      <c r="AK50" s="38"/>
      <c r="AL50" s="43"/>
      <c r="AM50" s="39"/>
      <c r="AN50" s="40"/>
      <c r="AO50" s="38"/>
      <c r="AP50" s="43"/>
      <c r="AQ50" s="39"/>
      <c r="AR50" s="40"/>
      <c r="AS50" s="43"/>
      <c r="AT50" s="43"/>
      <c r="AU50" s="39"/>
      <c r="AV50" s="40"/>
      <c r="AW50" s="43"/>
      <c r="AX50" s="43"/>
      <c r="AY50" s="39"/>
      <c r="AZ50" s="40"/>
      <c r="BA50" s="43"/>
      <c r="BB50" s="43"/>
      <c r="BC50" s="38"/>
      <c r="BD50" s="40"/>
      <c r="BE50" s="43"/>
      <c r="BF50" s="43"/>
      <c r="BG50" s="39"/>
      <c r="BH50" s="38"/>
      <c r="BI50" s="43"/>
      <c r="BJ50" s="43"/>
      <c r="BK50" s="38"/>
      <c r="BL50" s="40"/>
      <c r="BM50" s="43"/>
      <c r="BN50" s="43"/>
      <c r="BO50" s="39"/>
      <c r="BP50" s="40"/>
      <c r="BQ50" s="38"/>
      <c r="BR50" s="38"/>
      <c r="BS50" s="39"/>
      <c r="BT50" s="40"/>
      <c r="BU50" s="38"/>
      <c r="BV50" s="38"/>
      <c r="BW50" s="39"/>
      <c r="BX50" s="20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2"/>
      <c r="CQ50" s="20"/>
      <c r="CR50" s="95"/>
      <c r="CS50" s="96"/>
      <c r="CT50" s="96"/>
      <c r="CU50" s="96"/>
      <c r="CV50" s="96"/>
      <c r="CW50" s="96"/>
      <c r="CX50" s="96"/>
      <c r="CY50" s="96"/>
      <c r="CZ50" s="96"/>
      <c r="DA50" s="97"/>
      <c r="DB50" s="96"/>
      <c r="DC50" s="95"/>
      <c r="DD50" s="96"/>
      <c r="DE50" s="96"/>
      <c r="DF50" s="96"/>
      <c r="DG50" s="96"/>
      <c r="DH50" s="96"/>
      <c r="DI50" s="22"/>
    </row>
    <row r="51" spans="1:113" ht="14.25" customHeight="1">
      <c r="A51" s="11"/>
      <c r="B51" s="612" t="s">
        <v>305</v>
      </c>
      <c r="C51" s="24"/>
      <c r="D51" s="31">
        <f t="shared" ref="D51:BO51" si="154">SUM(D52:D54)</f>
        <v>9.3000000000000007</v>
      </c>
      <c r="E51" s="31">
        <f t="shared" si="154"/>
        <v>41.5</v>
      </c>
      <c r="F51" s="31">
        <f t="shared" si="154"/>
        <v>0</v>
      </c>
      <c r="G51" s="32">
        <f t="shared" si="154"/>
        <v>0</v>
      </c>
      <c r="H51" s="31">
        <f t="shared" si="154"/>
        <v>1.6120000000000001</v>
      </c>
      <c r="I51" s="31">
        <f t="shared" si="154"/>
        <v>0</v>
      </c>
      <c r="J51" s="31">
        <f t="shared" si="154"/>
        <v>-0.747</v>
      </c>
      <c r="K51" s="32">
        <f t="shared" si="154"/>
        <v>0</v>
      </c>
      <c r="L51" s="31">
        <f t="shared" si="154"/>
        <v>21.1</v>
      </c>
      <c r="M51" s="31">
        <f t="shared" si="154"/>
        <v>0</v>
      </c>
      <c r="N51" s="31">
        <f t="shared" si="154"/>
        <v>0</v>
      </c>
      <c r="O51" s="32">
        <f t="shared" si="154"/>
        <v>0</v>
      </c>
      <c r="P51" s="31">
        <f t="shared" si="154"/>
        <v>0</v>
      </c>
      <c r="Q51" s="31">
        <f t="shared" si="154"/>
        <v>0</v>
      </c>
      <c r="R51" s="31">
        <f t="shared" si="154"/>
        <v>0</v>
      </c>
      <c r="S51" s="32">
        <f t="shared" si="154"/>
        <v>0</v>
      </c>
      <c r="T51" s="31">
        <f t="shared" si="154"/>
        <v>0</v>
      </c>
      <c r="U51" s="31">
        <f t="shared" si="154"/>
        <v>0</v>
      </c>
      <c r="V51" s="31">
        <f t="shared" si="154"/>
        <v>0</v>
      </c>
      <c r="W51" s="32">
        <f t="shared" si="154"/>
        <v>0</v>
      </c>
      <c r="X51" s="31">
        <f t="shared" si="154"/>
        <v>0</v>
      </c>
      <c r="Y51" s="31">
        <f t="shared" si="154"/>
        <v>26.763000000000002</v>
      </c>
      <c r="Z51" s="31">
        <f t="shared" si="154"/>
        <v>0</v>
      </c>
      <c r="AA51" s="32">
        <f t="shared" si="154"/>
        <v>0</v>
      </c>
      <c r="AB51" s="31">
        <f t="shared" si="154"/>
        <v>0</v>
      </c>
      <c r="AC51" s="31">
        <f t="shared" si="154"/>
        <v>0</v>
      </c>
      <c r="AD51" s="31">
        <f t="shared" si="154"/>
        <v>0.5</v>
      </c>
      <c r="AE51" s="32">
        <f t="shared" si="154"/>
        <v>5.9340000000000002</v>
      </c>
      <c r="AF51" s="31">
        <f t="shared" si="154"/>
        <v>1.238</v>
      </c>
      <c r="AG51" s="31">
        <f t="shared" si="154"/>
        <v>0</v>
      </c>
      <c r="AH51" s="31">
        <f t="shared" si="154"/>
        <v>0</v>
      </c>
      <c r="AI51" s="32">
        <f t="shared" si="154"/>
        <v>0</v>
      </c>
      <c r="AJ51" s="33">
        <f t="shared" si="154"/>
        <v>0.47499999999999998</v>
      </c>
      <c r="AK51" s="31">
        <f t="shared" si="154"/>
        <v>0.55800000000000005</v>
      </c>
      <c r="AL51" s="31">
        <f t="shared" si="154"/>
        <v>0.64600000000000002</v>
      </c>
      <c r="AM51" s="32">
        <f t="shared" si="154"/>
        <v>0.18599999999999983</v>
      </c>
      <c r="AN51" s="31">
        <f t="shared" si="154"/>
        <v>0</v>
      </c>
      <c r="AO51" s="31">
        <f t="shared" si="154"/>
        <v>2.7029999999999998</v>
      </c>
      <c r="AP51" s="31">
        <f t="shared" si="154"/>
        <v>2.0179999999999998</v>
      </c>
      <c r="AQ51" s="32">
        <f t="shared" si="154"/>
        <v>-3.8840000000000003</v>
      </c>
      <c r="AR51" s="31">
        <f t="shared" si="154"/>
        <v>0</v>
      </c>
      <c r="AS51" s="31">
        <f t="shared" si="154"/>
        <v>50.251999999999995</v>
      </c>
      <c r="AT51" s="31">
        <f t="shared" si="154"/>
        <v>42.269999999999996</v>
      </c>
      <c r="AU51" s="32">
        <f t="shared" si="154"/>
        <v>51.190000000000005</v>
      </c>
      <c r="AV51" s="31">
        <f t="shared" si="154"/>
        <v>29.378</v>
      </c>
      <c r="AW51" s="31">
        <f t="shared" si="154"/>
        <v>23.733000000000001</v>
      </c>
      <c r="AX51" s="31">
        <f t="shared" si="154"/>
        <v>22.604999999999997</v>
      </c>
      <c r="AY51" s="32">
        <f t="shared" si="154"/>
        <v>21.842000000000002</v>
      </c>
      <c r="AZ51" s="33">
        <f t="shared" si="154"/>
        <v>36.948</v>
      </c>
      <c r="BA51" s="31">
        <f t="shared" si="154"/>
        <v>46.207999999999998</v>
      </c>
      <c r="BB51" s="31">
        <f t="shared" si="154"/>
        <v>48.585000000000001</v>
      </c>
      <c r="BC51" s="31">
        <f t="shared" si="154"/>
        <v>47.845000000000006</v>
      </c>
      <c r="BD51" s="33">
        <f t="shared" si="154"/>
        <v>36.169000000000004</v>
      </c>
      <c r="BE51" s="31">
        <f t="shared" si="154"/>
        <v>50.488</v>
      </c>
      <c r="BF51" s="31">
        <f t="shared" si="154"/>
        <v>43.293999999999997</v>
      </c>
      <c r="BG51" s="32">
        <f t="shared" si="154"/>
        <v>48.902000000000001</v>
      </c>
      <c r="BH51" s="31">
        <f>SUM(BH52:BH54)</f>
        <v>102.206</v>
      </c>
      <c r="BI51" s="31">
        <f t="shared" ref="BI51:BK51" si="155">SUM(BI52:BI54)</f>
        <v>89.937000000000012</v>
      </c>
      <c r="BJ51" s="31">
        <f t="shared" si="155"/>
        <v>103.735</v>
      </c>
      <c r="BK51" s="31">
        <f t="shared" si="155"/>
        <v>140.39699999999999</v>
      </c>
      <c r="BL51" s="33">
        <f>SUM(BL52:BL54)</f>
        <v>118.089</v>
      </c>
      <c r="BM51" s="31">
        <f t="shared" ref="BM51:BN51" si="156">SUM(BM52:BM54)</f>
        <v>140.785</v>
      </c>
      <c r="BN51" s="31">
        <f t="shared" si="156"/>
        <v>121.199</v>
      </c>
      <c r="BO51" s="32">
        <f t="shared" si="154"/>
        <v>0</v>
      </c>
      <c r="BP51" s="33">
        <f t="shared" ref="BP51:BW51" si="157">SUM(BP52:BP54)</f>
        <v>0</v>
      </c>
      <c r="BQ51" s="31">
        <f t="shared" si="157"/>
        <v>0</v>
      </c>
      <c r="BR51" s="31">
        <f t="shared" si="157"/>
        <v>0</v>
      </c>
      <c r="BS51" s="32">
        <f t="shared" si="157"/>
        <v>0</v>
      </c>
      <c r="BT51" s="33">
        <f t="shared" si="157"/>
        <v>0</v>
      </c>
      <c r="BU51" s="31">
        <f t="shared" si="157"/>
        <v>0</v>
      </c>
      <c r="BV51" s="31">
        <f t="shared" si="157"/>
        <v>0</v>
      </c>
      <c r="BW51" s="32">
        <f t="shared" si="157"/>
        <v>0</v>
      </c>
      <c r="BX51" s="160"/>
      <c r="BY51" s="31">
        <f>SUM(D51:G51)</f>
        <v>50.8</v>
      </c>
      <c r="BZ51" s="31">
        <f>SUM(H51:K51)</f>
        <v>0.8650000000000001</v>
      </c>
      <c r="CA51" s="31">
        <f>SUM(L51:O51)</f>
        <v>21.1</v>
      </c>
      <c r="CB51" s="31">
        <f>SUM(P51:S51)</f>
        <v>0</v>
      </c>
      <c r="CC51" s="31">
        <f>SUM(T51:W51)</f>
        <v>0</v>
      </c>
      <c r="CD51" s="31">
        <f>SUM(X51:AA51)</f>
        <v>26.763000000000002</v>
      </c>
      <c r="CE51" s="31">
        <f>SUM(AB51:AE51)</f>
        <v>6.4340000000000002</v>
      </c>
      <c r="CF51" s="31">
        <f>SUM(AF51:AI51)</f>
        <v>1.238</v>
      </c>
      <c r="CG51" s="31">
        <f>SUM(AJ51:AM51)</f>
        <v>1.8649999999999998</v>
      </c>
      <c r="CH51" s="31">
        <f>SUM(AN51:AQ51)</f>
        <v>0.83699999999999974</v>
      </c>
      <c r="CI51" s="31">
        <f>SUM(AR51:AU51)</f>
        <v>143.71199999999999</v>
      </c>
      <c r="CJ51" s="31">
        <f>SUM(AV51:AY51)</f>
        <v>97.558000000000007</v>
      </c>
      <c r="CK51" s="31">
        <f>SUM(AZ51:BC51)</f>
        <v>179.58600000000001</v>
      </c>
      <c r="CL51" s="31">
        <f>SUM(BD51:BG51)</f>
        <v>178.85300000000001</v>
      </c>
      <c r="CM51" s="31">
        <f>SUM(BH51:BK51)</f>
        <v>436.27500000000003</v>
      </c>
      <c r="CN51" s="31">
        <f>SUM(BL51:BO51)</f>
        <v>380.07300000000004</v>
      </c>
      <c r="CO51" s="31">
        <f>SUM(BP51:BS51)</f>
        <v>0</v>
      </c>
      <c r="CP51" s="32">
        <f>SUM(BT51:BW51)</f>
        <v>0</v>
      </c>
      <c r="CQ51" s="160"/>
      <c r="CR51" s="33">
        <f>SUM(G51:J51)</f>
        <v>0.8650000000000001</v>
      </c>
      <c r="CS51" s="31">
        <f>SUM(K51:N51)</f>
        <v>21.1</v>
      </c>
      <c r="CT51" s="31">
        <f>SUM(O51:R51)</f>
        <v>0</v>
      </c>
      <c r="CU51" s="31">
        <f>SUM(S51:V51)</f>
        <v>0</v>
      </c>
      <c r="CV51" s="31">
        <f>SUM(W51:Z51)</f>
        <v>26.763000000000002</v>
      </c>
      <c r="CW51" s="31">
        <f>SUM(AA51:AD51)</f>
        <v>0.5</v>
      </c>
      <c r="CX51" s="31">
        <f>SUM(AE51:AH51)</f>
        <v>7.1720000000000006</v>
      </c>
      <c r="CY51" s="31">
        <f>SUM(AI51:AL51)</f>
        <v>1.6789999999999998</v>
      </c>
      <c r="CZ51" s="31">
        <f>SUM(AM51:AP51)</f>
        <v>4.907</v>
      </c>
      <c r="DA51" s="32">
        <f>SUM(AQ51:AT51)</f>
        <v>88.637999999999991</v>
      </c>
      <c r="DB51" s="31">
        <f>SUM(AU51:AX51)</f>
        <v>126.90600000000001</v>
      </c>
      <c r="DC51" s="33">
        <f>SUM(AY51:BB51)</f>
        <v>153.583</v>
      </c>
      <c r="DD51" s="31">
        <f>SUM(BC51:BF51)</f>
        <v>177.79599999999999</v>
      </c>
      <c r="DE51" s="31">
        <f>SUM(BG51:BJ51)</f>
        <v>344.78000000000003</v>
      </c>
      <c r="DF51" s="31">
        <f>SUM(BK51:BN51)</f>
        <v>520.46999999999991</v>
      </c>
      <c r="DG51" s="31">
        <f>SUM(BO51:BR51)</f>
        <v>0</v>
      </c>
      <c r="DH51" s="31">
        <f>SUM(BS51:BV51)</f>
        <v>0</v>
      </c>
      <c r="DI51" s="23"/>
    </row>
    <row r="52" spans="1:113" ht="14.25" hidden="1" customHeight="1" outlineLevel="1">
      <c r="A52" s="11"/>
      <c r="B52" s="608" t="s">
        <v>358</v>
      </c>
      <c r="C52" s="28"/>
      <c r="D52" s="29">
        <v>0</v>
      </c>
      <c r="E52" s="29">
        <v>0</v>
      </c>
      <c r="F52" s="29">
        <v>0</v>
      </c>
      <c r="G52" s="455">
        <f>0-F52-E52-D52</f>
        <v>0</v>
      </c>
      <c r="H52" s="29">
        <v>0</v>
      </c>
      <c r="I52" s="29">
        <v>0</v>
      </c>
      <c r="J52" s="29">
        <v>0</v>
      </c>
      <c r="K52" s="455">
        <f>0-J52-I52-H52</f>
        <v>0</v>
      </c>
      <c r="L52" s="29">
        <v>0</v>
      </c>
      <c r="M52" s="29">
        <v>0</v>
      </c>
      <c r="N52" s="29">
        <v>0</v>
      </c>
      <c r="O52" s="455">
        <f>0-N52-M52-L52</f>
        <v>0</v>
      </c>
      <c r="P52" s="29">
        <v>0</v>
      </c>
      <c r="Q52" s="29">
        <v>0</v>
      </c>
      <c r="R52" s="29">
        <v>0</v>
      </c>
      <c r="S52" s="30">
        <v>0</v>
      </c>
      <c r="T52" s="29">
        <v>0</v>
      </c>
      <c r="U52" s="29">
        <v>0</v>
      </c>
      <c r="V52" s="29">
        <v>0</v>
      </c>
      <c r="W52" s="30">
        <v>0</v>
      </c>
      <c r="X52" s="29">
        <v>0</v>
      </c>
      <c r="Y52" s="29">
        <v>0</v>
      </c>
      <c r="Z52" s="29">
        <v>0</v>
      </c>
      <c r="AA52" s="30">
        <v>0</v>
      </c>
      <c r="AB52" s="29">
        <v>0</v>
      </c>
      <c r="AC52" s="29">
        <v>0</v>
      </c>
      <c r="AD52" s="29">
        <v>0</v>
      </c>
      <c r="AE52" s="30">
        <v>0</v>
      </c>
      <c r="AF52" s="29">
        <v>0</v>
      </c>
      <c r="AG52" s="29">
        <v>0</v>
      </c>
      <c r="AH52" s="29">
        <v>0</v>
      </c>
      <c r="AI52" s="30">
        <v>0</v>
      </c>
      <c r="AJ52" s="577">
        <v>0</v>
      </c>
      <c r="AK52" s="29">
        <v>0</v>
      </c>
      <c r="AL52" s="29">
        <v>0</v>
      </c>
      <c r="AM52" s="30">
        <v>0</v>
      </c>
      <c r="AN52" s="577">
        <v>0</v>
      </c>
      <c r="AO52" s="29">
        <v>2.7029999999999998</v>
      </c>
      <c r="AP52" s="29">
        <v>2.6779999999999999</v>
      </c>
      <c r="AQ52" s="30">
        <f>0-AP52-AO52-AN52</f>
        <v>-5.3810000000000002</v>
      </c>
      <c r="AR52" s="577">
        <v>0</v>
      </c>
      <c r="AS52" s="29">
        <v>27.858000000000001</v>
      </c>
      <c r="AT52" s="29">
        <v>39.710999999999999</v>
      </c>
      <c r="AU52" s="30">
        <f>111.537-AR52-AS52-AT52</f>
        <v>43.968000000000004</v>
      </c>
      <c r="AV52" s="577">
        <v>27.677</v>
      </c>
      <c r="AW52" s="29">
        <v>23.744</v>
      </c>
      <c r="AX52" s="29">
        <v>21.803999999999998</v>
      </c>
      <c r="AY52" s="30">
        <f>94.534-AV52-AW52-AX52</f>
        <v>21.309000000000001</v>
      </c>
      <c r="AZ52" s="577">
        <v>36.643999999999998</v>
      </c>
      <c r="BA52" s="29">
        <v>45.433</v>
      </c>
      <c r="BB52" s="29">
        <v>47.582000000000001</v>
      </c>
      <c r="BC52" s="29">
        <v>47.087000000000003</v>
      </c>
      <c r="BD52" s="577">
        <v>34.612000000000002</v>
      </c>
      <c r="BE52" s="29">
        <v>43.84</v>
      </c>
      <c r="BF52" s="29">
        <v>48.311999999999998</v>
      </c>
      <c r="BG52" s="30">
        <v>48.131999999999998</v>
      </c>
      <c r="BH52" s="29">
        <v>80.171000000000006</v>
      </c>
      <c r="BI52" s="29">
        <v>80.394000000000005</v>
      </c>
      <c r="BJ52" s="29">
        <v>82.790999999999997</v>
      </c>
      <c r="BK52" s="29">
        <v>94.311000000000007</v>
      </c>
      <c r="BL52" s="577">
        <v>120.845</v>
      </c>
      <c r="BM52" s="29">
        <v>120.913</v>
      </c>
      <c r="BN52" s="29">
        <v>121.003</v>
      </c>
      <c r="BO52" s="32">
        <v>0</v>
      </c>
      <c r="BP52" s="33">
        <v>0</v>
      </c>
      <c r="BQ52" s="31">
        <f t="shared" ref="BQ52:BS53" si="158">BP52</f>
        <v>0</v>
      </c>
      <c r="BR52" s="31">
        <f t="shared" si="158"/>
        <v>0</v>
      </c>
      <c r="BS52" s="32">
        <f t="shared" si="158"/>
        <v>0</v>
      </c>
      <c r="BT52" s="33">
        <f t="shared" ref="BT52:BT53" si="159">BS52</f>
        <v>0</v>
      </c>
      <c r="BU52" s="31">
        <f t="shared" ref="BU52:BU53" si="160">BT52</f>
        <v>0</v>
      </c>
      <c r="BV52" s="31">
        <f t="shared" ref="BV52:BV53" si="161">BU52</f>
        <v>0</v>
      </c>
      <c r="BW52" s="32">
        <f t="shared" ref="BW52:BW53" si="162">BV52</f>
        <v>0</v>
      </c>
      <c r="BX52" s="160"/>
      <c r="BY52" s="31">
        <f>SUM(D52:G52)</f>
        <v>0</v>
      </c>
      <c r="BZ52" s="31">
        <f>SUM(H52:K52)</f>
        <v>0</v>
      </c>
      <c r="CA52" s="31">
        <f>SUM(L52:O52)</f>
        <v>0</v>
      </c>
      <c r="CB52" s="31">
        <f>SUM(P52:S52)</f>
        <v>0</v>
      </c>
      <c r="CC52" s="31">
        <f>SUM(T52:W52)</f>
        <v>0</v>
      </c>
      <c r="CD52" s="31">
        <f>SUM(X52:AA52)</f>
        <v>0</v>
      </c>
      <c r="CE52" s="31">
        <f>SUM(AB52:AE52)</f>
        <v>0</v>
      </c>
      <c r="CF52" s="31">
        <f>SUM(AF52:AI52)</f>
        <v>0</v>
      </c>
      <c r="CG52" s="31">
        <f>SUM(AJ52:AM52)</f>
        <v>0</v>
      </c>
      <c r="CH52" s="31">
        <f>SUM(AN52:AQ52)</f>
        <v>0</v>
      </c>
      <c r="CI52" s="31">
        <f>SUM(AR52:AU52)</f>
        <v>111.53700000000001</v>
      </c>
      <c r="CJ52" s="31">
        <f>SUM(AV52:AY52)</f>
        <v>94.533999999999992</v>
      </c>
      <c r="CK52" s="31">
        <f>SUM(AZ52:BC52)</f>
        <v>176.74599999999998</v>
      </c>
      <c r="CL52" s="31">
        <f>SUM(BD52:BG52)</f>
        <v>174.89599999999999</v>
      </c>
      <c r="CM52" s="31">
        <f>SUM(BH52:BK52)</f>
        <v>337.66700000000003</v>
      </c>
      <c r="CN52" s="31">
        <f>SUM(BL52:BO52)</f>
        <v>362.76099999999997</v>
      </c>
      <c r="CO52" s="31">
        <f>SUM(BP52:BS52)</f>
        <v>0</v>
      </c>
      <c r="CP52" s="32">
        <f t="shared" ref="CP52:CP55" si="163">SUM(BT52:BW52)</f>
        <v>0</v>
      </c>
      <c r="CQ52" s="160"/>
      <c r="CR52" s="33">
        <f>SUM(G52:J52)</f>
        <v>0</v>
      </c>
      <c r="CS52" s="31">
        <f>SUM(K52:N52)</f>
        <v>0</v>
      </c>
      <c r="CT52" s="31">
        <f>SUM(O52:R52)</f>
        <v>0</v>
      </c>
      <c r="CU52" s="31">
        <f>SUM(S52:V52)</f>
        <v>0</v>
      </c>
      <c r="CV52" s="31">
        <f>SUM(W52:Z52)</f>
        <v>0</v>
      </c>
      <c r="CW52" s="31">
        <f>SUM(AA52:AD52)</f>
        <v>0</v>
      </c>
      <c r="CX52" s="31">
        <f>SUM(AE52:AH52)</f>
        <v>0</v>
      </c>
      <c r="CY52" s="31">
        <f>SUM(AI52:AL52)</f>
        <v>0</v>
      </c>
      <c r="CZ52" s="31">
        <f>SUM(AM52:AP52)</f>
        <v>5.3810000000000002</v>
      </c>
      <c r="DA52" s="32">
        <f>SUM(AQ52:AT52)</f>
        <v>62.188000000000002</v>
      </c>
      <c r="DB52" s="31">
        <f>SUM(AU52:AX52)</f>
        <v>117.19300000000001</v>
      </c>
      <c r="DC52" s="33">
        <f>SUM(AY52:BB52)</f>
        <v>150.96799999999999</v>
      </c>
      <c r="DD52" s="31">
        <f>SUM(BC52:BF52)</f>
        <v>173.851</v>
      </c>
      <c r="DE52" s="31">
        <f>SUM(BG52:BJ52)</f>
        <v>291.488</v>
      </c>
      <c r="DF52" s="31">
        <f>SUM(BK52:BN52)</f>
        <v>457.072</v>
      </c>
      <c r="DG52" s="31">
        <f>SUM(BO52:BR52)</f>
        <v>0</v>
      </c>
      <c r="DH52" s="31">
        <f t="shared" ref="DH52:DH55" si="164">SUM(BS52:BV52)</f>
        <v>0</v>
      </c>
      <c r="DI52" s="23"/>
    </row>
    <row r="53" spans="1:113" ht="14.25" hidden="1" customHeight="1" outlineLevel="1">
      <c r="A53" s="11"/>
      <c r="B53" s="608" t="s">
        <v>359</v>
      </c>
      <c r="C53" s="28"/>
      <c r="D53" s="29">
        <v>9.3000000000000007</v>
      </c>
      <c r="E53" s="29">
        <v>41.5</v>
      </c>
      <c r="F53" s="29">
        <v>0</v>
      </c>
      <c r="G53" s="455">
        <f>50.8-F53-E53-D53</f>
        <v>0</v>
      </c>
      <c r="H53" s="29">
        <v>1.6120000000000001</v>
      </c>
      <c r="I53" s="29">
        <v>0</v>
      </c>
      <c r="J53" s="29">
        <v>-0.747</v>
      </c>
      <c r="K53" s="455">
        <f>0.865-J53-I53-H53</f>
        <v>0</v>
      </c>
      <c r="L53" s="29">
        <v>21.1</v>
      </c>
      <c r="M53" s="29">
        <v>0</v>
      </c>
      <c r="N53" s="29">
        <v>0</v>
      </c>
      <c r="O53" s="455">
        <f>21.1-N53-M53-L53</f>
        <v>0</v>
      </c>
      <c r="P53" s="29">
        <v>0</v>
      </c>
      <c r="Q53" s="29">
        <v>0</v>
      </c>
      <c r="R53" s="29">
        <v>0</v>
      </c>
      <c r="S53" s="30">
        <v>0</v>
      </c>
      <c r="T53" s="29">
        <v>0</v>
      </c>
      <c r="U53" s="29">
        <v>0</v>
      </c>
      <c r="V53" s="29">
        <v>0</v>
      </c>
      <c r="W53" s="30">
        <v>0</v>
      </c>
      <c r="X53" s="29">
        <v>0</v>
      </c>
      <c r="Y53" s="29">
        <v>0</v>
      </c>
      <c r="Z53" s="29">
        <v>0</v>
      </c>
      <c r="AA53" s="30">
        <v>0</v>
      </c>
      <c r="AB53" s="29">
        <v>0</v>
      </c>
      <c r="AC53" s="29">
        <v>0</v>
      </c>
      <c r="AD53" s="29">
        <v>0.5</v>
      </c>
      <c r="AE53" s="30">
        <v>5.9340000000000002</v>
      </c>
      <c r="AF53" s="29">
        <v>1.238</v>
      </c>
      <c r="AG53" s="29">
        <v>0</v>
      </c>
      <c r="AH53" s="29">
        <v>0</v>
      </c>
      <c r="AI53" s="30">
        <v>0</v>
      </c>
      <c r="AJ53" s="577">
        <v>0.47499999999999998</v>
      </c>
      <c r="AK53" s="29">
        <v>0.55800000000000005</v>
      </c>
      <c r="AL53" s="29">
        <v>0.64600000000000002</v>
      </c>
      <c r="AM53" s="30">
        <f>1.865-AL53-AK53-AJ53</f>
        <v>0.18599999999999983</v>
      </c>
      <c r="AN53" s="577">
        <v>0</v>
      </c>
      <c r="AO53" s="29">
        <v>0</v>
      </c>
      <c r="AP53" s="29">
        <v>-0.66</v>
      </c>
      <c r="AQ53" s="30">
        <f>0.837-AP53-AO53-AN53</f>
        <v>1.4969999999999999</v>
      </c>
      <c r="AR53" s="577">
        <v>0</v>
      </c>
      <c r="AS53" s="29">
        <v>22.393999999999998</v>
      </c>
      <c r="AT53" s="29">
        <v>2.5590000000000002</v>
      </c>
      <c r="AU53" s="30">
        <f>32.175-AR53-AS53-AT53</f>
        <v>7.2219999999999986</v>
      </c>
      <c r="AV53" s="577">
        <v>1.7010000000000001</v>
      </c>
      <c r="AW53" s="29">
        <v>-1.0999999999999999E-2</v>
      </c>
      <c r="AX53" s="29">
        <v>0.80100000000000005</v>
      </c>
      <c r="AY53" s="30">
        <f>3.024-AV53-AW53-AX53</f>
        <v>0.53299999999999981</v>
      </c>
      <c r="AZ53" s="577">
        <v>0.30399999999999999</v>
      </c>
      <c r="BA53" s="29">
        <v>0.77500000000000002</v>
      </c>
      <c r="BB53" s="29">
        <v>1.0029999999999999</v>
      </c>
      <c r="BC53" s="29">
        <v>0.75800000000000001</v>
      </c>
      <c r="BD53" s="577">
        <v>1.5569999999999999</v>
      </c>
      <c r="BE53" s="29">
        <v>6.6479999999999997</v>
      </c>
      <c r="BF53" s="29">
        <v>-5.0179999999999998</v>
      </c>
      <c r="BG53" s="30">
        <v>0.77</v>
      </c>
      <c r="BH53" s="29">
        <v>22.035</v>
      </c>
      <c r="BI53" s="29">
        <v>9.5429999999999993</v>
      </c>
      <c r="BJ53" s="29">
        <v>20.943999999999999</v>
      </c>
      <c r="BK53" s="29">
        <v>46.085999999999999</v>
      </c>
      <c r="BL53" s="577">
        <v>-2.7559999999999998</v>
      </c>
      <c r="BM53" s="29">
        <v>19.872</v>
      </c>
      <c r="BN53" s="29">
        <v>0.19600000000000001</v>
      </c>
      <c r="BO53" s="32">
        <v>0</v>
      </c>
      <c r="BP53" s="33">
        <v>0</v>
      </c>
      <c r="BQ53" s="31">
        <f t="shared" si="158"/>
        <v>0</v>
      </c>
      <c r="BR53" s="31">
        <f t="shared" si="158"/>
        <v>0</v>
      </c>
      <c r="BS53" s="32">
        <f t="shared" si="158"/>
        <v>0</v>
      </c>
      <c r="BT53" s="33">
        <f t="shared" si="159"/>
        <v>0</v>
      </c>
      <c r="BU53" s="31">
        <f t="shared" si="160"/>
        <v>0</v>
      </c>
      <c r="BV53" s="31">
        <f t="shared" si="161"/>
        <v>0</v>
      </c>
      <c r="BW53" s="32">
        <f t="shared" si="162"/>
        <v>0</v>
      </c>
      <c r="BX53" s="160"/>
      <c r="BY53" s="31">
        <f>SUM(D53:G53)</f>
        <v>50.8</v>
      </c>
      <c r="BZ53" s="31">
        <f>SUM(H53:K53)</f>
        <v>0.8650000000000001</v>
      </c>
      <c r="CA53" s="31">
        <f>SUM(L53:O53)</f>
        <v>21.1</v>
      </c>
      <c r="CB53" s="31">
        <f>SUM(P53:S53)</f>
        <v>0</v>
      </c>
      <c r="CC53" s="31">
        <f>SUM(T53:W53)</f>
        <v>0</v>
      </c>
      <c r="CD53" s="31">
        <f>SUM(X53:AA53)</f>
        <v>0</v>
      </c>
      <c r="CE53" s="31">
        <f>SUM(AB53:AE53)</f>
        <v>6.4340000000000002</v>
      </c>
      <c r="CF53" s="31">
        <f>SUM(AF53:AI53)</f>
        <v>1.238</v>
      </c>
      <c r="CG53" s="31">
        <f>SUM(AJ53:AM53)</f>
        <v>1.8649999999999998</v>
      </c>
      <c r="CH53" s="31">
        <f>SUM(AN53:AQ53)</f>
        <v>0.83699999999999986</v>
      </c>
      <c r="CI53" s="31">
        <f>SUM(AR53:AU53)</f>
        <v>32.174999999999997</v>
      </c>
      <c r="CJ53" s="31">
        <f>SUM(AV53:AY53)</f>
        <v>3.024</v>
      </c>
      <c r="CK53" s="31">
        <f>SUM(AZ53:BC53)</f>
        <v>2.84</v>
      </c>
      <c r="CL53" s="31">
        <f>SUM(BD53:BG53)</f>
        <v>3.9570000000000003</v>
      </c>
      <c r="CM53" s="31">
        <f>SUM(BH53:BK53)</f>
        <v>98.608000000000004</v>
      </c>
      <c r="CN53" s="31">
        <f>SUM(BL53:BO53)</f>
        <v>17.312000000000001</v>
      </c>
      <c r="CO53" s="31">
        <f>SUM(BP53:BS53)</f>
        <v>0</v>
      </c>
      <c r="CP53" s="32">
        <f t="shared" si="163"/>
        <v>0</v>
      </c>
      <c r="CQ53" s="160"/>
      <c r="CR53" s="33">
        <f>SUM(G53:J53)</f>
        <v>0.8650000000000001</v>
      </c>
      <c r="CS53" s="31">
        <f>SUM(K53:N53)</f>
        <v>21.1</v>
      </c>
      <c r="CT53" s="31">
        <f>SUM(O53:R53)</f>
        <v>0</v>
      </c>
      <c r="CU53" s="31">
        <f>SUM(S53:V53)</f>
        <v>0</v>
      </c>
      <c r="CV53" s="31">
        <f>SUM(W53:Z53)</f>
        <v>0</v>
      </c>
      <c r="CW53" s="31">
        <f>SUM(AA53:AD53)</f>
        <v>0.5</v>
      </c>
      <c r="CX53" s="31">
        <f>SUM(AE53:AH53)</f>
        <v>7.1720000000000006</v>
      </c>
      <c r="CY53" s="31">
        <f>SUM(AI53:AL53)</f>
        <v>1.6789999999999998</v>
      </c>
      <c r="CZ53" s="31">
        <f>SUM(AM53:AP53)</f>
        <v>-0.4740000000000002</v>
      </c>
      <c r="DA53" s="32">
        <f>SUM(AQ53:AT53)</f>
        <v>26.45</v>
      </c>
      <c r="DB53" s="31">
        <f>SUM(AU53:AX53)</f>
        <v>9.7129999999999992</v>
      </c>
      <c r="DC53" s="33">
        <f>SUM(AY53:BB53)</f>
        <v>2.6149999999999993</v>
      </c>
      <c r="DD53" s="31">
        <f>SUM(BC53:BF53)</f>
        <v>3.9449999999999994</v>
      </c>
      <c r="DE53" s="31">
        <f>SUM(BG53:BJ53)</f>
        <v>53.292000000000002</v>
      </c>
      <c r="DF53" s="31">
        <f>SUM(BK53:BN53)</f>
        <v>63.397999999999996</v>
      </c>
      <c r="DG53" s="31">
        <f>SUM(BO53:BR53)</f>
        <v>0</v>
      </c>
      <c r="DH53" s="31">
        <f t="shared" si="164"/>
        <v>0</v>
      </c>
      <c r="DI53" s="23"/>
    </row>
    <row r="54" spans="1:113" ht="14.25" hidden="1" customHeight="1" outlineLevel="1">
      <c r="A54" s="11"/>
      <c r="B54" s="608" t="s">
        <v>133</v>
      </c>
      <c r="C54" s="28"/>
      <c r="D54" s="29">
        <v>0</v>
      </c>
      <c r="E54" s="29">
        <v>0</v>
      </c>
      <c r="F54" s="29">
        <v>0</v>
      </c>
      <c r="G54" s="455">
        <f>0-F54-E54-D54</f>
        <v>0</v>
      </c>
      <c r="H54" s="29">
        <v>0</v>
      </c>
      <c r="I54" s="29">
        <v>0</v>
      </c>
      <c r="J54" s="29">
        <v>0</v>
      </c>
      <c r="K54" s="455">
        <f>0-J54-I54-H54</f>
        <v>0</v>
      </c>
      <c r="L54" s="29">
        <v>0</v>
      </c>
      <c r="M54" s="29">
        <v>0</v>
      </c>
      <c r="N54" s="29">
        <v>0</v>
      </c>
      <c r="O54" s="455">
        <f>0-N54-M54-L54</f>
        <v>0</v>
      </c>
      <c r="P54" s="29">
        <v>0</v>
      </c>
      <c r="Q54" s="29">
        <v>0</v>
      </c>
      <c r="R54" s="29">
        <v>0</v>
      </c>
      <c r="S54" s="30">
        <v>0</v>
      </c>
      <c r="T54" s="29">
        <v>0</v>
      </c>
      <c r="U54" s="29">
        <v>0</v>
      </c>
      <c r="V54" s="29">
        <v>0</v>
      </c>
      <c r="W54" s="30">
        <v>0</v>
      </c>
      <c r="X54" s="29">
        <v>0</v>
      </c>
      <c r="Y54" s="29">
        <v>26.763000000000002</v>
      </c>
      <c r="Z54" s="29">
        <v>0</v>
      </c>
      <c r="AA54" s="30">
        <v>0</v>
      </c>
      <c r="AB54" s="29">
        <v>0</v>
      </c>
      <c r="AC54" s="29">
        <v>0</v>
      </c>
      <c r="AD54" s="29">
        <v>0</v>
      </c>
      <c r="AE54" s="30">
        <v>0</v>
      </c>
      <c r="AF54" s="29">
        <v>0</v>
      </c>
      <c r="AG54" s="29">
        <v>0</v>
      </c>
      <c r="AH54" s="29">
        <v>0</v>
      </c>
      <c r="AI54" s="30">
        <v>0</v>
      </c>
      <c r="AJ54" s="577">
        <v>0</v>
      </c>
      <c r="AK54" s="29">
        <v>0</v>
      </c>
      <c r="AL54" s="29">
        <v>0</v>
      </c>
      <c r="AM54" s="30">
        <v>0</v>
      </c>
      <c r="AN54" s="577">
        <v>0</v>
      </c>
      <c r="AO54" s="29">
        <v>0</v>
      </c>
      <c r="AP54" s="29">
        <v>0</v>
      </c>
      <c r="AQ54" s="30">
        <v>0</v>
      </c>
      <c r="AR54" s="577">
        <v>0</v>
      </c>
      <c r="AS54" s="29">
        <v>0</v>
      </c>
      <c r="AT54" s="29">
        <v>0</v>
      </c>
      <c r="AU54" s="30">
        <v>0</v>
      </c>
      <c r="AV54" s="577">
        <v>0</v>
      </c>
      <c r="AW54" s="29">
        <v>0</v>
      </c>
      <c r="AX54" s="29">
        <v>0</v>
      </c>
      <c r="AY54" s="30">
        <v>0</v>
      </c>
      <c r="AZ54" s="577">
        <v>0</v>
      </c>
      <c r="BA54" s="29">
        <v>0</v>
      </c>
      <c r="BB54" s="29">
        <v>0</v>
      </c>
      <c r="BC54" s="29">
        <v>0</v>
      </c>
      <c r="BD54" s="577">
        <v>0</v>
      </c>
      <c r="BE54" s="29">
        <v>0</v>
      </c>
      <c r="BF54" s="29">
        <v>0</v>
      </c>
      <c r="BG54" s="30">
        <v>0</v>
      </c>
      <c r="BH54" s="29">
        <v>0</v>
      </c>
      <c r="BI54" s="29">
        <v>0</v>
      </c>
      <c r="BJ54" s="29">
        <v>0</v>
      </c>
      <c r="BK54" s="29">
        <v>0</v>
      </c>
      <c r="BL54" s="577">
        <v>0</v>
      </c>
      <c r="BM54" s="29">
        <v>0</v>
      </c>
      <c r="BN54" s="29">
        <v>0</v>
      </c>
      <c r="BO54" s="30">
        <v>0</v>
      </c>
      <c r="BP54" s="577">
        <v>0</v>
      </c>
      <c r="BQ54" s="29">
        <v>0</v>
      </c>
      <c r="BR54" s="29">
        <v>0</v>
      </c>
      <c r="BS54" s="30">
        <v>0</v>
      </c>
      <c r="BT54" s="577">
        <v>0</v>
      </c>
      <c r="BU54" s="29">
        <v>0</v>
      </c>
      <c r="BV54" s="29">
        <v>0</v>
      </c>
      <c r="BW54" s="30">
        <v>0</v>
      </c>
      <c r="BX54" s="160"/>
      <c r="BY54" s="31">
        <f>SUM(D54:G54)</f>
        <v>0</v>
      </c>
      <c r="BZ54" s="31">
        <f>SUM(H54:K54)</f>
        <v>0</v>
      </c>
      <c r="CA54" s="31">
        <f>SUM(L54:O54)</f>
        <v>0</v>
      </c>
      <c r="CB54" s="31">
        <f>SUM(P54:S54)</f>
        <v>0</v>
      </c>
      <c r="CC54" s="31">
        <f>SUM(T54:W54)</f>
        <v>0</v>
      </c>
      <c r="CD54" s="31">
        <f>SUM(X54:AA54)</f>
        <v>26.763000000000002</v>
      </c>
      <c r="CE54" s="31">
        <f>SUM(AB54:AE54)</f>
        <v>0</v>
      </c>
      <c r="CF54" s="31">
        <f>SUM(AF54:AI54)</f>
        <v>0</v>
      </c>
      <c r="CG54" s="31">
        <f>SUM(AJ54:AM54)</f>
        <v>0</v>
      </c>
      <c r="CH54" s="31">
        <f>SUM(AN54:AQ54)</f>
        <v>0</v>
      </c>
      <c r="CI54" s="31">
        <f>SUM(AR54:AU54)</f>
        <v>0</v>
      </c>
      <c r="CJ54" s="31">
        <f>SUM(AV54:AY54)</f>
        <v>0</v>
      </c>
      <c r="CK54" s="31">
        <f>SUM(AZ54:BC54)</f>
        <v>0</v>
      </c>
      <c r="CL54" s="31">
        <f>SUM(BD54:BG54)</f>
        <v>0</v>
      </c>
      <c r="CM54" s="31">
        <f>SUM(BH54:BK54)</f>
        <v>0</v>
      </c>
      <c r="CN54" s="31">
        <f>SUM(BL54:BO54)</f>
        <v>0</v>
      </c>
      <c r="CO54" s="31">
        <f>SUM(BP54:BS54)</f>
        <v>0</v>
      </c>
      <c r="CP54" s="32">
        <f t="shared" si="163"/>
        <v>0</v>
      </c>
      <c r="CQ54" s="160"/>
      <c r="CR54" s="33">
        <f>SUM(G54:J54)</f>
        <v>0</v>
      </c>
      <c r="CS54" s="31">
        <f>SUM(K54:N54)</f>
        <v>0</v>
      </c>
      <c r="CT54" s="31">
        <f>SUM(O54:R54)</f>
        <v>0</v>
      </c>
      <c r="CU54" s="31">
        <f>SUM(S54:V54)</f>
        <v>0</v>
      </c>
      <c r="CV54" s="31">
        <f>SUM(W54:Z54)</f>
        <v>26.763000000000002</v>
      </c>
      <c r="CW54" s="31">
        <f>SUM(AA54:AD54)</f>
        <v>0</v>
      </c>
      <c r="CX54" s="31">
        <f>SUM(AE54:AH54)</f>
        <v>0</v>
      </c>
      <c r="CY54" s="31">
        <f>SUM(AI54:AL54)</f>
        <v>0</v>
      </c>
      <c r="CZ54" s="31">
        <f>SUM(AM54:AP54)</f>
        <v>0</v>
      </c>
      <c r="DA54" s="32">
        <f>SUM(AQ54:AT54)</f>
        <v>0</v>
      </c>
      <c r="DB54" s="31">
        <f>SUM(AU54:AX54)</f>
        <v>0</v>
      </c>
      <c r="DC54" s="33">
        <f>SUM(AY54:BB54)</f>
        <v>0</v>
      </c>
      <c r="DD54" s="31">
        <f>SUM(BC54:BF54)</f>
        <v>0</v>
      </c>
      <c r="DE54" s="31">
        <f>SUM(BG54:BJ54)</f>
        <v>0</v>
      </c>
      <c r="DF54" s="31">
        <f>SUM(BK54:BN54)</f>
        <v>0</v>
      </c>
      <c r="DG54" s="31">
        <f>SUM(BO54:BR54)</f>
        <v>0</v>
      </c>
      <c r="DH54" s="31">
        <f t="shared" si="164"/>
        <v>0</v>
      </c>
      <c r="DI54" s="23"/>
    </row>
    <row r="55" spans="1:113" ht="14.25" hidden="1" customHeight="1" outlineLevel="1">
      <c r="A55" s="11"/>
      <c r="B55" s="612" t="s">
        <v>5</v>
      </c>
      <c r="C55" s="24"/>
      <c r="D55" s="29">
        <v>0</v>
      </c>
      <c r="E55" s="29">
        <v>0</v>
      </c>
      <c r="F55" s="29">
        <v>0</v>
      </c>
      <c r="G55" s="455">
        <f>0-F55-E55-D55</f>
        <v>0</v>
      </c>
      <c r="H55" s="29">
        <v>0</v>
      </c>
      <c r="I55" s="29">
        <v>0</v>
      </c>
      <c r="J55" s="29">
        <v>0</v>
      </c>
      <c r="K55" s="455">
        <v>0</v>
      </c>
      <c r="L55" s="29">
        <v>0</v>
      </c>
      <c r="M55" s="29">
        <v>0</v>
      </c>
      <c r="N55" s="29">
        <v>0</v>
      </c>
      <c r="O55" s="455">
        <f>0-N55-M55-L55</f>
        <v>0</v>
      </c>
      <c r="P55" s="29">
        <v>0</v>
      </c>
      <c r="Q55" s="29">
        <v>0</v>
      </c>
      <c r="R55" s="29">
        <v>0</v>
      </c>
      <c r="S55" s="30">
        <v>0</v>
      </c>
      <c r="T55" s="29">
        <v>0</v>
      </c>
      <c r="U55" s="29">
        <v>0</v>
      </c>
      <c r="V55" s="29">
        <v>0</v>
      </c>
      <c r="W55" s="30">
        <v>0</v>
      </c>
      <c r="X55" s="29">
        <v>0</v>
      </c>
      <c r="Y55" s="29">
        <v>0</v>
      </c>
      <c r="Z55" s="29">
        <v>0</v>
      </c>
      <c r="AA55" s="30">
        <v>0</v>
      </c>
      <c r="AB55" s="29">
        <v>0</v>
      </c>
      <c r="AC55" s="29">
        <v>0</v>
      </c>
      <c r="AD55" s="29">
        <v>0</v>
      </c>
      <c r="AE55" s="30">
        <v>0</v>
      </c>
      <c r="AF55" s="29">
        <v>0</v>
      </c>
      <c r="AG55" s="29">
        <v>0</v>
      </c>
      <c r="AH55" s="29">
        <v>0</v>
      </c>
      <c r="AI55" s="30">
        <v>0</v>
      </c>
      <c r="AJ55" s="577">
        <v>0</v>
      </c>
      <c r="AK55" s="29">
        <v>0</v>
      </c>
      <c r="AL55" s="29">
        <v>0</v>
      </c>
      <c r="AM55" s="30">
        <v>0</v>
      </c>
      <c r="AN55" s="577">
        <v>0</v>
      </c>
      <c r="AO55" s="29">
        <v>0</v>
      </c>
      <c r="AP55" s="29">
        <v>0</v>
      </c>
      <c r="AQ55" s="30">
        <v>-5.3810000000000002</v>
      </c>
      <c r="AR55" s="577">
        <v>0</v>
      </c>
      <c r="AS55" s="29">
        <v>0</v>
      </c>
      <c r="AT55" s="29">
        <v>0</v>
      </c>
      <c r="AU55" s="30">
        <v>0</v>
      </c>
      <c r="AV55" s="577">
        <v>0</v>
      </c>
      <c r="AW55" s="29">
        <v>0</v>
      </c>
      <c r="AX55" s="29">
        <v>0</v>
      </c>
      <c r="AY55" s="30">
        <v>0</v>
      </c>
      <c r="AZ55" s="577">
        <v>0</v>
      </c>
      <c r="BA55" s="29">
        <v>0</v>
      </c>
      <c r="BB55" s="29">
        <v>0</v>
      </c>
      <c r="BC55" s="29">
        <v>0</v>
      </c>
      <c r="BD55" s="577">
        <v>0</v>
      </c>
      <c r="BE55" s="29">
        <v>0</v>
      </c>
      <c r="BF55" s="29">
        <v>0</v>
      </c>
      <c r="BG55" s="30">
        <v>0</v>
      </c>
      <c r="BH55" s="29">
        <v>0</v>
      </c>
      <c r="BI55" s="29">
        <v>0</v>
      </c>
      <c r="BJ55" s="29">
        <v>0</v>
      </c>
      <c r="BK55" s="29">
        <v>0</v>
      </c>
      <c r="BL55" s="577">
        <v>0</v>
      </c>
      <c r="BM55" s="29">
        <v>0</v>
      </c>
      <c r="BN55" s="29">
        <v>0</v>
      </c>
      <c r="BO55" s="30">
        <v>0</v>
      </c>
      <c r="BP55" s="577">
        <v>0</v>
      </c>
      <c r="BQ55" s="29">
        <v>0</v>
      </c>
      <c r="BR55" s="29">
        <v>0</v>
      </c>
      <c r="BS55" s="30">
        <v>0</v>
      </c>
      <c r="BT55" s="577">
        <v>0</v>
      </c>
      <c r="BU55" s="29">
        <v>0</v>
      </c>
      <c r="BV55" s="29">
        <v>0</v>
      </c>
      <c r="BW55" s="30">
        <v>0</v>
      </c>
      <c r="BX55" s="160"/>
      <c r="BY55" s="31">
        <f>SUM(D55:G55)</f>
        <v>0</v>
      </c>
      <c r="BZ55" s="31">
        <f>SUM(H55:K55)</f>
        <v>0</v>
      </c>
      <c r="CA55" s="31">
        <f>SUM(L55:O55)</f>
        <v>0</v>
      </c>
      <c r="CB55" s="31">
        <f>SUM(P55:S55)</f>
        <v>0</v>
      </c>
      <c r="CC55" s="31">
        <f>SUM(T55:W55)</f>
        <v>0</v>
      </c>
      <c r="CD55" s="31">
        <f>SUM(X55:AA55)</f>
        <v>0</v>
      </c>
      <c r="CE55" s="31">
        <f>SUM(AB55:AE55)</f>
        <v>0</v>
      </c>
      <c r="CF55" s="31">
        <f>SUM(AF55:AI55)</f>
        <v>0</v>
      </c>
      <c r="CG55" s="31">
        <f>SUM(AJ55:AM55)</f>
        <v>0</v>
      </c>
      <c r="CH55" s="31">
        <f>SUM(AN55:AQ55)</f>
        <v>-5.3810000000000002</v>
      </c>
      <c r="CI55" s="31">
        <f>SUM(AR55:AU55)</f>
        <v>0</v>
      </c>
      <c r="CJ55" s="31">
        <f>SUM(AV55:AY55)</f>
        <v>0</v>
      </c>
      <c r="CK55" s="31">
        <f>SUM(AZ55:BC55)</f>
        <v>0</v>
      </c>
      <c r="CL55" s="31">
        <f>SUM(BD55:BG55)</f>
        <v>0</v>
      </c>
      <c r="CM55" s="31">
        <f>SUM(BH55:BK55)</f>
        <v>0</v>
      </c>
      <c r="CN55" s="31">
        <f>SUM(BL55:BO55)</f>
        <v>0</v>
      </c>
      <c r="CO55" s="31">
        <f>SUM(BP55:BS55)</f>
        <v>0</v>
      </c>
      <c r="CP55" s="32">
        <f t="shared" si="163"/>
        <v>0</v>
      </c>
      <c r="CQ55" s="160"/>
      <c r="CR55" s="33">
        <f>SUM(G55:J55)</f>
        <v>0</v>
      </c>
      <c r="CS55" s="31">
        <f>SUM(K55:N55)</f>
        <v>0</v>
      </c>
      <c r="CT55" s="31">
        <f>SUM(O55:R55)</f>
        <v>0</v>
      </c>
      <c r="CU55" s="31">
        <f>SUM(S55:V55)</f>
        <v>0</v>
      </c>
      <c r="CV55" s="31">
        <f>SUM(W55:Z55)</f>
        <v>0</v>
      </c>
      <c r="CW55" s="31">
        <f>SUM(AA55:AD55)</f>
        <v>0</v>
      </c>
      <c r="CX55" s="31">
        <f>SUM(AE55:AH55)</f>
        <v>0</v>
      </c>
      <c r="CY55" s="31">
        <f>SUM(AI55:AL55)</f>
        <v>0</v>
      </c>
      <c r="CZ55" s="31">
        <f>SUM(AM55:AP55)</f>
        <v>0</v>
      </c>
      <c r="DA55" s="32">
        <f>SUM(AQ55:AT55)</f>
        <v>-5.3810000000000002</v>
      </c>
      <c r="DB55" s="31">
        <f>SUM(AU55:AX55)</f>
        <v>0</v>
      </c>
      <c r="DC55" s="33">
        <f>SUM(AY55:BB55)</f>
        <v>0</v>
      </c>
      <c r="DD55" s="31">
        <f>SUM(BC55:BF55)</f>
        <v>0</v>
      </c>
      <c r="DE55" s="31">
        <f>SUM(BG55:BJ55)</f>
        <v>0</v>
      </c>
      <c r="DF55" s="31">
        <f>SUM(BK55:BN55)</f>
        <v>0</v>
      </c>
      <c r="DG55" s="31">
        <f>SUM(BO55:BR55)</f>
        <v>0</v>
      </c>
      <c r="DH55" s="31">
        <f t="shared" si="164"/>
        <v>0</v>
      </c>
      <c r="DI55" s="23"/>
    </row>
    <row r="56" spans="1:113" ht="14.25" customHeight="1" collapsed="1">
      <c r="A56" s="8"/>
      <c r="B56" s="612"/>
      <c r="C56" s="24"/>
      <c r="D56" s="38"/>
      <c r="E56" s="38"/>
      <c r="F56" s="38"/>
      <c r="G56" s="39"/>
      <c r="H56" s="38"/>
      <c r="I56" s="38"/>
      <c r="J56" s="38"/>
      <c r="K56" s="39"/>
      <c r="L56" s="38"/>
      <c r="M56" s="38"/>
      <c r="N56" s="38"/>
      <c r="O56" s="39"/>
      <c r="P56" s="38"/>
      <c r="Q56" s="38"/>
      <c r="R56" s="38"/>
      <c r="S56" s="39"/>
      <c r="T56" s="38"/>
      <c r="U56" s="38"/>
      <c r="V56" s="38"/>
      <c r="W56" s="39"/>
      <c r="X56" s="38"/>
      <c r="Y56" s="38"/>
      <c r="Z56" s="38"/>
      <c r="AA56" s="39"/>
      <c r="AB56" s="38"/>
      <c r="AC56" s="38"/>
      <c r="AD56" s="38"/>
      <c r="AE56" s="39"/>
      <c r="AF56" s="38"/>
      <c r="AG56" s="38"/>
      <c r="AH56" s="38"/>
      <c r="AI56" s="39"/>
      <c r="AJ56" s="40"/>
      <c r="AK56" s="38"/>
      <c r="AL56" s="38"/>
      <c r="AM56" s="39"/>
      <c r="AN56" s="40"/>
      <c r="AO56" s="38"/>
      <c r="AP56" s="38"/>
      <c r="AQ56" s="39"/>
      <c r="AR56" s="40"/>
      <c r="AS56" s="38"/>
      <c r="AT56" s="38"/>
      <c r="AU56" s="39"/>
      <c r="AV56" s="40"/>
      <c r="AW56" s="38"/>
      <c r="AX56" s="38"/>
      <c r="AY56" s="39"/>
      <c r="AZ56" s="40"/>
      <c r="BA56" s="38"/>
      <c r="BB56" s="38"/>
      <c r="BC56" s="38"/>
      <c r="BD56" s="40"/>
      <c r="BE56" s="38"/>
      <c r="BF56" s="38"/>
      <c r="BG56" s="39"/>
      <c r="BH56" s="38"/>
      <c r="BI56" s="38"/>
      <c r="BJ56" s="38"/>
      <c r="BK56" s="38"/>
      <c r="BL56" s="40"/>
      <c r="BM56" s="38"/>
      <c r="BN56" s="38"/>
      <c r="BO56" s="39"/>
      <c r="BP56" s="40"/>
      <c r="BQ56" s="38"/>
      <c r="BR56" s="38"/>
      <c r="BS56" s="39"/>
      <c r="BT56" s="40"/>
      <c r="BU56" s="38"/>
      <c r="BV56" s="38"/>
      <c r="BW56" s="39"/>
      <c r="BX56" s="20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9"/>
      <c r="CQ56" s="20"/>
      <c r="CR56" s="355"/>
      <c r="CS56" s="354"/>
      <c r="CT56" s="354"/>
      <c r="CU56" s="354"/>
      <c r="CV56" s="354"/>
      <c r="CW56" s="354"/>
      <c r="CX56" s="354"/>
      <c r="CY56" s="354"/>
      <c r="CZ56" s="354"/>
      <c r="DA56" s="782"/>
      <c r="DB56" s="354"/>
      <c r="DC56" s="355"/>
      <c r="DD56" s="354"/>
      <c r="DE56" s="354"/>
      <c r="DF56" s="354"/>
      <c r="DG56" s="354"/>
      <c r="DH56" s="354"/>
      <c r="DI56" s="22"/>
    </row>
    <row r="57" spans="1:113" ht="14.25" customHeight="1">
      <c r="A57" s="758"/>
      <c r="B57" s="759" t="s">
        <v>19</v>
      </c>
      <c r="C57" s="760"/>
      <c r="D57" s="761">
        <f t="shared" ref="D57:AI57" si="165">D26+D38+D51</f>
        <v>52.801000000000002</v>
      </c>
      <c r="E57" s="761">
        <f t="shared" si="165"/>
        <v>86.963999999999999</v>
      </c>
      <c r="F57" s="761">
        <f t="shared" si="165"/>
        <v>44.753</v>
      </c>
      <c r="G57" s="762">
        <f t="shared" si="165"/>
        <v>43.6</v>
      </c>
      <c r="H57" s="761">
        <f t="shared" si="165"/>
        <v>45.009</v>
      </c>
      <c r="I57" s="761">
        <f t="shared" si="165"/>
        <v>43.6</v>
      </c>
      <c r="J57" s="761">
        <f t="shared" si="165"/>
        <v>43.167000000000002</v>
      </c>
      <c r="K57" s="762">
        <f t="shared" si="165"/>
        <v>46.889000000000003</v>
      </c>
      <c r="L57" s="761">
        <f t="shared" si="165"/>
        <v>71.60499999999999</v>
      </c>
      <c r="M57" s="761">
        <f t="shared" si="165"/>
        <v>51.326000000000001</v>
      </c>
      <c r="N57" s="761">
        <f t="shared" si="165"/>
        <v>51.165999999999997</v>
      </c>
      <c r="O57" s="762">
        <f t="shared" si="165"/>
        <v>51.231000000000023</v>
      </c>
      <c r="P57" s="761">
        <f t="shared" si="165"/>
        <v>54.475999999999999</v>
      </c>
      <c r="Q57" s="761">
        <f t="shared" si="165"/>
        <v>55.260999999999996</v>
      </c>
      <c r="R57" s="761">
        <f t="shared" si="165"/>
        <v>55.682000000000002</v>
      </c>
      <c r="S57" s="762">
        <f t="shared" si="165"/>
        <v>59.093999999999994</v>
      </c>
      <c r="T57" s="761">
        <f t="shared" si="165"/>
        <v>68.802999999999997</v>
      </c>
      <c r="U57" s="761">
        <f t="shared" si="165"/>
        <v>70.602000000000004</v>
      </c>
      <c r="V57" s="761">
        <f t="shared" si="165"/>
        <v>68.228000000000009</v>
      </c>
      <c r="W57" s="762">
        <f t="shared" si="165"/>
        <v>69.311999999999998</v>
      </c>
      <c r="X57" s="761">
        <f t="shared" si="165"/>
        <v>73.525999999999996</v>
      </c>
      <c r="Y57" s="761">
        <f t="shared" si="165"/>
        <v>99.038000000000011</v>
      </c>
      <c r="Z57" s="761">
        <f t="shared" si="165"/>
        <v>73.807000000000002</v>
      </c>
      <c r="AA57" s="762">
        <f t="shared" si="165"/>
        <v>76.902000000000001</v>
      </c>
      <c r="AB57" s="761">
        <f t="shared" si="165"/>
        <v>76.965000000000003</v>
      </c>
      <c r="AC57" s="761">
        <f t="shared" si="165"/>
        <v>76.971999999999994</v>
      </c>
      <c r="AD57" s="761">
        <f t="shared" si="165"/>
        <v>64.313000000000002</v>
      </c>
      <c r="AE57" s="762">
        <f t="shared" si="165"/>
        <v>64.926000000000002</v>
      </c>
      <c r="AF57" s="761">
        <f t="shared" si="165"/>
        <v>65.257000000000005</v>
      </c>
      <c r="AG57" s="761">
        <f t="shared" si="165"/>
        <v>70.614000000000004</v>
      </c>
      <c r="AH57" s="761">
        <f t="shared" si="165"/>
        <v>73.427999999999997</v>
      </c>
      <c r="AI57" s="762">
        <f t="shared" si="165"/>
        <v>79.984000000000009</v>
      </c>
      <c r="AJ57" s="763">
        <f t="shared" ref="AJ57:BS57" si="166">AJ26+AJ38+AJ51</f>
        <v>98.216999999999999</v>
      </c>
      <c r="AK57" s="761">
        <f t="shared" si="166"/>
        <v>101.86200000000001</v>
      </c>
      <c r="AL57" s="761">
        <f t="shared" si="166"/>
        <v>98.944000000000003</v>
      </c>
      <c r="AM57" s="762">
        <f t="shared" si="166"/>
        <v>101.22999999999999</v>
      </c>
      <c r="AN57" s="763">
        <f t="shared" si="166"/>
        <v>102.88800000000001</v>
      </c>
      <c r="AO57" s="761">
        <f t="shared" si="166"/>
        <v>99.082999999999998</v>
      </c>
      <c r="AP57" s="761">
        <f t="shared" si="166"/>
        <v>97.361000000000004</v>
      </c>
      <c r="AQ57" s="762">
        <f t="shared" si="166"/>
        <v>96.545999999999964</v>
      </c>
      <c r="AR57" s="763">
        <f t="shared" si="166"/>
        <v>106.74600000000001</v>
      </c>
      <c r="AS57" s="761">
        <f t="shared" si="166"/>
        <v>186.101</v>
      </c>
      <c r="AT57" s="761">
        <f t="shared" si="166"/>
        <v>183.01499999999999</v>
      </c>
      <c r="AU57" s="762">
        <f t="shared" si="166"/>
        <v>184.04400000000004</v>
      </c>
      <c r="AV57" s="763">
        <f t="shared" si="166"/>
        <v>168.173</v>
      </c>
      <c r="AW57" s="761">
        <f t="shared" si="166"/>
        <v>171.35500000000002</v>
      </c>
      <c r="AX57" s="550">
        <f t="shared" si="166"/>
        <v>165.80199999999999</v>
      </c>
      <c r="AY57" s="762">
        <f t="shared" si="166"/>
        <v>164.54900000000006</v>
      </c>
      <c r="AZ57" s="763">
        <f t="shared" si="166"/>
        <v>190.57300000000001</v>
      </c>
      <c r="BA57" s="550">
        <f t="shared" si="166"/>
        <v>206.136</v>
      </c>
      <c r="BB57" s="550">
        <f t="shared" si="166"/>
        <v>203.95000000000002</v>
      </c>
      <c r="BC57" s="761">
        <f t="shared" si="166"/>
        <v>203.285</v>
      </c>
      <c r="BD57" s="763">
        <f t="shared" si="166"/>
        <v>187.69800000000001</v>
      </c>
      <c r="BE57" s="550">
        <f t="shared" si="166"/>
        <v>226.00200000000001</v>
      </c>
      <c r="BF57" s="550">
        <f t="shared" si="166"/>
        <v>216.58600000000001</v>
      </c>
      <c r="BG57" s="762">
        <f t="shared" si="166"/>
        <v>222.83300000000003</v>
      </c>
      <c r="BH57" s="761">
        <f>BH26+BH38+BH51</f>
        <v>407.59400000000005</v>
      </c>
      <c r="BI57" s="550">
        <f t="shared" ref="BI57:BK57" si="167">BI26+BI38+BI51</f>
        <v>347.86099999999999</v>
      </c>
      <c r="BJ57" s="550">
        <f t="shared" si="167"/>
        <v>347.185</v>
      </c>
      <c r="BK57" s="761">
        <f t="shared" si="167"/>
        <v>378.73899999999998</v>
      </c>
      <c r="BL57" s="763">
        <f>BL26+BL38+BL51</f>
        <v>362.84100000000001</v>
      </c>
      <c r="BM57" s="550">
        <f t="shared" ref="BM57:BN57" si="168">BM26+BM38+BM51</f>
        <v>388.69500000000005</v>
      </c>
      <c r="BN57" s="550">
        <f t="shared" si="168"/>
        <v>361.81299999999999</v>
      </c>
      <c r="BO57" s="762">
        <f t="shared" si="166"/>
        <v>238.92264723843431</v>
      </c>
      <c r="BP57" s="763">
        <f t="shared" si="166"/>
        <v>245.86128127127179</v>
      </c>
      <c r="BQ57" s="761">
        <f t="shared" si="166"/>
        <v>250.5191587049801</v>
      </c>
      <c r="BR57" s="761">
        <f t="shared" si="166"/>
        <v>246.66096210226141</v>
      </c>
      <c r="BS57" s="762">
        <f t="shared" si="166"/>
        <v>244.53068337142622</v>
      </c>
      <c r="BT57" s="763">
        <f t="shared" ref="BT57:BW57" si="169">BT26+BT38+BT51</f>
        <v>251.14049737846722</v>
      </c>
      <c r="BU57" s="761">
        <f t="shared" si="169"/>
        <v>255.50675336006105</v>
      </c>
      <c r="BV57" s="761">
        <f t="shared" si="169"/>
        <v>253.42235389844086</v>
      </c>
      <c r="BW57" s="762">
        <f t="shared" si="169"/>
        <v>251.87458139900352</v>
      </c>
      <c r="BX57" s="764"/>
      <c r="BY57" s="761">
        <f t="shared" ref="BY57:CO57" si="170">BY26+BY38+BY51</f>
        <v>228.11799999999999</v>
      </c>
      <c r="BZ57" s="761">
        <f t="shared" si="170"/>
        <v>178.66500000000002</v>
      </c>
      <c r="CA57" s="761">
        <f t="shared" si="170"/>
        <v>225.328</v>
      </c>
      <c r="CB57" s="761">
        <f t="shared" si="170"/>
        <v>224.51299999999998</v>
      </c>
      <c r="CC57" s="761">
        <f t="shared" si="170"/>
        <v>276.94500000000005</v>
      </c>
      <c r="CD57" s="761">
        <f t="shared" si="170"/>
        <v>323.27299999999997</v>
      </c>
      <c r="CE57" s="761">
        <f t="shared" si="170"/>
        <v>283.17600000000004</v>
      </c>
      <c r="CF57" s="761">
        <f t="shared" si="170"/>
        <v>289.28300000000002</v>
      </c>
      <c r="CG57" s="761">
        <f t="shared" si="170"/>
        <v>400.25300000000004</v>
      </c>
      <c r="CH57" s="761">
        <f t="shared" si="170"/>
        <v>395.87799999999993</v>
      </c>
      <c r="CI57" s="761">
        <f t="shared" si="170"/>
        <v>659.90599999999995</v>
      </c>
      <c r="CJ57" s="761">
        <f t="shared" si="170"/>
        <v>669.87900000000002</v>
      </c>
      <c r="CK57" s="761">
        <f t="shared" si="170"/>
        <v>803.94399999999996</v>
      </c>
      <c r="CL57" s="761">
        <f t="shared" si="170"/>
        <v>853.11900000000014</v>
      </c>
      <c r="CM57" s="761">
        <f t="shared" si="170"/>
        <v>1481.3790000000001</v>
      </c>
      <c r="CN57" s="761">
        <f t="shared" si="170"/>
        <v>1352.2716472384343</v>
      </c>
      <c r="CO57" s="761">
        <f t="shared" si="170"/>
        <v>987.57208544993955</v>
      </c>
      <c r="CP57" s="762">
        <f t="shared" ref="CP57" si="171">CP26+CP38+CP51</f>
        <v>1011.9441860359727</v>
      </c>
      <c r="CQ57" s="764"/>
      <c r="CR57" s="763">
        <f t="shared" ref="CR57:DG57" si="172">CR26+CR38+CR51</f>
        <v>175.37600000000003</v>
      </c>
      <c r="CS57" s="761">
        <f t="shared" si="172"/>
        <v>220.98599999999999</v>
      </c>
      <c r="CT57" s="761">
        <f t="shared" si="172"/>
        <v>216.65</v>
      </c>
      <c r="CU57" s="761">
        <f t="shared" si="172"/>
        <v>266.72699999999998</v>
      </c>
      <c r="CV57" s="761">
        <f t="shared" si="172"/>
        <v>315.68299999999999</v>
      </c>
      <c r="CW57" s="761">
        <f t="shared" si="172"/>
        <v>295.15199999999999</v>
      </c>
      <c r="CX57" s="761">
        <f t="shared" si="172"/>
        <v>274.22500000000002</v>
      </c>
      <c r="CY57" s="761">
        <f t="shared" si="172"/>
        <v>379.00699999999995</v>
      </c>
      <c r="CZ57" s="761">
        <f t="shared" si="172"/>
        <v>400.56200000000001</v>
      </c>
      <c r="DA57" s="762">
        <f t="shared" si="172"/>
        <v>572.40800000000002</v>
      </c>
      <c r="DB57" s="761">
        <f t="shared" si="172"/>
        <v>689.37400000000002</v>
      </c>
      <c r="DC57" s="763">
        <f t="shared" si="172"/>
        <v>765.20800000000008</v>
      </c>
      <c r="DD57" s="761">
        <f t="shared" si="172"/>
        <v>833.57099999999991</v>
      </c>
      <c r="DE57" s="761">
        <f t="shared" si="172"/>
        <v>1325.473</v>
      </c>
      <c r="DF57" s="761">
        <f t="shared" si="172"/>
        <v>1492.0879999999997</v>
      </c>
      <c r="DG57" s="761">
        <f t="shared" si="172"/>
        <v>981.96404931694747</v>
      </c>
      <c r="DH57" s="761">
        <f t="shared" ref="DH57" si="173">DH26+DH38+DH51</f>
        <v>1004.6002880083952</v>
      </c>
      <c r="DI57" s="765"/>
    </row>
    <row r="58" spans="1:113" ht="14.25" hidden="1" customHeight="1" outlineLevel="1">
      <c r="A58" s="8"/>
      <c r="B58" s="612" t="s">
        <v>6</v>
      </c>
      <c r="C58" s="24"/>
      <c r="D58" s="31">
        <f t="shared" ref="D58:AI58" si="174">D35+D48+D55</f>
        <v>43.500999999999998</v>
      </c>
      <c r="E58" s="31">
        <f t="shared" si="174"/>
        <v>45.463999999999999</v>
      </c>
      <c r="F58" s="31">
        <f t="shared" si="174"/>
        <v>44.753</v>
      </c>
      <c r="G58" s="32">
        <f t="shared" si="174"/>
        <v>43.6</v>
      </c>
      <c r="H58" s="31">
        <f t="shared" si="174"/>
        <v>43.396999999999998</v>
      </c>
      <c r="I58" s="31">
        <f t="shared" si="174"/>
        <v>43.6</v>
      </c>
      <c r="J58" s="31">
        <f t="shared" si="174"/>
        <v>43.914000000000001</v>
      </c>
      <c r="K58" s="32">
        <f t="shared" si="174"/>
        <v>46.889000000000003</v>
      </c>
      <c r="L58" s="31">
        <f t="shared" si="174"/>
        <v>50.504999999999995</v>
      </c>
      <c r="M58" s="31">
        <f t="shared" si="174"/>
        <v>51.326000000000001</v>
      </c>
      <c r="N58" s="31">
        <f t="shared" si="174"/>
        <v>51.165999999999997</v>
      </c>
      <c r="O58" s="32">
        <f t="shared" si="174"/>
        <v>51.231000000000023</v>
      </c>
      <c r="P58" s="31">
        <f t="shared" si="174"/>
        <v>54.475999999999999</v>
      </c>
      <c r="Q58" s="31">
        <f t="shared" si="174"/>
        <v>55.260999999999996</v>
      </c>
      <c r="R58" s="31">
        <f t="shared" si="174"/>
        <v>55.682000000000002</v>
      </c>
      <c r="S58" s="32">
        <f t="shared" si="174"/>
        <v>59.093999999999994</v>
      </c>
      <c r="T58" s="31">
        <f t="shared" si="174"/>
        <v>68.802999999999997</v>
      </c>
      <c r="U58" s="31">
        <f t="shared" si="174"/>
        <v>70.602000000000004</v>
      </c>
      <c r="V58" s="31">
        <f t="shared" si="174"/>
        <v>68.228000000000009</v>
      </c>
      <c r="W58" s="32">
        <f t="shared" si="174"/>
        <v>69.311999999999998</v>
      </c>
      <c r="X58" s="31">
        <f t="shared" si="174"/>
        <v>73.525999999999996</v>
      </c>
      <c r="Y58" s="31">
        <f t="shared" si="174"/>
        <v>72.275000000000006</v>
      </c>
      <c r="Z58" s="31">
        <f t="shared" si="174"/>
        <v>73.807000000000002</v>
      </c>
      <c r="AA58" s="32">
        <f t="shared" si="174"/>
        <v>76.902000000000001</v>
      </c>
      <c r="AB58" s="31">
        <f t="shared" si="174"/>
        <v>76.965000000000003</v>
      </c>
      <c r="AC58" s="31">
        <f t="shared" si="174"/>
        <v>76.971999999999994</v>
      </c>
      <c r="AD58" s="31">
        <f t="shared" si="174"/>
        <v>63.685000000000002</v>
      </c>
      <c r="AE58" s="32">
        <f t="shared" si="174"/>
        <v>58.835000000000001</v>
      </c>
      <c r="AF58" s="31">
        <f t="shared" si="174"/>
        <v>63.710999999999999</v>
      </c>
      <c r="AG58" s="31">
        <f t="shared" si="174"/>
        <v>70.358999999999995</v>
      </c>
      <c r="AH58" s="31">
        <f t="shared" si="174"/>
        <v>73.131</v>
      </c>
      <c r="AI58" s="32">
        <f t="shared" si="174"/>
        <v>78.978000000000009</v>
      </c>
      <c r="AJ58" s="33">
        <f t="shared" ref="AJ58:BS58" si="175">AJ35+AJ48+AJ55</f>
        <v>95.082000000000008</v>
      </c>
      <c r="AK58" s="31">
        <f t="shared" si="175"/>
        <v>99.093000000000004</v>
      </c>
      <c r="AL58" s="31">
        <f t="shared" si="175"/>
        <v>96.437000000000012</v>
      </c>
      <c r="AM58" s="32">
        <f t="shared" si="175"/>
        <v>99.182999999999993</v>
      </c>
      <c r="AN58" s="33">
        <f t="shared" si="175"/>
        <v>101.33800000000001</v>
      </c>
      <c r="AO58" s="31">
        <f t="shared" si="175"/>
        <v>96.236999999999995</v>
      </c>
      <c r="AP58" s="31">
        <f t="shared" si="175"/>
        <v>95.102000000000004</v>
      </c>
      <c r="AQ58" s="32">
        <f t="shared" si="175"/>
        <v>94.065999999999974</v>
      </c>
      <c r="AR58" s="33">
        <f t="shared" si="175"/>
        <v>101.23099999999999</v>
      </c>
      <c r="AS58" s="31">
        <f t="shared" si="175"/>
        <v>134</v>
      </c>
      <c r="AT58" s="31">
        <f t="shared" si="175"/>
        <v>139.70999999999998</v>
      </c>
      <c r="AU58" s="32">
        <f t="shared" si="175"/>
        <v>131.60600000000002</v>
      </c>
      <c r="AV58" s="33">
        <f t="shared" si="175"/>
        <v>137.90699999999998</v>
      </c>
      <c r="AW58" s="31">
        <f t="shared" si="175"/>
        <v>147.239</v>
      </c>
      <c r="AX58" s="31">
        <f t="shared" si="175"/>
        <v>142.69399999999999</v>
      </c>
      <c r="AY58" s="32">
        <f t="shared" si="175"/>
        <v>141.82700000000006</v>
      </c>
      <c r="AZ58" s="33">
        <f t="shared" si="175"/>
        <v>152.68899999999999</v>
      </c>
      <c r="BA58" s="31">
        <f t="shared" si="175"/>
        <v>158.12700000000001</v>
      </c>
      <c r="BB58" s="31">
        <f t="shared" si="175"/>
        <v>154.84200000000001</v>
      </c>
      <c r="BC58" s="31">
        <f t="shared" si="175"/>
        <v>154.69900000000001</v>
      </c>
      <c r="BD58" s="33">
        <f t="shared" si="175"/>
        <v>149.35500000000002</v>
      </c>
      <c r="BE58" s="31">
        <f t="shared" si="175"/>
        <v>174.45099999999999</v>
      </c>
      <c r="BF58" s="31">
        <f t="shared" si="175"/>
        <v>171.83100000000002</v>
      </c>
      <c r="BG58" s="32">
        <f t="shared" si="175"/>
        <v>168.89100000000002</v>
      </c>
      <c r="BH58" s="31">
        <f>BH35+BH48+BH55</f>
        <v>291.64300000000003</v>
      </c>
      <c r="BI58" s="31">
        <f t="shared" ref="BI58:BK58" si="176">BI35+BI48+BI55</f>
        <v>253.86899999999997</v>
      </c>
      <c r="BJ58" s="31">
        <f t="shared" si="176"/>
        <v>239.28299999999996</v>
      </c>
      <c r="BK58" s="31">
        <f t="shared" si="176"/>
        <v>232.37</v>
      </c>
      <c r="BL58" s="33">
        <f>BL35+BL48+BL55</f>
        <v>241.892</v>
      </c>
      <c r="BM58" s="31">
        <f t="shared" ref="BM58:BN58" si="177">BM35+BM48+BM55</f>
        <v>247.19300000000001</v>
      </c>
      <c r="BN58" s="31">
        <f t="shared" si="177"/>
        <v>239.393</v>
      </c>
      <c r="BO58" s="32">
        <f t="shared" si="175"/>
        <v>238.92264723843431</v>
      </c>
      <c r="BP58" s="33">
        <f t="shared" si="175"/>
        <v>245.86128127127179</v>
      </c>
      <c r="BQ58" s="31">
        <f t="shared" si="175"/>
        <v>250.5191587049801</v>
      </c>
      <c r="BR58" s="31">
        <f t="shared" si="175"/>
        <v>246.66096210226141</v>
      </c>
      <c r="BS58" s="32">
        <f t="shared" si="175"/>
        <v>244.53068337142622</v>
      </c>
      <c r="BT58" s="33">
        <f t="shared" ref="BT58:BW58" si="178">BT35+BT48+BT55</f>
        <v>251.14049737846722</v>
      </c>
      <c r="BU58" s="31">
        <f t="shared" si="178"/>
        <v>255.50675336006105</v>
      </c>
      <c r="BV58" s="31">
        <f t="shared" si="178"/>
        <v>253.42235389844086</v>
      </c>
      <c r="BW58" s="32">
        <f t="shared" si="178"/>
        <v>251.87458139900352</v>
      </c>
      <c r="BX58" s="20"/>
      <c r="BY58" s="31">
        <f t="shared" ref="BY58:CO58" si="179">BY35+BY48+BY55</f>
        <v>177.31799999999998</v>
      </c>
      <c r="BZ58" s="31">
        <f t="shared" si="179"/>
        <v>177.8</v>
      </c>
      <c r="CA58" s="31">
        <f t="shared" si="179"/>
        <v>204.22800000000001</v>
      </c>
      <c r="CB58" s="31">
        <f t="shared" si="179"/>
        <v>224.51299999999998</v>
      </c>
      <c r="CC58" s="31">
        <f t="shared" si="179"/>
        <v>276.94500000000005</v>
      </c>
      <c r="CD58" s="31">
        <f t="shared" si="179"/>
        <v>296.51</v>
      </c>
      <c r="CE58" s="31">
        <f t="shared" si="179"/>
        <v>276.45699999999999</v>
      </c>
      <c r="CF58" s="31">
        <f t="shared" si="179"/>
        <v>286.17899999999997</v>
      </c>
      <c r="CG58" s="31">
        <f t="shared" si="179"/>
        <v>389.79500000000002</v>
      </c>
      <c r="CH58" s="31">
        <f t="shared" si="179"/>
        <v>386.74299999999994</v>
      </c>
      <c r="CI58" s="31">
        <f t="shared" si="179"/>
        <v>506.54700000000003</v>
      </c>
      <c r="CJ58" s="31">
        <f t="shared" si="179"/>
        <v>569.66700000000003</v>
      </c>
      <c r="CK58" s="31">
        <f t="shared" si="179"/>
        <v>620.35699999999997</v>
      </c>
      <c r="CL58" s="31">
        <f t="shared" si="179"/>
        <v>664.52800000000002</v>
      </c>
      <c r="CM58" s="31">
        <f t="shared" si="179"/>
        <v>1017.1650000000001</v>
      </c>
      <c r="CN58" s="31">
        <f t="shared" si="179"/>
        <v>967.4006472384342</v>
      </c>
      <c r="CO58" s="31">
        <f t="shared" si="179"/>
        <v>987.57208544993955</v>
      </c>
      <c r="CP58" s="32">
        <f t="shared" ref="CP58" si="180">CP35+CP48+CP55</f>
        <v>1011.9441860359727</v>
      </c>
      <c r="CQ58" s="20"/>
      <c r="CR58" s="33">
        <f t="shared" ref="CR58:DG58" si="181">CR35+CR48+CR55</f>
        <v>174.51100000000002</v>
      </c>
      <c r="CS58" s="31">
        <f t="shared" si="181"/>
        <v>199.886</v>
      </c>
      <c r="CT58" s="31">
        <f t="shared" si="181"/>
        <v>216.65</v>
      </c>
      <c r="CU58" s="31">
        <f t="shared" si="181"/>
        <v>266.72699999999998</v>
      </c>
      <c r="CV58" s="31">
        <f t="shared" si="181"/>
        <v>288.92</v>
      </c>
      <c r="CW58" s="31">
        <f t="shared" si="181"/>
        <v>294.524</v>
      </c>
      <c r="CX58" s="31">
        <f t="shared" si="181"/>
        <v>266.036</v>
      </c>
      <c r="CY58" s="31">
        <f t="shared" si="181"/>
        <v>369.59000000000003</v>
      </c>
      <c r="CZ58" s="31">
        <f t="shared" si="181"/>
        <v>391.86</v>
      </c>
      <c r="DA58" s="32">
        <f t="shared" si="181"/>
        <v>469.00699999999995</v>
      </c>
      <c r="DB58" s="31">
        <f t="shared" si="181"/>
        <v>559.44600000000003</v>
      </c>
      <c r="DC58" s="33">
        <f t="shared" si="181"/>
        <v>607.48500000000013</v>
      </c>
      <c r="DD58" s="31">
        <f t="shared" si="181"/>
        <v>650.33600000000001</v>
      </c>
      <c r="DE58" s="31">
        <f t="shared" si="181"/>
        <v>953.68600000000004</v>
      </c>
      <c r="DF58" s="31">
        <f t="shared" si="181"/>
        <v>960.84799999999996</v>
      </c>
      <c r="DG58" s="31">
        <f t="shared" si="181"/>
        <v>981.96404931694747</v>
      </c>
      <c r="DH58" s="31">
        <f t="shared" ref="DH58" si="182">DH35+DH48+DH55</f>
        <v>1004.6002880083952</v>
      </c>
      <c r="DI58" s="22"/>
    </row>
    <row r="59" spans="1:113" ht="14.25" hidden="1" customHeight="1" outlineLevel="1">
      <c r="A59" s="8"/>
      <c r="B59" s="615"/>
      <c r="C59" s="50"/>
      <c r="D59" s="52"/>
      <c r="E59" s="52"/>
      <c r="F59" s="38"/>
      <c r="G59" s="53"/>
      <c r="H59" s="52"/>
      <c r="I59" s="52"/>
      <c r="J59" s="38"/>
      <c r="K59" s="53"/>
      <c r="L59" s="52"/>
      <c r="M59" s="52"/>
      <c r="N59" s="38"/>
      <c r="O59" s="53"/>
      <c r="P59" s="52"/>
      <c r="Q59" s="52"/>
      <c r="R59" s="38"/>
      <c r="S59" s="53"/>
      <c r="T59" s="52"/>
      <c r="U59" s="52"/>
      <c r="V59" s="38"/>
      <c r="W59" s="53"/>
      <c r="X59" s="52"/>
      <c r="Y59" s="52"/>
      <c r="Z59" s="38"/>
      <c r="AA59" s="53"/>
      <c r="AB59" s="52"/>
      <c r="AC59" s="52"/>
      <c r="AD59" s="38"/>
      <c r="AE59" s="53"/>
      <c r="AF59" s="52"/>
      <c r="AG59" s="52"/>
      <c r="AH59" s="38"/>
      <c r="AI59" s="53"/>
      <c r="AJ59" s="583"/>
      <c r="AK59" s="52"/>
      <c r="AL59" s="38"/>
      <c r="AM59" s="53"/>
      <c r="AN59" s="583"/>
      <c r="AO59" s="52"/>
      <c r="AP59" s="38"/>
      <c r="AQ59" s="39"/>
      <c r="AR59" s="40"/>
      <c r="AS59" s="38"/>
      <c r="AT59" s="52"/>
      <c r="AU59" s="39"/>
      <c r="AV59" s="40"/>
      <c r="AW59" s="38"/>
      <c r="AX59" s="52"/>
      <c r="AY59" s="39"/>
      <c r="AZ59" s="40"/>
      <c r="BA59" s="52"/>
      <c r="BB59" s="52"/>
      <c r="BC59" s="38"/>
      <c r="BD59" s="40"/>
      <c r="BE59" s="1266"/>
      <c r="BF59" s="52"/>
      <c r="BG59" s="39"/>
      <c r="BH59" s="38"/>
      <c r="BI59" s="1266"/>
      <c r="BJ59" s="52"/>
      <c r="BK59" s="38"/>
      <c r="BL59" s="40"/>
      <c r="BM59" s="1266"/>
      <c r="BN59" s="1529"/>
      <c r="BO59" s="1265"/>
      <c r="BP59" s="1261"/>
      <c r="BQ59" s="1266"/>
      <c r="BR59" s="1266"/>
      <c r="BS59" s="1265"/>
      <c r="BT59" s="1261"/>
      <c r="BU59" s="1266"/>
      <c r="BV59" s="1266"/>
      <c r="BW59" s="1265"/>
      <c r="BX59" s="20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2"/>
      <c r="CQ59" s="20"/>
      <c r="CR59" s="95"/>
      <c r="CS59" s="96"/>
      <c r="CT59" s="96"/>
      <c r="CU59" s="96"/>
      <c r="CV59" s="96"/>
      <c r="CW59" s="96"/>
      <c r="CX59" s="96"/>
      <c r="CY59" s="96"/>
      <c r="CZ59" s="96"/>
      <c r="DA59" s="97"/>
      <c r="DB59" s="96"/>
      <c r="DC59" s="95"/>
      <c r="DD59" s="1357"/>
      <c r="DE59" s="96"/>
      <c r="DF59" s="96"/>
      <c r="DG59" s="96"/>
      <c r="DH59" s="96"/>
      <c r="DI59" s="22"/>
    </row>
    <row r="60" spans="1:113" ht="14.25" customHeight="1" collapsed="1">
      <c r="A60" s="8"/>
      <c r="B60" s="613" t="s">
        <v>110</v>
      </c>
      <c r="C60" s="45"/>
      <c r="D60" s="47">
        <f t="shared" ref="D60:AI60" si="183">D20-D57</f>
        <v>29.566000000000003</v>
      </c>
      <c r="E60" s="47">
        <f t="shared" si="183"/>
        <v>3.3359999999999985</v>
      </c>
      <c r="F60" s="47">
        <f t="shared" si="183"/>
        <v>48.140999999999991</v>
      </c>
      <c r="G60" s="48">
        <f t="shared" si="183"/>
        <v>43.074000000000048</v>
      </c>
      <c r="H60" s="47">
        <f t="shared" si="183"/>
        <v>10.511999999999986</v>
      </c>
      <c r="I60" s="47">
        <f t="shared" si="183"/>
        <v>47.593999999999987</v>
      </c>
      <c r="J60" s="47">
        <f t="shared" si="183"/>
        <v>53.852000000000018</v>
      </c>
      <c r="K60" s="48">
        <f t="shared" si="183"/>
        <v>59.33600000000002</v>
      </c>
      <c r="L60" s="47">
        <f t="shared" si="183"/>
        <v>49.854000000000013</v>
      </c>
      <c r="M60" s="47">
        <f t="shared" si="183"/>
        <v>75.050999999999988</v>
      </c>
      <c r="N60" s="47">
        <f t="shared" si="183"/>
        <v>65.621999999999986</v>
      </c>
      <c r="O60" s="48">
        <f t="shared" si="183"/>
        <v>68.120000000000033</v>
      </c>
      <c r="P60" s="47">
        <f t="shared" si="183"/>
        <v>73.028999999999982</v>
      </c>
      <c r="Q60" s="47">
        <f t="shared" si="183"/>
        <v>79.294999999999987</v>
      </c>
      <c r="R60" s="47">
        <f t="shared" si="183"/>
        <v>84.58799999999998</v>
      </c>
      <c r="S60" s="48">
        <f t="shared" si="183"/>
        <v>89.451999999999998</v>
      </c>
      <c r="T60" s="47">
        <f t="shared" si="183"/>
        <v>89.68100000000004</v>
      </c>
      <c r="U60" s="47">
        <f t="shared" si="183"/>
        <v>91.359000000000009</v>
      </c>
      <c r="V60" s="47">
        <f t="shared" si="183"/>
        <v>81.481999999999971</v>
      </c>
      <c r="W60" s="48">
        <f t="shared" si="183"/>
        <v>85.289000000000001</v>
      </c>
      <c r="X60" s="47">
        <f t="shared" si="183"/>
        <v>85.01900000000002</v>
      </c>
      <c r="Y60" s="47">
        <f t="shared" si="183"/>
        <v>55.673999999999978</v>
      </c>
      <c r="Z60" s="47">
        <f t="shared" si="183"/>
        <v>79.239999999999995</v>
      </c>
      <c r="AA60" s="48">
        <f t="shared" si="183"/>
        <v>81.732000000000014</v>
      </c>
      <c r="AB60" s="47">
        <f t="shared" si="183"/>
        <v>86.632000000000033</v>
      </c>
      <c r="AC60" s="47">
        <f t="shared" si="183"/>
        <v>87.181000000000026</v>
      </c>
      <c r="AD60" s="47">
        <f t="shared" si="183"/>
        <v>40.47399999999999</v>
      </c>
      <c r="AE60" s="48">
        <f t="shared" si="183"/>
        <v>19.040999999999983</v>
      </c>
      <c r="AF60" s="47">
        <f t="shared" si="183"/>
        <v>31.178000000000011</v>
      </c>
      <c r="AG60" s="47">
        <f t="shared" si="183"/>
        <v>52.725999999999999</v>
      </c>
      <c r="AH60" s="47">
        <f t="shared" si="183"/>
        <v>72.567999999999984</v>
      </c>
      <c r="AI60" s="48">
        <f t="shared" si="183"/>
        <v>88.487000000000052</v>
      </c>
      <c r="AJ60" s="46">
        <f t="shared" ref="AJ60:BS60" si="184">AJ20-AJ57</f>
        <v>109.22600000000001</v>
      </c>
      <c r="AK60" s="47">
        <f t="shared" si="184"/>
        <v>123.14300000000001</v>
      </c>
      <c r="AL60" s="47">
        <f t="shared" si="184"/>
        <v>117.45300000000002</v>
      </c>
      <c r="AM60" s="48">
        <f t="shared" si="184"/>
        <v>124.36099999999988</v>
      </c>
      <c r="AN60" s="46">
        <f t="shared" si="184"/>
        <v>116.86000000000001</v>
      </c>
      <c r="AO60" s="47">
        <f t="shared" si="184"/>
        <v>97.619999999999976</v>
      </c>
      <c r="AP60" s="47">
        <f t="shared" si="184"/>
        <v>88.126999999999995</v>
      </c>
      <c r="AQ60" s="48">
        <f t="shared" si="184"/>
        <v>93.908999999999992</v>
      </c>
      <c r="AR60" s="46">
        <f t="shared" si="184"/>
        <v>96.332999999999998</v>
      </c>
      <c r="AS60" s="47">
        <f t="shared" si="184"/>
        <v>8.0939999999999941</v>
      </c>
      <c r="AT60" s="47">
        <f t="shared" si="184"/>
        <v>17.413000000000039</v>
      </c>
      <c r="AU60" s="48">
        <f t="shared" si="184"/>
        <v>56.713000000000051</v>
      </c>
      <c r="AV60" s="46">
        <f t="shared" si="184"/>
        <v>98.400999999999954</v>
      </c>
      <c r="AW60" s="47">
        <f t="shared" si="184"/>
        <v>117.50799999999992</v>
      </c>
      <c r="AX60" s="47">
        <f t="shared" si="184"/>
        <v>116.91800000000003</v>
      </c>
      <c r="AY60" s="48">
        <f t="shared" si="184"/>
        <v>126.03700000000006</v>
      </c>
      <c r="AZ60" s="46">
        <f t="shared" si="184"/>
        <v>115.946</v>
      </c>
      <c r="BA60" s="47">
        <f t="shared" si="184"/>
        <v>101.31800000000007</v>
      </c>
      <c r="BB60" s="47">
        <f t="shared" si="184"/>
        <v>98.009000000000043</v>
      </c>
      <c r="BC60" s="47">
        <f t="shared" si="184"/>
        <v>110.34700000000001</v>
      </c>
      <c r="BD60" s="46">
        <f t="shared" si="184"/>
        <v>121.31899999999999</v>
      </c>
      <c r="BE60" s="47">
        <f t="shared" si="184"/>
        <v>74.947999999999922</v>
      </c>
      <c r="BF60" s="47">
        <f t="shared" si="184"/>
        <v>76.132000000000062</v>
      </c>
      <c r="BG60" s="48">
        <f t="shared" si="184"/>
        <v>79.899000000000001</v>
      </c>
      <c r="BH60" s="47">
        <f>BH20-BH57</f>
        <v>-59.104000000000099</v>
      </c>
      <c r="BI60" s="47">
        <f t="shared" ref="BI60:BK60" si="185">BI20-BI57</f>
        <v>62.760000000000048</v>
      </c>
      <c r="BJ60" s="47">
        <f t="shared" si="185"/>
        <v>118.07399999999996</v>
      </c>
      <c r="BK60" s="47">
        <f t="shared" si="185"/>
        <v>154.08700000000005</v>
      </c>
      <c r="BL60" s="46">
        <f>BL20-BL57</f>
        <v>221.59799999999996</v>
      </c>
      <c r="BM60" s="47">
        <f t="shared" ref="BM60:BN60" si="186">BM20-BM57</f>
        <v>225.399</v>
      </c>
      <c r="BN60" s="47">
        <f t="shared" si="186"/>
        <v>245.24599999999998</v>
      </c>
      <c r="BO60" s="48">
        <f t="shared" si="184"/>
        <v>364.7876601535657</v>
      </c>
      <c r="BP60" s="46">
        <f t="shared" si="184"/>
        <v>387.28805588282819</v>
      </c>
      <c r="BQ60" s="47">
        <f t="shared" si="184"/>
        <v>404.22830740371433</v>
      </c>
      <c r="BR60" s="47">
        <f t="shared" si="184"/>
        <v>393.23460021920795</v>
      </c>
      <c r="BS60" s="48">
        <f t="shared" si="184"/>
        <v>389.4363438721158</v>
      </c>
      <c r="BT60" s="46">
        <f t="shared" ref="BT60:BW60" si="187">BT20-BT57</f>
        <v>410.00841088618711</v>
      </c>
      <c r="BU60" s="47">
        <f t="shared" si="187"/>
        <v>424.47231236467638</v>
      </c>
      <c r="BV60" s="47">
        <f t="shared" si="187"/>
        <v>415.08474716626972</v>
      </c>
      <c r="BW60" s="48">
        <f t="shared" si="187"/>
        <v>411.63644748163483</v>
      </c>
      <c r="BX60" s="20"/>
      <c r="BY60" s="47">
        <f t="shared" ref="BY60:CO60" si="188">BY20-BY57</f>
        <v>124.11700000000002</v>
      </c>
      <c r="BZ60" s="47">
        <f t="shared" si="188"/>
        <v>171.29399999999993</v>
      </c>
      <c r="CA60" s="47">
        <f t="shared" si="188"/>
        <v>258.64700000000005</v>
      </c>
      <c r="CB60" s="47">
        <f t="shared" si="188"/>
        <v>326.36400000000009</v>
      </c>
      <c r="CC60" s="47">
        <f t="shared" si="188"/>
        <v>347.81100000000004</v>
      </c>
      <c r="CD60" s="47">
        <f t="shared" si="188"/>
        <v>301.66500000000013</v>
      </c>
      <c r="CE60" s="47">
        <f t="shared" si="188"/>
        <v>233.32799999999997</v>
      </c>
      <c r="CF60" s="47">
        <f t="shared" si="188"/>
        <v>244.95900000000017</v>
      </c>
      <c r="CG60" s="47">
        <f t="shared" si="188"/>
        <v>474.18299999999988</v>
      </c>
      <c r="CH60" s="47">
        <f t="shared" si="188"/>
        <v>396.51599999999996</v>
      </c>
      <c r="CI60" s="47">
        <f t="shared" si="188"/>
        <v>178.55300000000011</v>
      </c>
      <c r="CJ60" s="47">
        <f t="shared" si="188"/>
        <v>458.86400000000037</v>
      </c>
      <c r="CK60" s="47">
        <f t="shared" si="188"/>
        <v>425.62000000000012</v>
      </c>
      <c r="CL60" s="47">
        <f t="shared" si="188"/>
        <v>352.29799999999977</v>
      </c>
      <c r="CM60" s="47">
        <f t="shared" si="188"/>
        <v>275.81700000000023</v>
      </c>
      <c r="CN60" s="47">
        <f t="shared" si="188"/>
        <v>1057.030660153566</v>
      </c>
      <c r="CO60" s="47">
        <f t="shared" si="188"/>
        <v>1574.1873073778665</v>
      </c>
      <c r="CP60" s="48">
        <f t="shared" ref="CP60" si="189">CP20-CP57</f>
        <v>1661.2019178987678</v>
      </c>
      <c r="CQ60" s="20"/>
      <c r="CR60" s="46">
        <f t="shared" ref="CR60:DG60" si="190">CR20-CR57</f>
        <v>155.0320000000001</v>
      </c>
      <c r="CS60" s="47">
        <f t="shared" si="190"/>
        <v>249.86300000000006</v>
      </c>
      <c r="CT60" s="47">
        <f t="shared" si="190"/>
        <v>305.03199999999993</v>
      </c>
      <c r="CU60" s="47">
        <f t="shared" si="190"/>
        <v>351.97399999999993</v>
      </c>
      <c r="CV60" s="47">
        <f t="shared" si="190"/>
        <v>305.22199999999987</v>
      </c>
      <c r="CW60" s="47">
        <f t="shared" si="190"/>
        <v>296.01899999999995</v>
      </c>
      <c r="CX60" s="47">
        <f t="shared" si="190"/>
        <v>175.51299999999998</v>
      </c>
      <c r="CY60" s="47">
        <f t="shared" si="190"/>
        <v>438.30900000000031</v>
      </c>
      <c r="CZ60" s="47">
        <f t="shared" si="190"/>
        <v>426.96799999999996</v>
      </c>
      <c r="DA60" s="48">
        <f t="shared" si="190"/>
        <v>215.74900000000002</v>
      </c>
      <c r="DB60" s="47">
        <f t="shared" si="190"/>
        <v>389.54000000000019</v>
      </c>
      <c r="DC60" s="46">
        <f t="shared" si="190"/>
        <v>441.30999999999995</v>
      </c>
      <c r="DD60" s="47">
        <f t="shared" si="190"/>
        <v>382.74600000000032</v>
      </c>
      <c r="DE60" s="47">
        <f t="shared" si="190"/>
        <v>201.62900000000013</v>
      </c>
      <c r="DF60" s="47">
        <f t="shared" si="190"/>
        <v>846.32999999999993</v>
      </c>
      <c r="DG60" s="47">
        <f t="shared" si="190"/>
        <v>1549.538623659316</v>
      </c>
      <c r="DH60" s="47">
        <f t="shared" ref="DH60" si="191">DH20-DH57</f>
        <v>1639.0018142892491</v>
      </c>
      <c r="DI60" s="22"/>
    </row>
    <row r="61" spans="1:113" ht="14.25" customHeight="1">
      <c r="A61" s="8"/>
      <c r="B61" s="609" t="s">
        <v>111</v>
      </c>
      <c r="C61" s="35"/>
      <c r="D61" s="1376">
        <f t="shared" ref="D61:AI61" si="192">D60/D8</f>
        <v>0.18766820697709846</v>
      </c>
      <c r="E61" s="1376">
        <f t="shared" si="192"/>
        <v>2.0002638237657237E-2</v>
      </c>
      <c r="F61" s="1376">
        <f t="shared" si="192"/>
        <v>0.28745357488326545</v>
      </c>
      <c r="G61" s="1377">
        <f t="shared" si="192"/>
        <v>0.2697756566833267</v>
      </c>
      <c r="H61" s="1376">
        <f t="shared" si="192"/>
        <v>6.5177359052100883E-2</v>
      </c>
      <c r="I61" s="1376">
        <f t="shared" si="192"/>
        <v>0.28248044347898338</v>
      </c>
      <c r="J61" s="1376">
        <f t="shared" si="192"/>
        <v>0.30259542499452152</v>
      </c>
      <c r="K61" s="1377">
        <f t="shared" si="192"/>
        <v>0.30980973663875028</v>
      </c>
      <c r="L61" s="1376">
        <f t="shared" si="192"/>
        <v>0.23430384208671137</v>
      </c>
      <c r="M61" s="1376">
        <f t="shared" si="192"/>
        <v>0.34006814865832324</v>
      </c>
      <c r="N61" s="1376">
        <f t="shared" si="192"/>
        <v>0.3195088224983445</v>
      </c>
      <c r="O61" s="1377">
        <f t="shared" si="192"/>
        <v>0.32736936703142505</v>
      </c>
      <c r="P61" s="1376">
        <f t="shared" si="192"/>
        <v>0.33418753746676605</v>
      </c>
      <c r="Q61" s="1376">
        <f t="shared" si="192"/>
        <v>0.34885920685619753</v>
      </c>
      <c r="R61" s="1376">
        <f t="shared" si="192"/>
        <v>0.36010830324909743</v>
      </c>
      <c r="S61" s="1377">
        <f t="shared" si="192"/>
        <v>0.36190183354101596</v>
      </c>
      <c r="T61" s="1376">
        <f t="shared" si="192"/>
        <v>0.34156773576785243</v>
      </c>
      <c r="U61" s="1376">
        <f t="shared" si="192"/>
        <v>0.34097576268782609</v>
      </c>
      <c r="V61" s="1376">
        <f t="shared" si="192"/>
        <v>0.32462430877595566</v>
      </c>
      <c r="W61" s="1377">
        <f t="shared" si="192"/>
        <v>0.33035216286564206</v>
      </c>
      <c r="X61" s="1376">
        <f t="shared" si="192"/>
        <v>0.32195386106819357</v>
      </c>
      <c r="Y61" s="1376">
        <f t="shared" si="192"/>
        <v>0.21525090180825596</v>
      </c>
      <c r="Z61" s="1376">
        <f t="shared" si="192"/>
        <v>0.31369754552652412</v>
      </c>
      <c r="AA61" s="1377">
        <f t="shared" si="192"/>
        <v>0.31384927309172184</v>
      </c>
      <c r="AB61" s="1376">
        <f t="shared" si="192"/>
        <v>0.32304640305475602</v>
      </c>
      <c r="AC61" s="1376">
        <f t="shared" si="192"/>
        <v>0.32324457001327378</v>
      </c>
      <c r="AD61" s="1376">
        <f t="shared" si="192"/>
        <v>0.21061998480480412</v>
      </c>
      <c r="AE61" s="1377">
        <f t="shared" si="192"/>
        <v>0.10990285882495532</v>
      </c>
      <c r="AF61" s="1376">
        <f t="shared" si="192"/>
        <v>0.16158674053765507</v>
      </c>
      <c r="AG61" s="1376">
        <f t="shared" si="192"/>
        <v>0.23262052139538783</v>
      </c>
      <c r="AH61" s="1376">
        <f t="shared" si="192"/>
        <v>0.2901570977892754</v>
      </c>
      <c r="AI61" s="1377">
        <f t="shared" si="192"/>
        <v>0.31827566362132226</v>
      </c>
      <c r="AJ61" s="1378">
        <f t="shared" ref="AJ61:BO61" si="193">AJ60/AJ8</f>
        <v>0.30584809240462024</v>
      </c>
      <c r="AK61" s="1376">
        <f t="shared" si="193"/>
        <v>0.32213534377444275</v>
      </c>
      <c r="AL61" s="1376">
        <f t="shared" si="193"/>
        <v>0.31931847840271438</v>
      </c>
      <c r="AM61" s="1377">
        <f t="shared" si="193"/>
        <v>0.32727870837006701</v>
      </c>
      <c r="AN61" s="1378">
        <f t="shared" si="193"/>
        <v>0.31203689116625327</v>
      </c>
      <c r="AO61" s="1376">
        <f t="shared" si="193"/>
        <v>0.28661017844874659</v>
      </c>
      <c r="AP61" s="1376">
        <f t="shared" si="193"/>
        <v>0.26773627094751423</v>
      </c>
      <c r="AQ61" s="1377">
        <f t="shared" si="193"/>
        <v>0.27709044557420676</v>
      </c>
      <c r="AR61" s="1378">
        <f t="shared" si="193"/>
        <v>0.2735691526521154</v>
      </c>
      <c r="AS61" s="1376">
        <f t="shared" si="193"/>
        <v>2.1116729020240112E-2</v>
      </c>
      <c r="AT61" s="1376">
        <f t="shared" si="193"/>
        <v>4.1853444442575091E-2</v>
      </c>
      <c r="AU61" s="1377">
        <f t="shared" si="193"/>
        <v>0.13184654441303389</v>
      </c>
      <c r="AV61" s="1378">
        <f t="shared" si="193"/>
        <v>0.21262467804110693</v>
      </c>
      <c r="AW61" s="1376">
        <f t="shared" si="193"/>
        <v>0.23851307876079056</v>
      </c>
      <c r="AX61" s="1376">
        <f t="shared" si="193"/>
        <v>0.24238139858864119</v>
      </c>
      <c r="AY61" s="1377">
        <f t="shared" si="193"/>
        <v>0.25545416957177375</v>
      </c>
      <c r="AZ61" s="1378">
        <f t="shared" si="193"/>
        <v>0.21923097285564103</v>
      </c>
      <c r="BA61" s="1376">
        <f t="shared" si="193"/>
        <v>0.18548155308168721</v>
      </c>
      <c r="BB61" s="1376">
        <f t="shared" si="193"/>
        <v>0.18537383442719077</v>
      </c>
      <c r="BC61" s="1376">
        <f t="shared" si="193"/>
        <v>0.20313987117249963</v>
      </c>
      <c r="BD61" s="1378">
        <f t="shared" si="193"/>
        <v>0.22720956190818647</v>
      </c>
      <c r="BE61" s="1376">
        <f t="shared" si="193"/>
        <v>0.13843599173240767</v>
      </c>
      <c r="BF61" s="1376">
        <f t="shared" si="193"/>
        <v>0.14089542957819473</v>
      </c>
      <c r="BG61" s="1377">
        <f t="shared" si="193"/>
        <v>0.14329088952654231</v>
      </c>
      <c r="BH61" s="1376">
        <f>BH60/BH8</f>
        <v>-7.3934434227199905E-2</v>
      </c>
      <c r="BI61" s="1376">
        <f t="shared" ref="BI61:BK61" si="194">BI60/BI8</f>
        <v>7.2025009066245621E-2</v>
      </c>
      <c r="BJ61" s="1376">
        <f t="shared" si="194"/>
        <v>0.14151343654942788</v>
      </c>
      <c r="BK61" s="1441">
        <f t="shared" si="194"/>
        <v>0.17070212016404743</v>
      </c>
      <c r="BL61" s="1442">
        <f>BL60/BL8</f>
        <v>0.22794841489043252</v>
      </c>
      <c r="BM61" s="1441">
        <f t="shared" ref="BM61:BN61" si="195">BM60/BM8</f>
        <v>0.22269569693490715</v>
      </c>
      <c r="BN61" s="1494">
        <f t="shared" si="195"/>
        <v>0.24667548443228507</v>
      </c>
      <c r="BO61" s="1453">
        <f t="shared" si="193"/>
        <v>0.37014282510345353</v>
      </c>
      <c r="BP61" s="1378">
        <f t="shared" ref="BP61:BW61" si="196">BP60/BP8</f>
        <v>0.37633598201997615</v>
      </c>
      <c r="BQ61" s="1376">
        <f t="shared" si="196"/>
        <v>0.38087081341053108</v>
      </c>
      <c r="BR61" s="1376">
        <f t="shared" si="196"/>
        <v>0.37820568217822981</v>
      </c>
      <c r="BS61" s="1377">
        <f t="shared" si="196"/>
        <v>0.37796058440788671</v>
      </c>
      <c r="BT61" s="1495">
        <f t="shared" si="196"/>
        <v>0.38268128525804246</v>
      </c>
      <c r="BU61" s="1494">
        <f t="shared" si="196"/>
        <v>0.38625391789337055</v>
      </c>
      <c r="BV61" s="1494">
        <f t="shared" si="196"/>
        <v>0.38326891890578502</v>
      </c>
      <c r="BW61" s="1496">
        <f t="shared" si="196"/>
        <v>0.38355143027020866</v>
      </c>
      <c r="BX61" s="20"/>
      <c r="BY61" s="36">
        <f t="shared" ref="BY61:CO61" si="197">BY60/BY8</f>
        <v>0.19052070573571447</v>
      </c>
      <c r="BZ61" s="36">
        <f t="shared" si="197"/>
        <v>0.24496467694419805</v>
      </c>
      <c r="CA61" s="36">
        <f t="shared" si="197"/>
        <v>0.30539143453578549</v>
      </c>
      <c r="CB61" s="36">
        <f t="shared" si="197"/>
        <v>0.35172589943021454</v>
      </c>
      <c r="CC61" s="36">
        <f t="shared" si="197"/>
        <v>0.33453948412526657</v>
      </c>
      <c r="CD61" s="36">
        <f t="shared" si="197"/>
        <v>0.29125637106717256</v>
      </c>
      <c r="CE61" s="36">
        <f t="shared" si="197"/>
        <v>0.25830706843928403</v>
      </c>
      <c r="CF61" s="36">
        <f t="shared" si="197"/>
        <v>0.25846945698612173</v>
      </c>
      <c r="CG61" s="36">
        <f t="shared" si="197"/>
        <v>0.31884171987049525</v>
      </c>
      <c r="CH61" s="1494">
        <f t="shared" si="197"/>
        <v>0.28667067676130875</v>
      </c>
      <c r="CI61" s="1494">
        <f t="shared" si="197"/>
        <v>0.11289226320052256</v>
      </c>
      <c r="CJ61" s="1494">
        <f t="shared" si="197"/>
        <v>0.23760354222233976</v>
      </c>
      <c r="CK61" s="1376">
        <f t="shared" si="197"/>
        <v>0.19823607987942451</v>
      </c>
      <c r="CL61" s="1376">
        <f t="shared" si="197"/>
        <v>0.16210376264156542</v>
      </c>
      <c r="CM61" s="1376">
        <f t="shared" si="197"/>
        <v>8.0936801878744954E-2</v>
      </c>
      <c r="CN61" s="1376">
        <f t="shared" si="197"/>
        <v>0.26665642853918103</v>
      </c>
      <c r="CO61" s="1376">
        <f t="shared" si="197"/>
        <v>0.37836237457868221</v>
      </c>
      <c r="CP61" s="1377">
        <f t="shared" ref="CP61" si="198">CP60/CP8</f>
        <v>0.38395166310535012</v>
      </c>
      <c r="CQ61" s="20"/>
      <c r="CR61" s="1378">
        <f t="shared" ref="CR61:DG61" si="199">CR60/CR8</f>
        <v>0.23229178216427293</v>
      </c>
      <c r="CS61" s="1376">
        <f t="shared" si="199"/>
        <v>0.30090308378001801</v>
      </c>
      <c r="CT61" s="1376">
        <f t="shared" si="199"/>
        <v>0.34319377500551296</v>
      </c>
      <c r="CU61" s="1376">
        <f t="shared" si="199"/>
        <v>0.34216515159910832</v>
      </c>
      <c r="CV61" s="1376">
        <f t="shared" si="199"/>
        <v>0.29532992418927995</v>
      </c>
      <c r="CW61" s="1376">
        <f t="shared" si="199"/>
        <v>0.29886961842049464</v>
      </c>
      <c r="CX61" s="1376">
        <f t="shared" si="199"/>
        <v>0.20820985999368891</v>
      </c>
      <c r="CY61" s="1376">
        <f t="shared" si="199"/>
        <v>0.31641376223614698</v>
      </c>
      <c r="CZ61" s="1376">
        <f t="shared" si="199"/>
        <v>0.29978444795506404</v>
      </c>
      <c r="DA61" s="1377">
        <f t="shared" si="199"/>
        <v>0.14476009635061965</v>
      </c>
      <c r="DB61" s="1376">
        <f t="shared" si="199"/>
        <v>0.20853575820259038</v>
      </c>
      <c r="DC61" s="1378">
        <f t="shared" si="199"/>
        <v>0.21042688558577499</v>
      </c>
      <c r="DD61" s="1376">
        <f t="shared" si="199"/>
        <v>0.17728800024456981</v>
      </c>
      <c r="DE61" s="1376">
        <f t="shared" si="199"/>
        <v>6.5832860173289265E-2</v>
      </c>
      <c r="DF61" s="1376">
        <f t="shared" si="199"/>
        <v>0.21806160079831988</v>
      </c>
      <c r="DG61" s="1441">
        <f t="shared" si="199"/>
        <v>0.37649473488196367</v>
      </c>
      <c r="DH61" s="1441">
        <f t="shared" ref="DH61" si="200">DH60/DH8</f>
        <v>0.38261090577164653</v>
      </c>
      <c r="DI61" s="22"/>
    </row>
    <row r="62" spans="1:113" ht="14.25" hidden="1" customHeight="1" outlineLevel="1">
      <c r="A62" s="8"/>
      <c r="B62" s="613"/>
      <c r="C62" s="45"/>
      <c r="D62" s="47"/>
      <c r="E62" s="47"/>
      <c r="F62" s="47"/>
      <c r="G62" s="48"/>
      <c r="H62" s="47"/>
      <c r="I62" s="47"/>
      <c r="J62" s="47"/>
      <c r="K62" s="48"/>
      <c r="L62" s="47"/>
      <c r="M62" s="47"/>
      <c r="N62" s="47"/>
      <c r="O62" s="48"/>
      <c r="P62" s="47"/>
      <c r="Q62" s="47"/>
      <c r="R62" s="47"/>
      <c r="S62" s="48"/>
      <c r="T62" s="47"/>
      <c r="U62" s="47"/>
      <c r="V62" s="47"/>
      <c r="W62" s="48"/>
      <c r="X62" s="47"/>
      <c r="Y62" s="47"/>
      <c r="Z62" s="47"/>
      <c r="AA62" s="48"/>
      <c r="AB62" s="47"/>
      <c r="AC62" s="47"/>
      <c r="AD62" s="47"/>
      <c r="AE62" s="48"/>
      <c r="AF62" s="47"/>
      <c r="AG62" s="47"/>
      <c r="AH62" s="47"/>
      <c r="AI62" s="48"/>
      <c r="AJ62" s="46"/>
      <c r="AK62" s="47"/>
      <c r="AL62" s="47"/>
      <c r="AM62" s="48"/>
      <c r="AN62" s="46"/>
      <c r="AO62" s="47"/>
      <c r="AP62" s="47"/>
      <c r="AQ62" s="48"/>
      <c r="AR62" s="46"/>
      <c r="AS62" s="47"/>
      <c r="AT62" s="47"/>
      <c r="AU62" s="48"/>
      <c r="AV62" s="46"/>
      <c r="AW62" s="47"/>
      <c r="AX62" s="47"/>
      <c r="AY62" s="48"/>
      <c r="AZ62" s="46"/>
      <c r="BA62" s="47"/>
      <c r="BB62" s="47"/>
      <c r="BC62" s="47"/>
      <c r="BD62" s="46"/>
      <c r="BE62" s="47"/>
      <c r="BF62" s="47"/>
      <c r="BG62" s="48"/>
      <c r="BH62" s="47"/>
      <c r="BI62" s="47"/>
      <c r="BJ62" s="47"/>
      <c r="BK62" s="47"/>
      <c r="BL62" s="46"/>
      <c r="BM62" s="47"/>
      <c r="BN62" s="47"/>
      <c r="BO62" s="48"/>
      <c r="BP62" s="46"/>
      <c r="BQ62" s="47"/>
      <c r="BR62" s="47"/>
      <c r="BS62" s="48"/>
      <c r="BT62" s="46"/>
      <c r="BU62" s="47"/>
      <c r="BV62" s="47"/>
      <c r="BW62" s="48"/>
      <c r="BX62" s="20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8"/>
      <c r="CQ62" s="20"/>
      <c r="CR62" s="46"/>
      <c r="CS62" s="47"/>
      <c r="CT62" s="47"/>
      <c r="CU62" s="47"/>
      <c r="CV62" s="47"/>
      <c r="CW62" s="47"/>
      <c r="CX62" s="47"/>
      <c r="CY62" s="47"/>
      <c r="CZ62" s="47"/>
      <c r="DA62" s="48"/>
      <c r="DB62" s="47"/>
      <c r="DC62" s="46"/>
      <c r="DD62" s="47"/>
      <c r="DE62" s="47"/>
      <c r="DF62" s="47"/>
      <c r="DG62" s="47"/>
      <c r="DH62" s="47"/>
      <c r="DI62" s="22"/>
    </row>
    <row r="63" spans="1:113" ht="14.25" hidden="1" customHeight="1" outlineLevel="1">
      <c r="A63" s="8"/>
      <c r="B63" s="613" t="s">
        <v>7</v>
      </c>
      <c r="C63" s="45"/>
      <c r="D63" s="47">
        <f t="shared" ref="D63:AI63" si="201">D23-D58</f>
        <v>38.866000000000007</v>
      </c>
      <c r="E63" s="47">
        <f t="shared" si="201"/>
        <v>44.835999999999999</v>
      </c>
      <c r="F63" s="47">
        <f t="shared" si="201"/>
        <v>48.140999999999991</v>
      </c>
      <c r="G63" s="48">
        <f t="shared" si="201"/>
        <v>43.074000000000048</v>
      </c>
      <c r="H63" s="47">
        <f t="shared" si="201"/>
        <v>43.878999999999984</v>
      </c>
      <c r="I63" s="47">
        <f t="shared" si="201"/>
        <v>47.593999999999987</v>
      </c>
      <c r="J63" s="47">
        <f t="shared" si="201"/>
        <v>53.105000000000018</v>
      </c>
      <c r="K63" s="48">
        <f t="shared" si="201"/>
        <v>59.33600000000002</v>
      </c>
      <c r="L63" s="47">
        <f t="shared" si="201"/>
        <v>70.954000000000008</v>
      </c>
      <c r="M63" s="47">
        <f t="shared" si="201"/>
        <v>75.050999999999988</v>
      </c>
      <c r="N63" s="47">
        <f t="shared" si="201"/>
        <v>65.621999999999986</v>
      </c>
      <c r="O63" s="48">
        <f t="shared" si="201"/>
        <v>68.120000000000033</v>
      </c>
      <c r="P63" s="47">
        <f t="shared" si="201"/>
        <v>73.028999999999982</v>
      </c>
      <c r="Q63" s="47">
        <f t="shared" si="201"/>
        <v>79.294999999999987</v>
      </c>
      <c r="R63" s="47">
        <f t="shared" si="201"/>
        <v>84.58799999999998</v>
      </c>
      <c r="S63" s="48">
        <f t="shared" si="201"/>
        <v>89.451999999999998</v>
      </c>
      <c r="T63" s="47">
        <f t="shared" si="201"/>
        <v>89.68100000000004</v>
      </c>
      <c r="U63" s="47">
        <f t="shared" si="201"/>
        <v>91.359000000000009</v>
      </c>
      <c r="V63" s="47">
        <f t="shared" si="201"/>
        <v>81.481999999999971</v>
      </c>
      <c r="W63" s="48">
        <f t="shared" si="201"/>
        <v>85.289000000000001</v>
      </c>
      <c r="X63" s="47">
        <f t="shared" si="201"/>
        <v>85.01900000000002</v>
      </c>
      <c r="Y63" s="47">
        <f t="shared" si="201"/>
        <v>82.436999999999983</v>
      </c>
      <c r="Z63" s="47">
        <f t="shared" si="201"/>
        <v>79.239999999999995</v>
      </c>
      <c r="AA63" s="48">
        <f t="shared" si="201"/>
        <v>81.732000000000014</v>
      </c>
      <c r="AB63" s="47">
        <f t="shared" si="201"/>
        <v>86.632000000000033</v>
      </c>
      <c r="AC63" s="47">
        <f t="shared" si="201"/>
        <v>87.181000000000026</v>
      </c>
      <c r="AD63" s="47">
        <f t="shared" si="201"/>
        <v>41.41</v>
      </c>
      <c r="AE63" s="48">
        <f t="shared" si="201"/>
        <v>25.369999999999983</v>
      </c>
      <c r="AF63" s="47">
        <f t="shared" si="201"/>
        <v>33.691000000000017</v>
      </c>
      <c r="AG63" s="47">
        <f t="shared" si="201"/>
        <v>53.561000000000007</v>
      </c>
      <c r="AH63" s="47">
        <f t="shared" si="201"/>
        <v>73.186000000000007</v>
      </c>
      <c r="AI63" s="48">
        <f t="shared" si="201"/>
        <v>90.162000000000063</v>
      </c>
      <c r="AJ63" s="46">
        <f t="shared" ref="AJ63:BS63" si="202">AJ23-AJ58</f>
        <v>118.271</v>
      </c>
      <c r="AK63" s="47">
        <f t="shared" si="202"/>
        <v>129.28100000000001</v>
      </c>
      <c r="AL63" s="47">
        <f t="shared" si="202"/>
        <v>121.70700000000002</v>
      </c>
      <c r="AM63" s="48">
        <f t="shared" si="202"/>
        <v>128.26899999999986</v>
      </c>
      <c r="AN63" s="46">
        <f t="shared" si="202"/>
        <v>120.11900000000001</v>
      </c>
      <c r="AO63" s="47">
        <f t="shared" si="202"/>
        <v>100.46599999999998</v>
      </c>
      <c r="AP63" s="47">
        <f t="shared" si="202"/>
        <v>90.385999999999996</v>
      </c>
      <c r="AQ63" s="48">
        <f t="shared" si="202"/>
        <v>98.161999999999978</v>
      </c>
      <c r="AR63" s="46">
        <f t="shared" si="202"/>
        <v>105.197</v>
      </c>
      <c r="AS63" s="47">
        <f t="shared" si="202"/>
        <v>98.581999999999994</v>
      </c>
      <c r="AT63" s="47">
        <f t="shared" si="202"/>
        <v>91.526000000000039</v>
      </c>
      <c r="AU63" s="48">
        <f t="shared" si="202"/>
        <v>110.23400000000007</v>
      </c>
      <c r="AV63" s="46">
        <f t="shared" si="202"/>
        <v>128.66699999999997</v>
      </c>
      <c r="AW63" s="47">
        <f t="shared" si="202"/>
        <v>141.62399999999994</v>
      </c>
      <c r="AX63" s="47">
        <f t="shared" si="202"/>
        <v>140.06800000000007</v>
      </c>
      <c r="AY63" s="48">
        <f t="shared" si="202"/>
        <v>149.07900000000006</v>
      </c>
      <c r="AZ63" s="46">
        <f t="shared" si="202"/>
        <v>163.00300000000001</v>
      </c>
      <c r="BA63" s="47">
        <f t="shared" si="202"/>
        <v>162.01700000000005</v>
      </c>
      <c r="BB63" s="47">
        <f t="shared" si="202"/>
        <v>154.51100000000005</v>
      </c>
      <c r="BC63" s="891">
        <f t="shared" si="202"/>
        <v>162.23599999999999</v>
      </c>
      <c r="BD63" s="46">
        <f t="shared" si="202"/>
        <v>160.20499999999998</v>
      </c>
      <c r="BE63" s="47">
        <f t="shared" si="202"/>
        <v>147.05099999999996</v>
      </c>
      <c r="BF63" s="47">
        <f t="shared" si="202"/>
        <v>145.64000000000004</v>
      </c>
      <c r="BG63" s="893">
        <f t="shared" si="202"/>
        <v>161.05700000000002</v>
      </c>
      <c r="BH63" s="47">
        <f>BH23-BH58</f>
        <v>171.55099999999993</v>
      </c>
      <c r="BI63" s="47">
        <f t="shared" ref="BI63:BK63" si="203">BI23-BI58</f>
        <v>241.95200000000006</v>
      </c>
      <c r="BJ63" s="47">
        <f t="shared" si="203"/>
        <v>266.96899999999999</v>
      </c>
      <c r="BK63" s="891">
        <f t="shared" si="203"/>
        <v>299.10599999999999</v>
      </c>
      <c r="BL63" s="46">
        <f>BL23-BL58</f>
        <v>341.887</v>
      </c>
      <c r="BM63" s="47">
        <f t="shared" ref="BM63:BN63" si="204">BM23-BM58</f>
        <v>366.90100000000007</v>
      </c>
      <c r="BN63" s="47">
        <f t="shared" si="204"/>
        <v>367.66599999999994</v>
      </c>
      <c r="BO63" s="48">
        <f t="shared" si="202"/>
        <v>364.7876601535657</v>
      </c>
      <c r="BP63" s="46">
        <f t="shared" si="202"/>
        <v>387.28805588282819</v>
      </c>
      <c r="BQ63" s="47">
        <f t="shared" si="202"/>
        <v>404.22830740371433</v>
      </c>
      <c r="BR63" s="47">
        <f t="shared" si="202"/>
        <v>393.23460021920795</v>
      </c>
      <c r="BS63" s="48">
        <f t="shared" si="202"/>
        <v>389.4363438721158</v>
      </c>
      <c r="BT63" s="46">
        <f t="shared" ref="BT63:BW63" si="205">BT23-BT58</f>
        <v>410.00841088618711</v>
      </c>
      <c r="BU63" s="47">
        <f t="shared" si="205"/>
        <v>424.47231236467638</v>
      </c>
      <c r="BV63" s="47">
        <f t="shared" si="205"/>
        <v>415.08474716626972</v>
      </c>
      <c r="BW63" s="48">
        <f t="shared" si="205"/>
        <v>411.63644748163483</v>
      </c>
      <c r="BX63" s="20"/>
      <c r="BY63" s="47">
        <f t="shared" ref="BY63:CO63" si="206">BY23-BY58</f>
        <v>174.91700000000003</v>
      </c>
      <c r="BZ63" s="47">
        <f t="shared" si="206"/>
        <v>203.91399999999993</v>
      </c>
      <c r="CA63" s="47">
        <f t="shared" si="206"/>
        <v>279.74700000000001</v>
      </c>
      <c r="CB63" s="47">
        <f t="shared" si="206"/>
        <v>326.36400000000009</v>
      </c>
      <c r="CC63" s="47">
        <f t="shared" si="206"/>
        <v>347.81100000000004</v>
      </c>
      <c r="CD63" s="47">
        <f t="shared" si="206"/>
        <v>328.42800000000011</v>
      </c>
      <c r="CE63" s="47">
        <f t="shared" si="206"/>
        <v>240.59299999999996</v>
      </c>
      <c r="CF63" s="47">
        <f t="shared" si="206"/>
        <v>250.60000000000014</v>
      </c>
      <c r="CG63" s="47">
        <f t="shared" si="206"/>
        <v>497.52799999999985</v>
      </c>
      <c r="CH63" s="47">
        <f t="shared" si="206"/>
        <v>409.13299999999992</v>
      </c>
      <c r="CI63" s="47">
        <f t="shared" si="206"/>
        <v>405.53899999999999</v>
      </c>
      <c r="CJ63" s="47">
        <f t="shared" si="206"/>
        <v>559.43800000000044</v>
      </c>
      <c r="CK63" s="47">
        <f t="shared" si="206"/>
        <v>641.76700000000005</v>
      </c>
      <c r="CL63" s="47">
        <f t="shared" si="206"/>
        <v>613.95299999999975</v>
      </c>
      <c r="CM63" s="47">
        <f t="shared" si="206"/>
        <v>979.57800000000032</v>
      </c>
      <c r="CN63" s="47">
        <f t="shared" si="206"/>
        <v>1441.2416601535658</v>
      </c>
      <c r="CO63" s="47">
        <f t="shared" si="206"/>
        <v>1574.1873073778665</v>
      </c>
      <c r="CP63" s="48">
        <f t="shared" ref="CP63" si="207">CP23-CP58</f>
        <v>1661.2019178987678</v>
      </c>
      <c r="CQ63" s="20"/>
      <c r="CR63" s="46">
        <f t="shared" ref="CR63:DG63" si="208">CR23-CR58</f>
        <v>187.6520000000001</v>
      </c>
      <c r="CS63" s="47">
        <f t="shared" si="208"/>
        <v>270.96300000000008</v>
      </c>
      <c r="CT63" s="47">
        <f t="shared" si="208"/>
        <v>305.03199999999993</v>
      </c>
      <c r="CU63" s="47">
        <f t="shared" si="208"/>
        <v>351.97399999999993</v>
      </c>
      <c r="CV63" s="47">
        <f t="shared" si="208"/>
        <v>331.98499999999984</v>
      </c>
      <c r="CW63" s="47">
        <f t="shared" si="208"/>
        <v>296.95499999999993</v>
      </c>
      <c r="CX63" s="47">
        <f t="shared" si="208"/>
        <v>185.80799999999999</v>
      </c>
      <c r="CY63" s="47">
        <f t="shared" si="208"/>
        <v>459.42100000000028</v>
      </c>
      <c r="CZ63" s="47">
        <f t="shared" si="208"/>
        <v>439.24</v>
      </c>
      <c r="DA63" s="48">
        <f t="shared" si="208"/>
        <v>393.4670000000001</v>
      </c>
      <c r="DB63" s="47">
        <f t="shared" si="208"/>
        <v>520.59300000000019</v>
      </c>
      <c r="DC63" s="46">
        <f t="shared" si="208"/>
        <v>628.61000000000013</v>
      </c>
      <c r="DD63" s="47">
        <f t="shared" si="208"/>
        <v>615.13200000000029</v>
      </c>
      <c r="DE63" s="47">
        <f t="shared" si="208"/>
        <v>841.52900000000011</v>
      </c>
      <c r="DF63" s="47">
        <f t="shared" si="208"/>
        <v>1375.56</v>
      </c>
      <c r="DG63" s="47">
        <f t="shared" si="208"/>
        <v>1549.538623659316</v>
      </c>
      <c r="DH63" s="47">
        <f t="shared" ref="DH63" si="209">DH23-DH58</f>
        <v>1639.0018142892491</v>
      </c>
      <c r="DI63" s="22"/>
    </row>
    <row r="64" spans="1:113" ht="14.25" hidden="1" customHeight="1" outlineLevel="1">
      <c r="A64" s="8"/>
      <c r="B64" s="609" t="s">
        <v>8</v>
      </c>
      <c r="C64" s="35"/>
      <c r="D64" s="1376">
        <f t="shared" ref="D64:AI64" si="210">D63/D8</f>
        <v>0.24669933478901135</v>
      </c>
      <c r="E64" s="1376">
        <f t="shared" si="210"/>
        <v>0.26883641727326146</v>
      </c>
      <c r="F64" s="1376">
        <f t="shared" si="210"/>
        <v>0.28745357488326545</v>
      </c>
      <c r="G64" s="1377">
        <f t="shared" si="210"/>
        <v>0.2697756566833267</v>
      </c>
      <c r="H64" s="1376">
        <f t="shared" si="210"/>
        <v>0.27206215162168357</v>
      </c>
      <c r="I64" s="1376">
        <f t="shared" si="210"/>
        <v>0.28248044347898338</v>
      </c>
      <c r="J64" s="1376">
        <f t="shared" si="210"/>
        <v>0.29839801761000645</v>
      </c>
      <c r="K64" s="1377">
        <f t="shared" si="210"/>
        <v>0.30980973663875028</v>
      </c>
      <c r="L64" s="1376">
        <f t="shared" si="210"/>
        <v>0.33346962754082954</v>
      </c>
      <c r="M64" s="1376">
        <f t="shared" si="210"/>
        <v>0.34006814865832324</v>
      </c>
      <c r="N64" s="1376">
        <f t="shared" si="210"/>
        <v>0.3195088224983445</v>
      </c>
      <c r="O64" s="1377">
        <f t="shared" si="210"/>
        <v>0.32736936703142505</v>
      </c>
      <c r="P64" s="1376">
        <f t="shared" si="210"/>
        <v>0.33418753746676605</v>
      </c>
      <c r="Q64" s="1376">
        <f t="shared" si="210"/>
        <v>0.34885920685619753</v>
      </c>
      <c r="R64" s="1376">
        <f t="shared" si="210"/>
        <v>0.36010830324909743</v>
      </c>
      <c r="S64" s="1377">
        <f t="shared" si="210"/>
        <v>0.36190183354101596</v>
      </c>
      <c r="T64" s="1376">
        <f t="shared" si="210"/>
        <v>0.34156773576785243</v>
      </c>
      <c r="U64" s="1376">
        <f t="shared" si="210"/>
        <v>0.34097576268782609</v>
      </c>
      <c r="V64" s="1376">
        <f t="shared" si="210"/>
        <v>0.32462430877595566</v>
      </c>
      <c r="W64" s="1377">
        <f t="shared" si="210"/>
        <v>0.33035216286564206</v>
      </c>
      <c r="X64" s="1376">
        <f t="shared" si="210"/>
        <v>0.32195386106819357</v>
      </c>
      <c r="Y64" s="1376">
        <f t="shared" si="210"/>
        <v>0.31872397514759493</v>
      </c>
      <c r="Z64" s="1376">
        <f t="shared" si="210"/>
        <v>0.31369754552652412</v>
      </c>
      <c r="AA64" s="1377">
        <f t="shared" si="210"/>
        <v>0.31384927309172184</v>
      </c>
      <c r="AB64" s="1376">
        <f t="shared" si="210"/>
        <v>0.32304640305475602</v>
      </c>
      <c r="AC64" s="1376">
        <f t="shared" si="210"/>
        <v>0.32324457001327378</v>
      </c>
      <c r="AD64" s="1376">
        <f t="shared" si="210"/>
        <v>0.21549077360198993</v>
      </c>
      <c r="AE64" s="1377">
        <f t="shared" si="210"/>
        <v>0.14643325079507993</v>
      </c>
      <c r="AF64" s="1376">
        <f t="shared" si="210"/>
        <v>0.17461090754551728</v>
      </c>
      <c r="AG64" s="1376">
        <f t="shared" si="210"/>
        <v>0.2363044370226903</v>
      </c>
      <c r="AH64" s="1376">
        <f t="shared" si="210"/>
        <v>0.29262811926477117</v>
      </c>
      <c r="AI64" s="1377">
        <f t="shared" si="210"/>
        <v>0.32430041004244309</v>
      </c>
      <c r="AJ64" s="1378">
        <f t="shared" ref="AJ64:BO64" si="211">AJ63/AJ8</f>
        <v>0.33117535876793841</v>
      </c>
      <c r="AK64" s="1376">
        <f t="shared" si="211"/>
        <v>0.33819201561196116</v>
      </c>
      <c r="AL64" s="1376">
        <f t="shared" si="211"/>
        <v>0.3308837922484667</v>
      </c>
      <c r="AM64" s="1377">
        <f t="shared" si="211"/>
        <v>0.3375633248680866</v>
      </c>
      <c r="AN64" s="1378">
        <f t="shared" si="211"/>
        <v>0.32073899820297086</v>
      </c>
      <c r="AO64" s="1376">
        <f t="shared" si="211"/>
        <v>0.29496597201425706</v>
      </c>
      <c r="AP64" s="1376">
        <f t="shared" si="211"/>
        <v>0.27459927815382368</v>
      </c>
      <c r="AQ64" s="1377">
        <f t="shared" si="211"/>
        <v>0.28963946286783249</v>
      </c>
      <c r="AR64" s="1378">
        <f t="shared" si="211"/>
        <v>0.29874138822152929</v>
      </c>
      <c r="AS64" s="1376">
        <f t="shared" si="211"/>
        <v>0.25719414137303087</v>
      </c>
      <c r="AT64" s="1376">
        <f t="shared" si="211"/>
        <v>0.21998956848625284</v>
      </c>
      <c r="AU64" s="1377">
        <f t="shared" si="211"/>
        <v>0.25627231810742462</v>
      </c>
      <c r="AV64" s="1378">
        <f t="shared" si="211"/>
        <v>0.27802338847689673</v>
      </c>
      <c r="AW64" s="1376">
        <f t="shared" si="211"/>
        <v>0.28746277926965152</v>
      </c>
      <c r="AX64" s="1376">
        <f t="shared" si="211"/>
        <v>0.2903734047581536</v>
      </c>
      <c r="AY64" s="1377">
        <f t="shared" si="211"/>
        <v>0.30215612991098212</v>
      </c>
      <c r="AZ64" s="1378">
        <f t="shared" si="211"/>
        <v>0.30820646049357509</v>
      </c>
      <c r="BA64" s="1376">
        <f t="shared" si="211"/>
        <v>0.29660242785719915</v>
      </c>
      <c r="BB64" s="1376">
        <f t="shared" si="211"/>
        <v>0.29224149344631278</v>
      </c>
      <c r="BC64" s="1376">
        <f t="shared" si="211"/>
        <v>0.29866330883070358</v>
      </c>
      <c r="BD64" s="1378">
        <f t="shared" si="211"/>
        <v>0.30003633285388948</v>
      </c>
      <c r="BE64" s="1376">
        <f t="shared" si="211"/>
        <v>0.27161700139086165</v>
      </c>
      <c r="BF64" s="1376">
        <f t="shared" si="211"/>
        <v>0.26953200183586756</v>
      </c>
      <c r="BG64" s="1377">
        <f t="shared" si="211"/>
        <v>0.28883967001434724</v>
      </c>
      <c r="BH64" s="1376">
        <f>BH63/BH8</f>
        <v>0.21459674685487182</v>
      </c>
      <c r="BI64" s="1376">
        <f t="shared" ref="BI64:BK64" si="212">BI63/BI8</f>
        <v>0.27767041098783063</v>
      </c>
      <c r="BJ64" s="1376">
        <f t="shared" si="212"/>
        <v>0.31996629776381108</v>
      </c>
      <c r="BK64" s="1441">
        <f t="shared" si="212"/>
        <v>0.33135844265763859</v>
      </c>
      <c r="BL64" s="1442">
        <f>BL63/BL8</f>
        <v>0.35168458073468767</v>
      </c>
      <c r="BM64" s="1441">
        <f t="shared" ref="BM64:BN64" si="213">BM63/BM8</f>
        <v>0.3625006051540352</v>
      </c>
      <c r="BN64" s="1494">
        <f t="shared" si="213"/>
        <v>0.3698090434065408</v>
      </c>
      <c r="BO64" s="1453">
        <f t="shared" si="211"/>
        <v>0.37014282510345353</v>
      </c>
      <c r="BP64" s="1378">
        <f t="shared" ref="BP64:BW64" si="214">BP63/BP8</f>
        <v>0.37633598201997615</v>
      </c>
      <c r="BQ64" s="1376">
        <f t="shared" si="214"/>
        <v>0.38087081341053108</v>
      </c>
      <c r="BR64" s="1376">
        <f t="shared" si="214"/>
        <v>0.37820568217822981</v>
      </c>
      <c r="BS64" s="1377">
        <f t="shared" si="214"/>
        <v>0.37796058440788671</v>
      </c>
      <c r="BT64" s="1495">
        <f t="shared" si="214"/>
        <v>0.38268128525804246</v>
      </c>
      <c r="BU64" s="1494">
        <f t="shared" si="214"/>
        <v>0.38625391789337055</v>
      </c>
      <c r="BV64" s="1494">
        <f t="shared" si="214"/>
        <v>0.38326891890578502</v>
      </c>
      <c r="BW64" s="1496">
        <f t="shared" si="214"/>
        <v>0.38355143027020866</v>
      </c>
      <c r="BX64" s="20"/>
      <c r="BY64" s="36">
        <f t="shared" ref="BY64:CO64" si="215">BY63/BY8</f>
        <v>0.2684991603501049</v>
      </c>
      <c r="BZ64" s="36">
        <f t="shared" si="215"/>
        <v>0.29161399193433046</v>
      </c>
      <c r="CA64" s="36">
        <f t="shared" si="215"/>
        <v>0.33030476919153279</v>
      </c>
      <c r="CB64" s="36">
        <f t="shared" si="215"/>
        <v>0.35172589943021454</v>
      </c>
      <c r="CC64" s="36">
        <f t="shared" si="215"/>
        <v>0.33453948412526657</v>
      </c>
      <c r="CD64" s="36">
        <f t="shared" si="215"/>
        <v>0.31709594230967908</v>
      </c>
      <c r="CE64" s="36">
        <f t="shared" si="215"/>
        <v>0.26634982735467955</v>
      </c>
      <c r="CF64" s="36">
        <f t="shared" si="215"/>
        <v>0.26442158043069286</v>
      </c>
      <c r="CG64" s="36">
        <f t="shared" si="215"/>
        <v>0.33453895058179595</v>
      </c>
      <c r="CH64" s="1494">
        <f t="shared" si="215"/>
        <v>0.29579243711573938</v>
      </c>
      <c r="CI64" s="1494">
        <f t="shared" si="215"/>
        <v>0.256406868134821</v>
      </c>
      <c r="CJ64" s="1494">
        <f t="shared" si="215"/>
        <v>0.28968158420312184</v>
      </c>
      <c r="CK64" s="1376">
        <f t="shared" si="215"/>
        <v>0.29890835551895734</v>
      </c>
      <c r="CL64" s="1376">
        <f t="shared" si="215"/>
        <v>0.28249973427347597</v>
      </c>
      <c r="CM64" s="1376">
        <f t="shared" si="215"/>
        <v>0.28745113793122679</v>
      </c>
      <c r="CN64" s="1376">
        <f t="shared" si="215"/>
        <v>0.36358108449058257</v>
      </c>
      <c r="CO64" s="1376">
        <f t="shared" si="215"/>
        <v>0.37836237457868221</v>
      </c>
      <c r="CP64" s="1377">
        <f t="shared" ref="CP64" si="216">CP63/CP8</f>
        <v>0.38395166310535012</v>
      </c>
      <c r="CQ64" s="20"/>
      <c r="CR64" s="1378">
        <f t="shared" ref="CR64:DG64" si="217">CR63/CR8</f>
        <v>0.28116787183736353</v>
      </c>
      <c r="CS64" s="1376">
        <f t="shared" si="217"/>
        <v>0.32631322881052832</v>
      </c>
      <c r="CT64" s="1376">
        <f t="shared" si="217"/>
        <v>0.34319377500551296</v>
      </c>
      <c r="CU64" s="1376">
        <f t="shared" si="217"/>
        <v>0.34216515159910832</v>
      </c>
      <c r="CV64" s="1376">
        <f t="shared" si="217"/>
        <v>0.32122555019617888</v>
      </c>
      <c r="CW64" s="1376">
        <f t="shared" si="217"/>
        <v>0.29981463195963087</v>
      </c>
      <c r="CX64" s="1376">
        <f t="shared" si="217"/>
        <v>0.22042274740735643</v>
      </c>
      <c r="CY64" s="1376">
        <f t="shared" si="217"/>
        <v>0.33165444255147136</v>
      </c>
      <c r="CZ64" s="1376">
        <f t="shared" si="217"/>
        <v>0.30840091276110232</v>
      </c>
      <c r="DA64" s="1377">
        <f t="shared" si="217"/>
        <v>0.26400271069988396</v>
      </c>
      <c r="DB64" s="1376">
        <f t="shared" si="217"/>
        <v>0.27869347427725294</v>
      </c>
      <c r="DC64" s="1378">
        <f t="shared" si="217"/>
        <v>0.29973588758032688</v>
      </c>
      <c r="DD64" s="1376">
        <f t="shared" si="217"/>
        <v>0.28492922765082501</v>
      </c>
      <c r="DE64" s="1376">
        <f t="shared" si="217"/>
        <v>0.2747633573978342</v>
      </c>
      <c r="DF64" s="1376">
        <f t="shared" si="217"/>
        <v>0.35442063449734368</v>
      </c>
      <c r="DG64" s="1441">
        <f t="shared" si="217"/>
        <v>0.37649473488196367</v>
      </c>
      <c r="DH64" s="1441">
        <f t="shared" ref="DH64" si="218">DH63/DH8</f>
        <v>0.38261090577164653</v>
      </c>
      <c r="DI64" s="22"/>
    </row>
    <row r="65" spans="1:113" ht="14.25" customHeight="1" collapsed="1">
      <c r="A65" s="8"/>
      <c r="B65" s="612"/>
      <c r="C65" s="24"/>
      <c r="D65" s="38"/>
      <c r="E65" s="38"/>
      <c r="F65" s="38"/>
      <c r="G65" s="39"/>
      <c r="H65" s="38"/>
      <c r="I65" s="38"/>
      <c r="J65" s="38"/>
      <c r="K65" s="39"/>
      <c r="L65" s="38"/>
      <c r="M65" s="38"/>
      <c r="N65" s="38"/>
      <c r="O65" s="39"/>
      <c r="P65" s="38"/>
      <c r="Q65" s="38"/>
      <c r="R65" s="38"/>
      <c r="S65" s="39"/>
      <c r="T65" s="38"/>
      <c r="U65" s="38"/>
      <c r="V65" s="38"/>
      <c r="W65" s="39"/>
      <c r="X65" s="38"/>
      <c r="Y65" s="38"/>
      <c r="Z65" s="38"/>
      <c r="AA65" s="39"/>
      <c r="AB65" s="38"/>
      <c r="AC65" s="38"/>
      <c r="AD65" s="38"/>
      <c r="AE65" s="39"/>
      <c r="AF65" s="38"/>
      <c r="AG65" s="38"/>
      <c r="AH65" s="38"/>
      <c r="AI65" s="39"/>
      <c r="AJ65" s="40"/>
      <c r="AK65" s="38"/>
      <c r="AL65" s="38"/>
      <c r="AM65" s="39"/>
      <c r="AN65" s="40"/>
      <c r="AO65" s="38"/>
      <c r="AP65" s="38"/>
      <c r="AQ65" s="39"/>
      <c r="AR65" s="40"/>
      <c r="AS65" s="38"/>
      <c r="AT65" s="38"/>
      <c r="AU65" s="39"/>
      <c r="AV65" s="40"/>
      <c r="AW65" s="38"/>
      <c r="AX65" s="38"/>
      <c r="AY65" s="39"/>
      <c r="AZ65" s="40"/>
      <c r="BA65" s="38"/>
      <c r="BB65" s="38"/>
      <c r="BC65" s="38"/>
      <c r="BD65" s="40"/>
      <c r="BE65" s="38"/>
      <c r="BF65" s="38"/>
      <c r="BG65" s="39"/>
      <c r="BH65" s="38"/>
      <c r="BI65" s="38"/>
      <c r="BJ65" s="38"/>
      <c r="BK65" s="38"/>
      <c r="BL65" s="40"/>
      <c r="BM65" s="38"/>
      <c r="BN65" s="38"/>
      <c r="BO65" s="39"/>
      <c r="BP65" s="40"/>
      <c r="BQ65" s="38"/>
      <c r="BR65" s="38"/>
      <c r="BS65" s="39"/>
      <c r="BT65" s="40"/>
      <c r="BU65" s="38"/>
      <c r="BV65" s="38"/>
      <c r="BW65" s="39"/>
      <c r="BX65" s="20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9"/>
      <c r="CQ65" s="20"/>
      <c r="CR65" s="355"/>
      <c r="CS65" s="354"/>
      <c r="CT65" s="354"/>
      <c r="CU65" s="354"/>
      <c r="CV65" s="354"/>
      <c r="CW65" s="354"/>
      <c r="CX65" s="354"/>
      <c r="CY65" s="354"/>
      <c r="CZ65" s="354"/>
      <c r="DA65" s="782"/>
      <c r="DB65" s="354"/>
      <c r="DC65" s="355"/>
      <c r="DD65" s="354"/>
      <c r="DE65" s="354"/>
      <c r="DF65" s="354"/>
      <c r="DG65" s="354"/>
      <c r="DH65" s="354"/>
      <c r="DI65" s="22"/>
    </row>
    <row r="66" spans="1:113" ht="14.25" customHeight="1">
      <c r="A66" s="8"/>
      <c r="B66" s="612" t="s">
        <v>323</v>
      </c>
      <c r="C66" s="24"/>
      <c r="D66" s="31">
        <f t="shared" ref="D66:AP66" si="219">SUM(D67:D70)</f>
        <v>1.25</v>
      </c>
      <c r="E66" s="31">
        <f t="shared" si="219"/>
        <v>1.153</v>
      </c>
      <c r="F66" s="31">
        <f t="shared" si="219"/>
        <v>0.54</v>
      </c>
      <c r="G66" s="32">
        <f t="shared" si="219"/>
        <v>1.2720000000000002</v>
      </c>
      <c r="H66" s="31">
        <f t="shared" si="219"/>
        <v>1.0740000000000001</v>
      </c>
      <c r="I66" s="31">
        <f t="shared" si="219"/>
        <v>0.86699999999999999</v>
      </c>
      <c r="J66" s="31">
        <f t="shared" si="219"/>
        <v>1.117</v>
      </c>
      <c r="K66" s="32">
        <f t="shared" si="219"/>
        <v>3.5439999999999996</v>
      </c>
      <c r="L66" s="31">
        <f t="shared" si="219"/>
        <v>3.7489999999999997</v>
      </c>
      <c r="M66" s="31">
        <f t="shared" si="219"/>
        <v>4.4790000000000001</v>
      </c>
      <c r="N66" s="31">
        <f t="shared" si="219"/>
        <v>4.2990000000000004</v>
      </c>
      <c r="O66" s="32">
        <f t="shared" si="219"/>
        <v>6.0939999999999994</v>
      </c>
      <c r="P66" s="31">
        <f t="shared" si="219"/>
        <v>7.2679999999999998</v>
      </c>
      <c r="Q66" s="31">
        <f t="shared" si="219"/>
        <v>7.09</v>
      </c>
      <c r="R66" s="31">
        <f t="shared" si="219"/>
        <v>8.4830000000000005</v>
      </c>
      <c r="S66" s="32">
        <f t="shared" si="219"/>
        <v>9.98</v>
      </c>
      <c r="T66" s="31">
        <f t="shared" si="219"/>
        <v>11.613999999999999</v>
      </c>
      <c r="U66" s="31">
        <f t="shared" si="219"/>
        <v>13.23</v>
      </c>
      <c r="V66" s="31">
        <f t="shared" si="219"/>
        <v>14.372</v>
      </c>
      <c r="W66" s="32">
        <f t="shared" si="219"/>
        <v>14.063000000000001</v>
      </c>
      <c r="X66" s="31">
        <f t="shared" si="219"/>
        <v>15.723999999999998</v>
      </c>
      <c r="Y66" s="31">
        <f t="shared" si="219"/>
        <v>14.469999999999999</v>
      </c>
      <c r="Z66" s="31">
        <f t="shared" si="219"/>
        <v>12.037000000000001</v>
      </c>
      <c r="AA66" s="32">
        <f t="shared" si="219"/>
        <v>5.5600000000000023</v>
      </c>
      <c r="AB66" s="31">
        <f t="shared" si="219"/>
        <v>5.3019999999999996</v>
      </c>
      <c r="AC66" s="31">
        <f t="shared" si="219"/>
        <v>4.9529999999999994</v>
      </c>
      <c r="AD66" s="31">
        <f t="shared" si="219"/>
        <v>-20.064</v>
      </c>
      <c r="AE66" s="32">
        <f t="shared" si="219"/>
        <v>8.5600000000000023</v>
      </c>
      <c r="AF66" s="31">
        <f t="shared" si="219"/>
        <v>1.4769999999999994</v>
      </c>
      <c r="AG66" s="31">
        <f t="shared" si="219"/>
        <v>-1.4439999999999991</v>
      </c>
      <c r="AH66" s="31">
        <f t="shared" si="219"/>
        <v>-2.6890000000000001</v>
      </c>
      <c r="AI66" s="32">
        <f t="shared" si="219"/>
        <v>-4.490000000000002</v>
      </c>
      <c r="AJ66" s="33">
        <f t="shared" si="219"/>
        <v>-6.2569999999999997</v>
      </c>
      <c r="AK66" s="31">
        <f t="shared" si="219"/>
        <v>-3.8129999999999997</v>
      </c>
      <c r="AL66" s="31">
        <f t="shared" si="219"/>
        <v>-4.2159999999999993</v>
      </c>
      <c r="AM66" s="32">
        <f t="shared" si="219"/>
        <v>-9.4160000000000039</v>
      </c>
      <c r="AN66" s="33">
        <f t="shared" si="219"/>
        <v>-3.0340000000000003</v>
      </c>
      <c r="AO66" s="31">
        <f t="shared" si="219"/>
        <v>-7.35</v>
      </c>
      <c r="AP66" s="31">
        <f t="shared" si="219"/>
        <v>-4.45</v>
      </c>
      <c r="AQ66" s="32">
        <f>SUM(AQ67:AQ70)</f>
        <v>-1.986999999999993</v>
      </c>
      <c r="AR66" s="33">
        <f>SUM(AR67:AR70)</f>
        <v>-5.4689999999999994</v>
      </c>
      <c r="AS66" s="31">
        <f>SUM(AS67:AS70)</f>
        <v>-5.9749999999999996</v>
      </c>
      <c r="AT66" s="31">
        <f>SUM(AT67:AT70)</f>
        <v>-7.7210000000000001</v>
      </c>
      <c r="AU66" s="32">
        <f t="shared" ref="AU66:BD66" si="220">SUM(AU67:AU70)</f>
        <v>-7.2109999999999985</v>
      </c>
      <c r="AV66" s="33">
        <f t="shared" si="220"/>
        <v>-8.0649999999999995</v>
      </c>
      <c r="AW66" s="31">
        <f t="shared" si="220"/>
        <v>-6.3020000000000005</v>
      </c>
      <c r="AX66" s="31">
        <f t="shared" si="220"/>
        <v>-4.33</v>
      </c>
      <c r="AY66" s="32">
        <f t="shared" si="220"/>
        <v>-7.8130000000000015</v>
      </c>
      <c r="AZ66" s="33">
        <f t="shared" si="220"/>
        <v>-8.9550000000000001</v>
      </c>
      <c r="BA66" s="31">
        <f t="shared" si="220"/>
        <v>-10.614000000000001</v>
      </c>
      <c r="BB66" s="31">
        <f t="shared" si="220"/>
        <v>-11.818</v>
      </c>
      <c r="BC66" s="31">
        <f t="shared" si="220"/>
        <v>-48.326000000000001</v>
      </c>
      <c r="BD66" s="33">
        <f t="shared" si="220"/>
        <v>-1.754</v>
      </c>
      <c r="BE66" s="31">
        <f t="shared" ref="BE66:BJ66" si="221">SUM(BE67:BE70)</f>
        <v>-20.991</v>
      </c>
      <c r="BF66" s="31">
        <f t="shared" si="221"/>
        <v>-26.056999999999999</v>
      </c>
      <c r="BG66" s="32">
        <f t="shared" si="221"/>
        <v>-22.333000000000002</v>
      </c>
      <c r="BH66" s="31">
        <f t="shared" si="221"/>
        <v>-31.643000000000001</v>
      </c>
      <c r="BI66" s="31">
        <f t="shared" si="221"/>
        <v>-37.525999999999996</v>
      </c>
      <c r="BJ66" s="31">
        <f t="shared" si="221"/>
        <v>-34.576000000000001</v>
      </c>
      <c r="BK66" s="31">
        <f t="shared" ref="BK66:BN66" si="222">SUM(BK67:BK70)</f>
        <v>-82.285000000000011</v>
      </c>
      <c r="BL66" s="33">
        <f t="shared" si="222"/>
        <v>-55.393000000000001</v>
      </c>
      <c r="BM66" s="31">
        <f t="shared" si="222"/>
        <v>-39.162999999999997</v>
      </c>
      <c r="BN66" s="31">
        <f t="shared" si="222"/>
        <v>-48.595999999999997</v>
      </c>
      <c r="BO66" s="32">
        <f t="shared" ref="BO66:BS66" si="223">SUM(BO67:BO70)</f>
        <v>-15.755999999999998</v>
      </c>
      <c r="BP66" s="33">
        <f t="shared" si="223"/>
        <v>-15.505999999999998</v>
      </c>
      <c r="BQ66" s="31">
        <f t="shared" si="223"/>
        <v>-15.255999999999998</v>
      </c>
      <c r="BR66" s="31">
        <f t="shared" si="223"/>
        <v>-15.005999999999998</v>
      </c>
      <c r="BS66" s="32">
        <f t="shared" si="223"/>
        <v>-14.755999999999998</v>
      </c>
      <c r="BT66" s="33">
        <f t="shared" ref="BT66:BW66" si="224">SUM(BT67:BT70)</f>
        <v>-14.505999999999998</v>
      </c>
      <c r="BU66" s="31">
        <f t="shared" si="224"/>
        <v>-14.255999999999998</v>
      </c>
      <c r="BV66" s="31">
        <f t="shared" si="224"/>
        <v>-14.005999999999998</v>
      </c>
      <c r="BW66" s="32">
        <f t="shared" si="224"/>
        <v>-13.755999999999998</v>
      </c>
      <c r="BX66" s="107"/>
      <c r="BY66" s="31">
        <f>SUM(BY67:BY70)</f>
        <v>4.2150000000000007</v>
      </c>
      <c r="BZ66" s="31">
        <f>SUM(BZ67:BZ70)</f>
        <v>6.6020000000000003</v>
      </c>
      <c r="CA66" s="31">
        <f>SUM(CA67:CA70)</f>
        <v>18.620999999999995</v>
      </c>
      <c r="CB66" s="31">
        <f t="shared" ref="CB66:CL66" si="225">SUM(CB67:CB70)</f>
        <v>32.820999999999998</v>
      </c>
      <c r="CC66" s="31">
        <f t="shared" si="225"/>
        <v>53.279000000000003</v>
      </c>
      <c r="CD66" s="31">
        <f t="shared" si="225"/>
        <v>47.791000000000004</v>
      </c>
      <c r="CE66" s="31">
        <f t="shared" si="225"/>
        <v>-1.2489999999999988</v>
      </c>
      <c r="CF66" s="31">
        <f t="shared" si="225"/>
        <v>-7.145999999999999</v>
      </c>
      <c r="CG66" s="31">
        <f t="shared" si="225"/>
        <v>-23.702000000000002</v>
      </c>
      <c r="CH66" s="31">
        <f t="shared" si="225"/>
        <v>-16.820999999999998</v>
      </c>
      <c r="CI66" s="31">
        <f t="shared" si="225"/>
        <v>-26.375999999999998</v>
      </c>
      <c r="CJ66" s="31">
        <f t="shared" si="225"/>
        <v>-26.510000000000009</v>
      </c>
      <c r="CK66" s="31">
        <f t="shared" si="225"/>
        <v>-79.712999999999994</v>
      </c>
      <c r="CL66" s="31">
        <f t="shared" si="225"/>
        <v>-71.134999999999991</v>
      </c>
      <c r="CM66" s="31">
        <f>SUM(CM67:CM70)</f>
        <v>-186.03</v>
      </c>
      <c r="CN66" s="31">
        <f>SUM(CN67:CN70)</f>
        <v>-158.90799999999999</v>
      </c>
      <c r="CO66" s="31">
        <f>SUM(CO67:CO70)</f>
        <v>-60.523999999999994</v>
      </c>
      <c r="CP66" s="32">
        <f>SUM(CP67:CP70)</f>
        <v>-56.523999999999994</v>
      </c>
      <c r="CQ66" s="20"/>
      <c r="CR66" s="33">
        <f>SUM(CR67:CR70)</f>
        <v>4.33</v>
      </c>
      <c r="CS66" s="31">
        <f>SUM(CS67:CS70)</f>
        <v>16.070999999999998</v>
      </c>
      <c r="CT66" s="31">
        <f>SUM(CT67:CT70)</f>
        <v>28.934999999999999</v>
      </c>
      <c r="CU66" s="31">
        <f t="shared" ref="CU66:DC66" si="226">SUM(CU67:CU70)</f>
        <v>49.196000000000005</v>
      </c>
      <c r="CV66" s="31">
        <f t="shared" si="226"/>
        <v>56.293999999999997</v>
      </c>
      <c r="CW66" s="31">
        <f t="shared" si="226"/>
        <v>-4.248999999999997</v>
      </c>
      <c r="CX66" s="31">
        <f t="shared" si="226"/>
        <v>5.9040000000000035</v>
      </c>
      <c r="CY66" s="31">
        <f t="shared" si="226"/>
        <v>-18.776</v>
      </c>
      <c r="CZ66" s="31">
        <f t="shared" si="226"/>
        <v>-24.25</v>
      </c>
      <c r="DA66" s="32">
        <f t="shared" si="226"/>
        <v>-21.15199999999999</v>
      </c>
      <c r="DB66" s="31">
        <f t="shared" si="226"/>
        <v>-25.907999999999994</v>
      </c>
      <c r="DC66" s="33">
        <f t="shared" si="226"/>
        <v>-39.200000000000003</v>
      </c>
      <c r="DD66" s="31">
        <f>SUM(DD67:DD70)</f>
        <v>-97.127999999999986</v>
      </c>
      <c r="DE66" s="31">
        <f>SUM(DE67:DE70)</f>
        <v>-126.078</v>
      </c>
      <c r="DF66" s="31">
        <f>SUM(DF67:DF70)</f>
        <v>-225.43700000000001</v>
      </c>
      <c r="DG66" s="31">
        <f>SUM(DG67:DG70)</f>
        <v>-61.523999999999994</v>
      </c>
      <c r="DH66" s="31">
        <f>SUM(DH67:DH70)</f>
        <v>-57.523999999999994</v>
      </c>
      <c r="DI66" s="22"/>
    </row>
    <row r="67" spans="1:113" ht="14.25" hidden="1" customHeight="1" outlineLevel="1">
      <c r="A67" s="11"/>
      <c r="B67" s="611" t="s">
        <v>404</v>
      </c>
      <c r="C67" s="28"/>
      <c r="D67" s="29">
        <v>0</v>
      </c>
      <c r="E67" s="29">
        <v>0</v>
      </c>
      <c r="F67" s="29">
        <v>0</v>
      </c>
      <c r="G67" s="455">
        <f>0-F67-E67-D67</f>
        <v>0</v>
      </c>
      <c r="H67" s="29">
        <v>0</v>
      </c>
      <c r="I67" s="29">
        <v>0</v>
      </c>
      <c r="J67" s="29">
        <v>0</v>
      </c>
      <c r="K67" s="455">
        <f>0-J67-I67-H67</f>
        <v>0</v>
      </c>
      <c r="L67" s="29">
        <v>0</v>
      </c>
      <c r="M67" s="29">
        <v>0</v>
      </c>
      <c r="N67" s="29">
        <v>0</v>
      </c>
      <c r="O67" s="455">
        <f>0-N67-M67-L67</f>
        <v>0</v>
      </c>
      <c r="P67" s="29">
        <v>0</v>
      </c>
      <c r="Q67" s="29">
        <v>0</v>
      </c>
      <c r="R67" s="29">
        <v>0</v>
      </c>
      <c r="S67" s="30">
        <v>0</v>
      </c>
      <c r="T67" s="29">
        <v>0</v>
      </c>
      <c r="U67" s="29">
        <v>0</v>
      </c>
      <c r="V67" s="29">
        <v>0</v>
      </c>
      <c r="W67" s="30">
        <v>0</v>
      </c>
      <c r="X67" s="29">
        <v>0</v>
      </c>
      <c r="Y67" s="29">
        <v>0</v>
      </c>
      <c r="Z67" s="29">
        <v>0</v>
      </c>
      <c r="AA67" s="30">
        <v>0</v>
      </c>
      <c r="AB67" s="29">
        <v>0</v>
      </c>
      <c r="AC67" s="29">
        <v>0</v>
      </c>
      <c r="AD67" s="29">
        <v>0</v>
      </c>
      <c r="AE67" s="30">
        <v>0</v>
      </c>
      <c r="AF67" s="29">
        <v>0</v>
      </c>
      <c r="AG67" s="29">
        <v>0</v>
      </c>
      <c r="AH67" s="29">
        <v>0</v>
      </c>
      <c r="AI67" s="30">
        <v>0</v>
      </c>
      <c r="AJ67" s="577">
        <v>-5.1999999999999998E-2</v>
      </c>
      <c r="AK67" s="29">
        <v>-4.2999999999999997E-2</v>
      </c>
      <c r="AL67" s="29">
        <v>0.28000000000000003</v>
      </c>
      <c r="AM67" s="30">
        <f>0.157-AL67-AK67-AJ67</f>
        <v>-2.8000000000000032E-2</v>
      </c>
      <c r="AN67" s="577">
        <v>-6.0999999999999999E-2</v>
      </c>
      <c r="AO67" s="29">
        <v>-1.2999999999999999E-2</v>
      </c>
      <c r="AP67" s="29">
        <v>1.4E-2</v>
      </c>
      <c r="AQ67" s="30">
        <f>-0.195-AP67-AO67-AN67</f>
        <v>-0.13500000000000001</v>
      </c>
      <c r="AR67" s="577">
        <v>-0.121</v>
      </c>
      <c r="AS67" s="29">
        <v>-3.2000000000000001E-2</v>
      </c>
      <c r="AT67" s="29">
        <v>-0.22900000000000001</v>
      </c>
      <c r="AU67" s="30">
        <f>-0.617-AR67-AS67-AT67</f>
        <v>-0.23499999999999996</v>
      </c>
      <c r="AV67" s="577">
        <v>-0.26</v>
      </c>
      <c r="AW67" s="29">
        <v>-0.10100000000000001</v>
      </c>
      <c r="AX67" s="29">
        <v>0.15</v>
      </c>
      <c r="AY67" s="30">
        <f>-0.177-AV67-AW67-AX67</f>
        <v>3.400000000000003E-2</v>
      </c>
      <c r="AZ67" s="577">
        <v>-3.2000000000000001E-2</v>
      </c>
      <c r="BA67" s="29">
        <v>-3.5000000000000003E-2</v>
      </c>
      <c r="BB67" s="29">
        <v>-6.2E-2</v>
      </c>
      <c r="BC67" s="29">
        <v>-0.188</v>
      </c>
      <c r="BD67" s="577">
        <v>-0.17699999999999999</v>
      </c>
      <c r="BE67" s="29">
        <v>-5.6000000000000001E-2</v>
      </c>
      <c r="BF67" s="29">
        <v>-0.13900000000000001</v>
      </c>
      <c r="BG67" s="30">
        <v>-5.6000000000000001E-2</v>
      </c>
      <c r="BH67" s="29">
        <v>-5.6000000000000001E-2</v>
      </c>
      <c r="BI67" s="29">
        <v>-5.6000000000000001E-2</v>
      </c>
      <c r="BJ67" s="29">
        <v>-5.5E-2</v>
      </c>
      <c r="BK67" s="29">
        <v>-5.5E-2</v>
      </c>
      <c r="BL67" s="577">
        <v>-5.5E-2</v>
      </c>
      <c r="BM67" s="29">
        <v>-5.6000000000000001E-2</v>
      </c>
      <c r="BN67" s="29">
        <v>-5.6000000000000001E-2</v>
      </c>
      <c r="BO67" s="32">
        <f t="shared" ref="BO67" si="227">BN67</f>
        <v>-5.6000000000000001E-2</v>
      </c>
      <c r="BP67" s="33">
        <f t="shared" ref="BP67:BW67" si="228">BO67</f>
        <v>-5.6000000000000001E-2</v>
      </c>
      <c r="BQ67" s="31">
        <f t="shared" si="228"/>
        <v>-5.6000000000000001E-2</v>
      </c>
      <c r="BR67" s="31">
        <f t="shared" si="228"/>
        <v>-5.6000000000000001E-2</v>
      </c>
      <c r="BS67" s="32">
        <f t="shared" si="228"/>
        <v>-5.6000000000000001E-2</v>
      </c>
      <c r="BT67" s="33">
        <f t="shared" si="228"/>
        <v>-5.6000000000000001E-2</v>
      </c>
      <c r="BU67" s="31">
        <f t="shared" si="228"/>
        <v>-5.6000000000000001E-2</v>
      </c>
      <c r="BV67" s="31">
        <f t="shared" si="228"/>
        <v>-5.6000000000000001E-2</v>
      </c>
      <c r="BW67" s="32">
        <f t="shared" si="228"/>
        <v>-5.6000000000000001E-2</v>
      </c>
      <c r="BX67" s="160"/>
      <c r="BY67" s="31">
        <f>SUM(D67:G67)</f>
        <v>0</v>
      </c>
      <c r="BZ67" s="31">
        <f>SUM(H67:K67)</f>
        <v>0</v>
      </c>
      <c r="CA67" s="31">
        <f>SUM(L67:O67)</f>
        <v>0</v>
      </c>
      <c r="CB67" s="31">
        <f>SUM(P67:S67)</f>
        <v>0</v>
      </c>
      <c r="CC67" s="31">
        <f>SUM(T67:W67)</f>
        <v>0</v>
      </c>
      <c r="CD67" s="31">
        <f>SUM(X67:AA67)</f>
        <v>0</v>
      </c>
      <c r="CE67" s="31">
        <f>SUM(AB67:AE67)</f>
        <v>0</v>
      </c>
      <c r="CF67" s="31">
        <f>SUM(AF67:AI67)</f>
        <v>0</v>
      </c>
      <c r="CG67" s="31">
        <f>SUM(AJ67:AM67)</f>
        <v>0.157</v>
      </c>
      <c r="CH67" s="31">
        <f>SUM(AN67:AQ67)</f>
        <v>-0.19500000000000001</v>
      </c>
      <c r="CI67" s="31">
        <f>SUM(AR67:AU67)</f>
        <v>-0.61699999999999999</v>
      </c>
      <c r="CJ67" s="31">
        <f>SUM(AV67:AY67)</f>
        <v>-0.17699999999999996</v>
      </c>
      <c r="CK67" s="31">
        <f>SUM(AZ67:BC67)</f>
        <v>-0.317</v>
      </c>
      <c r="CL67" s="31">
        <f>SUM(BD67:BG67)</f>
        <v>-0.42799999999999999</v>
      </c>
      <c r="CM67" s="31">
        <f>SUM(BH67:BK67)</f>
        <v>-0.222</v>
      </c>
      <c r="CN67" s="31">
        <f>SUM(BL67:BO67)</f>
        <v>-0.223</v>
      </c>
      <c r="CO67" s="31">
        <f>SUM(BP67:BS67)</f>
        <v>-0.224</v>
      </c>
      <c r="CP67" s="32">
        <f>SUM(BT67:BW67)</f>
        <v>-0.224</v>
      </c>
      <c r="CQ67" s="160"/>
      <c r="CR67" s="33">
        <f>SUM(G67:J67)</f>
        <v>0</v>
      </c>
      <c r="CS67" s="31">
        <f>SUM(K67:N67)</f>
        <v>0</v>
      </c>
      <c r="CT67" s="31">
        <f>SUM(O67:R67)</f>
        <v>0</v>
      </c>
      <c r="CU67" s="31">
        <f>SUM(S67:V67)</f>
        <v>0</v>
      </c>
      <c r="CV67" s="31">
        <f>SUM(W67:Z67)</f>
        <v>0</v>
      </c>
      <c r="CW67" s="31">
        <f>SUM(AA67:AD67)</f>
        <v>0</v>
      </c>
      <c r="CX67" s="31">
        <f>SUM(AE67:AH67)</f>
        <v>0</v>
      </c>
      <c r="CY67" s="31">
        <f>SUM(AI67:AL67)</f>
        <v>0.18500000000000003</v>
      </c>
      <c r="CZ67" s="31">
        <f>SUM(AM67:AP67)</f>
        <v>-8.8000000000000023E-2</v>
      </c>
      <c r="DA67" s="32">
        <f>SUM(AQ67:AT67)</f>
        <v>-0.51700000000000002</v>
      </c>
      <c r="DB67" s="31">
        <f>SUM(AU67:AX67)</f>
        <v>-0.44599999999999995</v>
      </c>
      <c r="DC67" s="33">
        <f>SUM(AY67:BB67)</f>
        <v>-9.4999999999999973E-2</v>
      </c>
      <c r="DD67" s="31">
        <f>SUM(BC67:BF67)</f>
        <v>-0.56000000000000005</v>
      </c>
      <c r="DE67" s="31">
        <f>SUM(BG67:BJ67)</f>
        <v>-0.223</v>
      </c>
      <c r="DF67" s="31">
        <f>SUM(BK67:BN67)</f>
        <v>-0.222</v>
      </c>
      <c r="DG67" s="31">
        <f>SUM(BO67:BR67)</f>
        <v>-0.224</v>
      </c>
      <c r="DH67" s="31">
        <f>SUM(BS67:BV67)</f>
        <v>-0.224</v>
      </c>
      <c r="DI67" s="23"/>
    </row>
    <row r="68" spans="1:113" ht="14.25" hidden="1" customHeight="1" outlineLevel="1">
      <c r="A68" s="8"/>
      <c r="B68" s="611" t="s">
        <v>307</v>
      </c>
      <c r="C68" s="28"/>
      <c r="D68" s="29">
        <v>1.4019999999999999</v>
      </c>
      <c r="E68" s="29">
        <v>1.0720000000000001</v>
      </c>
      <c r="F68" s="29">
        <v>0.68100000000000005</v>
      </c>
      <c r="G68" s="455">
        <f>3.837-F68-E68-D68</f>
        <v>0.68200000000000016</v>
      </c>
      <c r="H68" s="29">
        <v>0.79100000000000004</v>
      </c>
      <c r="I68" s="29">
        <v>0.89300000000000002</v>
      </c>
      <c r="J68" s="29">
        <v>1.1850000000000001</v>
      </c>
      <c r="K68" s="455">
        <f>4.888-J68-I68-H68</f>
        <v>2.0189999999999997</v>
      </c>
      <c r="L68" s="29">
        <v>2.92</v>
      </c>
      <c r="M68" s="29">
        <v>4.2649999999999997</v>
      </c>
      <c r="N68" s="29">
        <v>4.9119999999999999</v>
      </c>
      <c r="O68" s="455">
        <f>17.804-N68-M68-L68</f>
        <v>5.706999999999999</v>
      </c>
      <c r="P68" s="29">
        <v>6.58</v>
      </c>
      <c r="Q68" s="29">
        <v>7.5179999999999998</v>
      </c>
      <c r="R68" s="29">
        <v>8.6679999999999993</v>
      </c>
      <c r="S68" s="30">
        <f>32.753-R68-Q68-P68</f>
        <v>9.9870000000000001</v>
      </c>
      <c r="T68" s="29">
        <v>13.927</v>
      </c>
      <c r="U68" s="29">
        <v>13.23</v>
      </c>
      <c r="V68" s="29">
        <v>14.372</v>
      </c>
      <c r="W68" s="30">
        <v>14.063000000000001</v>
      </c>
      <c r="X68" s="29">
        <v>14.901999999999999</v>
      </c>
      <c r="Y68" s="29">
        <v>14.417999999999999</v>
      </c>
      <c r="Z68" s="29">
        <v>13.467000000000001</v>
      </c>
      <c r="AA68" s="30">
        <f>54.851-Z68-Y68-X68</f>
        <v>12.064000000000002</v>
      </c>
      <c r="AB68" s="29">
        <v>10.199</v>
      </c>
      <c r="AC68" s="29">
        <v>10.151999999999999</v>
      </c>
      <c r="AD68" s="29">
        <v>7.41</v>
      </c>
      <c r="AE68" s="30">
        <f>32.545-AD68-AC68-AB68</f>
        <v>4.7840000000000025</v>
      </c>
      <c r="AF68" s="29">
        <v>3.302</v>
      </c>
      <c r="AG68" s="29">
        <v>4.4790000000000001</v>
      </c>
      <c r="AH68" s="29">
        <v>4.9459999999999997</v>
      </c>
      <c r="AI68" s="949">
        <f>15.325-AH68-AG68-AF68</f>
        <v>2.5979999999999994</v>
      </c>
      <c r="AJ68" s="577">
        <v>4.3460000000000001</v>
      </c>
      <c r="AK68" s="29">
        <v>4.07</v>
      </c>
      <c r="AL68" s="29">
        <v>3.9550000000000001</v>
      </c>
      <c r="AM68" s="30">
        <f>16.002-AL68-AK68-AJ68</f>
        <v>3.6309999999999985</v>
      </c>
      <c r="AN68" s="577">
        <v>4.0060000000000002</v>
      </c>
      <c r="AO68" s="29">
        <v>4.0279999999999996</v>
      </c>
      <c r="AP68" s="29">
        <v>4.3739999999999997</v>
      </c>
      <c r="AQ68" s="30">
        <f>17.992-AP68-AO68-AN68</f>
        <v>5.5840000000000032</v>
      </c>
      <c r="AR68" s="577">
        <v>4.3319999999999999</v>
      </c>
      <c r="AS68" s="29">
        <v>3.7440000000000002</v>
      </c>
      <c r="AT68" s="29">
        <v>3.8130000000000002</v>
      </c>
      <c r="AU68" s="30">
        <f>15.56-AR68-AS68-AT68</f>
        <v>3.6710000000000016</v>
      </c>
      <c r="AV68" s="577">
        <v>3.9249999999999998</v>
      </c>
      <c r="AW68" s="29">
        <v>4.01</v>
      </c>
      <c r="AX68" s="29">
        <v>4.2409999999999997</v>
      </c>
      <c r="AY68" s="714">
        <v>0</v>
      </c>
      <c r="AZ68" s="712">
        <f>+BS!AZ170</f>
        <v>0</v>
      </c>
      <c r="BA68" s="713">
        <f>+BS!BA170</f>
        <v>0</v>
      </c>
      <c r="BB68" s="713">
        <f>+BS!BB170</f>
        <v>0</v>
      </c>
      <c r="BC68" s="713">
        <v>0</v>
      </c>
      <c r="BD68" s="712">
        <f>+BS!BD170</f>
        <v>0</v>
      </c>
      <c r="BE68" s="713">
        <f>+BS!BE170</f>
        <v>0</v>
      </c>
      <c r="BF68" s="713">
        <f>+BS!BF170</f>
        <v>0</v>
      </c>
      <c r="BG68" s="714">
        <v>0</v>
      </c>
      <c r="BH68" s="713">
        <f>+BS!BH170</f>
        <v>0</v>
      </c>
      <c r="BI68" s="713">
        <f>+BS!BI170</f>
        <v>0</v>
      </c>
      <c r="BJ68" s="713">
        <f>+BS!BJ170</f>
        <v>0</v>
      </c>
      <c r="BK68" s="713">
        <v>0</v>
      </c>
      <c r="BL68" s="712">
        <f>+BS!BL170</f>
        <v>0</v>
      </c>
      <c r="BM68" s="713">
        <f>+BS!BM170</f>
        <v>0</v>
      </c>
      <c r="BN68" s="713">
        <f>+BS!BN170</f>
        <v>0</v>
      </c>
      <c r="BO68" s="714"/>
      <c r="BP68" s="712"/>
      <c r="BQ68" s="713"/>
      <c r="BR68" s="713"/>
      <c r="BS68" s="714"/>
      <c r="BT68" s="712"/>
      <c r="BU68" s="713"/>
      <c r="BV68" s="713"/>
      <c r="BW68" s="714"/>
      <c r="BX68" s="20"/>
      <c r="BY68" s="31">
        <f>SUM(D68:G68)</f>
        <v>3.8370000000000006</v>
      </c>
      <c r="BZ68" s="31">
        <f>SUM(H68:K68)</f>
        <v>4.8879999999999999</v>
      </c>
      <c r="CA68" s="31">
        <f>SUM(L68:O68)</f>
        <v>17.803999999999998</v>
      </c>
      <c r="CB68" s="31">
        <f>SUM(P68:S68)</f>
        <v>32.753</v>
      </c>
      <c r="CC68" s="31">
        <f>SUM(T68:W68)</f>
        <v>55.591999999999999</v>
      </c>
      <c r="CD68" s="31">
        <f>SUM(X68:AA68)</f>
        <v>54.850999999999999</v>
      </c>
      <c r="CE68" s="31">
        <f>SUM(AB68:AE68)</f>
        <v>32.545000000000002</v>
      </c>
      <c r="CF68" s="31">
        <f>SUM(AF68:AI68)</f>
        <v>15.324999999999999</v>
      </c>
      <c r="CG68" s="31">
        <f>SUM(AJ68:AM68)</f>
        <v>16.001999999999999</v>
      </c>
      <c r="CH68" s="31">
        <f>SUM(AN68:AQ68)</f>
        <v>17.992000000000001</v>
      </c>
      <c r="CI68" s="31">
        <f>SUM(AR68:AU68)</f>
        <v>15.560000000000002</v>
      </c>
      <c r="CJ68" s="31">
        <f>SUM(AV68:AY68)</f>
        <v>12.175999999999998</v>
      </c>
      <c r="CK68" s="31">
        <f>SUM(AZ68:BC68)</f>
        <v>0</v>
      </c>
      <c r="CL68" s="31">
        <f>SUM(BD68:BG68)</f>
        <v>0</v>
      </c>
      <c r="CM68" s="31">
        <f>SUM(BH68:BK68)</f>
        <v>0</v>
      </c>
      <c r="CN68" s="31">
        <f>SUM(BL68:BO68)</f>
        <v>0</v>
      </c>
      <c r="CO68" s="31">
        <f>SUM(BP68:BS68)</f>
        <v>0</v>
      </c>
      <c r="CP68" s="32">
        <f>SUM(BT68:BW68)</f>
        <v>0</v>
      </c>
      <c r="CQ68" s="20"/>
      <c r="CR68" s="33">
        <f>SUM(G68:J68)</f>
        <v>3.5510000000000006</v>
      </c>
      <c r="CS68" s="31">
        <f>SUM(K68:N68)</f>
        <v>14.116</v>
      </c>
      <c r="CT68" s="31">
        <f>SUM(O68:R68)</f>
        <v>28.472999999999999</v>
      </c>
      <c r="CU68" s="31">
        <f>SUM(S68:V68)</f>
        <v>51.516000000000005</v>
      </c>
      <c r="CV68" s="31">
        <f>SUM(W68:Z68)</f>
        <v>56.849999999999994</v>
      </c>
      <c r="CW68" s="31">
        <f>SUM(AA68:AD68)</f>
        <v>39.825000000000003</v>
      </c>
      <c r="CX68" s="31">
        <f>SUM(AE68:AH68)</f>
        <v>17.511000000000003</v>
      </c>
      <c r="CY68" s="31">
        <f>SUM(AI68:AL68)</f>
        <v>14.968999999999999</v>
      </c>
      <c r="CZ68" s="31">
        <f>SUM(AM68:AP68)</f>
        <v>16.038999999999998</v>
      </c>
      <c r="DA68" s="32">
        <f>SUM(AQ68:AT68)</f>
        <v>17.473000000000003</v>
      </c>
      <c r="DB68" s="31">
        <f>SUM(AU68:AX68)</f>
        <v>15.847000000000001</v>
      </c>
      <c r="DC68" s="33">
        <f>SUM(AY68:BB68)</f>
        <v>0</v>
      </c>
      <c r="DD68" s="31">
        <f>SUM(BC68:BF68)</f>
        <v>0</v>
      </c>
      <c r="DE68" s="31">
        <f>SUM(BG68:BJ68)</f>
        <v>0</v>
      </c>
      <c r="DF68" s="31">
        <f>SUM(BK68:BN68)</f>
        <v>0</v>
      </c>
      <c r="DG68" s="31">
        <f>SUM(BO68:BR68)</f>
        <v>0</v>
      </c>
      <c r="DH68" s="31">
        <f>SUM(BS68:BV68)</f>
        <v>0</v>
      </c>
      <c r="DI68" s="22"/>
    </row>
    <row r="69" spans="1:113" ht="14.25" hidden="1" customHeight="1" outlineLevel="1">
      <c r="A69" s="8"/>
      <c r="B69" s="611" t="s">
        <v>321</v>
      </c>
      <c r="C69" s="28"/>
      <c r="D69" s="29">
        <v>-0.13600000000000001</v>
      </c>
      <c r="E69" s="29">
        <v>-0.122</v>
      </c>
      <c r="F69" s="29">
        <v>-0.114</v>
      </c>
      <c r="G69" s="455">
        <f>-0.493-F69-E69-D69</f>
        <v>-0.121</v>
      </c>
      <c r="H69" s="29">
        <v>-5.3999999999999999E-2</v>
      </c>
      <c r="I69" s="29">
        <v>-6.2E-2</v>
      </c>
      <c r="J69" s="29">
        <v>-5.1999999999999998E-2</v>
      </c>
      <c r="K69" s="455">
        <f>-0.249-J69-I69-H69</f>
        <v>-8.1000000000000016E-2</v>
      </c>
      <c r="L69" s="29">
        <v>-0.13600000000000001</v>
      </c>
      <c r="M69" s="29">
        <v>-0.20699999999999999</v>
      </c>
      <c r="N69" s="29">
        <v>-0.27100000000000002</v>
      </c>
      <c r="O69" s="455">
        <f>-0.94-N69-M69-L69</f>
        <v>-0.32599999999999996</v>
      </c>
      <c r="P69" s="29">
        <v>-0.433</v>
      </c>
      <c r="Q69" s="29">
        <v>-0.505</v>
      </c>
      <c r="R69" s="29">
        <v>-0.55900000000000005</v>
      </c>
      <c r="S69" s="30">
        <f>-1.967-R69-Q69-P69</f>
        <v>-0.46999999999999992</v>
      </c>
      <c r="T69" s="29">
        <v>-2.4889999999999999</v>
      </c>
      <c r="U69" s="29">
        <v>0</v>
      </c>
      <c r="V69" s="29">
        <v>0</v>
      </c>
      <c r="W69" s="30">
        <v>0</v>
      </c>
      <c r="X69" s="29">
        <v>0</v>
      </c>
      <c r="Y69" s="29">
        <v>0</v>
      </c>
      <c r="Z69" s="29">
        <v>-1.635</v>
      </c>
      <c r="AA69" s="30">
        <f>-9.495-Z69</f>
        <v>-7.8599999999999994</v>
      </c>
      <c r="AB69" s="29">
        <v>-7.6420000000000003</v>
      </c>
      <c r="AC69" s="29">
        <v>-6.87</v>
      </c>
      <c r="AD69" s="29">
        <v>-7.0960000000000001</v>
      </c>
      <c r="AE69" s="30">
        <f>-29.44-AD69-AC69-AB69</f>
        <v>-7.8319999999999999</v>
      </c>
      <c r="AF69" s="29">
        <v>-7.5190000000000001</v>
      </c>
      <c r="AG69" s="29">
        <v>-8.0299999999999994</v>
      </c>
      <c r="AH69" s="29">
        <v>-7.7629999999999999</v>
      </c>
      <c r="AI69" s="949">
        <f>-31.15-AH69-AG69-AF69</f>
        <v>-7.838000000000001</v>
      </c>
      <c r="AJ69" s="577">
        <v>-7.7389999999999999</v>
      </c>
      <c r="AK69" s="29">
        <v>-8.0449999999999999</v>
      </c>
      <c r="AL69" s="29">
        <v>-7.6719999999999997</v>
      </c>
      <c r="AM69" s="30">
        <f>-31.521-AL69-AK69-AJ69</f>
        <v>-8.0650000000000013</v>
      </c>
      <c r="AN69" s="577">
        <v>-8.0150000000000006</v>
      </c>
      <c r="AO69" s="29">
        <v>-8.9109999999999996</v>
      </c>
      <c r="AP69" s="29">
        <v>-8.9939999999999998</v>
      </c>
      <c r="AQ69" s="30">
        <f>-34.266-AP69-AO69-AN69</f>
        <v>-8.3459999999999965</v>
      </c>
      <c r="AR69" s="577">
        <v>-9.1479999999999997</v>
      </c>
      <c r="AS69" s="29">
        <v>-10.757999999999999</v>
      </c>
      <c r="AT69" s="29">
        <v>-11.077</v>
      </c>
      <c r="AU69" s="30">
        <f>-40.915-AR69-AS69-AT69</f>
        <v>-9.9320000000000004</v>
      </c>
      <c r="AV69" s="577">
        <v>-11.856</v>
      </c>
      <c r="AW69" s="29">
        <v>-12.353999999999999</v>
      </c>
      <c r="AX69" s="29">
        <v>-12.545</v>
      </c>
      <c r="AY69" s="455">
        <f>-26.333-SUM(AV68:AX70)</f>
        <v>-7.8470000000000013</v>
      </c>
      <c r="AZ69" s="577">
        <v>0</v>
      </c>
      <c r="BA69" s="29">
        <v>0</v>
      </c>
      <c r="BB69" s="29">
        <v>-11.756</v>
      </c>
      <c r="BC69" s="1417">
        <v>0</v>
      </c>
      <c r="BD69" s="577">
        <v>0</v>
      </c>
      <c r="BE69" s="29">
        <v>0</v>
      </c>
      <c r="BF69" s="29">
        <v>0</v>
      </c>
      <c r="BG69" s="455">
        <v>0</v>
      </c>
      <c r="BH69" s="29">
        <v>0</v>
      </c>
      <c r="BI69" s="29">
        <v>0</v>
      </c>
      <c r="BJ69" s="29">
        <v>0</v>
      </c>
      <c r="BK69" s="1417">
        <v>0</v>
      </c>
      <c r="BL69" s="577">
        <v>0</v>
      </c>
      <c r="BM69" s="29">
        <v>0</v>
      </c>
      <c r="BN69" s="29">
        <v>0</v>
      </c>
      <c r="BO69" s="714">
        <v>0</v>
      </c>
      <c r="BP69" s="712">
        <v>0</v>
      </c>
      <c r="BQ69" s="713">
        <v>0</v>
      </c>
      <c r="BR69" s="713">
        <v>0</v>
      </c>
      <c r="BS69" s="714">
        <v>0</v>
      </c>
      <c r="BT69" s="712">
        <v>0</v>
      </c>
      <c r="BU69" s="713">
        <v>0</v>
      </c>
      <c r="BV69" s="713">
        <v>0</v>
      </c>
      <c r="BW69" s="714">
        <v>0</v>
      </c>
      <c r="BX69" s="20"/>
      <c r="BY69" s="31">
        <f>SUM(D69:G69)</f>
        <v>-0.49299999999999999</v>
      </c>
      <c r="BZ69" s="31">
        <f>SUM(H69:K69)</f>
        <v>-0.249</v>
      </c>
      <c r="CA69" s="31">
        <f>SUM(L69:O69)</f>
        <v>-0.94</v>
      </c>
      <c r="CB69" s="31">
        <f>SUM(P69:S69)</f>
        <v>-1.9669999999999999</v>
      </c>
      <c r="CC69" s="31">
        <f>SUM(T69:W69)</f>
        <v>-2.4889999999999999</v>
      </c>
      <c r="CD69" s="31">
        <f>SUM(X69:AA69)</f>
        <v>-9.4949999999999992</v>
      </c>
      <c r="CE69" s="31">
        <f>SUM(AB69:AE69)</f>
        <v>-29.44</v>
      </c>
      <c r="CF69" s="31">
        <f>SUM(AF69:AI69)</f>
        <v>-31.15</v>
      </c>
      <c r="CG69" s="31">
        <f>SUM(AJ69:AM69)</f>
        <v>-31.521000000000001</v>
      </c>
      <c r="CH69" s="31">
        <f>SUM(AN69:AQ69)</f>
        <v>-34.265999999999998</v>
      </c>
      <c r="CI69" s="31">
        <f>SUM(AR69:AU69)</f>
        <v>-40.914999999999999</v>
      </c>
      <c r="CJ69" s="31">
        <f>SUM(AV69:AY69)</f>
        <v>-44.602000000000004</v>
      </c>
      <c r="CK69" s="31">
        <f>SUM(AZ69:BC69)</f>
        <v>-11.756</v>
      </c>
      <c r="CL69" s="31">
        <f>SUM(BD69:BG69)</f>
        <v>0</v>
      </c>
      <c r="CM69" s="31">
        <f>SUM(BH69:BK69)</f>
        <v>0</v>
      </c>
      <c r="CN69" s="31">
        <f>SUM(BL69:BO69)</f>
        <v>0</v>
      </c>
      <c r="CO69" s="31">
        <f>SUM(BP69:BS69)</f>
        <v>0</v>
      </c>
      <c r="CP69" s="32">
        <f>SUM(BT69:BW69)</f>
        <v>0</v>
      </c>
      <c r="CQ69" s="20"/>
      <c r="CR69" s="33">
        <f>SUM(G69:J69)</f>
        <v>-0.28899999999999998</v>
      </c>
      <c r="CS69" s="31">
        <f>SUM(K69:N69)</f>
        <v>-0.69500000000000006</v>
      </c>
      <c r="CT69" s="31">
        <f>SUM(O69:R69)</f>
        <v>-1.823</v>
      </c>
      <c r="CU69" s="31">
        <f>SUM(S69:V69)</f>
        <v>-2.9589999999999996</v>
      </c>
      <c r="CV69" s="31">
        <f>SUM(W69:Z69)</f>
        <v>-1.635</v>
      </c>
      <c r="CW69" s="31">
        <f>SUM(AA69:AD69)</f>
        <v>-29.468</v>
      </c>
      <c r="CX69" s="31">
        <f>SUM(AE69:AH69)</f>
        <v>-31.143999999999998</v>
      </c>
      <c r="CY69" s="31">
        <f>SUM(AI69:AL69)</f>
        <v>-31.294</v>
      </c>
      <c r="CZ69" s="31">
        <f>SUM(AM69:AP69)</f>
        <v>-33.984999999999999</v>
      </c>
      <c r="DA69" s="32">
        <f>SUM(AQ69:AT69)</f>
        <v>-39.328999999999994</v>
      </c>
      <c r="DB69" s="31">
        <f>SUM(AU69:AX69)</f>
        <v>-46.686999999999998</v>
      </c>
      <c r="DC69" s="33">
        <f>SUM(AY69:BB69)</f>
        <v>-19.603000000000002</v>
      </c>
      <c r="DD69" s="31">
        <f>SUM(BC69:BF69)</f>
        <v>0</v>
      </c>
      <c r="DE69" s="31">
        <f>SUM(BG69:BJ69)</f>
        <v>0</v>
      </c>
      <c r="DF69" s="31">
        <f>SUM(BK69:BN69)</f>
        <v>0</v>
      </c>
      <c r="DG69" s="31">
        <f>SUM(BO69:BR69)</f>
        <v>0</v>
      </c>
      <c r="DH69" s="31">
        <f>SUM(BS69:BV69)</f>
        <v>0</v>
      </c>
      <c r="DI69" s="22"/>
    </row>
    <row r="70" spans="1:113" ht="14.25" hidden="1" customHeight="1" outlineLevel="1">
      <c r="A70" s="8"/>
      <c r="B70" s="611" t="s">
        <v>9</v>
      </c>
      <c r="C70" s="28"/>
      <c r="D70" s="29">
        <v>-1.6E-2</v>
      </c>
      <c r="E70" s="29">
        <v>0.20300000000000001</v>
      </c>
      <c r="F70" s="29">
        <v>-2.7E-2</v>
      </c>
      <c r="G70" s="455">
        <f>0.871-F70-E70-D70</f>
        <v>0.71100000000000008</v>
      </c>
      <c r="H70" s="29">
        <v>0.33700000000000002</v>
      </c>
      <c r="I70" s="29">
        <v>3.5999999999999997E-2</v>
      </c>
      <c r="J70" s="29">
        <v>-1.6E-2</v>
      </c>
      <c r="K70" s="455">
        <f>1.963-J70-I70-H70</f>
        <v>1.6060000000000001</v>
      </c>
      <c r="L70" s="29">
        <v>0.96499999999999997</v>
      </c>
      <c r="M70" s="29">
        <v>0.42099999999999999</v>
      </c>
      <c r="N70" s="29">
        <v>-0.34200000000000003</v>
      </c>
      <c r="O70" s="455">
        <f>1.757-N70-M70-L70</f>
        <v>0.71299999999999975</v>
      </c>
      <c r="P70" s="29">
        <v>1.1209999999999996</v>
      </c>
      <c r="Q70" s="29">
        <v>7.6999999999999957E-2</v>
      </c>
      <c r="R70" s="29">
        <v>0.374</v>
      </c>
      <c r="S70" s="30">
        <f>2.035-R70-Q70-P70</f>
        <v>0.46300000000000052</v>
      </c>
      <c r="T70" s="29">
        <v>0.17599999999999999</v>
      </c>
      <c r="U70" s="29">
        <v>0</v>
      </c>
      <c r="V70" s="29">
        <v>0</v>
      </c>
      <c r="W70" s="30">
        <v>0</v>
      </c>
      <c r="X70" s="29">
        <v>0.82199999999999995</v>
      </c>
      <c r="Y70" s="29">
        <v>5.1999999999999998E-2</v>
      </c>
      <c r="Z70" s="29">
        <v>0.20499999999999999</v>
      </c>
      <c r="AA70" s="30">
        <f>2.435-Z70-Y70-X70</f>
        <v>1.3559999999999999</v>
      </c>
      <c r="AB70" s="29">
        <v>2.7450000000000001</v>
      </c>
      <c r="AC70" s="29">
        <v>1.671</v>
      </c>
      <c r="AD70" s="29">
        <v>-20.378</v>
      </c>
      <c r="AE70" s="30">
        <f>-4.354-AD70-AC70-AB70</f>
        <v>11.608000000000001</v>
      </c>
      <c r="AF70" s="29">
        <v>5.694</v>
      </c>
      <c r="AG70" s="29">
        <v>2.1070000000000002</v>
      </c>
      <c r="AH70" s="29">
        <v>0.128</v>
      </c>
      <c r="AI70" s="949">
        <f>8.679-AH70-AG70-AF70</f>
        <v>0.75</v>
      </c>
      <c r="AJ70" s="577">
        <f>-0.501-2.311</f>
        <v>-2.8119999999999998</v>
      </c>
      <c r="AK70" s="29">
        <f>1.873-1.668</f>
        <v>0.20500000000000007</v>
      </c>
      <c r="AL70" s="29">
        <f>0.375-1.154</f>
        <v>-0.77899999999999991</v>
      </c>
      <c r="AM70" s="30">
        <f>1.877-10.217-AL70-AK70-AJ70</f>
        <v>-4.9540000000000006</v>
      </c>
      <c r="AN70" s="577">
        <v>1.036</v>
      </c>
      <c r="AO70" s="29">
        <v>-2.4540000000000002</v>
      </c>
      <c r="AP70" s="29">
        <v>0.156</v>
      </c>
      <c r="AQ70" s="30">
        <f>-0.352-AP70-AO70-AN70</f>
        <v>0.91000000000000014</v>
      </c>
      <c r="AR70" s="577">
        <v>-0.53200000000000003</v>
      </c>
      <c r="AS70" s="29">
        <v>1.071</v>
      </c>
      <c r="AT70" s="29">
        <v>-0.22800000000000001</v>
      </c>
      <c r="AU70" s="30">
        <f>-0.404-AR70-AS70-AT70</f>
        <v>-0.71499999999999997</v>
      </c>
      <c r="AV70" s="577">
        <v>0.126</v>
      </c>
      <c r="AW70" s="29">
        <v>2.1429999999999998</v>
      </c>
      <c r="AX70" s="29">
        <v>3.8239999999999998</v>
      </c>
      <c r="AY70" s="30">
        <v>0</v>
      </c>
      <c r="AZ70" s="577">
        <v>-8.923</v>
      </c>
      <c r="BA70" s="29">
        <v>-10.579000000000001</v>
      </c>
      <c r="BB70" s="29">
        <v>0</v>
      </c>
      <c r="BC70" s="29">
        <v>-48.137999999999998</v>
      </c>
      <c r="BD70" s="577">
        <v>-1.577</v>
      </c>
      <c r="BE70" s="29">
        <v>-20.934999999999999</v>
      </c>
      <c r="BF70" s="29">
        <v>-25.917999999999999</v>
      </c>
      <c r="BG70" s="30">
        <v>-22.277000000000001</v>
      </c>
      <c r="BH70" s="29">
        <v>-31.587</v>
      </c>
      <c r="BI70" s="29">
        <v>-37.47</v>
      </c>
      <c r="BJ70" s="29">
        <v>-34.521000000000001</v>
      </c>
      <c r="BK70" s="29">
        <v>-82.23</v>
      </c>
      <c r="BL70" s="577">
        <v>-55.338000000000001</v>
      </c>
      <c r="BM70" s="29">
        <v>-39.106999999999999</v>
      </c>
      <c r="BN70" s="29">
        <v>-48.54</v>
      </c>
      <c r="BO70" s="32">
        <v>-15.7</v>
      </c>
      <c r="BP70" s="33">
        <f t="shared" ref="BP70:BS70" si="229">BO70+0.25</f>
        <v>-15.45</v>
      </c>
      <c r="BQ70" s="31">
        <f t="shared" si="229"/>
        <v>-15.2</v>
      </c>
      <c r="BR70" s="31">
        <f t="shared" si="229"/>
        <v>-14.95</v>
      </c>
      <c r="BS70" s="32">
        <f t="shared" si="229"/>
        <v>-14.7</v>
      </c>
      <c r="BT70" s="33">
        <f t="shared" ref="BT70" si="230">BS70+0.25</f>
        <v>-14.45</v>
      </c>
      <c r="BU70" s="31">
        <f t="shared" ref="BU70" si="231">BT70+0.25</f>
        <v>-14.2</v>
      </c>
      <c r="BV70" s="31">
        <f t="shared" ref="BV70" si="232">BU70+0.25</f>
        <v>-13.95</v>
      </c>
      <c r="BW70" s="32">
        <f t="shared" ref="BW70" si="233">BV70+0.25</f>
        <v>-13.7</v>
      </c>
      <c r="BX70" s="20"/>
      <c r="BY70" s="31">
        <f>SUM(D70:G70)</f>
        <v>0.87100000000000011</v>
      </c>
      <c r="BZ70" s="31">
        <f>SUM(H70:K70)</f>
        <v>1.9630000000000001</v>
      </c>
      <c r="CA70" s="31">
        <f>SUM(L70:O70)</f>
        <v>1.7569999999999997</v>
      </c>
      <c r="CB70" s="31">
        <f>SUM(P70:S70)</f>
        <v>2.0350000000000001</v>
      </c>
      <c r="CC70" s="31">
        <f>SUM(T70:W70)</f>
        <v>0.17599999999999999</v>
      </c>
      <c r="CD70" s="31">
        <f>SUM(X70:AA70)</f>
        <v>2.4349999999999996</v>
      </c>
      <c r="CE70" s="31">
        <f>SUM(AB70:AE70)</f>
        <v>-4.3539999999999992</v>
      </c>
      <c r="CF70" s="31">
        <f>SUM(AF70:AI70)</f>
        <v>8.6790000000000003</v>
      </c>
      <c r="CG70" s="31">
        <f>SUM(AJ70:AM70)</f>
        <v>-8.34</v>
      </c>
      <c r="CH70" s="31">
        <f>SUM(AN70:AQ70)</f>
        <v>-0.35200000000000009</v>
      </c>
      <c r="CI70" s="31">
        <f>SUM(AR70:AU70)</f>
        <v>-0.40400000000000003</v>
      </c>
      <c r="CJ70" s="31">
        <f>SUM(AV70:AY70)</f>
        <v>6.093</v>
      </c>
      <c r="CK70" s="31">
        <f>SUM(AZ70:BC70)</f>
        <v>-67.64</v>
      </c>
      <c r="CL70" s="31">
        <f>SUM(BD70:BG70)</f>
        <v>-70.706999999999994</v>
      </c>
      <c r="CM70" s="31">
        <f>SUM(BH70:BK70)</f>
        <v>-185.80799999999999</v>
      </c>
      <c r="CN70" s="31">
        <f>SUM(BL70:BO70)</f>
        <v>-158.68499999999997</v>
      </c>
      <c r="CO70" s="31">
        <f>SUM(BP70:BS70)</f>
        <v>-60.3</v>
      </c>
      <c r="CP70" s="32">
        <f>SUM(BT70:BW70)</f>
        <v>-56.3</v>
      </c>
      <c r="CQ70" s="20"/>
      <c r="CR70" s="33">
        <f>SUM(G70:J70)</f>
        <v>1.0680000000000001</v>
      </c>
      <c r="CS70" s="31">
        <f>SUM(K70:N70)</f>
        <v>2.65</v>
      </c>
      <c r="CT70" s="31">
        <f>SUM(O70:R70)</f>
        <v>2.2849999999999993</v>
      </c>
      <c r="CU70" s="31">
        <f>SUM(S70:V70)</f>
        <v>0.63900000000000046</v>
      </c>
      <c r="CV70" s="31">
        <f>SUM(W70:Z70)</f>
        <v>1.079</v>
      </c>
      <c r="CW70" s="31">
        <f>SUM(AA70:AD70)</f>
        <v>-14.606</v>
      </c>
      <c r="CX70" s="31">
        <f>SUM(AE70:AH70)</f>
        <v>19.536999999999999</v>
      </c>
      <c r="CY70" s="31">
        <f>SUM(AI70:AL70)</f>
        <v>-2.6359999999999997</v>
      </c>
      <c r="CZ70" s="31">
        <f>SUM(AM70:AP70)</f>
        <v>-6.2160000000000011</v>
      </c>
      <c r="DA70" s="32">
        <f>SUM(AQ70:AT70)</f>
        <v>1.2210000000000001</v>
      </c>
      <c r="DB70" s="31">
        <f>SUM(AU70:AX70)</f>
        <v>5.3780000000000001</v>
      </c>
      <c r="DC70" s="33">
        <f>SUM(AY70:BB70)</f>
        <v>-19.502000000000002</v>
      </c>
      <c r="DD70" s="31">
        <f>SUM(BC70:BF70)</f>
        <v>-96.567999999999984</v>
      </c>
      <c r="DE70" s="31">
        <f>SUM(BG70:BJ70)</f>
        <v>-125.855</v>
      </c>
      <c r="DF70" s="31">
        <f>SUM(BK70:BN70)</f>
        <v>-225.215</v>
      </c>
      <c r="DG70" s="31">
        <f>SUM(BO70:BR70)</f>
        <v>-61.3</v>
      </c>
      <c r="DH70" s="31">
        <f>SUM(BS70:BV70)</f>
        <v>-57.3</v>
      </c>
      <c r="DI70" s="22"/>
    </row>
    <row r="71" spans="1:113" ht="14.25" hidden="1" customHeight="1" outlineLevel="1">
      <c r="A71" s="734"/>
      <c r="B71" s="614" t="s">
        <v>392</v>
      </c>
      <c r="C71" s="766"/>
      <c r="D71" s="557">
        <v>11.443</v>
      </c>
      <c r="E71" s="557">
        <v>0</v>
      </c>
      <c r="F71" s="557">
        <v>0</v>
      </c>
      <c r="G71" s="1096">
        <v>0</v>
      </c>
      <c r="H71" s="557">
        <v>0</v>
      </c>
      <c r="I71" s="557">
        <v>0</v>
      </c>
      <c r="J71" s="557">
        <v>0</v>
      </c>
      <c r="K71" s="1096">
        <f>0-J71-I71-H71</f>
        <v>0</v>
      </c>
      <c r="L71" s="557">
        <v>0</v>
      </c>
      <c r="M71" s="557">
        <v>0</v>
      </c>
      <c r="N71" s="557">
        <v>0</v>
      </c>
      <c r="O71" s="1096">
        <f>0-N71-M71-L71</f>
        <v>0</v>
      </c>
      <c r="P71" s="557">
        <v>0</v>
      </c>
      <c r="Q71" s="557">
        <v>0</v>
      </c>
      <c r="R71" s="557">
        <v>0</v>
      </c>
      <c r="S71" s="558">
        <v>0</v>
      </c>
      <c r="T71" s="557">
        <v>0</v>
      </c>
      <c r="U71" s="557">
        <v>0</v>
      </c>
      <c r="V71" s="557">
        <v>0</v>
      </c>
      <c r="W71" s="558">
        <v>0</v>
      </c>
      <c r="X71" s="557">
        <v>0</v>
      </c>
      <c r="Y71" s="557">
        <v>0</v>
      </c>
      <c r="Z71" s="557">
        <v>0</v>
      </c>
      <c r="AA71" s="558">
        <v>0</v>
      </c>
      <c r="AB71" s="557">
        <v>1.2410000000000001</v>
      </c>
      <c r="AC71" s="557">
        <v>1.288</v>
      </c>
      <c r="AD71" s="557">
        <f>1.321+19.272</f>
        <v>20.593</v>
      </c>
      <c r="AE71" s="558">
        <f>1.321-12.019</f>
        <v>-10.698</v>
      </c>
      <c r="AF71" s="557">
        <f>1.508-5.447</f>
        <v>-3.9390000000000001</v>
      </c>
      <c r="AG71" s="557">
        <f>1.559-2.071</f>
        <v>-0.51200000000000023</v>
      </c>
      <c r="AH71" s="557">
        <v>1.595</v>
      </c>
      <c r="AI71" s="558">
        <v>1.5960000000000001</v>
      </c>
      <c r="AJ71" s="943">
        <f>1.649+2.311</f>
        <v>3.96</v>
      </c>
      <c r="AK71" s="557">
        <f>1.706+1.668</f>
        <v>3.3739999999999997</v>
      </c>
      <c r="AL71" s="557">
        <f>1.745+1.154</f>
        <v>2.899</v>
      </c>
      <c r="AM71" s="558">
        <f>1.746+(10.217-1.154-1.668-2.311)</f>
        <v>6.83</v>
      </c>
      <c r="AN71" s="943">
        <v>1.8049999999999999</v>
      </c>
      <c r="AO71" s="557">
        <f>1.866+1.878</f>
        <v>3.7439999999999998</v>
      </c>
      <c r="AP71" s="557">
        <v>1.909</v>
      </c>
      <c r="AQ71" s="558">
        <v>1.9319999999999999</v>
      </c>
      <c r="AR71" s="943">
        <v>1.9750000000000001</v>
      </c>
      <c r="AS71" s="557">
        <v>2.0419999999999998</v>
      </c>
      <c r="AT71" s="557">
        <v>2.089</v>
      </c>
      <c r="AU71" s="558">
        <v>2.0910000000000002</v>
      </c>
      <c r="AV71" s="943">
        <v>2.161</v>
      </c>
      <c r="AW71" s="557">
        <v>2.2349999999999999</v>
      </c>
      <c r="AX71" s="557">
        <f>2.286-2.438</f>
        <v>-0.15200000000000014</v>
      </c>
      <c r="AY71" s="558">
        <f>2.288+0.746</f>
        <v>3.0339999999999998</v>
      </c>
      <c r="AZ71" s="943">
        <v>2.3650000000000002</v>
      </c>
      <c r="BA71" s="557">
        <v>2.4449999999999998</v>
      </c>
      <c r="BB71" s="557">
        <f>2.501</f>
        <v>2.5009999999999999</v>
      </c>
      <c r="BC71" s="557">
        <f>50.631+6.854-18.469+0.188</f>
        <v>39.204000000000001</v>
      </c>
      <c r="BD71" s="943">
        <f>11.812-16.064</f>
        <v>-4.2520000000000007</v>
      </c>
      <c r="BE71" s="557">
        <v>12.46</v>
      </c>
      <c r="BF71" s="557">
        <f>12.813+3.995+0.501</f>
        <v>17.309000000000001</v>
      </c>
      <c r="BG71" s="558">
        <v>15.92</v>
      </c>
      <c r="BH71" s="557">
        <f>12.537-0.468</f>
        <v>12.069000000000001</v>
      </c>
      <c r="BI71" s="557">
        <v>12.752000000000001</v>
      </c>
      <c r="BJ71" s="557">
        <f>12.955+1.433</f>
        <v>14.388</v>
      </c>
      <c r="BK71" s="557">
        <f>43.879+19.641</f>
        <v>63.519999999999996</v>
      </c>
      <c r="BL71" s="943">
        <f>26.836+13.826</f>
        <v>40.661999999999999</v>
      </c>
      <c r="BM71" s="557">
        <v>27.231000000000002</v>
      </c>
      <c r="BN71" s="557">
        <f>27.799+2.14</f>
        <v>29.939</v>
      </c>
      <c r="BO71" s="551">
        <v>0</v>
      </c>
      <c r="BP71" s="555">
        <v>0</v>
      </c>
      <c r="BQ71" s="550">
        <v>0</v>
      </c>
      <c r="BR71" s="550">
        <v>0</v>
      </c>
      <c r="BS71" s="551">
        <v>0</v>
      </c>
      <c r="BT71" s="555">
        <v>0</v>
      </c>
      <c r="BU71" s="550">
        <v>0</v>
      </c>
      <c r="BV71" s="550">
        <v>0</v>
      </c>
      <c r="BW71" s="551">
        <v>0</v>
      </c>
      <c r="BX71" s="735"/>
      <c r="BY71" s="550">
        <f>SUM(D71:G71)</f>
        <v>11.443</v>
      </c>
      <c r="BZ71" s="550">
        <f>SUM(H71:K71)</f>
        <v>0</v>
      </c>
      <c r="CA71" s="550">
        <f>SUM(L71:O71)</f>
        <v>0</v>
      </c>
      <c r="CB71" s="550">
        <f>SUM(P71:S71)</f>
        <v>0</v>
      </c>
      <c r="CC71" s="550">
        <f>SUM(T71:W71)</f>
        <v>0</v>
      </c>
      <c r="CD71" s="550">
        <f>SUM(X71:AA71)</f>
        <v>0</v>
      </c>
      <c r="CE71" s="550">
        <f>SUM(AB71:AE71)</f>
        <v>12.423999999999999</v>
      </c>
      <c r="CF71" s="550">
        <f>SUM(AF71:AI71)</f>
        <v>-1.2600000000000007</v>
      </c>
      <c r="CG71" s="550">
        <f>SUM(AJ71:AM71)</f>
        <v>17.063000000000002</v>
      </c>
      <c r="CH71" s="550">
        <f>SUM(AN71:AQ71)</f>
        <v>9.3899999999999988</v>
      </c>
      <c r="CI71" s="550">
        <f>SUM(AR71:AU71)</f>
        <v>8.1969999999999992</v>
      </c>
      <c r="CJ71" s="550">
        <f>SUM(AV71:AY71)</f>
        <v>7.2779999999999996</v>
      </c>
      <c r="CK71" s="550">
        <f>SUM(AZ71:BC71)</f>
        <v>46.515000000000001</v>
      </c>
      <c r="CL71" s="550">
        <f>SUM(BD71:BG71)</f>
        <v>41.437000000000005</v>
      </c>
      <c r="CM71" s="550">
        <f>SUM(BH71:BK71)</f>
        <v>102.729</v>
      </c>
      <c r="CN71" s="550">
        <f>SUM(BL71:BO71)</f>
        <v>97.831999999999994</v>
      </c>
      <c r="CO71" s="550">
        <f>SUM(BP71:BS71)</f>
        <v>0</v>
      </c>
      <c r="CP71" s="551">
        <f>SUM(BT71:BW71)</f>
        <v>0</v>
      </c>
      <c r="CQ71" s="735"/>
      <c r="CR71" s="555">
        <f>SUM(G71:J71)</f>
        <v>0</v>
      </c>
      <c r="CS71" s="550">
        <f>SUM(K71:N71)</f>
        <v>0</v>
      </c>
      <c r="CT71" s="550">
        <f>SUM(O71:R71)</f>
        <v>0</v>
      </c>
      <c r="CU71" s="550">
        <f>SUM(S71:V71)</f>
        <v>0</v>
      </c>
      <c r="CV71" s="550">
        <f>SUM(W71:Z71)</f>
        <v>0</v>
      </c>
      <c r="CW71" s="550">
        <f>SUM(AA71:AD71)</f>
        <v>23.122</v>
      </c>
      <c r="CX71" s="550">
        <f>SUM(AE71:AH71)</f>
        <v>-13.554</v>
      </c>
      <c r="CY71" s="550">
        <f>SUM(AI71:AL71)</f>
        <v>11.829000000000001</v>
      </c>
      <c r="CZ71" s="550">
        <f>SUM(AM71:AP71)</f>
        <v>14.288</v>
      </c>
      <c r="DA71" s="551">
        <f>SUM(AQ71:AT71)</f>
        <v>8.0380000000000003</v>
      </c>
      <c r="DB71" s="550">
        <f>SUM(AU71:AX71)</f>
        <v>6.335</v>
      </c>
      <c r="DC71" s="555">
        <f>SUM(AY71:BB71)</f>
        <v>10.344999999999999</v>
      </c>
      <c r="DD71" s="550">
        <f>SUM(BC71:BF71)</f>
        <v>64.721000000000004</v>
      </c>
      <c r="DE71" s="550">
        <f>SUM(BG71:BJ71)</f>
        <v>55.128999999999998</v>
      </c>
      <c r="DF71" s="550">
        <f>SUM(BK71:BN71)</f>
        <v>161.35199999999998</v>
      </c>
      <c r="DG71" s="550">
        <f>SUM(BO71:BR71)</f>
        <v>0</v>
      </c>
      <c r="DH71" s="550">
        <f>SUM(BS71:BV71)</f>
        <v>0</v>
      </c>
      <c r="DI71" s="548"/>
    </row>
    <row r="72" spans="1:113" ht="14.25" hidden="1" customHeight="1" outlineLevel="1">
      <c r="A72" s="8"/>
      <c r="B72" s="612" t="s">
        <v>10</v>
      </c>
      <c r="C72" s="24"/>
      <c r="D72" s="31">
        <f t="shared" ref="D72:AY72" si="234">SUM(D67:D71)</f>
        <v>12.693</v>
      </c>
      <c r="E72" s="31">
        <f t="shared" si="234"/>
        <v>1.153</v>
      </c>
      <c r="F72" s="31">
        <f t="shared" si="234"/>
        <v>0.54</v>
      </c>
      <c r="G72" s="32">
        <f t="shared" si="234"/>
        <v>1.2720000000000002</v>
      </c>
      <c r="H72" s="31">
        <f t="shared" si="234"/>
        <v>1.0740000000000001</v>
      </c>
      <c r="I72" s="31">
        <f t="shared" si="234"/>
        <v>0.86699999999999999</v>
      </c>
      <c r="J72" s="31">
        <f t="shared" si="234"/>
        <v>1.117</v>
      </c>
      <c r="K72" s="32">
        <f t="shared" si="234"/>
        <v>3.5439999999999996</v>
      </c>
      <c r="L72" s="31">
        <f t="shared" si="234"/>
        <v>3.7489999999999997</v>
      </c>
      <c r="M72" s="31">
        <f t="shared" si="234"/>
        <v>4.4790000000000001</v>
      </c>
      <c r="N72" s="31">
        <f t="shared" si="234"/>
        <v>4.2990000000000004</v>
      </c>
      <c r="O72" s="32">
        <f t="shared" si="234"/>
        <v>6.0939999999999994</v>
      </c>
      <c r="P72" s="31">
        <f t="shared" si="234"/>
        <v>7.2679999999999998</v>
      </c>
      <c r="Q72" s="31">
        <f t="shared" si="234"/>
        <v>7.09</v>
      </c>
      <c r="R72" s="31">
        <f t="shared" si="234"/>
        <v>8.4830000000000005</v>
      </c>
      <c r="S72" s="32">
        <f t="shared" si="234"/>
        <v>9.98</v>
      </c>
      <c r="T72" s="31">
        <f t="shared" si="234"/>
        <v>11.613999999999999</v>
      </c>
      <c r="U72" s="31">
        <f t="shared" si="234"/>
        <v>13.23</v>
      </c>
      <c r="V72" s="31">
        <f t="shared" si="234"/>
        <v>14.372</v>
      </c>
      <c r="W72" s="32">
        <f t="shared" si="234"/>
        <v>14.063000000000001</v>
      </c>
      <c r="X72" s="31">
        <f t="shared" si="234"/>
        <v>15.723999999999998</v>
      </c>
      <c r="Y72" s="31">
        <f t="shared" si="234"/>
        <v>14.469999999999999</v>
      </c>
      <c r="Z72" s="31">
        <f t="shared" si="234"/>
        <v>12.037000000000001</v>
      </c>
      <c r="AA72" s="32">
        <f t="shared" si="234"/>
        <v>5.5600000000000023</v>
      </c>
      <c r="AB72" s="31">
        <f t="shared" si="234"/>
        <v>6.5429999999999993</v>
      </c>
      <c r="AC72" s="31">
        <f t="shared" si="234"/>
        <v>6.2409999999999997</v>
      </c>
      <c r="AD72" s="31">
        <f t="shared" si="234"/>
        <v>0.52899999999999991</v>
      </c>
      <c r="AE72" s="32">
        <f t="shared" si="234"/>
        <v>-2.1379999999999981</v>
      </c>
      <c r="AF72" s="31">
        <f t="shared" si="234"/>
        <v>-2.4620000000000006</v>
      </c>
      <c r="AG72" s="31">
        <f t="shared" si="234"/>
        <v>-1.9559999999999993</v>
      </c>
      <c r="AH72" s="31">
        <f t="shared" si="234"/>
        <v>-1.0940000000000001</v>
      </c>
      <c r="AI72" s="32">
        <f t="shared" si="234"/>
        <v>-2.8940000000000019</v>
      </c>
      <c r="AJ72" s="33">
        <f t="shared" si="234"/>
        <v>-2.2969999999999997</v>
      </c>
      <c r="AK72" s="31">
        <f t="shared" si="234"/>
        <v>-0.43900000000000006</v>
      </c>
      <c r="AL72" s="31">
        <f t="shared" si="234"/>
        <v>-1.3169999999999993</v>
      </c>
      <c r="AM72" s="32">
        <f t="shared" si="234"/>
        <v>-2.5860000000000039</v>
      </c>
      <c r="AN72" s="33">
        <f t="shared" si="234"/>
        <v>-1.2290000000000003</v>
      </c>
      <c r="AO72" s="31">
        <f t="shared" si="234"/>
        <v>-3.6059999999999999</v>
      </c>
      <c r="AP72" s="31">
        <f t="shared" si="234"/>
        <v>-2.5410000000000004</v>
      </c>
      <c r="AQ72" s="32">
        <f t="shared" si="234"/>
        <v>-5.4999999999993054E-2</v>
      </c>
      <c r="AR72" s="33">
        <f t="shared" si="234"/>
        <v>-3.4939999999999993</v>
      </c>
      <c r="AS72" s="31">
        <f t="shared" si="234"/>
        <v>-3.9329999999999998</v>
      </c>
      <c r="AT72" s="31">
        <f t="shared" si="234"/>
        <v>-5.6319999999999997</v>
      </c>
      <c r="AU72" s="32">
        <f t="shared" si="234"/>
        <v>-5.1199999999999983</v>
      </c>
      <c r="AV72" s="33">
        <f>SUM(AV67:AV71)</f>
        <v>-5.9039999999999999</v>
      </c>
      <c r="AW72" s="31">
        <f t="shared" si="234"/>
        <v>-4.0670000000000002</v>
      </c>
      <c r="AX72" s="31">
        <f t="shared" si="234"/>
        <v>-4.4820000000000002</v>
      </c>
      <c r="AY72" s="32">
        <f t="shared" si="234"/>
        <v>-4.7790000000000017</v>
      </c>
      <c r="AZ72" s="33">
        <f>SUM(AZ68:AZ71)</f>
        <v>-6.5579999999999998</v>
      </c>
      <c r="BA72" s="31">
        <f t="shared" ref="BA72:BC72" si="235">SUM(BA68:BA71)</f>
        <v>-8.1340000000000003</v>
      </c>
      <c r="BB72" s="31">
        <f t="shared" si="235"/>
        <v>-9.2550000000000008</v>
      </c>
      <c r="BC72" s="31">
        <f t="shared" si="235"/>
        <v>-8.9339999999999975</v>
      </c>
      <c r="BD72" s="33">
        <f>SUM(BD70:BD71)</f>
        <v>-5.8290000000000006</v>
      </c>
      <c r="BE72" s="31">
        <f t="shared" ref="BE72:BH72" si="236">SUM(BE70:BE71)</f>
        <v>-8.4749999999999979</v>
      </c>
      <c r="BF72" s="31">
        <f t="shared" si="236"/>
        <v>-8.6089999999999982</v>
      </c>
      <c r="BG72" s="32">
        <f t="shared" si="236"/>
        <v>-6.3570000000000011</v>
      </c>
      <c r="BH72" s="31">
        <f t="shared" si="236"/>
        <v>-19.518000000000001</v>
      </c>
      <c r="BI72" s="31">
        <f>SUM(BI70:BI71)</f>
        <v>-24.717999999999996</v>
      </c>
      <c r="BJ72" s="31">
        <f t="shared" ref="BJ72:BL72" si="237">SUM(BJ70:BJ71)</f>
        <v>-20.133000000000003</v>
      </c>
      <c r="BK72" s="31">
        <f t="shared" si="237"/>
        <v>-18.710000000000008</v>
      </c>
      <c r="BL72" s="33">
        <f t="shared" si="237"/>
        <v>-14.676000000000002</v>
      </c>
      <c r="BM72" s="31">
        <f>SUM(BM70:BM71)</f>
        <v>-11.875999999999998</v>
      </c>
      <c r="BN72" s="31">
        <f t="shared" ref="BN72" si="238">SUM(BN70:BN71)</f>
        <v>-18.600999999999999</v>
      </c>
      <c r="BO72" s="32">
        <f t="shared" ref="BO72" si="239">SUM(BO67:BO71)</f>
        <v>-15.755999999999998</v>
      </c>
      <c r="BP72" s="33">
        <f t="shared" ref="BP72:BW72" si="240">SUM(BP67:BP71)</f>
        <v>-15.505999999999998</v>
      </c>
      <c r="BQ72" s="31">
        <f t="shared" si="240"/>
        <v>-15.255999999999998</v>
      </c>
      <c r="BR72" s="31">
        <f t="shared" si="240"/>
        <v>-15.005999999999998</v>
      </c>
      <c r="BS72" s="32">
        <f t="shared" si="240"/>
        <v>-14.755999999999998</v>
      </c>
      <c r="BT72" s="33">
        <f t="shared" si="240"/>
        <v>-14.505999999999998</v>
      </c>
      <c r="BU72" s="31">
        <f t="shared" si="240"/>
        <v>-14.255999999999998</v>
      </c>
      <c r="BV72" s="31">
        <f t="shared" si="240"/>
        <v>-14.005999999999998</v>
      </c>
      <c r="BW72" s="32">
        <f t="shared" si="240"/>
        <v>-13.755999999999998</v>
      </c>
      <c r="BX72" s="20"/>
      <c r="BY72" s="31">
        <f>SUM(BY67:BY71)</f>
        <v>15.658000000000001</v>
      </c>
      <c r="BZ72" s="31">
        <f>SUM(BZ67:BZ71)</f>
        <v>6.6020000000000003</v>
      </c>
      <c r="CA72" s="31">
        <f>SUM(CA67:CA71)</f>
        <v>18.620999999999995</v>
      </c>
      <c r="CB72" s="31">
        <f t="shared" ref="CB72:CL72" si="241">SUM(CB67:CB71)</f>
        <v>32.820999999999998</v>
      </c>
      <c r="CC72" s="31">
        <f t="shared" si="241"/>
        <v>53.279000000000003</v>
      </c>
      <c r="CD72" s="31">
        <f t="shared" si="241"/>
        <v>47.791000000000004</v>
      </c>
      <c r="CE72" s="31">
        <f t="shared" si="241"/>
        <v>11.175000000000001</v>
      </c>
      <c r="CF72" s="31">
        <f t="shared" si="241"/>
        <v>-8.4059999999999988</v>
      </c>
      <c r="CG72" s="31">
        <f t="shared" si="241"/>
        <v>-6.6389999999999993</v>
      </c>
      <c r="CH72" s="31">
        <f t="shared" si="241"/>
        <v>-7.4309999999999992</v>
      </c>
      <c r="CI72" s="31">
        <f t="shared" si="241"/>
        <v>-18.178999999999998</v>
      </c>
      <c r="CJ72" s="31">
        <f t="shared" si="241"/>
        <v>-19.23200000000001</v>
      </c>
      <c r="CK72" s="31">
        <f t="shared" si="241"/>
        <v>-33.197999999999993</v>
      </c>
      <c r="CL72" s="31">
        <f t="shared" si="241"/>
        <v>-29.697999999999986</v>
      </c>
      <c r="CM72" s="31">
        <f>SUM(CM67:CM71)</f>
        <v>-83.301000000000002</v>
      </c>
      <c r="CN72" s="31">
        <f>SUM(CN67:CN71)</f>
        <v>-61.075999999999993</v>
      </c>
      <c r="CO72" s="31">
        <f>SUM(CO67:CO71)</f>
        <v>-60.523999999999994</v>
      </c>
      <c r="CP72" s="32">
        <f>SUM(CP67:CP71)</f>
        <v>-56.523999999999994</v>
      </c>
      <c r="CQ72" s="20"/>
      <c r="CR72" s="33">
        <f>SUM(CR67:CR71)</f>
        <v>4.33</v>
      </c>
      <c r="CS72" s="31">
        <f>SUM(CS67:CS71)</f>
        <v>16.070999999999998</v>
      </c>
      <c r="CT72" s="31">
        <f>SUM(CT67:CT71)</f>
        <v>28.934999999999999</v>
      </c>
      <c r="CU72" s="31">
        <f t="shared" ref="CU72:DD72" si="242">SUM(CU67:CU71)</f>
        <v>49.196000000000005</v>
      </c>
      <c r="CV72" s="31">
        <f t="shared" si="242"/>
        <v>56.293999999999997</v>
      </c>
      <c r="CW72" s="31">
        <f t="shared" si="242"/>
        <v>18.873000000000005</v>
      </c>
      <c r="CX72" s="31">
        <f t="shared" si="242"/>
        <v>-7.6499999999999968</v>
      </c>
      <c r="CY72" s="31">
        <f t="shared" si="242"/>
        <v>-6.9469999999999992</v>
      </c>
      <c r="CZ72" s="31">
        <f t="shared" si="242"/>
        <v>-9.9619999999999997</v>
      </c>
      <c r="DA72" s="32">
        <f t="shared" si="242"/>
        <v>-13.11399999999999</v>
      </c>
      <c r="DB72" s="31">
        <f t="shared" si="242"/>
        <v>-19.572999999999993</v>
      </c>
      <c r="DC72" s="33">
        <f t="shared" si="242"/>
        <v>-28.855000000000004</v>
      </c>
      <c r="DD72" s="31">
        <f t="shared" si="242"/>
        <v>-32.406999999999982</v>
      </c>
      <c r="DE72" s="31">
        <f>SUM(DE67:DE71)</f>
        <v>-70.949000000000012</v>
      </c>
      <c r="DF72" s="31">
        <f>SUM(DF67:DF71)</f>
        <v>-64.085000000000036</v>
      </c>
      <c r="DG72" s="31">
        <f>SUM(DG67:DG71)</f>
        <v>-61.523999999999994</v>
      </c>
      <c r="DH72" s="31">
        <f>SUM(DH67:DH71)</f>
        <v>-57.523999999999994</v>
      </c>
      <c r="DI72" s="22"/>
    </row>
    <row r="73" spans="1:113" ht="14.25" customHeight="1" collapsed="1">
      <c r="A73" s="8"/>
      <c r="B73" s="609"/>
      <c r="C73" s="35"/>
      <c r="D73" s="1376"/>
      <c r="E73" s="1376"/>
      <c r="F73" s="1376"/>
      <c r="G73" s="1377"/>
      <c r="H73" s="1376"/>
      <c r="I73" s="1376"/>
      <c r="J73" s="1376"/>
      <c r="K73" s="1377"/>
      <c r="L73" s="1376"/>
      <c r="M73" s="1376"/>
      <c r="N73" s="1376"/>
      <c r="O73" s="1377"/>
      <c r="P73" s="1376"/>
      <c r="Q73" s="1376"/>
      <c r="R73" s="1376"/>
      <c r="S73" s="1377"/>
      <c r="T73" s="1376"/>
      <c r="U73" s="1376"/>
      <c r="V73" s="1376"/>
      <c r="W73" s="1377"/>
      <c r="X73" s="1376"/>
      <c r="Y73" s="1376"/>
      <c r="Z73" s="1376"/>
      <c r="AA73" s="1377"/>
      <c r="AB73" s="1376"/>
      <c r="AC73" s="1376"/>
      <c r="AD73" s="1376"/>
      <c r="AE73" s="1377"/>
      <c r="AF73" s="1376"/>
      <c r="AG73" s="1376"/>
      <c r="AH73" s="1376"/>
      <c r="AI73" s="1377"/>
      <c r="AJ73" s="1378"/>
      <c r="AK73" s="1376"/>
      <c r="AL73" s="1376"/>
      <c r="AM73" s="1377"/>
      <c r="AN73" s="1378"/>
      <c r="AO73" s="1376"/>
      <c r="AP73" s="1376"/>
      <c r="AQ73" s="1377"/>
      <c r="AR73" s="1378"/>
      <c r="AS73" s="1376"/>
      <c r="AT73" s="1376"/>
      <c r="AU73" s="1377"/>
      <c r="AV73" s="1378"/>
      <c r="AW73" s="1376"/>
      <c r="AX73" s="1376"/>
      <c r="AY73" s="1377"/>
      <c r="AZ73" s="1378"/>
      <c r="BA73" s="1376"/>
      <c r="BB73" s="1376"/>
      <c r="BC73" s="1376"/>
      <c r="BD73" s="1378"/>
      <c r="BE73" s="1376"/>
      <c r="BF73" s="1376"/>
      <c r="BG73" s="1377"/>
      <c r="BH73" s="1376"/>
      <c r="BI73" s="1340"/>
      <c r="BJ73" s="1376"/>
      <c r="BK73" s="1441"/>
      <c r="BL73" s="1442"/>
      <c r="BM73" s="1340"/>
      <c r="BN73" s="1494"/>
      <c r="BO73" s="1453"/>
      <c r="BP73" s="1378"/>
      <c r="BQ73" s="1376"/>
      <c r="BR73" s="1376"/>
      <c r="BS73" s="1377"/>
      <c r="BT73" s="1495"/>
      <c r="BU73" s="1494"/>
      <c r="BV73" s="1494"/>
      <c r="BW73" s="1496"/>
      <c r="BX73" s="20"/>
      <c r="BY73" s="36"/>
      <c r="BZ73" s="36"/>
      <c r="CA73" s="36"/>
      <c r="CB73" s="36"/>
      <c r="CC73" s="36"/>
      <c r="CD73" s="36"/>
      <c r="CE73" s="36"/>
      <c r="CF73" s="36"/>
      <c r="CG73" s="36"/>
      <c r="CH73" s="1494"/>
      <c r="CI73" s="1494"/>
      <c r="CJ73" s="1494"/>
      <c r="CK73" s="1376"/>
      <c r="CL73" s="1376"/>
      <c r="CM73" s="1376"/>
      <c r="CN73" s="1376"/>
      <c r="CO73" s="1376"/>
      <c r="CP73" s="1377"/>
      <c r="CQ73" s="20"/>
      <c r="CR73" s="1378"/>
      <c r="CS73" s="1376"/>
      <c r="CT73" s="1376"/>
      <c r="CU73" s="1376"/>
      <c r="CV73" s="1376"/>
      <c r="CW73" s="1376"/>
      <c r="CX73" s="1376"/>
      <c r="CY73" s="1376"/>
      <c r="CZ73" s="1376"/>
      <c r="DA73" s="1377"/>
      <c r="DB73" s="1376"/>
      <c r="DC73" s="1378"/>
      <c r="DD73" s="1376"/>
      <c r="DE73" s="1376"/>
      <c r="DF73" s="1376"/>
      <c r="DG73" s="1441"/>
      <c r="DH73" s="1441"/>
      <c r="DI73" s="22"/>
    </row>
    <row r="74" spans="1:113" ht="14.25" customHeight="1">
      <c r="A74" s="8"/>
      <c r="B74" s="613" t="s">
        <v>308</v>
      </c>
      <c r="C74" s="45"/>
      <c r="D74" s="47">
        <f t="shared" ref="D74:BE74" si="243">D60+D66</f>
        <v>30.816000000000003</v>
      </c>
      <c r="E74" s="47">
        <f t="shared" si="243"/>
        <v>4.488999999999999</v>
      </c>
      <c r="F74" s="47">
        <f t="shared" si="243"/>
        <v>48.68099999999999</v>
      </c>
      <c r="G74" s="48">
        <f t="shared" si="243"/>
        <v>44.346000000000046</v>
      </c>
      <c r="H74" s="47">
        <f t="shared" si="243"/>
        <v>11.585999999999986</v>
      </c>
      <c r="I74" s="47">
        <f t="shared" si="243"/>
        <v>48.460999999999984</v>
      </c>
      <c r="J74" s="47">
        <f t="shared" si="243"/>
        <v>54.969000000000015</v>
      </c>
      <c r="K74" s="48">
        <f t="shared" si="243"/>
        <v>62.880000000000017</v>
      </c>
      <c r="L74" s="47">
        <f t="shared" si="243"/>
        <v>53.603000000000016</v>
      </c>
      <c r="M74" s="47">
        <f t="shared" si="243"/>
        <v>79.529999999999987</v>
      </c>
      <c r="N74" s="47">
        <f t="shared" si="243"/>
        <v>69.920999999999992</v>
      </c>
      <c r="O74" s="48">
        <f t="shared" si="243"/>
        <v>74.214000000000027</v>
      </c>
      <c r="P74" s="47">
        <f t="shared" si="243"/>
        <v>80.296999999999983</v>
      </c>
      <c r="Q74" s="47">
        <f t="shared" si="243"/>
        <v>86.384999999999991</v>
      </c>
      <c r="R74" s="47">
        <f t="shared" si="243"/>
        <v>93.070999999999984</v>
      </c>
      <c r="S74" s="48">
        <f t="shared" si="243"/>
        <v>99.432000000000002</v>
      </c>
      <c r="T74" s="47">
        <f t="shared" si="243"/>
        <v>101.29500000000004</v>
      </c>
      <c r="U74" s="47">
        <f t="shared" si="243"/>
        <v>104.58900000000001</v>
      </c>
      <c r="V74" s="47">
        <f t="shared" si="243"/>
        <v>95.853999999999971</v>
      </c>
      <c r="W74" s="48">
        <f t="shared" si="243"/>
        <v>99.352000000000004</v>
      </c>
      <c r="X74" s="47">
        <f t="shared" si="243"/>
        <v>100.74300000000002</v>
      </c>
      <c r="Y74" s="47">
        <f t="shared" si="243"/>
        <v>70.143999999999977</v>
      </c>
      <c r="Z74" s="47">
        <f t="shared" si="243"/>
        <v>91.277000000000001</v>
      </c>
      <c r="AA74" s="48">
        <f t="shared" si="243"/>
        <v>87.292000000000016</v>
      </c>
      <c r="AB74" s="47">
        <f t="shared" si="243"/>
        <v>91.934000000000026</v>
      </c>
      <c r="AC74" s="47">
        <f t="shared" si="243"/>
        <v>92.134000000000029</v>
      </c>
      <c r="AD74" s="47">
        <f t="shared" si="243"/>
        <v>20.409999999999989</v>
      </c>
      <c r="AE74" s="48">
        <f t="shared" si="243"/>
        <v>27.600999999999985</v>
      </c>
      <c r="AF74" s="47">
        <f t="shared" si="243"/>
        <v>32.655000000000008</v>
      </c>
      <c r="AG74" s="47">
        <f t="shared" si="243"/>
        <v>51.281999999999996</v>
      </c>
      <c r="AH74" s="47">
        <f t="shared" si="243"/>
        <v>69.878999999999991</v>
      </c>
      <c r="AI74" s="48">
        <f t="shared" si="243"/>
        <v>83.997000000000043</v>
      </c>
      <c r="AJ74" s="46">
        <f t="shared" si="243"/>
        <v>102.96900000000001</v>
      </c>
      <c r="AK74" s="47">
        <f t="shared" si="243"/>
        <v>119.33000000000001</v>
      </c>
      <c r="AL74" s="47">
        <f t="shared" si="243"/>
        <v>113.23700000000002</v>
      </c>
      <c r="AM74" s="48">
        <f t="shared" si="243"/>
        <v>114.94499999999988</v>
      </c>
      <c r="AN74" s="46">
        <f t="shared" si="243"/>
        <v>113.82600000000001</v>
      </c>
      <c r="AO74" s="47">
        <f t="shared" si="243"/>
        <v>90.269999999999982</v>
      </c>
      <c r="AP74" s="47">
        <f t="shared" si="243"/>
        <v>83.676999999999992</v>
      </c>
      <c r="AQ74" s="48">
        <f t="shared" si="243"/>
        <v>91.921999999999997</v>
      </c>
      <c r="AR74" s="46">
        <f t="shared" si="243"/>
        <v>90.864000000000004</v>
      </c>
      <c r="AS74" s="47">
        <f t="shared" si="243"/>
        <v>2.1189999999999944</v>
      </c>
      <c r="AT74" s="47">
        <f t="shared" si="243"/>
        <v>9.6920000000000393</v>
      </c>
      <c r="AU74" s="48">
        <f t="shared" si="243"/>
        <v>49.502000000000052</v>
      </c>
      <c r="AV74" s="46">
        <f t="shared" si="243"/>
        <v>90.335999999999956</v>
      </c>
      <c r="AW74" s="47">
        <f t="shared" si="243"/>
        <v>111.20599999999992</v>
      </c>
      <c r="AX74" s="47">
        <f t="shared" si="243"/>
        <v>112.58800000000004</v>
      </c>
      <c r="AY74" s="48">
        <f t="shared" si="243"/>
        <v>118.22400000000006</v>
      </c>
      <c r="AZ74" s="46">
        <f t="shared" si="243"/>
        <v>106.991</v>
      </c>
      <c r="BA74" s="47">
        <f t="shared" si="243"/>
        <v>90.704000000000065</v>
      </c>
      <c r="BB74" s="47">
        <f t="shared" si="243"/>
        <v>86.191000000000045</v>
      </c>
      <c r="BC74" s="47">
        <f t="shared" si="243"/>
        <v>62.021000000000008</v>
      </c>
      <c r="BD74" s="46">
        <f t="shared" si="243"/>
        <v>119.56499999999998</v>
      </c>
      <c r="BE74" s="47">
        <f t="shared" si="243"/>
        <v>53.956999999999923</v>
      </c>
      <c r="BF74" s="47">
        <f>BF60+BF66</f>
        <v>50.07500000000006</v>
      </c>
      <c r="BG74" s="48">
        <f t="shared" ref="BG74:BO74" si="244">BG60+BG66</f>
        <v>57.566000000000003</v>
      </c>
      <c r="BH74" s="47">
        <f t="shared" si="244"/>
        <v>-90.747000000000099</v>
      </c>
      <c r="BI74" s="47">
        <f t="shared" si="244"/>
        <v>25.234000000000052</v>
      </c>
      <c r="BJ74" s="47">
        <f>BJ60+BJ66</f>
        <v>83.497999999999962</v>
      </c>
      <c r="BK74" s="47">
        <f t="shared" ref="BK74:BM74" si="245">BK60+BK66</f>
        <v>71.802000000000035</v>
      </c>
      <c r="BL74" s="46">
        <f t="shared" si="245"/>
        <v>166.20499999999996</v>
      </c>
      <c r="BM74" s="47">
        <f t="shared" si="245"/>
        <v>186.23599999999999</v>
      </c>
      <c r="BN74" s="47">
        <f>BN60+BN66</f>
        <v>196.64999999999998</v>
      </c>
      <c r="BO74" s="48">
        <f t="shared" si="244"/>
        <v>349.03166015356572</v>
      </c>
      <c r="BP74" s="46">
        <f t="shared" ref="BP74:BW74" si="246">BP60+BP66</f>
        <v>371.78205588282822</v>
      </c>
      <c r="BQ74" s="47">
        <f t="shared" si="246"/>
        <v>388.97230740371435</v>
      </c>
      <c r="BR74" s="47">
        <f t="shared" si="246"/>
        <v>378.22860021920798</v>
      </c>
      <c r="BS74" s="48">
        <f t="shared" si="246"/>
        <v>374.68034387211583</v>
      </c>
      <c r="BT74" s="46">
        <f t="shared" si="246"/>
        <v>395.50241088618714</v>
      </c>
      <c r="BU74" s="47">
        <f t="shared" si="246"/>
        <v>410.21631236467641</v>
      </c>
      <c r="BV74" s="47">
        <f t="shared" si="246"/>
        <v>401.07874716626975</v>
      </c>
      <c r="BW74" s="48">
        <f t="shared" si="246"/>
        <v>397.88044748163486</v>
      </c>
      <c r="BX74" s="20"/>
      <c r="BY74" s="47">
        <f>BY60+BY66</f>
        <v>128.33200000000002</v>
      </c>
      <c r="BZ74" s="47">
        <f>BZ60+BZ66</f>
        <v>177.89599999999993</v>
      </c>
      <c r="CA74" s="47">
        <f>CA60+CA66</f>
        <v>277.26800000000003</v>
      </c>
      <c r="CB74" s="47">
        <f t="shared" ref="CB74:CK74" si="247">CB60+CB66</f>
        <v>359.18500000000006</v>
      </c>
      <c r="CC74" s="47">
        <f t="shared" si="247"/>
        <v>401.09000000000003</v>
      </c>
      <c r="CD74" s="47">
        <f t="shared" si="247"/>
        <v>349.45600000000013</v>
      </c>
      <c r="CE74" s="47">
        <f t="shared" si="247"/>
        <v>232.07899999999998</v>
      </c>
      <c r="CF74" s="47">
        <f t="shared" si="247"/>
        <v>237.81300000000019</v>
      </c>
      <c r="CG74" s="47">
        <f t="shared" si="247"/>
        <v>450.48099999999988</v>
      </c>
      <c r="CH74" s="47">
        <f t="shared" si="247"/>
        <v>379.69499999999994</v>
      </c>
      <c r="CI74" s="47">
        <f t="shared" si="247"/>
        <v>152.17700000000011</v>
      </c>
      <c r="CJ74" s="47">
        <f>CJ60+CJ66</f>
        <v>432.35400000000038</v>
      </c>
      <c r="CK74" s="47">
        <f t="shared" si="247"/>
        <v>345.90700000000015</v>
      </c>
      <c r="CL74" s="47">
        <f>CL60+CL66</f>
        <v>281.16299999999978</v>
      </c>
      <c r="CM74" s="47">
        <f>CM60+CM66</f>
        <v>89.787000000000234</v>
      </c>
      <c r="CN74" s="47">
        <f>CN60+CN66</f>
        <v>898.12266015356602</v>
      </c>
      <c r="CO74" s="47">
        <f>CO60+CO66</f>
        <v>1513.6633073778667</v>
      </c>
      <c r="CP74" s="48">
        <f>CP60+CP66</f>
        <v>1604.6779178987679</v>
      </c>
      <c r="CQ74" s="20"/>
      <c r="CR74" s="46">
        <f>CR60+CR66</f>
        <v>159.36200000000011</v>
      </c>
      <c r="CS74" s="47">
        <f>CS60+CS66</f>
        <v>265.93400000000008</v>
      </c>
      <c r="CT74" s="47">
        <f>CT60+CT66</f>
        <v>333.96699999999993</v>
      </c>
      <c r="CU74" s="47">
        <f t="shared" ref="CU74:DC74" si="248">CU60+CU66</f>
        <v>401.16999999999996</v>
      </c>
      <c r="CV74" s="47">
        <f t="shared" si="248"/>
        <v>361.51599999999985</v>
      </c>
      <c r="CW74" s="47">
        <f t="shared" si="248"/>
        <v>291.76999999999992</v>
      </c>
      <c r="CX74" s="47">
        <f t="shared" si="248"/>
        <v>181.41699999999997</v>
      </c>
      <c r="CY74" s="47">
        <f t="shared" si="248"/>
        <v>419.5330000000003</v>
      </c>
      <c r="CZ74" s="47">
        <f t="shared" si="248"/>
        <v>402.71799999999996</v>
      </c>
      <c r="DA74" s="48">
        <f t="shared" si="248"/>
        <v>194.59700000000004</v>
      </c>
      <c r="DB74" s="47">
        <f t="shared" si="248"/>
        <v>363.63200000000018</v>
      </c>
      <c r="DC74" s="46">
        <f t="shared" si="248"/>
        <v>402.10999999999996</v>
      </c>
      <c r="DD74" s="47">
        <f>DD60+DD66</f>
        <v>285.61800000000034</v>
      </c>
      <c r="DE74" s="47">
        <f>DE60+DE66</f>
        <v>75.55100000000013</v>
      </c>
      <c r="DF74" s="47">
        <f>DF60+DF66</f>
        <v>620.89299999999992</v>
      </c>
      <c r="DG74" s="47">
        <f>DG60+DG66</f>
        <v>1488.0146236593162</v>
      </c>
      <c r="DH74" s="47">
        <f>DH60+DH66</f>
        <v>1581.4778142892492</v>
      </c>
      <c r="DI74" s="22"/>
    </row>
    <row r="75" spans="1:113" ht="14.25" hidden="1" customHeight="1" outlineLevel="1">
      <c r="A75" s="8"/>
      <c r="B75" s="613" t="s">
        <v>11</v>
      </c>
      <c r="C75" s="45"/>
      <c r="D75" s="47">
        <f t="shared" ref="D75:BJ75" si="249">D63+D72+D67</f>
        <v>51.559000000000005</v>
      </c>
      <c r="E75" s="47">
        <f t="shared" si="249"/>
        <v>45.988999999999997</v>
      </c>
      <c r="F75" s="47">
        <f t="shared" si="249"/>
        <v>48.68099999999999</v>
      </c>
      <c r="G75" s="48">
        <f t="shared" si="249"/>
        <v>44.346000000000046</v>
      </c>
      <c r="H75" s="47">
        <f t="shared" si="249"/>
        <v>44.952999999999982</v>
      </c>
      <c r="I75" s="47">
        <f t="shared" si="249"/>
        <v>48.460999999999984</v>
      </c>
      <c r="J75" s="47">
        <f t="shared" si="249"/>
        <v>54.222000000000016</v>
      </c>
      <c r="K75" s="48">
        <f t="shared" si="249"/>
        <v>62.880000000000017</v>
      </c>
      <c r="L75" s="47">
        <f t="shared" si="249"/>
        <v>74.703000000000003</v>
      </c>
      <c r="M75" s="47">
        <f t="shared" si="249"/>
        <v>79.529999999999987</v>
      </c>
      <c r="N75" s="47">
        <f t="shared" si="249"/>
        <v>69.920999999999992</v>
      </c>
      <c r="O75" s="48">
        <f t="shared" si="249"/>
        <v>74.214000000000027</v>
      </c>
      <c r="P75" s="47">
        <f t="shared" si="249"/>
        <v>80.296999999999983</v>
      </c>
      <c r="Q75" s="47">
        <f t="shared" si="249"/>
        <v>86.384999999999991</v>
      </c>
      <c r="R75" s="47">
        <f t="shared" si="249"/>
        <v>93.070999999999984</v>
      </c>
      <c r="S75" s="48">
        <f t="shared" si="249"/>
        <v>99.432000000000002</v>
      </c>
      <c r="T75" s="47">
        <f t="shared" si="249"/>
        <v>101.29500000000004</v>
      </c>
      <c r="U75" s="47">
        <f t="shared" si="249"/>
        <v>104.58900000000001</v>
      </c>
      <c r="V75" s="47">
        <f t="shared" si="249"/>
        <v>95.853999999999971</v>
      </c>
      <c r="W75" s="48">
        <f t="shared" si="249"/>
        <v>99.352000000000004</v>
      </c>
      <c r="X75" s="47">
        <f t="shared" si="249"/>
        <v>100.74300000000002</v>
      </c>
      <c r="Y75" s="47">
        <f t="shared" si="249"/>
        <v>96.906999999999982</v>
      </c>
      <c r="Z75" s="47">
        <f t="shared" si="249"/>
        <v>91.277000000000001</v>
      </c>
      <c r="AA75" s="48">
        <f t="shared" si="249"/>
        <v>87.292000000000016</v>
      </c>
      <c r="AB75" s="47">
        <f t="shared" si="249"/>
        <v>93.17500000000004</v>
      </c>
      <c r="AC75" s="47">
        <f t="shared" si="249"/>
        <v>93.422000000000025</v>
      </c>
      <c r="AD75" s="47">
        <f t="shared" si="249"/>
        <v>41.938999999999993</v>
      </c>
      <c r="AE75" s="48">
        <f t="shared" si="249"/>
        <v>23.231999999999985</v>
      </c>
      <c r="AF75" s="47">
        <f t="shared" si="249"/>
        <v>31.229000000000017</v>
      </c>
      <c r="AG75" s="47">
        <f t="shared" si="249"/>
        <v>51.605000000000011</v>
      </c>
      <c r="AH75" s="47">
        <f t="shared" si="249"/>
        <v>72.092000000000013</v>
      </c>
      <c r="AI75" s="48">
        <f t="shared" si="249"/>
        <v>87.268000000000058</v>
      </c>
      <c r="AJ75" s="46">
        <f t="shared" si="249"/>
        <v>115.922</v>
      </c>
      <c r="AK75" s="47">
        <f t="shared" si="249"/>
        <v>128.79900000000001</v>
      </c>
      <c r="AL75" s="47">
        <f t="shared" si="249"/>
        <v>120.67000000000003</v>
      </c>
      <c r="AM75" s="48">
        <f t="shared" si="249"/>
        <v>125.65499999999986</v>
      </c>
      <c r="AN75" s="46">
        <f t="shared" si="249"/>
        <v>118.82900000000001</v>
      </c>
      <c r="AO75" s="47">
        <f t="shared" si="249"/>
        <v>96.84699999999998</v>
      </c>
      <c r="AP75" s="47">
        <f t="shared" si="249"/>
        <v>87.858999999999995</v>
      </c>
      <c r="AQ75" s="48">
        <f t="shared" si="249"/>
        <v>97.97199999999998</v>
      </c>
      <c r="AR75" s="46">
        <f t="shared" si="249"/>
        <v>101.58200000000001</v>
      </c>
      <c r="AS75" s="47">
        <f t="shared" si="249"/>
        <v>94.617000000000004</v>
      </c>
      <c r="AT75" s="47">
        <f t="shared" si="249"/>
        <v>85.665000000000035</v>
      </c>
      <c r="AU75" s="48">
        <f t="shared" si="249"/>
        <v>104.87900000000006</v>
      </c>
      <c r="AV75" s="46">
        <f t="shared" si="249"/>
        <v>122.50299999999997</v>
      </c>
      <c r="AW75" s="47">
        <f t="shared" si="249"/>
        <v>137.45599999999993</v>
      </c>
      <c r="AX75" s="47">
        <f t="shared" si="249"/>
        <v>135.73600000000008</v>
      </c>
      <c r="AY75" s="48">
        <f t="shared" si="249"/>
        <v>144.33400000000006</v>
      </c>
      <c r="AZ75" s="46">
        <f t="shared" si="249"/>
        <v>156.41300000000001</v>
      </c>
      <c r="BA75" s="47">
        <f t="shared" si="249"/>
        <v>153.84800000000004</v>
      </c>
      <c r="BB75" s="47">
        <f t="shared" si="249"/>
        <v>145.19400000000005</v>
      </c>
      <c r="BC75" s="47">
        <f t="shared" si="249"/>
        <v>153.114</v>
      </c>
      <c r="BD75" s="46">
        <f t="shared" si="249"/>
        <v>154.19899999999998</v>
      </c>
      <c r="BE75" s="47">
        <f t="shared" si="249"/>
        <v>138.51999999999995</v>
      </c>
      <c r="BF75" s="47">
        <f t="shared" si="249"/>
        <v>136.89200000000002</v>
      </c>
      <c r="BG75" s="48">
        <f t="shared" si="249"/>
        <v>154.64400000000001</v>
      </c>
      <c r="BH75" s="47">
        <f t="shared" si="249"/>
        <v>151.97699999999992</v>
      </c>
      <c r="BI75" s="47">
        <f t="shared" si="249"/>
        <v>217.17800000000005</v>
      </c>
      <c r="BJ75" s="47">
        <f t="shared" si="249"/>
        <v>246.78099999999998</v>
      </c>
      <c r="BK75" s="891">
        <f>BK63+BK72+BK67</f>
        <v>280.34099999999995</v>
      </c>
      <c r="BL75" s="46">
        <f t="shared" ref="BL75:BN75" si="250">BL63+BL72+BL67</f>
        <v>327.15600000000001</v>
      </c>
      <c r="BM75" s="47">
        <f t="shared" si="250"/>
        <v>354.96900000000011</v>
      </c>
      <c r="BN75" s="47">
        <f t="shared" si="250"/>
        <v>349.00899999999996</v>
      </c>
      <c r="BO75" s="48">
        <f t="shared" ref="BO75" si="251">BO63+BO72</f>
        <v>349.03166015356572</v>
      </c>
      <c r="BP75" s="46">
        <f t="shared" ref="BP75:BW75" si="252">BP63+BP72</f>
        <v>371.78205588282822</v>
      </c>
      <c r="BQ75" s="47">
        <f t="shared" si="252"/>
        <v>388.97230740371435</v>
      </c>
      <c r="BR75" s="47">
        <f t="shared" si="252"/>
        <v>378.22860021920798</v>
      </c>
      <c r="BS75" s="48">
        <f t="shared" si="252"/>
        <v>374.68034387211583</v>
      </c>
      <c r="BT75" s="46">
        <f t="shared" si="252"/>
        <v>395.50241088618714</v>
      </c>
      <c r="BU75" s="47">
        <f t="shared" si="252"/>
        <v>410.21631236467641</v>
      </c>
      <c r="BV75" s="47">
        <f t="shared" si="252"/>
        <v>401.07874716626975</v>
      </c>
      <c r="BW75" s="48">
        <f t="shared" si="252"/>
        <v>397.88044748163486</v>
      </c>
      <c r="BX75" s="20"/>
      <c r="BY75" s="47">
        <f>BY63+BY72</f>
        <v>190.57500000000005</v>
      </c>
      <c r="BZ75" s="47">
        <f>BZ63+BZ72</f>
        <v>210.51599999999993</v>
      </c>
      <c r="CA75" s="47">
        <f>CA63+CA72</f>
        <v>298.36799999999999</v>
      </c>
      <c r="CB75" s="47">
        <f t="shared" ref="CB75:CK75" si="253">CB63+CB72</f>
        <v>359.18500000000006</v>
      </c>
      <c r="CC75" s="47">
        <f t="shared" si="253"/>
        <v>401.09000000000003</v>
      </c>
      <c r="CD75" s="47">
        <f t="shared" si="253"/>
        <v>376.21900000000011</v>
      </c>
      <c r="CE75" s="47">
        <f t="shared" si="253"/>
        <v>251.76799999999997</v>
      </c>
      <c r="CF75" s="47">
        <f t="shared" si="253"/>
        <v>242.19400000000013</v>
      </c>
      <c r="CG75" s="47">
        <f t="shared" si="253"/>
        <v>490.88899999999984</v>
      </c>
      <c r="CH75" s="47">
        <f t="shared" si="253"/>
        <v>401.70199999999994</v>
      </c>
      <c r="CI75" s="47">
        <f t="shared" si="253"/>
        <v>387.36</v>
      </c>
      <c r="CJ75" s="47">
        <f t="shared" si="253"/>
        <v>540.20600000000047</v>
      </c>
      <c r="CK75" s="47">
        <f t="shared" si="253"/>
        <v>608.56900000000007</v>
      </c>
      <c r="CL75" s="47">
        <f>CL63+CL72</f>
        <v>584.25499999999977</v>
      </c>
      <c r="CM75" s="47">
        <f>CM63+CM72</f>
        <v>896.27700000000027</v>
      </c>
      <c r="CN75" s="47">
        <f>CN63+CN72</f>
        <v>1380.1656601535658</v>
      </c>
      <c r="CO75" s="47">
        <f>CO63+CO72</f>
        <v>1513.6633073778667</v>
      </c>
      <c r="CP75" s="48">
        <f>CP63+CP72</f>
        <v>1604.6779178987679</v>
      </c>
      <c r="CQ75" s="20"/>
      <c r="CR75" s="46">
        <f>CR63+CR72</f>
        <v>191.98200000000011</v>
      </c>
      <c r="CS75" s="47">
        <f>CS63+CS72</f>
        <v>287.03400000000011</v>
      </c>
      <c r="CT75" s="47">
        <f>CT63+CT72</f>
        <v>333.96699999999993</v>
      </c>
      <c r="CU75" s="47">
        <f t="shared" ref="CU75:DC75" si="254">CU63+CU72</f>
        <v>401.16999999999996</v>
      </c>
      <c r="CV75" s="47">
        <f t="shared" si="254"/>
        <v>388.27899999999983</v>
      </c>
      <c r="CW75" s="47">
        <f t="shared" si="254"/>
        <v>315.82799999999992</v>
      </c>
      <c r="CX75" s="47">
        <f t="shared" si="254"/>
        <v>178.15799999999999</v>
      </c>
      <c r="CY75" s="47">
        <f t="shared" si="254"/>
        <v>452.47400000000027</v>
      </c>
      <c r="CZ75" s="47">
        <f t="shared" si="254"/>
        <v>429.27800000000002</v>
      </c>
      <c r="DA75" s="48">
        <f t="shared" si="254"/>
        <v>380.35300000000012</v>
      </c>
      <c r="DB75" s="47">
        <f t="shared" si="254"/>
        <v>501.02000000000021</v>
      </c>
      <c r="DC75" s="46">
        <f t="shared" si="254"/>
        <v>599.75500000000011</v>
      </c>
      <c r="DD75" s="47">
        <f>DD63+DD72</f>
        <v>582.72500000000036</v>
      </c>
      <c r="DE75" s="47">
        <f>DE63+DE72</f>
        <v>770.58000000000015</v>
      </c>
      <c r="DF75" s="47">
        <f>DF63+DF72</f>
        <v>1311.4749999999999</v>
      </c>
      <c r="DG75" s="47">
        <f>DG63+DG72</f>
        <v>1488.0146236593162</v>
      </c>
      <c r="DH75" s="47">
        <f>DH63+DH72</f>
        <v>1581.4778142892492</v>
      </c>
      <c r="DI75" s="22"/>
    </row>
    <row r="76" spans="1:113" ht="14.25" customHeight="1" collapsed="1">
      <c r="A76" s="8"/>
      <c r="B76" s="609"/>
      <c r="C76" s="35"/>
      <c r="D76" s="1376"/>
      <c r="E76" s="1376"/>
      <c r="F76" s="1376"/>
      <c r="G76" s="1377"/>
      <c r="H76" s="1376"/>
      <c r="I76" s="1376"/>
      <c r="J76" s="1376"/>
      <c r="K76" s="1377"/>
      <c r="L76" s="1376"/>
      <c r="M76" s="1376"/>
      <c r="N76" s="1376"/>
      <c r="O76" s="1377"/>
      <c r="P76" s="1376"/>
      <c r="Q76" s="1376"/>
      <c r="R76" s="1376"/>
      <c r="S76" s="1377"/>
      <c r="T76" s="1376"/>
      <c r="U76" s="1376"/>
      <c r="V76" s="1376"/>
      <c r="W76" s="1377"/>
      <c r="X76" s="1376"/>
      <c r="Y76" s="1376"/>
      <c r="Z76" s="1376"/>
      <c r="AA76" s="1377"/>
      <c r="AB76" s="1376"/>
      <c r="AC76" s="1376"/>
      <c r="AD76" s="1376"/>
      <c r="AE76" s="1377"/>
      <c r="AF76" s="1376"/>
      <c r="AG76" s="1376"/>
      <c r="AH76" s="1376"/>
      <c r="AI76" s="1377"/>
      <c r="AJ76" s="1378"/>
      <c r="AK76" s="1376"/>
      <c r="AL76" s="1376"/>
      <c r="AM76" s="1377"/>
      <c r="AN76" s="1378"/>
      <c r="AO76" s="1376"/>
      <c r="AP76" s="1376"/>
      <c r="AQ76" s="1377"/>
      <c r="AR76" s="1378"/>
      <c r="AS76" s="1376"/>
      <c r="AT76" s="1376"/>
      <c r="AU76" s="1377"/>
      <c r="AV76" s="1378"/>
      <c r="AW76" s="1376"/>
      <c r="AX76" s="1376"/>
      <c r="AY76" s="1377"/>
      <c r="AZ76" s="1378"/>
      <c r="BA76" s="1376"/>
      <c r="BB76" s="1376"/>
      <c r="BC76" s="1376"/>
      <c r="BD76" s="1378"/>
      <c r="BE76" s="1376"/>
      <c r="BF76" s="1376"/>
      <c r="BG76" s="1377"/>
      <c r="BH76" s="1376"/>
      <c r="BI76" s="1376"/>
      <c r="BJ76" s="1376"/>
      <c r="BK76" s="1441"/>
      <c r="BL76" s="1442"/>
      <c r="BM76" s="1441"/>
      <c r="BN76" s="1494"/>
      <c r="BO76" s="1453"/>
      <c r="BP76" s="1378"/>
      <c r="BQ76" s="1376"/>
      <c r="BR76" s="1376"/>
      <c r="BS76" s="1377"/>
      <c r="BT76" s="1495"/>
      <c r="BU76" s="1494"/>
      <c r="BV76" s="1494"/>
      <c r="BW76" s="1496"/>
      <c r="BX76" s="20"/>
      <c r="BY76" s="36"/>
      <c r="BZ76" s="36"/>
      <c r="CA76" s="36"/>
      <c r="CB76" s="36"/>
      <c r="CC76" s="36"/>
      <c r="CD76" s="36"/>
      <c r="CE76" s="36"/>
      <c r="CF76" s="36"/>
      <c r="CG76" s="36"/>
      <c r="CH76" s="1494"/>
      <c r="CI76" s="1494"/>
      <c r="CJ76" s="1494"/>
      <c r="CK76" s="1376"/>
      <c r="CL76" s="1376"/>
      <c r="CM76" s="1376"/>
      <c r="CN76" s="1376"/>
      <c r="CO76" s="1376"/>
      <c r="CP76" s="1377"/>
      <c r="CQ76" s="20"/>
      <c r="CR76" s="1378"/>
      <c r="CS76" s="1376"/>
      <c r="CT76" s="1376"/>
      <c r="CU76" s="1376"/>
      <c r="CV76" s="1376"/>
      <c r="CW76" s="1376"/>
      <c r="CX76" s="1376"/>
      <c r="CY76" s="1376"/>
      <c r="CZ76" s="1376"/>
      <c r="DA76" s="1377"/>
      <c r="DB76" s="1376"/>
      <c r="DC76" s="1378"/>
      <c r="DD76" s="1376"/>
      <c r="DE76" s="1376"/>
      <c r="DF76" s="1376"/>
      <c r="DG76" s="1441"/>
      <c r="DH76" s="1441"/>
      <c r="DI76" s="22"/>
    </row>
    <row r="77" spans="1:113" ht="14.25" customHeight="1">
      <c r="A77" s="8"/>
      <c r="B77" s="612" t="s">
        <v>324</v>
      </c>
      <c r="C77" s="24"/>
      <c r="D77" s="29">
        <f>10.057+11.443</f>
        <v>21.5</v>
      </c>
      <c r="E77" s="29">
        <v>-5.0069999999999997</v>
      </c>
      <c r="F77" s="29">
        <v>12.298999999999999</v>
      </c>
      <c r="G77" s="455">
        <f>28.657+11.443-F77-E77-D77</f>
        <v>11.308</v>
      </c>
      <c r="H77" s="29">
        <v>-1.8839999999999999</v>
      </c>
      <c r="I77" s="29">
        <v>12.356999999999999</v>
      </c>
      <c r="J77" s="29">
        <v>14.125999999999999</v>
      </c>
      <c r="K77" s="455">
        <f>40.634-J77-I77-H77</f>
        <v>16.035000000000004</v>
      </c>
      <c r="L77" s="29">
        <v>9.8040000000000003</v>
      </c>
      <c r="M77" s="29">
        <v>19.087</v>
      </c>
      <c r="N77" s="29">
        <v>16.780999999999999</v>
      </c>
      <c r="O77" s="455">
        <f>63.483-N77-M77-L77</f>
        <v>17.811</v>
      </c>
      <c r="P77" s="29">
        <v>19.273</v>
      </c>
      <c r="Q77" s="29">
        <v>20.731999999999999</v>
      </c>
      <c r="R77" s="29">
        <v>52.947000000000003</v>
      </c>
      <c r="S77" s="30">
        <v>23.864000000000001</v>
      </c>
      <c r="T77" s="29">
        <v>24.311</v>
      </c>
      <c r="U77" s="29">
        <v>25.100999999999999</v>
      </c>
      <c r="V77" s="29">
        <v>23.004999999999999</v>
      </c>
      <c r="W77" s="30">
        <v>-28.356000000000002</v>
      </c>
      <c r="X77" s="29">
        <v>20.45</v>
      </c>
      <c r="Y77" s="29">
        <v>9.4649999999999999</v>
      </c>
      <c r="Z77" s="29">
        <v>11.153</v>
      </c>
      <c r="AA77" s="30">
        <f>52.663-Z77-Y77-X77</f>
        <v>11.595000000000002</v>
      </c>
      <c r="AB77" s="29">
        <v>16.387</v>
      </c>
      <c r="AC77" s="29">
        <v>16.414000000000001</v>
      </c>
      <c r="AD77" s="29">
        <v>-51.945999999999998</v>
      </c>
      <c r="AE77" s="30">
        <f>-13.508-AD77-AC77-AB77</f>
        <v>5.6370000000000005</v>
      </c>
      <c r="AF77" s="29">
        <v>5.2869999999999999</v>
      </c>
      <c r="AG77" s="29">
        <v>6.7969999999999997</v>
      </c>
      <c r="AH77" s="29">
        <v>0.47599999999999998</v>
      </c>
      <c r="AI77" s="949">
        <f>20.808-AH77-AG77-AF77</f>
        <v>8.2480000000000011</v>
      </c>
      <c r="AJ77" s="577">
        <v>13.403</v>
      </c>
      <c r="AK77" s="29">
        <v>16.25</v>
      </c>
      <c r="AL77" s="29">
        <v>12.461</v>
      </c>
      <c r="AM77" s="30">
        <f>31.531-AL77-AK77-AJ77</f>
        <v>-10.583</v>
      </c>
      <c r="AN77" s="577">
        <v>14.532999999999999</v>
      </c>
      <c r="AO77" s="29">
        <v>10.983000000000001</v>
      </c>
      <c r="AP77" s="29">
        <v>6.1879999999999997</v>
      </c>
      <c r="AQ77" s="30">
        <f>42.99-AP77-AO77-AN77</f>
        <v>11.286</v>
      </c>
      <c r="AR77" s="577">
        <v>12.154</v>
      </c>
      <c r="AS77" s="29">
        <v>23.303000000000001</v>
      </c>
      <c r="AT77" s="29">
        <v>-0.48099999999999998</v>
      </c>
      <c r="AU77" s="30">
        <f>24.788-AR77-AS77-AT77</f>
        <v>-10.188000000000001</v>
      </c>
      <c r="AV77" s="577">
        <v>11.757</v>
      </c>
      <c r="AW77" s="29">
        <v>11.4</v>
      </c>
      <c r="AX77" s="29">
        <v>7.1870000000000003</v>
      </c>
      <c r="AY77" s="30">
        <f>37.073-AV77-AW77-AX77</f>
        <v>6.7290000000000019</v>
      </c>
      <c r="AZ77" s="577">
        <v>17.082000000000001</v>
      </c>
      <c r="BA77" s="29">
        <v>-1.3340000000000001</v>
      </c>
      <c r="BB77" s="29">
        <v>1.393</v>
      </c>
      <c r="BC77" s="29">
        <v>-36.558999999999997</v>
      </c>
      <c r="BD77" s="577">
        <v>-10.895</v>
      </c>
      <c r="BE77" s="29">
        <v>-10.942</v>
      </c>
      <c r="BF77" s="29">
        <v>-11.053000000000001</v>
      </c>
      <c r="BG77" s="30">
        <v>-9.7420000000000009</v>
      </c>
      <c r="BH77" s="29">
        <f>18.478+5.473-1.335</f>
        <v>22.616</v>
      </c>
      <c r="BI77" s="29">
        <v>-10.34</v>
      </c>
      <c r="BJ77" s="29">
        <v>-23.837</v>
      </c>
      <c r="BK77" s="29">
        <v>-65.105999999999995</v>
      </c>
      <c r="BL77" s="577">
        <f>-4.382</f>
        <v>-4.3819999999999997</v>
      </c>
      <c r="BM77" s="29">
        <v>-2.92</v>
      </c>
      <c r="BN77" s="29">
        <v>447.73599999999999</v>
      </c>
      <c r="BO77" s="32">
        <f t="shared" ref="BO77" si="255">BO74*BO78</f>
        <v>29.667691113053088</v>
      </c>
      <c r="BP77" s="33">
        <f t="shared" ref="BP77:BW77" si="256">BP74*BP78</f>
        <v>31.601474750040399</v>
      </c>
      <c r="BQ77" s="31">
        <f t="shared" si="256"/>
        <v>33.062646129315723</v>
      </c>
      <c r="BR77" s="31">
        <f t="shared" si="256"/>
        <v>32.149431018632683</v>
      </c>
      <c r="BS77" s="32">
        <f t="shared" si="256"/>
        <v>31.847829229129847</v>
      </c>
      <c r="BT77" s="33">
        <f t="shared" si="256"/>
        <v>33.61770492532591</v>
      </c>
      <c r="BU77" s="31">
        <f t="shared" si="256"/>
        <v>34.868386550997499</v>
      </c>
      <c r="BV77" s="31">
        <f t="shared" si="256"/>
        <v>34.091693509132931</v>
      </c>
      <c r="BW77" s="32">
        <f t="shared" si="256"/>
        <v>33.819838035938965</v>
      </c>
      <c r="BX77" s="20"/>
      <c r="BY77" s="31">
        <f>SUM(D77:G77)</f>
        <v>40.1</v>
      </c>
      <c r="BZ77" s="31">
        <f>SUM(H77:K77)</f>
        <v>40.634</v>
      </c>
      <c r="CA77" s="31">
        <f>SUM(L77:O77)</f>
        <v>63.482999999999997</v>
      </c>
      <c r="CB77" s="31">
        <f>SUM(P77:S77)</f>
        <v>116.816</v>
      </c>
      <c r="CC77" s="31">
        <f>SUM(T77:W77)</f>
        <v>44.061</v>
      </c>
      <c r="CD77" s="31">
        <f>SUM(X77:AA77)</f>
        <v>52.662999999999997</v>
      </c>
      <c r="CE77" s="31">
        <f>SUM(AB77:AE77)</f>
        <v>-13.507999999999996</v>
      </c>
      <c r="CF77" s="31">
        <f>SUM(AF77:AI77)</f>
        <v>20.808</v>
      </c>
      <c r="CG77" s="31">
        <f>SUM(AJ77:AM77)</f>
        <v>31.530999999999999</v>
      </c>
      <c r="CH77" s="31">
        <f>SUM(AN77:AQ77)</f>
        <v>42.989999999999995</v>
      </c>
      <c r="CI77" s="31">
        <f>SUM(AR77:AU77)</f>
        <v>24.787999999999997</v>
      </c>
      <c r="CJ77" s="31">
        <f>SUM(AV77:AY77)</f>
        <v>37.073</v>
      </c>
      <c r="CK77" s="31">
        <f>SUM(AZ77:BC77)</f>
        <v>-19.417999999999996</v>
      </c>
      <c r="CL77" s="31">
        <f>SUM(BD77:BG77)</f>
        <v>-42.632000000000005</v>
      </c>
      <c r="CM77" s="31">
        <f>SUM(BH77:BK77)</f>
        <v>-76.667000000000002</v>
      </c>
      <c r="CN77" s="31">
        <f>SUM(BL77:BO77)</f>
        <v>470.10169111305305</v>
      </c>
      <c r="CO77" s="31">
        <f>SUM(BP77:BS77)</f>
        <v>128.66138112711866</v>
      </c>
      <c r="CP77" s="32">
        <f>SUM(BT77:BW77)</f>
        <v>136.3976230213953</v>
      </c>
      <c r="CQ77" s="20"/>
      <c r="CR77" s="33">
        <f>SUM(G77:J77)</f>
        <v>35.906999999999996</v>
      </c>
      <c r="CS77" s="31">
        <f>SUM(K77:N77)</f>
        <v>61.707000000000001</v>
      </c>
      <c r="CT77" s="31">
        <f>SUM(O77:R77)</f>
        <v>110.76300000000001</v>
      </c>
      <c r="CU77" s="31">
        <f>SUM(S77:V77)</f>
        <v>96.280999999999992</v>
      </c>
      <c r="CV77" s="31">
        <f>SUM(W77:Z77)</f>
        <v>12.711999999999998</v>
      </c>
      <c r="CW77" s="31">
        <f>SUM(AA77:AD77)</f>
        <v>-7.5499999999999972</v>
      </c>
      <c r="CX77" s="31">
        <f>SUM(AE77:AH77)</f>
        <v>18.196999999999999</v>
      </c>
      <c r="CY77" s="31">
        <f>SUM(AI77:AL77)</f>
        <v>50.362000000000002</v>
      </c>
      <c r="CZ77" s="31">
        <f>SUM(AM77:AP77)</f>
        <v>21.120999999999999</v>
      </c>
      <c r="DA77" s="32">
        <f>SUM(AQ77:AT77)</f>
        <v>46.261999999999993</v>
      </c>
      <c r="DB77" s="31">
        <f>SUM(AU77:AX77)</f>
        <v>20.155999999999999</v>
      </c>
      <c r="DC77" s="33">
        <f>SUM(AY77:BB77)</f>
        <v>23.870000000000005</v>
      </c>
      <c r="DD77" s="31">
        <f>SUM(BC77:BF77)</f>
        <v>-69.448999999999998</v>
      </c>
      <c r="DE77" s="31">
        <f>SUM(BG77:BJ77)</f>
        <v>-21.303000000000001</v>
      </c>
      <c r="DF77" s="31">
        <f>SUM(BK77:BN77)</f>
        <v>375.32799999999997</v>
      </c>
      <c r="DG77" s="31">
        <f>SUM(BO77:BR77)</f>
        <v>126.4812430110419</v>
      </c>
      <c r="DH77" s="31">
        <f>SUM(BS77:BV77)</f>
        <v>134.42561421458618</v>
      </c>
      <c r="DI77" s="22"/>
    </row>
    <row r="78" spans="1:113" ht="14.25" customHeight="1">
      <c r="A78" s="11"/>
      <c r="B78" s="609" t="s">
        <v>325</v>
      </c>
      <c r="C78" s="35"/>
      <c r="D78" s="54">
        <f t="shared" ref="D78:BD78" si="257">D77/D74</f>
        <v>0.69768951194184836</v>
      </c>
      <c r="E78" s="1376">
        <f t="shared" si="257"/>
        <v>-1.1153931833370463</v>
      </c>
      <c r="F78" s="1376">
        <f t="shared" si="257"/>
        <v>0.25264476900638855</v>
      </c>
      <c r="G78" s="1377">
        <f t="shared" si="257"/>
        <v>0.25499481351192865</v>
      </c>
      <c r="H78" s="54">
        <f t="shared" si="257"/>
        <v>-0.16261004660797532</v>
      </c>
      <c r="I78" s="1376">
        <f t="shared" si="257"/>
        <v>0.25498854749179761</v>
      </c>
      <c r="J78" s="1376">
        <f t="shared" si="257"/>
        <v>0.25698120758973231</v>
      </c>
      <c r="K78" s="1377">
        <f t="shared" si="257"/>
        <v>0.2550095419847328</v>
      </c>
      <c r="L78" s="54">
        <f t="shared" si="257"/>
        <v>0.18290021080909646</v>
      </c>
      <c r="M78" s="1376">
        <f t="shared" si="257"/>
        <v>0.23999748522570102</v>
      </c>
      <c r="N78" s="1376">
        <f t="shared" si="257"/>
        <v>0.23999942792580198</v>
      </c>
      <c r="O78" s="1377">
        <f t="shared" si="257"/>
        <v>0.23999514916323056</v>
      </c>
      <c r="P78" s="54">
        <f t="shared" si="257"/>
        <v>0.24002142047648112</v>
      </c>
      <c r="Q78" s="1376">
        <f t="shared" si="257"/>
        <v>0.23999536956647569</v>
      </c>
      <c r="R78" s="1376">
        <f t="shared" si="257"/>
        <v>0.5688882680963997</v>
      </c>
      <c r="S78" s="1377">
        <f t="shared" si="257"/>
        <v>0.24000321827982943</v>
      </c>
      <c r="T78" s="54">
        <f t="shared" si="257"/>
        <v>0.24000197443111693</v>
      </c>
      <c r="U78" s="1376">
        <f t="shared" si="257"/>
        <v>0.23999655795542549</v>
      </c>
      <c r="V78" s="1376">
        <f t="shared" si="257"/>
        <v>0.24000041730131247</v>
      </c>
      <c r="W78" s="1377">
        <f t="shared" si="257"/>
        <v>-0.28540945325710604</v>
      </c>
      <c r="X78" s="54">
        <f t="shared" si="257"/>
        <v>0.20299177114042657</v>
      </c>
      <c r="Y78" s="1376">
        <f t="shared" si="257"/>
        <v>0.13493670164233582</v>
      </c>
      <c r="Z78" s="1376">
        <f t="shared" si="257"/>
        <v>0.12218850312784163</v>
      </c>
      <c r="AA78" s="1377">
        <f t="shared" si="257"/>
        <v>0.13283004169912477</v>
      </c>
      <c r="AB78" s="54">
        <f t="shared" si="257"/>
        <v>0.17824743837970713</v>
      </c>
      <c r="AC78" s="1376">
        <f t="shared" si="257"/>
        <v>0.17815355894675144</v>
      </c>
      <c r="AD78" s="1376">
        <f t="shared" si="257"/>
        <v>-2.5451249387555133</v>
      </c>
      <c r="AE78" s="1377">
        <f t="shared" si="257"/>
        <v>0.2042317307343938</v>
      </c>
      <c r="AF78" s="54">
        <f t="shared" si="257"/>
        <v>0.16190476190476186</v>
      </c>
      <c r="AG78" s="1376">
        <f t="shared" si="257"/>
        <v>0.13254163254163254</v>
      </c>
      <c r="AH78" s="1376">
        <f t="shared" si="257"/>
        <v>6.8117746390188765E-3</v>
      </c>
      <c r="AI78" s="1377">
        <f t="shared" si="257"/>
        <v>9.8193983118444669E-2</v>
      </c>
      <c r="AJ78" s="584">
        <f t="shared" si="257"/>
        <v>0.13016538958327262</v>
      </c>
      <c r="AK78" s="1376">
        <f t="shared" si="257"/>
        <v>0.13617698818402746</v>
      </c>
      <c r="AL78" s="1376">
        <f t="shared" si="257"/>
        <v>0.11004353700645547</v>
      </c>
      <c r="AM78" s="1377">
        <f t="shared" si="257"/>
        <v>-9.2070120492409507E-2</v>
      </c>
      <c r="AN78" s="584">
        <f t="shared" si="257"/>
        <v>0.1276773320682445</v>
      </c>
      <c r="AO78" s="1376">
        <f t="shared" si="257"/>
        <v>0.1216683283482885</v>
      </c>
      <c r="AP78" s="1376">
        <f t="shared" si="257"/>
        <v>7.3951025968904238E-2</v>
      </c>
      <c r="AQ78" s="1377">
        <f t="shared" si="257"/>
        <v>0.12277800744109137</v>
      </c>
      <c r="AR78" s="584">
        <f t="shared" si="257"/>
        <v>0.13376034513118507</v>
      </c>
      <c r="AS78" s="1376">
        <f t="shared" si="257"/>
        <v>10.997168475696112</v>
      </c>
      <c r="AT78" s="1376">
        <f t="shared" si="257"/>
        <v>-4.9628559636813667E-2</v>
      </c>
      <c r="AU78" s="1377">
        <f t="shared" si="257"/>
        <v>-0.20580986626802936</v>
      </c>
      <c r="AV78" s="584">
        <f t="shared" si="257"/>
        <v>0.13014744952178539</v>
      </c>
      <c r="AW78" s="1376">
        <f t="shared" si="257"/>
        <v>0.10251245436397324</v>
      </c>
      <c r="AX78" s="1376">
        <f t="shared" si="257"/>
        <v>6.3834511670870772E-2</v>
      </c>
      <c r="AY78" s="1377">
        <f t="shared" si="257"/>
        <v>5.6917377182297994E-2</v>
      </c>
      <c r="AZ78" s="584">
        <f t="shared" si="257"/>
        <v>0.15965828901496387</v>
      </c>
      <c r="BA78" s="1376">
        <f t="shared" si="257"/>
        <v>-1.4707179396718988E-2</v>
      </c>
      <c r="BB78" s="1376">
        <f t="shared" si="257"/>
        <v>1.6161780232274821E-2</v>
      </c>
      <c r="BC78" s="1376">
        <f t="shared" si="257"/>
        <v>-0.58946163396268991</v>
      </c>
      <c r="BD78" s="584">
        <f t="shared" si="257"/>
        <v>-9.1121983858152483E-2</v>
      </c>
      <c r="BE78" s="1376">
        <f t="shared" ref="BE78:BJ78" si="258">BE77/BE74</f>
        <v>-0.20279111144059186</v>
      </c>
      <c r="BF78" s="1376">
        <f t="shared" si="258"/>
        <v>-0.22072890664003969</v>
      </c>
      <c r="BG78" s="1377">
        <f t="shared" si="258"/>
        <v>-0.16923183823784874</v>
      </c>
      <c r="BH78" s="54">
        <f t="shared" si="258"/>
        <v>-0.24922035990170446</v>
      </c>
      <c r="BI78" s="1376">
        <f t="shared" si="258"/>
        <v>-0.40976460331298958</v>
      </c>
      <c r="BJ78" s="1376">
        <f t="shared" si="258"/>
        <v>-0.2854798917339339</v>
      </c>
      <c r="BK78" s="1441">
        <f t="shared" ref="BK78:BN78" si="259">BK77/BK74</f>
        <v>-0.90674354474805663</v>
      </c>
      <c r="BL78" s="1452">
        <f t="shared" si="259"/>
        <v>-2.636503113624741E-2</v>
      </c>
      <c r="BM78" s="1441">
        <f t="shared" si="259"/>
        <v>-1.5679030907021198E-2</v>
      </c>
      <c r="BN78" s="1494">
        <f t="shared" si="259"/>
        <v>2.2768166793796087</v>
      </c>
      <c r="BO78" s="1270">
        <v>8.5000000000000006E-2</v>
      </c>
      <c r="BP78" s="1269">
        <v>8.5000000000000006E-2</v>
      </c>
      <c r="BQ78" s="1264">
        <v>8.5000000000000006E-2</v>
      </c>
      <c r="BR78" s="1264">
        <v>8.5000000000000006E-2</v>
      </c>
      <c r="BS78" s="1270">
        <v>8.5000000000000006E-2</v>
      </c>
      <c r="BT78" s="1269">
        <v>8.5000000000000006E-2</v>
      </c>
      <c r="BU78" s="1264">
        <v>8.5000000000000006E-2</v>
      </c>
      <c r="BV78" s="1264">
        <v>8.5000000000000006E-2</v>
      </c>
      <c r="BW78" s="1270">
        <v>8.5000000000000006E-2</v>
      </c>
      <c r="BX78" s="160"/>
      <c r="BY78" s="36">
        <f>BY77/BY74</f>
        <v>0.3124707789171835</v>
      </c>
      <c r="BZ78" s="36">
        <f>BZ77/BZ74</f>
        <v>0.22841435445428798</v>
      </c>
      <c r="CA78" s="36">
        <f>CA77/CA74</f>
        <v>0.22895898553024507</v>
      </c>
      <c r="CB78" s="36">
        <f t="shared" ref="CB78:CL78" si="260">CB77/CB74</f>
        <v>0.32522516252070655</v>
      </c>
      <c r="CC78" s="36">
        <f t="shared" si="260"/>
        <v>0.10985315016579819</v>
      </c>
      <c r="CD78" s="36">
        <f t="shared" si="260"/>
        <v>0.15069994505746068</v>
      </c>
      <c r="CE78" s="36">
        <f t="shared" si="260"/>
        <v>-5.8204318357111144E-2</v>
      </c>
      <c r="CF78" s="36">
        <f t="shared" si="260"/>
        <v>8.7497319322324615E-2</v>
      </c>
      <c r="CG78" s="36">
        <f t="shared" si="260"/>
        <v>6.9994073001969026E-2</v>
      </c>
      <c r="CH78" s="1494">
        <f t="shared" si="260"/>
        <v>0.11322245486508908</v>
      </c>
      <c r="CI78" s="1494">
        <f t="shared" si="260"/>
        <v>0.16288926710343862</v>
      </c>
      <c r="CJ78" s="1494">
        <f>CJ77/CJ74</f>
        <v>8.5746864837609849E-2</v>
      </c>
      <c r="CK78" s="1376">
        <f t="shared" si="260"/>
        <v>-5.6136475989210934E-2</v>
      </c>
      <c r="CL78" s="1376">
        <f t="shared" si="260"/>
        <v>-0.15162734783737561</v>
      </c>
      <c r="CM78" s="1376">
        <f>CM77/CM74</f>
        <v>-0.85387639636027268</v>
      </c>
      <c r="CN78" s="1376">
        <f>CN77/CN74</f>
        <v>0.52342704618172364</v>
      </c>
      <c r="CO78" s="1376">
        <f>CO77/CO74</f>
        <v>8.4999999999999992E-2</v>
      </c>
      <c r="CP78" s="1377">
        <f>CP77/CP74</f>
        <v>8.500000000000002E-2</v>
      </c>
      <c r="CQ78" s="160"/>
      <c r="CR78" s="1378">
        <f>CR77/CR74</f>
        <v>0.22531720234434791</v>
      </c>
      <c r="CS78" s="1376">
        <f>CS77/CS74</f>
        <v>0.23203877653853958</v>
      </c>
      <c r="CT78" s="1376">
        <f>CT77/CT74</f>
        <v>0.33165851715888106</v>
      </c>
      <c r="CU78" s="1376">
        <f t="shared" ref="CU78:DD78" si="261">CU77/CU74</f>
        <v>0.24000049854176533</v>
      </c>
      <c r="CV78" s="1376">
        <f t="shared" si="261"/>
        <v>3.5163035660938945E-2</v>
      </c>
      <c r="CW78" s="1376">
        <f t="shared" si="261"/>
        <v>-2.5876546594920655E-2</v>
      </c>
      <c r="CX78" s="1376">
        <f t="shared" si="261"/>
        <v>0.10030482259104716</v>
      </c>
      <c r="CY78" s="1376">
        <f t="shared" si="261"/>
        <v>0.12004300019307174</v>
      </c>
      <c r="CZ78" s="1376">
        <f t="shared" si="261"/>
        <v>5.2446128556458867E-2</v>
      </c>
      <c r="DA78" s="1377">
        <f t="shared" si="261"/>
        <v>0.23773233914191885</v>
      </c>
      <c r="DB78" s="1376">
        <f t="shared" si="261"/>
        <v>5.5429665155981842E-2</v>
      </c>
      <c r="DC78" s="1378">
        <f t="shared" si="261"/>
        <v>5.9361866156026975E-2</v>
      </c>
      <c r="DD78" s="1376">
        <f t="shared" si="261"/>
        <v>-0.24315344271019304</v>
      </c>
      <c r="DE78" s="1376">
        <f>DE77/DE74</f>
        <v>-0.28196847162843597</v>
      </c>
      <c r="DF78" s="1376">
        <f>DF77/DF74</f>
        <v>0.604497071153967</v>
      </c>
      <c r="DG78" s="1441">
        <f>DG77/DG74</f>
        <v>8.500000000000002E-2</v>
      </c>
      <c r="DH78" s="1441">
        <f>DH77/DH74</f>
        <v>8.4999999999999992E-2</v>
      </c>
      <c r="DI78" s="23"/>
    </row>
    <row r="79" spans="1:113" ht="14.25" customHeight="1">
      <c r="A79" s="11"/>
      <c r="B79" s="608"/>
      <c r="C79" s="28"/>
      <c r="D79" s="29"/>
      <c r="E79" s="29"/>
      <c r="F79" s="29"/>
      <c r="G79" s="30"/>
      <c r="H79" s="29"/>
      <c r="I79" s="29"/>
      <c r="J79" s="29"/>
      <c r="K79" s="30"/>
      <c r="L79" s="29"/>
      <c r="M79" s="29"/>
      <c r="N79" s="29"/>
      <c r="O79" s="30"/>
      <c r="P79" s="29"/>
      <c r="Q79" s="29"/>
      <c r="R79" s="29"/>
      <c r="S79" s="30"/>
      <c r="T79" s="29"/>
      <c r="U79" s="29"/>
      <c r="V79" s="29"/>
      <c r="W79" s="30"/>
      <c r="X79" s="29"/>
      <c r="Y79" s="29"/>
      <c r="Z79" s="29"/>
      <c r="AA79" s="30"/>
      <c r="AB79" s="29"/>
      <c r="AC79" s="29"/>
      <c r="AD79" s="29"/>
      <c r="AE79" s="30"/>
      <c r="AF79" s="29"/>
      <c r="AG79" s="29"/>
      <c r="AH79" s="29"/>
      <c r="AI79" s="30"/>
      <c r="AJ79" s="577"/>
      <c r="AK79" s="29"/>
      <c r="AL79" s="29"/>
      <c r="AM79" s="30"/>
      <c r="AN79" s="577"/>
      <c r="AO79" s="29"/>
      <c r="AP79" s="29"/>
      <c r="AQ79" s="30"/>
      <c r="AR79" s="33"/>
      <c r="AS79" s="29"/>
      <c r="AT79" s="29"/>
      <c r="AU79" s="30"/>
      <c r="AV79" s="33"/>
      <c r="AW79" s="1160"/>
      <c r="AX79" s="29"/>
      <c r="AY79" s="30"/>
      <c r="AZ79" s="33"/>
      <c r="BA79" s="29"/>
      <c r="BB79" s="29"/>
      <c r="BC79" s="29"/>
      <c r="BD79" s="33"/>
      <c r="BE79" s="29"/>
      <c r="BF79" s="29"/>
      <c r="BG79" s="30"/>
      <c r="BH79" s="31"/>
      <c r="BI79" s="29"/>
      <c r="BJ79" s="29"/>
      <c r="BK79" s="29"/>
      <c r="BL79" s="33"/>
      <c r="BM79" s="29"/>
      <c r="BN79" s="29"/>
      <c r="BO79" s="32"/>
      <c r="BP79" s="33"/>
      <c r="BQ79" s="31"/>
      <c r="BR79" s="31"/>
      <c r="BS79" s="32"/>
      <c r="BT79" s="33"/>
      <c r="BU79" s="31"/>
      <c r="BV79" s="31"/>
      <c r="BW79" s="32"/>
      <c r="BX79" s="160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2"/>
      <c r="CQ79" s="160"/>
      <c r="CR79" s="33"/>
      <c r="CS79" s="31"/>
      <c r="CT79" s="31"/>
      <c r="CU79" s="31"/>
      <c r="CV79" s="31"/>
      <c r="CW79" s="31"/>
      <c r="CX79" s="31"/>
      <c r="CY79" s="31"/>
      <c r="CZ79" s="31"/>
      <c r="DA79" s="32"/>
      <c r="DB79" s="31"/>
      <c r="DC79" s="33"/>
      <c r="DD79" s="31"/>
      <c r="DE79" s="31"/>
      <c r="DF79" s="31"/>
      <c r="DG79" s="31"/>
      <c r="DH79" s="31"/>
      <c r="DI79" s="23"/>
    </row>
    <row r="80" spans="1:113" ht="14.25" hidden="1" customHeight="1" outlineLevel="1">
      <c r="A80" s="11"/>
      <c r="B80" s="608" t="s">
        <v>13</v>
      </c>
      <c r="C80" s="28"/>
      <c r="D80" s="29">
        <v>0</v>
      </c>
      <c r="E80" s="29">
        <v>-16.600000000000001</v>
      </c>
      <c r="F80" s="29">
        <v>0</v>
      </c>
      <c r="G80" s="455">
        <v>0</v>
      </c>
      <c r="H80" s="29">
        <v>-13.347</v>
      </c>
      <c r="I80" s="29">
        <v>0</v>
      </c>
      <c r="J80" s="29">
        <v>0.29899999999999999</v>
      </c>
      <c r="K80" s="455">
        <v>0</v>
      </c>
      <c r="L80" s="29">
        <f>-L53+12.976</f>
        <v>-8.1240000000000006</v>
      </c>
      <c r="M80" s="29">
        <v>0</v>
      </c>
      <c r="N80" s="29">
        <v>0</v>
      </c>
      <c r="O80" s="455">
        <v>0</v>
      </c>
      <c r="P80" s="29">
        <v>0</v>
      </c>
      <c r="Q80" s="29">
        <v>0</v>
      </c>
      <c r="R80" s="29">
        <v>0</v>
      </c>
      <c r="S80" s="30">
        <v>0</v>
      </c>
      <c r="T80" s="29">
        <v>0</v>
      </c>
      <c r="U80" s="29">
        <v>0</v>
      </c>
      <c r="V80" s="29">
        <v>0</v>
      </c>
      <c r="W80" s="30">
        <v>-52.2</v>
      </c>
      <c r="X80" s="29">
        <v>0</v>
      </c>
      <c r="Y80" s="29">
        <f>-Y54+16.459</f>
        <v>-10.304000000000002</v>
      </c>
      <c r="Z80" s="29">
        <v>-5.7329999999999997</v>
      </c>
      <c r="AA80" s="30">
        <v>-4.5289999999999999</v>
      </c>
      <c r="AB80" s="29">
        <v>-0.47799999999999998</v>
      </c>
      <c r="AC80" s="29">
        <v>-0.496</v>
      </c>
      <c r="AD80" s="29">
        <f>-0.078-0.089-1.47-49.847-0.508-7.42</f>
        <v>-59.412000000000006</v>
      </c>
      <c r="AE80" s="30">
        <f>-0.043-0.04-0.4-0.606-0.508+4.627</f>
        <v>3.03</v>
      </c>
      <c r="AF80" s="29">
        <f>-0.165-0.124-0.581+2.097</f>
        <v>1.2269999999999999</v>
      </c>
      <c r="AG80" s="29">
        <f>-0.109-0.6+0.797</f>
        <v>8.8000000000000078E-2</v>
      </c>
      <c r="AH80" s="29">
        <f>-0.083-0.614-8.452</f>
        <v>-9.1489999999999991</v>
      </c>
      <c r="AI80" s="30">
        <f>-0.173-0.614</f>
        <v>-0.78699999999999992</v>
      </c>
      <c r="AJ80" s="577">
        <f>-0.27-0.026-0.618</f>
        <v>-0.91400000000000003</v>
      </c>
      <c r="AK80" s="29">
        <f>-0.147-0.031-0.64</f>
        <v>-0.81800000000000006</v>
      </c>
      <c r="AL80" s="29">
        <f>-0.146-0.08-0.654-1.534</f>
        <v>-2.4140000000000001</v>
      </c>
      <c r="AM80" s="30">
        <f>-(0.151+0.022+0.655+24.395)</f>
        <v>-25.222999999999999</v>
      </c>
      <c r="AN80" s="577">
        <f>-0.184-0.677</f>
        <v>-0.86099999999999999</v>
      </c>
      <c r="AO80" s="29">
        <f>-0.137-0.7-0.704</f>
        <v>-1.5409999999999999</v>
      </c>
      <c r="AP80" s="29">
        <f>-0.143-0.716-4.075</f>
        <v>-4.9340000000000002</v>
      </c>
      <c r="AQ80" s="30">
        <f>-(0.192+0.146+0.724)</f>
        <v>-1.0619999999999998</v>
      </c>
      <c r="AR80" s="577">
        <f>-0.017-0.569-0.741</f>
        <v>-1.327</v>
      </c>
      <c r="AS80" s="29">
        <f>-3.387-4.818-11.476-0.766+29.716</f>
        <v>9.2689999999999984</v>
      </c>
      <c r="AT80" s="29">
        <f>-7.416-1.367-0.784-3.645</f>
        <v>-13.212000000000002</v>
      </c>
      <c r="AU80" s="30">
        <f>-(0.727+2.708+0.784+9.539)</f>
        <v>-13.757999999999999</v>
      </c>
      <c r="AV80" s="577">
        <f>-0.423-0.809-0.637</f>
        <v>-1.869</v>
      </c>
      <c r="AW80" s="29">
        <f>-0.357+0.004-0.837-1.995</f>
        <v>-3.1850000000000001</v>
      </c>
      <c r="AX80" s="29">
        <f>-0.392-0.3-0.856-6.172</f>
        <v>-7.72</v>
      </c>
      <c r="AY80" s="30">
        <f>-(0.359+0.2+0.279+0.856+5.769)</f>
        <v>-7.4630000000000001</v>
      </c>
      <c r="AZ80" s="577">
        <f>-0.375-2.696-0.113-0.879+4.465</f>
        <v>0.40199999999999925</v>
      </c>
      <c r="BA80" s="29">
        <f>-6.201-0.271-0.908-10.517</f>
        <v>-17.896999999999998</v>
      </c>
      <c r="BB80" s="29">
        <f>-5.799-0.339-0.929-3.931-0.448</f>
        <v>-11.446000000000002</v>
      </c>
      <c r="BC80" s="29">
        <f>-(0.251+3.365+0.239+18.809+2.546+26.735)-0.995-0.188</f>
        <v>-53.128</v>
      </c>
      <c r="BD80" s="577">
        <f>-3.038-0.415-4.388-18.723</f>
        <v>-26.564</v>
      </c>
      <c r="BE80" s="29">
        <f>-16.946-1.2-4.624+6.016-4.254</f>
        <v>-21.007999999999996</v>
      </c>
      <c r="BF80" s="29">
        <f>-2.556-12.797+0.201-4.722+0.031-1.472+0.301</f>
        <v>-21.014000000000006</v>
      </c>
      <c r="BG80" s="30">
        <f>-(1.911+1.324+2.018+0.031+5.692+12.3)</f>
        <v>-23.276</v>
      </c>
      <c r="BH80" s="29">
        <f>-3.566-0.295-11.769-6.47-4.62+0.172+55.215-6.877+5.473-1.335</f>
        <v>25.928000000000004</v>
      </c>
      <c r="BI80" s="29">
        <f>-(0.618+8.173+3.042+4.699-4.066+11.473)</f>
        <v>-23.939</v>
      </c>
      <c r="BJ80" s="29">
        <f>0.02-8.688-8.557-0.526-4.698-7.524</f>
        <v>-29.973000000000003</v>
      </c>
      <c r="BK80" s="29">
        <f>-(-0.495+8.465+17.335+16.082+7.198-0.476+34.901)</f>
        <v>-83.01</v>
      </c>
      <c r="BL80" s="577">
        <f>0.241-10.894+1.207-5.053-9.809+2.476-5.633</f>
        <v>-27.465</v>
      </c>
      <c r="BM80" s="29">
        <f>-(10.149+7.195+9.953+5.603-3.348)</f>
        <v>-29.552</v>
      </c>
      <c r="BN80" s="29">
        <f>-8.371+0.029+0.152-8.001+439.828-0.854-0.304</f>
        <v>422.47899999999998</v>
      </c>
      <c r="BO80" s="32">
        <f t="shared" ref="BO80:BS80" si="262">-(BO17+BO34+BO47+BO51+BO71)*BO78</f>
        <v>0</v>
      </c>
      <c r="BP80" s="33">
        <f t="shared" si="262"/>
        <v>0</v>
      </c>
      <c r="BQ80" s="31">
        <f t="shared" si="262"/>
        <v>0</v>
      </c>
      <c r="BR80" s="31">
        <f t="shared" si="262"/>
        <v>0</v>
      </c>
      <c r="BS80" s="32">
        <f t="shared" si="262"/>
        <v>0</v>
      </c>
      <c r="BT80" s="33">
        <f t="shared" ref="BT80:BW80" si="263">-(BT17+BT34+BT47+BT51+BT71)*BT78</f>
        <v>0</v>
      </c>
      <c r="BU80" s="31">
        <f t="shared" si="263"/>
        <v>0</v>
      </c>
      <c r="BV80" s="31">
        <f t="shared" si="263"/>
        <v>0</v>
      </c>
      <c r="BW80" s="32">
        <f t="shared" si="263"/>
        <v>0</v>
      </c>
      <c r="BX80" s="160"/>
      <c r="BY80" s="31">
        <f>SUM(D80:G80)</f>
        <v>-16.600000000000001</v>
      </c>
      <c r="BZ80" s="31">
        <f>SUM(H80:K80)</f>
        <v>-13.048</v>
      </c>
      <c r="CA80" s="31">
        <f>SUM(L80:O80)</f>
        <v>-8.1240000000000006</v>
      </c>
      <c r="CB80" s="31">
        <f>SUM(P80:S80)</f>
        <v>0</v>
      </c>
      <c r="CC80" s="31">
        <f>SUM(T80:W80)</f>
        <v>-52.2</v>
      </c>
      <c r="CD80" s="31">
        <f>SUM(X80:AA80)</f>
        <v>-20.566000000000003</v>
      </c>
      <c r="CE80" s="31">
        <f>SUM(AB80:AE80)</f>
        <v>-57.356000000000002</v>
      </c>
      <c r="CF80" s="31">
        <f>SUM(AF80:AI80)</f>
        <v>-8.6209999999999987</v>
      </c>
      <c r="CG80" s="31">
        <f>SUM(AJ80:AM80)</f>
        <v>-29.369</v>
      </c>
      <c r="CH80" s="31">
        <f>SUM(AN80:AQ80)</f>
        <v>-8.3979999999999997</v>
      </c>
      <c r="CI80" s="31">
        <f>SUM(AR80:AU80)</f>
        <v>-19.028000000000002</v>
      </c>
      <c r="CJ80" s="31">
        <f>SUM(AV80:AY80)</f>
        <v>-20.237000000000002</v>
      </c>
      <c r="CK80" s="31">
        <f>SUM(AZ80:BC80)</f>
        <v>-82.069000000000003</v>
      </c>
      <c r="CL80" s="31">
        <f>SUM(BD80:BG80)</f>
        <v>-91.861999999999995</v>
      </c>
      <c r="CM80" s="31">
        <f>SUM(BH80:BK80)</f>
        <v>-110.994</v>
      </c>
      <c r="CN80" s="31">
        <f>SUM(BL80:BO80)</f>
        <v>365.46199999999999</v>
      </c>
      <c r="CO80" s="31">
        <f>SUM(BP80:BS80)</f>
        <v>0</v>
      </c>
      <c r="CP80" s="32">
        <f>SUM(BT80:BW80)</f>
        <v>0</v>
      </c>
      <c r="CQ80" s="160"/>
      <c r="CR80" s="33">
        <f>SUM(G80:J80)</f>
        <v>-13.048</v>
      </c>
      <c r="CS80" s="31">
        <f>SUM(K80:N80)</f>
        <v>-8.1240000000000006</v>
      </c>
      <c r="CT80" s="31">
        <f>SUM(O80:R80)</f>
        <v>0</v>
      </c>
      <c r="CU80" s="31">
        <f>SUM(S80:V80)</f>
        <v>0</v>
      </c>
      <c r="CV80" s="31">
        <f>SUM(W80:Z80)</f>
        <v>-68.237000000000009</v>
      </c>
      <c r="CW80" s="31">
        <f>SUM(AA80:AD80)</f>
        <v>-64.915000000000006</v>
      </c>
      <c r="CX80" s="31">
        <f>SUM(AE80:AH80)</f>
        <v>-4.8039999999999994</v>
      </c>
      <c r="CY80" s="31">
        <f>SUM(AI80:AL80)</f>
        <v>-4.9329999999999998</v>
      </c>
      <c r="CZ80" s="31">
        <f>SUM(AM80:AP80)</f>
        <v>-32.558999999999997</v>
      </c>
      <c r="DA80" s="32">
        <f>SUM(AQ80:AT80)</f>
        <v>-6.3320000000000025</v>
      </c>
      <c r="DB80" s="31">
        <f>SUM(AU80:AX80)</f>
        <v>-26.531999999999996</v>
      </c>
      <c r="DC80" s="33">
        <f>SUM(AY80:BB80)</f>
        <v>-36.403999999999996</v>
      </c>
      <c r="DD80" s="31">
        <f>SUM(BC80:BF80)</f>
        <v>-121.71400000000001</v>
      </c>
      <c r="DE80" s="31">
        <f>SUM(BG80:BJ80)</f>
        <v>-51.26</v>
      </c>
      <c r="DF80" s="31">
        <f>SUM(BK80:BN80)</f>
        <v>282.452</v>
      </c>
      <c r="DG80" s="31">
        <f>SUM(BO80:BR80)</f>
        <v>0</v>
      </c>
      <c r="DH80" s="31">
        <f>SUM(BS80:BV80)</f>
        <v>0</v>
      </c>
      <c r="DI80" s="23"/>
    </row>
    <row r="81" spans="1:113" ht="14.25" hidden="1" customHeight="1" outlineLevel="1">
      <c r="A81" s="8"/>
      <c r="B81" s="612" t="s">
        <v>14</v>
      </c>
      <c r="C81" s="24"/>
      <c r="D81" s="31">
        <f t="shared" ref="D81:BO81" si="264">D77-D80</f>
        <v>21.5</v>
      </c>
      <c r="E81" s="31">
        <f t="shared" si="264"/>
        <v>11.593000000000002</v>
      </c>
      <c r="F81" s="31">
        <f t="shared" si="264"/>
        <v>12.298999999999999</v>
      </c>
      <c r="G81" s="32">
        <f t="shared" si="264"/>
        <v>11.308</v>
      </c>
      <c r="H81" s="31">
        <f t="shared" si="264"/>
        <v>11.462999999999999</v>
      </c>
      <c r="I81" s="31">
        <f t="shared" si="264"/>
        <v>12.356999999999999</v>
      </c>
      <c r="J81" s="31">
        <f t="shared" si="264"/>
        <v>13.827</v>
      </c>
      <c r="K81" s="32">
        <f t="shared" si="264"/>
        <v>16.035000000000004</v>
      </c>
      <c r="L81" s="31">
        <f>L77-L80</f>
        <v>17.928000000000001</v>
      </c>
      <c r="M81" s="31">
        <f t="shared" si="264"/>
        <v>19.087</v>
      </c>
      <c r="N81" s="31">
        <f t="shared" si="264"/>
        <v>16.780999999999999</v>
      </c>
      <c r="O81" s="32">
        <f t="shared" si="264"/>
        <v>17.811</v>
      </c>
      <c r="P81" s="31">
        <f t="shared" si="264"/>
        <v>19.273</v>
      </c>
      <c r="Q81" s="31">
        <f t="shared" si="264"/>
        <v>20.731999999999999</v>
      </c>
      <c r="R81" s="31">
        <f t="shared" si="264"/>
        <v>52.947000000000003</v>
      </c>
      <c r="S81" s="32">
        <f t="shared" si="264"/>
        <v>23.864000000000001</v>
      </c>
      <c r="T81" s="31">
        <f t="shared" si="264"/>
        <v>24.311</v>
      </c>
      <c r="U81" s="31">
        <f t="shared" si="264"/>
        <v>25.100999999999999</v>
      </c>
      <c r="V81" s="31">
        <f t="shared" si="264"/>
        <v>23.004999999999999</v>
      </c>
      <c r="W81" s="32">
        <f t="shared" si="264"/>
        <v>23.844000000000001</v>
      </c>
      <c r="X81" s="31">
        <f t="shared" si="264"/>
        <v>20.45</v>
      </c>
      <c r="Y81" s="31">
        <f t="shared" si="264"/>
        <v>19.769000000000002</v>
      </c>
      <c r="Z81" s="31">
        <f t="shared" si="264"/>
        <v>16.885999999999999</v>
      </c>
      <c r="AA81" s="32">
        <f t="shared" si="264"/>
        <v>16.124000000000002</v>
      </c>
      <c r="AB81" s="31">
        <f t="shared" si="264"/>
        <v>16.865000000000002</v>
      </c>
      <c r="AC81" s="31">
        <f t="shared" si="264"/>
        <v>16.91</v>
      </c>
      <c r="AD81" s="31">
        <f t="shared" si="264"/>
        <v>7.4660000000000082</v>
      </c>
      <c r="AE81" s="32">
        <f t="shared" si="264"/>
        <v>2.6070000000000007</v>
      </c>
      <c r="AF81" s="31">
        <f t="shared" si="264"/>
        <v>4.0600000000000005</v>
      </c>
      <c r="AG81" s="31">
        <f t="shared" si="264"/>
        <v>6.7089999999999996</v>
      </c>
      <c r="AH81" s="31">
        <f t="shared" si="264"/>
        <v>9.625</v>
      </c>
      <c r="AI81" s="32">
        <f t="shared" si="264"/>
        <v>9.0350000000000001</v>
      </c>
      <c r="AJ81" s="33">
        <f t="shared" si="264"/>
        <v>14.317</v>
      </c>
      <c r="AK81" s="31">
        <f t="shared" si="264"/>
        <v>17.068000000000001</v>
      </c>
      <c r="AL81" s="31">
        <f t="shared" si="264"/>
        <v>14.875</v>
      </c>
      <c r="AM81" s="32">
        <f t="shared" si="264"/>
        <v>14.639999999999999</v>
      </c>
      <c r="AN81" s="33">
        <f t="shared" si="264"/>
        <v>15.394</v>
      </c>
      <c r="AO81" s="31">
        <f t="shared" si="264"/>
        <v>12.524000000000001</v>
      </c>
      <c r="AP81" s="31">
        <f t="shared" si="264"/>
        <v>11.122</v>
      </c>
      <c r="AQ81" s="32">
        <f t="shared" si="264"/>
        <v>12.347999999999999</v>
      </c>
      <c r="AR81" s="33">
        <f t="shared" si="264"/>
        <v>13.481</v>
      </c>
      <c r="AS81" s="31">
        <f t="shared" si="264"/>
        <v>14.034000000000002</v>
      </c>
      <c r="AT81" s="31">
        <f>AT77-AT80</f>
        <v>12.731000000000002</v>
      </c>
      <c r="AU81" s="32">
        <f t="shared" si="264"/>
        <v>3.5699999999999985</v>
      </c>
      <c r="AV81" s="33">
        <f t="shared" si="264"/>
        <v>13.625999999999999</v>
      </c>
      <c r="AW81" s="31">
        <f t="shared" si="264"/>
        <v>14.585000000000001</v>
      </c>
      <c r="AX81" s="31">
        <f t="shared" si="264"/>
        <v>14.907</v>
      </c>
      <c r="AY81" s="32">
        <f t="shared" si="264"/>
        <v>14.192000000000002</v>
      </c>
      <c r="AZ81" s="33">
        <f t="shared" si="264"/>
        <v>16.68</v>
      </c>
      <c r="BA81" s="31">
        <f t="shared" si="264"/>
        <v>16.562999999999999</v>
      </c>
      <c r="BB81" s="31">
        <f t="shared" si="264"/>
        <v>12.839000000000002</v>
      </c>
      <c r="BC81" s="31">
        <f t="shared" si="264"/>
        <v>16.569000000000003</v>
      </c>
      <c r="BD81" s="33">
        <f t="shared" si="264"/>
        <v>15.669</v>
      </c>
      <c r="BE81" s="31">
        <f t="shared" si="264"/>
        <v>10.065999999999995</v>
      </c>
      <c r="BF81" s="31">
        <f t="shared" si="264"/>
        <v>9.9610000000000056</v>
      </c>
      <c r="BG81" s="32">
        <f t="shared" si="264"/>
        <v>13.533999999999999</v>
      </c>
      <c r="BH81" s="31">
        <f>BH77-BH80</f>
        <v>-3.3120000000000047</v>
      </c>
      <c r="BI81" s="31">
        <f t="shared" ref="BI81" si="265">BI77-BI80</f>
        <v>13.599</v>
      </c>
      <c r="BJ81" s="31">
        <f>BJ77-BJ80+7.376</f>
        <v>13.512000000000004</v>
      </c>
      <c r="BK81" s="31">
        <f>BK77-BK80</f>
        <v>17.904000000000011</v>
      </c>
      <c r="BL81" s="33">
        <f>BL77-BL80</f>
        <v>23.082999999999998</v>
      </c>
      <c r="BM81" s="31">
        <f t="shared" ref="BM81" si="266">BM77-BM80</f>
        <v>26.631999999999998</v>
      </c>
      <c r="BN81" s="31">
        <f>BN77-BN80</f>
        <v>25.257000000000005</v>
      </c>
      <c r="BO81" s="32">
        <f t="shared" si="264"/>
        <v>29.667691113053088</v>
      </c>
      <c r="BP81" s="33">
        <f t="shared" ref="BP81:BW81" si="267">BP77-BP80</f>
        <v>31.601474750040399</v>
      </c>
      <c r="BQ81" s="31">
        <f t="shared" si="267"/>
        <v>33.062646129315723</v>
      </c>
      <c r="BR81" s="31">
        <f t="shared" si="267"/>
        <v>32.149431018632683</v>
      </c>
      <c r="BS81" s="32">
        <f t="shared" si="267"/>
        <v>31.847829229129847</v>
      </c>
      <c r="BT81" s="33">
        <f t="shared" si="267"/>
        <v>33.61770492532591</v>
      </c>
      <c r="BU81" s="31">
        <f t="shared" si="267"/>
        <v>34.868386550997499</v>
      </c>
      <c r="BV81" s="31">
        <f t="shared" si="267"/>
        <v>34.091693509132931</v>
      </c>
      <c r="BW81" s="32">
        <f t="shared" si="267"/>
        <v>33.819838035938965</v>
      </c>
      <c r="BX81" s="20"/>
      <c r="BY81" s="31">
        <f>BY77-BY80</f>
        <v>56.7</v>
      </c>
      <c r="BZ81" s="31">
        <f>BZ77-BZ80</f>
        <v>53.682000000000002</v>
      </c>
      <c r="CA81" s="31">
        <f>CA77-CA80</f>
        <v>71.606999999999999</v>
      </c>
      <c r="CB81" s="31">
        <f>CB77-CB80</f>
        <v>116.816</v>
      </c>
      <c r="CC81" s="31">
        <f t="shared" ref="CC81:CL81" si="268">CC77-CC80</f>
        <v>96.260999999999996</v>
      </c>
      <c r="CD81" s="31">
        <f t="shared" si="268"/>
        <v>73.228999999999999</v>
      </c>
      <c r="CE81" s="31">
        <f t="shared" si="268"/>
        <v>43.848000000000006</v>
      </c>
      <c r="CF81" s="31">
        <f t="shared" si="268"/>
        <v>29.428999999999998</v>
      </c>
      <c r="CG81" s="31">
        <f t="shared" si="268"/>
        <v>60.9</v>
      </c>
      <c r="CH81" s="31">
        <f t="shared" si="268"/>
        <v>51.387999999999991</v>
      </c>
      <c r="CI81" s="31">
        <f t="shared" si="268"/>
        <v>43.816000000000003</v>
      </c>
      <c r="CJ81" s="31">
        <f t="shared" si="268"/>
        <v>57.31</v>
      </c>
      <c r="CK81" s="31">
        <f t="shared" si="268"/>
        <v>62.65100000000001</v>
      </c>
      <c r="CL81" s="31">
        <f t="shared" si="268"/>
        <v>49.22999999999999</v>
      </c>
      <c r="CM81" s="31">
        <f>CM77-CM80</f>
        <v>34.326999999999998</v>
      </c>
      <c r="CN81" s="31">
        <f>CN77-CN80</f>
        <v>104.63969111305306</v>
      </c>
      <c r="CO81" s="31">
        <f>CO77-CO80</f>
        <v>128.66138112711866</v>
      </c>
      <c r="CP81" s="32">
        <f>CP77-CP80</f>
        <v>136.3976230213953</v>
      </c>
      <c r="CQ81" s="20"/>
      <c r="CR81" s="33">
        <f>CR77-CR80</f>
        <v>48.954999999999998</v>
      </c>
      <c r="CS81" s="31">
        <f>CS77-CS80</f>
        <v>69.831000000000003</v>
      </c>
      <c r="CT81" s="31">
        <f>CT77-CT80</f>
        <v>110.76300000000001</v>
      </c>
      <c r="CU81" s="31">
        <f>CU77-CU80</f>
        <v>96.280999999999992</v>
      </c>
      <c r="CV81" s="31">
        <f t="shared" ref="CV81:DD81" si="269">CV77-CV80</f>
        <v>80.949000000000012</v>
      </c>
      <c r="CW81" s="31">
        <f t="shared" si="269"/>
        <v>57.365000000000009</v>
      </c>
      <c r="CX81" s="31">
        <f t="shared" si="269"/>
        <v>23.000999999999998</v>
      </c>
      <c r="CY81" s="31">
        <f t="shared" si="269"/>
        <v>55.295000000000002</v>
      </c>
      <c r="CZ81" s="31">
        <f t="shared" si="269"/>
        <v>53.679999999999993</v>
      </c>
      <c r="DA81" s="32">
        <f t="shared" si="269"/>
        <v>52.593999999999994</v>
      </c>
      <c r="DB81" s="31">
        <f t="shared" si="269"/>
        <v>46.687999999999995</v>
      </c>
      <c r="DC81" s="33">
        <f t="shared" si="269"/>
        <v>60.274000000000001</v>
      </c>
      <c r="DD81" s="31">
        <f t="shared" si="269"/>
        <v>52.265000000000015</v>
      </c>
      <c r="DE81" s="31">
        <f>DE77-DE80</f>
        <v>29.956999999999997</v>
      </c>
      <c r="DF81" s="31">
        <f>DF77-DF80</f>
        <v>92.875999999999976</v>
      </c>
      <c r="DG81" s="31">
        <f>DG77-DG80</f>
        <v>126.4812430110419</v>
      </c>
      <c r="DH81" s="31">
        <f>DH77-DH80</f>
        <v>134.42561421458618</v>
      </c>
      <c r="DI81" s="22"/>
    </row>
    <row r="82" spans="1:113" ht="14.25" hidden="1" customHeight="1" outlineLevel="1">
      <c r="A82" s="8"/>
      <c r="B82" s="609" t="s">
        <v>15</v>
      </c>
      <c r="C82" s="35"/>
      <c r="D82" s="1376">
        <f t="shared" ref="D82:BG82" si="270">D81/D75</f>
        <v>0.41699800228864015</v>
      </c>
      <c r="E82" s="1376">
        <f t="shared" si="270"/>
        <v>0.25208201961338589</v>
      </c>
      <c r="F82" s="1376">
        <f t="shared" si="270"/>
        <v>0.25264476900638855</v>
      </c>
      <c r="G82" s="1377">
        <f t="shared" si="270"/>
        <v>0.25499481351192865</v>
      </c>
      <c r="H82" s="1376">
        <f t="shared" si="270"/>
        <v>0.25499966631815463</v>
      </c>
      <c r="I82" s="1376">
        <f t="shared" si="270"/>
        <v>0.25498854749179761</v>
      </c>
      <c r="J82" s="1376">
        <f t="shared" si="270"/>
        <v>0.25500719265242883</v>
      </c>
      <c r="K82" s="1377">
        <f t="shared" si="270"/>
        <v>0.2550095419847328</v>
      </c>
      <c r="L82" s="1376">
        <f t="shared" si="270"/>
        <v>0.23999036183285813</v>
      </c>
      <c r="M82" s="1376">
        <f t="shared" si="270"/>
        <v>0.23999748522570102</v>
      </c>
      <c r="N82" s="1376">
        <f t="shared" si="270"/>
        <v>0.23999942792580198</v>
      </c>
      <c r="O82" s="1377">
        <f t="shared" si="270"/>
        <v>0.23999514916323056</v>
      </c>
      <c r="P82" s="1376">
        <f t="shared" si="270"/>
        <v>0.24002142047648112</v>
      </c>
      <c r="Q82" s="1376">
        <f t="shared" si="270"/>
        <v>0.23999536956647569</v>
      </c>
      <c r="R82" s="1376">
        <f t="shared" si="270"/>
        <v>0.5688882680963997</v>
      </c>
      <c r="S82" s="1377">
        <f t="shared" si="270"/>
        <v>0.24000321827982943</v>
      </c>
      <c r="T82" s="1376">
        <f t="shared" si="270"/>
        <v>0.24000197443111693</v>
      </c>
      <c r="U82" s="1376">
        <f t="shared" si="270"/>
        <v>0.23999655795542549</v>
      </c>
      <c r="V82" s="1376">
        <f t="shared" si="270"/>
        <v>0.24000041730131247</v>
      </c>
      <c r="W82" s="1377">
        <f t="shared" si="270"/>
        <v>0.23999516869313151</v>
      </c>
      <c r="X82" s="1376">
        <f t="shared" si="270"/>
        <v>0.20299177114042657</v>
      </c>
      <c r="Y82" s="1376">
        <f t="shared" si="270"/>
        <v>0.20399971106318435</v>
      </c>
      <c r="Z82" s="1376">
        <f t="shared" si="270"/>
        <v>0.18499731586270363</v>
      </c>
      <c r="AA82" s="1377">
        <f t="shared" si="270"/>
        <v>0.18471337579617833</v>
      </c>
      <c r="AB82" s="1376">
        <f t="shared" si="270"/>
        <v>0.18100348806010191</v>
      </c>
      <c r="AC82" s="1376">
        <f t="shared" si="270"/>
        <v>0.1810066151441844</v>
      </c>
      <c r="AD82" s="1376">
        <f t="shared" si="270"/>
        <v>0.17802045828465174</v>
      </c>
      <c r="AE82" s="1377">
        <f t="shared" si="270"/>
        <v>0.11221590909090919</v>
      </c>
      <c r="AF82" s="1376">
        <f t="shared" si="270"/>
        <v>0.13000736494924583</v>
      </c>
      <c r="AG82" s="1376">
        <f t="shared" si="270"/>
        <v>0.1300067822885379</v>
      </c>
      <c r="AH82" s="1376">
        <f t="shared" si="270"/>
        <v>0.13350995949619929</v>
      </c>
      <c r="AI82" s="1377">
        <f t="shared" si="270"/>
        <v>0.10353164963102161</v>
      </c>
      <c r="AJ82" s="1378">
        <f t="shared" si="270"/>
        <v>0.12350546056831319</v>
      </c>
      <c r="AK82" s="1376">
        <f t="shared" si="270"/>
        <v>0.13251655680556526</v>
      </c>
      <c r="AL82" s="1376">
        <f t="shared" si="270"/>
        <v>0.1232700754122814</v>
      </c>
      <c r="AM82" s="1377">
        <f t="shared" si="270"/>
        <v>0.11650949027098019</v>
      </c>
      <c r="AN82" s="1378">
        <f t="shared" si="270"/>
        <v>0.12954750103089313</v>
      </c>
      <c r="AO82" s="1376">
        <f t="shared" si="270"/>
        <v>0.12931737689345052</v>
      </c>
      <c r="AP82" s="1376">
        <f t="shared" si="270"/>
        <v>0.12658919404955668</v>
      </c>
      <c r="AQ82" s="1377">
        <f t="shared" si="270"/>
        <v>0.12603601028865391</v>
      </c>
      <c r="AR82" s="1378">
        <f t="shared" si="270"/>
        <v>0.13271051958024058</v>
      </c>
      <c r="AS82" s="1376">
        <f t="shared" si="270"/>
        <v>0.14832429690224802</v>
      </c>
      <c r="AT82" s="1376">
        <f>AT81/AT75</f>
        <v>0.14861378626043303</v>
      </c>
      <c r="AU82" s="1377">
        <f t="shared" si="270"/>
        <v>3.4039226155855765E-2</v>
      </c>
      <c r="AV82" s="1378">
        <f t="shared" si="270"/>
        <v>0.11122992906296174</v>
      </c>
      <c r="AW82" s="1376">
        <f t="shared" si="270"/>
        <v>0.10610668141077878</v>
      </c>
      <c r="AX82" s="1376">
        <f t="shared" si="270"/>
        <v>0.10982348087463895</v>
      </c>
      <c r="AY82" s="1377">
        <f t="shared" si="270"/>
        <v>9.8327490404201343E-2</v>
      </c>
      <c r="AZ82" s="1378">
        <f t="shared" si="270"/>
        <v>0.1066407523671306</v>
      </c>
      <c r="BA82" s="1376">
        <f t="shared" si="270"/>
        <v>0.10765820810150274</v>
      </c>
      <c r="BB82" s="1376">
        <f t="shared" si="270"/>
        <v>8.8426519002162612E-2</v>
      </c>
      <c r="BC82" s="1376">
        <f t="shared" si="270"/>
        <v>0.10821348798934129</v>
      </c>
      <c r="BD82" s="1378">
        <f t="shared" si="270"/>
        <v>0.10161544497694538</v>
      </c>
      <c r="BE82" s="1376">
        <f t="shared" si="270"/>
        <v>7.2668206757146969E-2</v>
      </c>
      <c r="BF82" s="1376">
        <f t="shared" si="270"/>
        <v>7.2765391695643306E-2</v>
      </c>
      <c r="BG82" s="1377">
        <f t="shared" si="270"/>
        <v>8.7517136132019335E-2</v>
      </c>
      <c r="BH82" s="1376">
        <f>BH81/BH75</f>
        <v>-2.1792771274600806E-2</v>
      </c>
      <c r="BI82" s="1376">
        <f t="shared" ref="BI82:BK82" si="271">BI81/BI75</f>
        <v>6.2616839643057753E-2</v>
      </c>
      <c r="BJ82" s="1376">
        <f t="shared" si="271"/>
        <v>5.4752999623147669E-2</v>
      </c>
      <c r="BK82" s="1441">
        <f t="shared" si="271"/>
        <v>6.3865078600704187E-2</v>
      </c>
      <c r="BL82" s="1442">
        <f>BL81/BL75</f>
        <v>7.0556554059836893E-2</v>
      </c>
      <c r="BM82" s="1441">
        <f t="shared" ref="BM82:BN82" si="272">BM81/BM75</f>
        <v>7.5026269899625006E-2</v>
      </c>
      <c r="BN82" s="1494">
        <f t="shared" si="272"/>
        <v>7.2367761289823501E-2</v>
      </c>
      <c r="BO82" s="1453">
        <v>0.09</v>
      </c>
      <c r="BP82" s="1378">
        <v>0.09</v>
      </c>
      <c r="BQ82" s="1376">
        <v>0.09</v>
      </c>
      <c r="BR82" s="1376">
        <v>0.09</v>
      </c>
      <c r="BS82" s="1377">
        <v>0.09</v>
      </c>
      <c r="BT82" s="1495">
        <v>0.09</v>
      </c>
      <c r="BU82" s="1494">
        <v>0.09</v>
      </c>
      <c r="BV82" s="1494">
        <v>0.09</v>
      </c>
      <c r="BW82" s="1496">
        <v>0.09</v>
      </c>
      <c r="BX82" s="20"/>
      <c r="BY82" s="36">
        <f>BY81/BY75</f>
        <v>0.29752066115702475</v>
      </c>
      <c r="BZ82" s="36">
        <f>BZ81/BZ75</f>
        <v>0.25500199509775989</v>
      </c>
      <c r="CA82" s="36">
        <f>CA81/CA75</f>
        <v>0.23999557593307594</v>
      </c>
      <c r="CB82" s="36">
        <f t="shared" ref="CB82:CL82" si="273">CB81/CB75</f>
        <v>0.32522516252070655</v>
      </c>
      <c r="CC82" s="36">
        <f t="shared" si="273"/>
        <v>0.23999850407639181</v>
      </c>
      <c r="CD82" s="36">
        <f t="shared" si="273"/>
        <v>0.19464460859233579</v>
      </c>
      <c r="CE82" s="36">
        <f t="shared" si="273"/>
        <v>0.17416033808903439</v>
      </c>
      <c r="CF82" s="36">
        <f t="shared" si="273"/>
        <v>0.12151002915018531</v>
      </c>
      <c r="CG82" s="36">
        <f t="shared" si="273"/>
        <v>0.12406063285182602</v>
      </c>
      <c r="CH82" s="1494">
        <f t="shared" si="273"/>
        <v>0.12792567624756659</v>
      </c>
      <c r="CI82" s="1494">
        <f t="shared" si="273"/>
        <v>0.11311441553077241</v>
      </c>
      <c r="CJ82" s="1494">
        <f t="shared" si="273"/>
        <v>0.10608915858024523</v>
      </c>
      <c r="CK82" s="1376">
        <f t="shared" si="273"/>
        <v>0.10294806340776477</v>
      </c>
      <c r="CL82" s="1376">
        <f t="shared" si="273"/>
        <v>8.4261153092399732E-2</v>
      </c>
      <c r="CM82" s="1376">
        <f>CM81/CM75</f>
        <v>3.8299543556288944E-2</v>
      </c>
      <c r="CN82" s="1376">
        <f>CN81/CN75</f>
        <v>7.581676180916587E-2</v>
      </c>
      <c r="CO82" s="1376">
        <f>CO81/CO75</f>
        <v>8.4999999999999992E-2</v>
      </c>
      <c r="CP82" s="1377">
        <f>CP81/CP75</f>
        <v>8.500000000000002E-2</v>
      </c>
      <c r="CQ82" s="20"/>
      <c r="CR82" s="1378">
        <f>CR81/CR75</f>
        <v>0.25499786438311911</v>
      </c>
      <c r="CS82" s="1376">
        <f>CS81/CS75</f>
        <v>0.24328476765818677</v>
      </c>
      <c r="CT82" s="1376">
        <f>CT81/CT75</f>
        <v>0.33165851715888106</v>
      </c>
      <c r="CU82" s="1376">
        <f t="shared" ref="CU82:DD82" si="274">CU81/CU75</f>
        <v>0.24000049854176533</v>
      </c>
      <c r="CV82" s="1376">
        <f t="shared" si="274"/>
        <v>0.208481530033816</v>
      </c>
      <c r="CW82" s="1376">
        <f t="shared" si="274"/>
        <v>0.18163367402510236</v>
      </c>
      <c r="CX82" s="1376">
        <f t="shared" si="274"/>
        <v>0.12910450274475466</v>
      </c>
      <c r="CY82" s="1376">
        <f t="shared" si="274"/>
        <v>0.12220591680405939</v>
      </c>
      <c r="CZ82" s="1376">
        <f t="shared" si="274"/>
        <v>0.12504717222871889</v>
      </c>
      <c r="DA82" s="1377">
        <f t="shared" si="274"/>
        <v>0.13827681127794439</v>
      </c>
      <c r="DB82" s="1376">
        <f t="shared" si="274"/>
        <v>9.3185900762444568E-2</v>
      </c>
      <c r="DC82" s="1378">
        <f t="shared" si="274"/>
        <v>0.10049770322881842</v>
      </c>
      <c r="DD82" s="1376">
        <f t="shared" si="274"/>
        <v>8.9690677420738746E-2</v>
      </c>
      <c r="DE82" s="1376">
        <f>DE81/DE75</f>
        <v>3.8875911650964198E-2</v>
      </c>
      <c r="DF82" s="1376">
        <f>DF81/DF75</f>
        <v>7.0817972130616275E-2</v>
      </c>
      <c r="DG82" s="1441">
        <f>DG81/DG75</f>
        <v>8.500000000000002E-2</v>
      </c>
      <c r="DH82" s="1441">
        <f>DH81/DH75</f>
        <v>8.4999999999999992E-2</v>
      </c>
      <c r="DI82" s="22"/>
    </row>
    <row r="83" spans="1:113" ht="14.25" hidden="1" customHeight="1" outlineLevel="1">
      <c r="A83" s="8"/>
      <c r="B83" s="609"/>
      <c r="C83" s="35"/>
      <c r="D83" s="1376"/>
      <c r="E83" s="1376"/>
      <c r="F83" s="1376"/>
      <c r="G83" s="1377"/>
      <c r="H83" s="1376"/>
      <c r="I83" s="1376"/>
      <c r="J83" s="1376"/>
      <c r="K83" s="1377"/>
      <c r="L83" s="1376"/>
      <c r="M83" s="1376"/>
      <c r="N83" s="1376"/>
      <c r="O83" s="1377"/>
      <c r="P83" s="1376"/>
      <c r="Q83" s="1376"/>
      <c r="R83" s="1376"/>
      <c r="S83" s="1377"/>
      <c r="T83" s="1376"/>
      <c r="U83" s="1376"/>
      <c r="V83" s="1376"/>
      <c r="W83" s="1377"/>
      <c r="X83" s="1376"/>
      <c r="Y83" s="1376"/>
      <c r="Z83" s="1376"/>
      <c r="AA83" s="1377"/>
      <c r="AB83" s="1376"/>
      <c r="AC83" s="1376"/>
      <c r="AD83" s="1376"/>
      <c r="AE83" s="1377"/>
      <c r="AF83" s="1376"/>
      <c r="AG83" s="1376"/>
      <c r="AH83" s="1376"/>
      <c r="AI83" s="1377"/>
      <c r="AJ83" s="1378"/>
      <c r="AK83" s="1376"/>
      <c r="AL83" s="1376"/>
      <c r="AM83" s="1377"/>
      <c r="AN83" s="1378"/>
      <c r="AO83" s="1376"/>
      <c r="AP83" s="1376"/>
      <c r="AQ83" s="1377"/>
      <c r="AR83" s="1378"/>
      <c r="AS83" s="1376"/>
      <c r="AT83" s="1376"/>
      <c r="AU83" s="1377"/>
      <c r="AV83" s="1378"/>
      <c r="AW83" s="1376"/>
      <c r="AX83" s="1376"/>
      <c r="AY83" s="1377"/>
      <c r="AZ83" s="1378"/>
      <c r="BA83" s="1376"/>
      <c r="BB83" s="1376"/>
      <c r="BC83" s="1418"/>
      <c r="BD83" s="1378"/>
      <c r="BE83" s="1376"/>
      <c r="BF83" s="1376"/>
      <c r="BG83" s="1240"/>
      <c r="BH83" s="1376"/>
      <c r="BI83" s="1376"/>
      <c r="BJ83" s="1376"/>
      <c r="BK83" s="1467"/>
      <c r="BL83" s="1442"/>
      <c r="BM83" s="1441"/>
      <c r="BN83" s="1494"/>
      <c r="BO83" s="1453"/>
      <c r="BP83" s="1378"/>
      <c r="BQ83" s="1376"/>
      <c r="BR83" s="1376"/>
      <c r="BS83" s="1377"/>
      <c r="BT83" s="1495"/>
      <c r="BU83" s="1494"/>
      <c r="BV83" s="1494"/>
      <c r="BW83" s="1496"/>
      <c r="BX83" s="20"/>
      <c r="BY83" s="36"/>
      <c r="BZ83" s="36"/>
      <c r="CA83" s="36"/>
      <c r="CB83" s="36"/>
      <c r="CC83" s="36"/>
      <c r="CD83" s="36"/>
      <c r="CE83" s="36"/>
      <c r="CF83" s="36"/>
      <c r="CG83" s="36"/>
      <c r="CH83" s="1494"/>
      <c r="CI83" s="1494"/>
      <c r="CJ83" s="1494"/>
      <c r="CK83" s="1376"/>
      <c r="CL83" s="1376"/>
      <c r="CM83" s="1376"/>
      <c r="CN83" s="1376"/>
      <c r="CO83" s="1376"/>
      <c r="CP83" s="1377"/>
      <c r="CQ83" s="20"/>
      <c r="CR83" s="1378"/>
      <c r="CS83" s="1376"/>
      <c r="CT83" s="1376"/>
      <c r="CU83" s="1376"/>
      <c r="CV83" s="1376"/>
      <c r="CW83" s="1376"/>
      <c r="CX83" s="1376"/>
      <c r="CY83" s="1376"/>
      <c r="CZ83" s="1376"/>
      <c r="DA83" s="1377"/>
      <c r="DB83" s="1376"/>
      <c r="DC83" s="1378"/>
      <c r="DD83" s="1376"/>
      <c r="DE83" s="1376"/>
      <c r="DF83" s="1376"/>
      <c r="DG83" s="1441"/>
      <c r="DH83" s="1441"/>
      <c r="DI83" s="22"/>
    </row>
    <row r="84" spans="1:113" ht="14.25" hidden="1" customHeight="1" outlineLevel="1">
      <c r="A84" s="11"/>
      <c r="B84" s="608" t="s">
        <v>502</v>
      </c>
      <c r="C84" s="28"/>
      <c r="D84" s="29"/>
      <c r="E84" s="29"/>
      <c r="F84" s="29"/>
      <c r="G84" s="455"/>
      <c r="H84" s="29"/>
      <c r="I84" s="29"/>
      <c r="J84" s="29"/>
      <c r="K84" s="455"/>
      <c r="L84" s="29"/>
      <c r="M84" s="29"/>
      <c r="N84" s="29"/>
      <c r="O84" s="455"/>
      <c r="P84" s="29"/>
      <c r="Q84" s="29"/>
      <c r="R84" s="29"/>
      <c r="S84" s="30"/>
      <c r="T84" s="29"/>
      <c r="U84" s="29"/>
      <c r="V84" s="29"/>
      <c r="W84" s="30"/>
      <c r="X84" s="29"/>
      <c r="Y84" s="29"/>
      <c r="Z84" s="29"/>
      <c r="AA84" s="30"/>
      <c r="AB84" s="29"/>
      <c r="AC84" s="29"/>
      <c r="AD84" s="29"/>
      <c r="AE84" s="30"/>
      <c r="AF84" s="29"/>
      <c r="AG84" s="29"/>
      <c r="AH84" s="29"/>
      <c r="AI84" s="30"/>
      <c r="AJ84" s="577"/>
      <c r="AK84" s="29"/>
      <c r="AL84" s="29"/>
      <c r="AM84" s="30"/>
      <c r="AN84" s="577"/>
      <c r="AO84" s="29"/>
      <c r="AP84" s="29"/>
      <c r="AQ84" s="30"/>
      <c r="AR84" s="577"/>
      <c r="AS84" s="29"/>
      <c r="AT84" s="29"/>
      <c r="AU84" s="30"/>
      <c r="AV84" s="577"/>
      <c r="AW84" s="29"/>
      <c r="AX84" s="29"/>
      <c r="AY84" s="30"/>
      <c r="AZ84" s="577"/>
      <c r="BA84" s="29">
        <v>1.603</v>
      </c>
      <c r="BB84" s="29">
        <v>1.2589999999999999</v>
      </c>
      <c r="BC84" s="29">
        <v>0.82199999999999995</v>
      </c>
      <c r="BD84" s="577">
        <v>0.20699999999999999</v>
      </c>
      <c r="BE84" s="29">
        <v>0</v>
      </c>
      <c r="BF84" s="29">
        <v>0</v>
      </c>
      <c r="BG84" s="30">
        <v>0</v>
      </c>
      <c r="BH84" s="29">
        <v>0</v>
      </c>
      <c r="BI84" s="29">
        <v>-1.655</v>
      </c>
      <c r="BJ84" s="29">
        <v>-0.16</v>
      </c>
      <c r="BK84" s="29">
        <v>0</v>
      </c>
      <c r="BL84" s="577">
        <v>0</v>
      </c>
      <c r="BM84" s="29">
        <v>0</v>
      </c>
      <c r="BN84" s="29">
        <v>0</v>
      </c>
      <c r="BO84" s="32">
        <v>0</v>
      </c>
      <c r="BP84" s="33">
        <v>0</v>
      </c>
      <c r="BQ84" s="31">
        <v>0</v>
      </c>
      <c r="BR84" s="31">
        <v>0</v>
      </c>
      <c r="BS84" s="32">
        <v>0</v>
      </c>
      <c r="BT84" s="33">
        <v>0</v>
      </c>
      <c r="BU84" s="31">
        <v>0</v>
      </c>
      <c r="BV84" s="31">
        <v>0</v>
      </c>
      <c r="BW84" s="32">
        <v>0</v>
      </c>
      <c r="BX84" s="160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>
        <f>SUM(AZ84:BC84)</f>
        <v>3.6840000000000002</v>
      </c>
      <c r="CL84" s="31">
        <f>SUM(BD84:BG84)</f>
        <v>0.20699999999999999</v>
      </c>
      <c r="CM84" s="31">
        <f>SUM(BH84:BK84)</f>
        <v>-1.8149999999999999</v>
      </c>
      <c r="CN84" s="31">
        <f>SUM(BL84:BO84)</f>
        <v>0</v>
      </c>
      <c r="CO84" s="31">
        <f>SUM(BP84:BS84)</f>
        <v>0</v>
      </c>
      <c r="CP84" s="32">
        <f>SUM(BT84:BW84)</f>
        <v>0</v>
      </c>
      <c r="CQ84" s="160"/>
      <c r="CR84" s="33"/>
      <c r="CS84" s="31"/>
      <c r="CT84" s="31"/>
      <c r="CU84" s="31"/>
      <c r="CV84" s="31"/>
      <c r="CW84" s="31"/>
      <c r="CX84" s="31"/>
      <c r="CY84" s="31"/>
      <c r="CZ84" s="31"/>
      <c r="DA84" s="32"/>
      <c r="DB84" s="31"/>
      <c r="DC84" s="33">
        <f>SUM(AY84:BB84)</f>
        <v>2.8620000000000001</v>
      </c>
      <c r="DD84" s="31">
        <f>SUM(BC84:BF84)</f>
        <v>1.0289999999999999</v>
      </c>
      <c r="DE84" s="31">
        <f>SUM(BG84:BJ84)</f>
        <v>-1.8149999999999999</v>
      </c>
      <c r="DF84" s="31">
        <f>SUM(BK84:BN84)</f>
        <v>0</v>
      </c>
      <c r="DG84" s="31">
        <f>SUM(BO84:BR84)</f>
        <v>0</v>
      </c>
      <c r="DH84" s="31">
        <f>SUM(BS84:BV84)</f>
        <v>0</v>
      </c>
      <c r="DI84" s="23"/>
    </row>
    <row r="85" spans="1:113" ht="14.25" customHeight="1" collapsed="1">
      <c r="A85" s="8"/>
      <c r="B85" s="612"/>
      <c r="C85" s="24"/>
      <c r="D85" s="38"/>
      <c r="E85" s="38"/>
      <c r="F85" s="55"/>
      <c r="G85" s="39"/>
      <c r="H85" s="38"/>
      <c r="I85" s="38"/>
      <c r="J85" s="55"/>
      <c r="K85" s="39"/>
      <c r="L85" s="38"/>
      <c r="M85" s="38"/>
      <c r="N85" s="55"/>
      <c r="O85" s="39"/>
      <c r="P85" s="38"/>
      <c r="Q85" s="38"/>
      <c r="R85" s="55"/>
      <c r="S85" s="39"/>
      <c r="T85" s="38"/>
      <c r="U85" s="38"/>
      <c r="V85" s="55"/>
      <c r="W85" s="39"/>
      <c r="X85" s="38"/>
      <c r="Y85" s="38"/>
      <c r="Z85" s="55"/>
      <c r="AA85" s="39"/>
      <c r="AB85" s="38"/>
      <c r="AC85" s="38"/>
      <c r="AD85" s="55"/>
      <c r="AE85" s="39"/>
      <c r="AF85" s="38"/>
      <c r="AG85" s="38"/>
      <c r="AH85" s="55"/>
      <c r="AI85" s="39"/>
      <c r="AJ85" s="40"/>
      <c r="AK85" s="38"/>
      <c r="AL85" s="55"/>
      <c r="AM85" s="39"/>
      <c r="AN85" s="40"/>
      <c r="AO85" s="38"/>
      <c r="AP85" s="55"/>
      <c r="AQ85" s="56"/>
      <c r="AR85" s="579"/>
      <c r="AS85" s="55"/>
      <c r="AT85" s="55"/>
      <c r="AU85" s="56"/>
      <c r="AV85" s="579"/>
      <c r="AW85" s="55"/>
      <c r="AX85" s="55"/>
      <c r="AY85" s="56"/>
      <c r="AZ85" s="579"/>
      <c r="BA85" s="55"/>
      <c r="BB85" s="55"/>
      <c r="BC85" s="55"/>
      <c r="BD85" s="579"/>
      <c r="BE85" s="55"/>
      <c r="BF85" s="55"/>
      <c r="BG85" s="56"/>
      <c r="BH85" s="55"/>
      <c r="BI85" s="55"/>
      <c r="BJ85" s="55"/>
      <c r="BK85" s="55"/>
      <c r="BL85" s="579"/>
      <c r="BM85" s="55"/>
      <c r="BN85" s="55"/>
      <c r="BO85" s="56"/>
      <c r="BP85" s="579"/>
      <c r="BQ85" s="38"/>
      <c r="BR85" s="38"/>
      <c r="BS85" s="56"/>
      <c r="BT85" s="579"/>
      <c r="BU85" s="38"/>
      <c r="BV85" s="38"/>
      <c r="BW85" s="56"/>
      <c r="BX85" s="20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9"/>
      <c r="CQ85" s="20"/>
      <c r="CR85" s="355"/>
      <c r="CS85" s="354"/>
      <c r="CT85" s="354"/>
      <c r="CU85" s="354"/>
      <c r="CV85" s="354"/>
      <c r="CW85" s="354"/>
      <c r="CX85" s="354"/>
      <c r="CY85" s="354"/>
      <c r="CZ85" s="354"/>
      <c r="DA85" s="782"/>
      <c r="DB85" s="354"/>
      <c r="DC85" s="355"/>
      <c r="DD85" s="354"/>
      <c r="DE85" s="354"/>
      <c r="DF85" s="354"/>
      <c r="DG85" s="354"/>
      <c r="DH85" s="354"/>
      <c r="DI85" s="22"/>
    </row>
    <row r="86" spans="1:113" ht="14.25" customHeight="1">
      <c r="A86" s="8"/>
      <c r="B86" s="613" t="s">
        <v>422</v>
      </c>
      <c r="C86" s="45"/>
      <c r="D86" s="47">
        <f t="shared" ref="D86:AY86" si="275">D74-D77</f>
        <v>9.3160000000000025</v>
      </c>
      <c r="E86" s="47">
        <f t="shared" si="275"/>
        <v>9.4959999999999987</v>
      </c>
      <c r="F86" s="47">
        <f t="shared" si="275"/>
        <v>36.381999999999991</v>
      </c>
      <c r="G86" s="48">
        <f t="shared" si="275"/>
        <v>33.038000000000046</v>
      </c>
      <c r="H86" s="47">
        <f t="shared" si="275"/>
        <v>13.469999999999986</v>
      </c>
      <c r="I86" s="47">
        <f t="shared" si="275"/>
        <v>36.103999999999985</v>
      </c>
      <c r="J86" s="47">
        <f t="shared" si="275"/>
        <v>40.843000000000018</v>
      </c>
      <c r="K86" s="48">
        <f t="shared" si="275"/>
        <v>46.845000000000013</v>
      </c>
      <c r="L86" s="47">
        <f t="shared" si="275"/>
        <v>43.799000000000014</v>
      </c>
      <c r="M86" s="47">
        <f t="shared" si="275"/>
        <v>60.442999999999984</v>
      </c>
      <c r="N86" s="47">
        <f t="shared" si="275"/>
        <v>53.139999999999993</v>
      </c>
      <c r="O86" s="48">
        <f t="shared" si="275"/>
        <v>56.403000000000027</v>
      </c>
      <c r="P86" s="47">
        <f t="shared" si="275"/>
        <v>61.023999999999987</v>
      </c>
      <c r="Q86" s="47">
        <f t="shared" si="275"/>
        <v>65.652999999999992</v>
      </c>
      <c r="R86" s="47">
        <f t="shared" si="275"/>
        <v>40.123999999999981</v>
      </c>
      <c r="S86" s="48">
        <f t="shared" si="275"/>
        <v>75.567999999999998</v>
      </c>
      <c r="T86" s="47">
        <f t="shared" si="275"/>
        <v>76.984000000000037</v>
      </c>
      <c r="U86" s="47">
        <f t="shared" si="275"/>
        <v>79.488000000000014</v>
      </c>
      <c r="V86" s="47">
        <f t="shared" si="275"/>
        <v>72.848999999999975</v>
      </c>
      <c r="W86" s="48">
        <f t="shared" si="275"/>
        <v>127.708</v>
      </c>
      <c r="X86" s="47">
        <f t="shared" si="275"/>
        <v>80.293000000000021</v>
      </c>
      <c r="Y86" s="47">
        <f t="shared" si="275"/>
        <v>60.678999999999974</v>
      </c>
      <c r="Z86" s="47">
        <f t="shared" si="275"/>
        <v>80.123999999999995</v>
      </c>
      <c r="AA86" s="48">
        <f t="shared" si="275"/>
        <v>75.697000000000017</v>
      </c>
      <c r="AB86" s="47">
        <f t="shared" si="275"/>
        <v>75.547000000000025</v>
      </c>
      <c r="AC86" s="47">
        <f t="shared" si="275"/>
        <v>75.720000000000027</v>
      </c>
      <c r="AD86" s="47">
        <f t="shared" si="275"/>
        <v>72.355999999999995</v>
      </c>
      <c r="AE86" s="48">
        <f t="shared" si="275"/>
        <v>21.963999999999984</v>
      </c>
      <c r="AF86" s="47">
        <f t="shared" si="275"/>
        <v>27.368000000000009</v>
      </c>
      <c r="AG86" s="47">
        <f t="shared" si="275"/>
        <v>44.484999999999999</v>
      </c>
      <c r="AH86" s="47">
        <f t="shared" si="275"/>
        <v>69.402999999999992</v>
      </c>
      <c r="AI86" s="48">
        <f t="shared" si="275"/>
        <v>75.749000000000038</v>
      </c>
      <c r="AJ86" s="46">
        <f t="shared" si="275"/>
        <v>89.566000000000003</v>
      </c>
      <c r="AK86" s="47">
        <f t="shared" si="275"/>
        <v>103.08000000000001</v>
      </c>
      <c r="AL86" s="47">
        <f t="shared" si="275"/>
        <v>100.77600000000002</v>
      </c>
      <c r="AM86" s="48">
        <f t="shared" si="275"/>
        <v>125.52799999999988</v>
      </c>
      <c r="AN86" s="46">
        <f t="shared" si="275"/>
        <v>99.293000000000006</v>
      </c>
      <c r="AO86" s="47">
        <f t="shared" si="275"/>
        <v>79.286999999999978</v>
      </c>
      <c r="AP86" s="47">
        <f t="shared" si="275"/>
        <v>77.48899999999999</v>
      </c>
      <c r="AQ86" s="48">
        <f t="shared" si="275"/>
        <v>80.635999999999996</v>
      </c>
      <c r="AR86" s="46">
        <f t="shared" si="275"/>
        <v>78.710000000000008</v>
      </c>
      <c r="AS86" s="47">
        <f t="shared" si="275"/>
        <v>-21.184000000000005</v>
      </c>
      <c r="AT86" s="47">
        <f t="shared" si="275"/>
        <v>10.173000000000039</v>
      </c>
      <c r="AU86" s="48">
        <f t="shared" si="275"/>
        <v>59.690000000000055</v>
      </c>
      <c r="AV86" s="46">
        <f t="shared" si="275"/>
        <v>78.578999999999951</v>
      </c>
      <c r="AW86" s="47">
        <f t="shared" si="275"/>
        <v>99.805999999999912</v>
      </c>
      <c r="AX86" s="47">
        <f t="shared" si="275"/>
        <v>105.40100000000004</v>
      </c>
      <c r="AY86" s="48">
        <f t="shared" si="275"/>
        <v>111.49500000000006</v>
      </c>
      <c r="AZ86" s="46">
        <f t="shared" ref="AZ86:BO86" si="276">AZ74-AZ77+AZ84</f>
        <v>89.908999999999992</v>
      </c>
      <c r="BA86" s="47">
        <f t="shared" si="276"/>
        <v>93.641000000000062</v>
      </c>
      <c r="BB86" s="47">
        <f t="shared" si="276"/>
        <v>86.057000000000045</v>
      </c>
      <c r="BC86" s="47">
        <f t="shared" si="276"/>
        <v>99.402000000000015</v>
      </c>
      <c r="BD86" s="46">
        <f t="shared" si="276"/>
        <v>130.66699999999997</v>
      </c>
      <c r="BE86" s="47">
        <f t="shared" si="276"/>
        <v>64.898999999999916</v>
      </c>
      <c r="BF86" s="47">
        <f t="shared" si="276"/>
        <v>61.128000000000057</v>
      </c>
      <c r="BG86" s="48">
        <f>BG74-BG77+BG84</f>
        <v>67.308000000000007</v>
      </c>
      <c r="BH86" s="47">
        <f>BH74-BH77+BH84</f>
        <v>-113.3630000000001</v>
      </c>
      <c r="BI86" s="47">
        <f t="shared" ref="BI86:BJ86" si="277">BI74-BI77+BI84</f>
        <v>33.919000000000054</v>
      </c>
      <c r="BJ86" s="47">
        <f t="shared" si="277"/>
        <v>107.17499999999997</v>
      </c>
      <c r="BK86" s="47">
        <f>BK74-BK77+BK84</f>
        <v>136.90800000000002</v>
      </c>
      <c r="BL86" s="46">
        <f>BL74-BL77+BL84</f>
        <v>170.58699999999996</v>
      </c>
      <c r="BM86" s="47">
        <f t="shared" ref="BM86:BN86" si="278">BM74-BM77+BM84</f>
        <v>189.15599999999998</v>
      </c>
      <c r="BN86" s="47">
        <f t="shared" si="278"/>
        <v>-251.08600000000001</v>
      </c>
      <c r="BO86" s="48">
        <f t="shared" si="276"/>
        <v>319.36396904051264</v>
      </c>
      <c r="BP86" s="46">
        <f t="shared" ref="BP86:BW86" si="279">BP74-BP77+BP84</f>
        <v>340.18058113278784</v>
      </c>
      <c r="BQ86" s="47">
        <f t="shared" si="279"/>
        <v>355.90966127439862</v>
      </c>
      <c r="BR86" s="47">
        <f t="shared" si="279"/>
        <v>346.07916920057528</v>
      </c>
      <c r="BS86" s="48">
        <f t="shared" si="279"/>
        <v>342.83251464298598</v>
      </c>
      <c r="BT86" s="46">
        <f t="shared" si="279"/>
        <v>361.8847059608612</v>
      </c>
      <c r="BU86" s="47">
        <f t="shared" si="279"/>
        <v>375.3479258136789</v>
      </c>
      <c r="BV86" s="47">
        <f t="shared" si="279"/>
        <v>366.98705365713681</v>
      </c>
      <c r="BW86" s="48">
        <f t="shared" si="279"/>
        <v>364.06060944569589</v>
      </c>
      <c r="BX86" s="20"/>
      <c r="BY86" s="47">
        <f>BY74-BY77</f>
        <v>88.232000000000028</v>
      </c>
      <c r="BZ86" s="47">
        <f>BZ74-BZ77</f>
        <v>137.26199999999994</v>
      </c>
      <c r="CA86" s="47">
        <f>CA74-CA77</f>
        <v>213.78500000000003</v>
      </c>
      <c r="CB86" s="47">
        <f t="shared" ref="CB86:CI86" si="280">CB74-CB77</f>
        <v>242.36900000000006</v>
      </c>
      <c r="CC86" s="47">
        <f t="shared" si="280"/>
        <v>357.02900000000005</v>
      </c>
      <c r="CD86" s="47">
        <f t="shared" si="280"/>
        <v>296.79300000000012</v>
      </c>
      <c r="CE86" s="47">
        <f t="shared" si="280"/>
        <v>245.58699999999999</v>
      </c>
      <c r="CF86" s="47">
        <f t="shared" si="280"/>
        <v>217.00500000000019</v>
      </c>
      <c r="CG86" s="47">
        <f t="shared" si="280"/>
        <v>418.94999999999987</v>
      </c>
      <c r="CH86" s="47">
        <f t="shared" si="280"/>
        <v>336.70499999999993</v>
      </c>
      <c r="CI86" s="47">
        <f t="shared" si="280"/>
        <v>127.38900000000011</v>
      </c>
      <c r="CJ86" s="47">
        <f>CJ74-CJ77</f>
        <v>395.2810000000004</v>
      </c>
      <c r="CK86" s="47">
        <f t="shared" ref="CK86:CP86" si="281">CK74-CK77+CK84</f>
        <v>369.00900000000019</v>
      </c>
      <c r="CL86" s="47">
        <f t="shared" si="281"/>
        <v>324.00199999999978</v>
      </c>
      <c r="CM86" s="47">
        <f t="shared" si="281"/>
        <v>164.63900000000024</v>
      </c>
      <c r="CN86" s="47">
        <f t="shared" si="281"/>
        <v>428.02096904051297</v>
      </c>
      <c r="CO86" s="47">
        <f t="shared" si="281"/>
        <v>1385.0019262507481</v>
      </c>
      <c r="CP86" s="48">
        <f t="shared" si="281"/>
        <v>1468.2802948773726</v>
      </c>
      <c r="CQ86" s="20"/>
      <c r="CR86" s="46">
        <f>CR74-CR77</f>
        <v>123.45500000000011</v>
      </c>
      <c r="CS86" s="47">
        <f>CS74-CS77</f>
        <v>204.22700000000009</v>
      </c>
      <c r="CT86" s="47">
        <f>CT74-CT77</f>
        <v>223.20399999999992</v>
      </c>
      <c r="CU86" s="47">
        <f t="shared" ref="CU86:DB86" si="282">CU74-CU77</f>
        <v>304.88899999999995</v>
      </c>
      <c r="CV86" s="47">
        <f t="shared" si="282"/>
        <v>348.80399999999986</v>
      </c>
      <c r="CW86" s="47">
        <f t="shared" si="282"/>
        <v>299.31999999999994</v>
      </c>
      <c r="CX86" s="47">
        <f t="shared" si="282"/>
        <v>163.21999999999997</v>
      </c>
      <c r="CY86" s="47">
        <f t="shared" si="282"/>
        <v>369.17100000000028</v>
      </c>
      <c r="CZ86" s="47">
        <f t="shared" si="282"/>
        <v>381.59699999999998</v>
      </c>
      <c r="DA86" s="48">
        <f t="shared" si="282"/>
        <v>148.33500000000004</v>
      </c>
      <c r="DB86" s="47">
        <f t="shared" si="282"/>
        <v>343.47600000000017</v>
      </c>
      <c r="DC86" s="46">
        <f t="shared" ref="DC86:DH86" si="283">DC74-DC77+DC84</f>
        <v>381.10199999999998</v>
      </c>
      <c r="DD86" s="47">
        <f t="shared" si="283"/>
        <v>356.09600000000034</v>
      </c>
      <c r="DE86" s="47">
        <f t="shared" si="283"/>
        <v>95.039000000000129</v>
      </c>
      <c r="DF86" s="47">
        <f t="shared" si="283"/>
        <v>245.56499999999994</v>
      </c>
      <c r="DG86" s="47">
        <f t="shared" si="283"/>
        <v>1361.5333806482743</v>
      </c>
      <c r="DH86" s="47">
        <f t="shared" si="283"/>
        <v>1447.052200074663</v>
      </c>
      <c r="DI86" s="22"/>
    </row>
    <row r="87" spans="1:113" ht="14.25" customHeight="1">
      <c r="A87" s="8"/>
      <c r="B87" s="613"/>
      <c r="C87" s="45"/>
      <c r="D87" s="47"/>
      <c r="E87" s="47"/>
      <c r="F87" s="47"/>
      <c r="G87" s="48"/>
      <c r="H87" s="47"/>
      <c r="I87" s="47"/>
      <c r="J87" s="47"/>
      <c r="K87" s="48"/>
      <c r="L87" s="47"/>
      <c r="M87" s="47"/>
      <c r="N87" s="47"/>
      <c r="O87" s="48"/>
      <c r="P87" s="47"/>
      <c r="Q87" s="47"/>
      <c r="R87" s="47"/>
      <c r="S87" s="48"/>
      <c r="T87" s="47"/>
      <c r="U87" s="47"/>
      <c r="V87" s="47"/>
      <c r="W87" s="48"/>
      <c r="X87" s="47"/>
      <c r="Y87" s="47"/>
      <c r="Z87" s="47"/>
      <c r="AA87" s="48"/>
      <c r="AB87" s="47"/>
      <c r="AC87" s="47"/>
      <c r="AD87" s="47"/>
      <c r="AE87" s="48"/>
      <c r="AF87" s="47"/>
      <c r="AG87" s="47"/>
      <c r="AH87" s="47"/>
      <c r="AI87" s="48"/>
      <c r="AJ87" s="46"/>
      <c r="AK87" s="47"/>
      <c r="AL87" s="47"/>
      <c r="AM87" s="48"/>
      <c r="AN87" s="46"/>
      <c r="AO87" s="47"/>
      <c r="AP87" s="47"/>
      <c r="AQ87" s="48"/>
      <c r="AR87" s="46"/>
      <c r="AS87" s="47"/>
      <c r="AT87" s="47"/>
      <c r="AU87" s="48"/>
      <c r="AV87" s="46"/>
      <c r="AW87" s="47"/>
      <c r="AX87" s="47"/>
      <c r="AY87" s="48"/>
      <c r="AZ87" s="46"/>
      <c r="BA87" s="47"/>
      <c r="BB87" s="47"/>
      <c r="BC87" s="47"/>
      <c r="BD87" s="46"/>
      <c r="BE87" s="47"/>
      <c r="BF87" s="47"/>
      <c r="BG87" s="48"/>
      <c r="BH87" s="47"/>
      <c r="BI87" s="47"/>
      <c r="BJ87" s="47"/>
      <c r="BK87" s="47"/>
      <c r="BL87" s="46"/>
      <c r="BM87" s="47"/>
      <c r="BN87" s="47"/>
      <c r="BO87" s="48"/>
      <c r="BP87" s="46"/>
      <c r="BQ87" s="47"/>
      <c r="BR87" s="47"/>
      <c r="BS87" s="48"/>
      <c r="BT87" s="46"/>
      <c r="BU87" s="47"/>
      <c r="BV87" s="47"/>
      <c r="BW87" s="48"/>
      <c r="BX87" s="20"/>
      <c r="BY87" s="47"/>
      <c r="BZ87" s="47"/>
      <c r="CA87" s="47"/>
      <c r="CB87" s="47"/>
      <c r="CC87" s="47"/>
      <c r="CD87" s="47"/>
      <c r="CE87" s="47"/>
      <c r="CF87" s="47"/>
      <c r="CG87" s="47"/>
      <c r="CH87" s="47"/>
      <c r="CI87" s="47"/>
      <c r="CJ87" s="47"/>
      <c r="CK87" s="47"/>
      <c r="CL87" s="47"/>
      <c r="CM87" s="47"/>
      <c r="CN87" s="47"/>
      <c r="CO87" s="47"/>
      <c r="CP87" s="48"/>
      <c r="CQ87" s="20"/>
      <c r="CR87" s="46"/>
      <c r="CS87" s="47"/>
      <c r="CT87" s="47"/>
      <c r="CU87" s="47"/>
      <c r="CV87" s="47"/>
      <c r="CW87" s="47"/>
      <c r="CX87" s="47"/>
      <c r="CY87" s="47"/>
      <c r="CZ87" s="47"/>
      <c r="DA87" s="48"/>
      <c r="DB87" s="47"/>
      <c r="DC87" s="46"/>
      <c r="DD87" s="47"/>
      <c r="DE87" s="47"/>
      <c r="DF87" s="47"/>
      <c r="DG87" s="47"/>
      <c r="DH87" s="47"/>
      <c r="DI87" s="22"/>
    </row>
    <row r="88" spans="1:113" ht="14.25" customHeight="1">
      <c r="A88" s="554"/>
      <c r="B88" s="932" t="s">
        <v>330</v>
      </c>
      <c r="C88" s="549"/>
      <c r="D88" s="550">
        <f t="shared" ref="D88:AI88" si="284">D71+D47+D34+D17+D51-D55+D80</f>
        <v>20.743000000000002</v>
      </c>
      <c r="E88" s="550">
        <f t="shared" si="284"/>
        <v>24.9</v>
      </c>
      <c r="F88" s="550">
        <f t="shared" si="284"/>
        <v>0</v>
      </c>
      <c r="G88" s="551">
        <f t="shared" si="284"/>
        <v>0</v>
      </c>
      <c r="H88" s="550">
        <f t="shared" si="284"/>
        <v>20.019999999999996</v>
      </c>
      <c r="I88" s="550">
        <f t="shared" si="284"/>
        <v>0</v>
      </c>
      <c r="J88" s="550">
        <f t="shared" si="284"/>
        <v>-0.44800000000000001</v>
      </c>
      <c r="K88" s="551">
        <f t="shared" si="284"/>
        <v>0</v>
      </c>
      <c r="L88" s="550">
        <f t="shared" si="284"/>
        <v>12.976000000000001</v>
      </c>
      <c r="M88" s="550">
        <f t="shared" si="284"/>
        <v>0</v>
      </c>
      <c r="N88" s="550">
        <f t="shared" si="284"/>
        <v>0</v>
      </c>
      <c r="O88" s="551">
        <f t="shared" si="284"/>
        <v>0</v>
      </c>
      <c r="P88" s="550">
        <f t="shared" si="284"/>
        <v>0</v>
      </c>
      <c r="Q88" s="550">
        <f t="shared" si="284"/>
        <v>0</v>
      </c>
      <c r="R88" s="550">
        <f t="shared" si="284"/>
        <v>0</v>
      </c>
      <c r="S88" s="551">
        <f t="shared" si="284"/>
        <v>0</v>
      </c>
      <c r="T88" s="550">
        <f t="shared" si="284"/>
        <v>0</v>
      </c>
      <c r="U88" s="550">
        <f t="shared" si="284"/>
        <v>0</v>
      </c>
      <c r="V88" s="550">
        <f t="shared" si="284"/>
        <v>0</v>
      </c>
      <c r="W88" s="551">
        <f t="shared" si="284"/>
        <v>-52.2</v>
      </c>
      <c r="X88" s="550">
        <f t="shared" si="284"/>
        <v>0</v>
      </c>
      <c r="Y88" s="550">
        <f t="shared" si="284"/>
        <v>16.459</v>
      </c>
      <c r="Z88" s="550">
        <f t="shared" si="284"/>
        <v>-5.7329999999999997</v>
      </c>
      <c r="AA88" s="551">
        <f t="shared" si="284"/>
        <v>-4.5289999999999999</v>
      </c>
      <c r="AB88" s="550">
        <f t="shared" si="284"/>
        <v>0.76300000000000012</v>
      </c>
      <c r="AC88" s="550">
        <f t="shared" si="284"/>
        <v>0.79200000000000004</v>
      </c>
      <c r="AD88" s="550">
        <f t="shared" si="284"/>
        <v>-37.88300000000001</v>
      </c>
      <c r="AE88" s="551">
        <f t="shared" si="284"/>
        <v>-1.3390000000000009</v>
      </c>
      <c r="AF88" s="550">
        <f t="shared" si="284"/>
        <v>-0.19900000000000029</v>
      </c>
      <c r="AG88" s="550">
        <f t="shared" si="284"/>
        <v>0.41099999999999981</v>
      </c>
      <c r="AH88" s="550">
        <f t="shared" si="284"/>
        <v>-6.9359999999999991</v>
      </c>
      <c r="AI88" s="550">
        <f t="shared" si="284"/>
        <v>2.4840000000000004</v>
      </c>
      <c r="AJ88" s="555">
        <f t="shared" ref="AJ88:BS88" si="285">AJ71+AJ47+AJ34+AJ17+AJ51-AJ55+AJ80</f>
        <v>12.091000000000001</v>
      </c>
      <c r="AK88" s="550">
        <f t="shared" si="285"/>
        <v>8.6939999999999991</v>
      </c>
      <c r="AL88" s="550">
        <f t="shared" si="285"/>
        <v>4.738999999999999</v>
      </c>
      <c r="AM88" s="551">
        <f t="shared" si="285"/>
        <v>-14.484999999999998</v>
      </c>
      <c r="AN88" s="555">
        <f t="shared" si="285"/>
        <v>4.2030000000000003</v>
      </c>
      <c r="AO88" s="550">
        <f t="shared" si="285"/>
        <v>5.0489999999999995</v>
      </c>
      <c r="AP88" s="550">
        <f t="shared" si="285"/>
        <v>-0.7660000000000009</v>
      </c>
      <c r="AQ88" s="551">
        <f t="shared" si="285"/>
        <v>5.1229999999999993</v>
      </c>
      <c r="AR88" s="555">
        <f t="shared" si="285"/>
        <v>9.5120000000000005</v>
      </c>
      <c r="AS88" s="550">
        <f t="shared" si="285"/>
        <v>101.79900000000001</v>
      </c>
      <c r="AT88" s="550">
        <f t="shared" si="285"/>
        <v>62.989999999999995</v>
      </c>
      <c r="AU88" s="551">
        <f t="shared" si="285"/>
        <v>41.854000000000013</v>
      </c>
      <c r="AV88" s="555">
        <f t="shared" si="285"/>
        <v>30.558</v>
      </c>
      <c r="AW88" s="550">
        <f t="shared" si="285"/>
        <v>23.166</v>
      </c>
      <c r="AX88" s="550">
        <f t="shared" si="285"/>
        <v>15.277999999999999</v>
      </c>
      <c r="AY88" s="551">
        <f t="shared" si="285"/>
        <v>18.613</v>
      </c>
      <c r="AZ88" s="555">
        <f t="shared" si="285"/>
        <v>49.823999999999998</v>
      </c>
      <c r="BA88" s="550">
        <f t="shared" si="285"/>
        <v>45.247</v>
      </c>
      <c r="BB88" s="550">
        <f t="shared" si="285"/>
        <v>47.557000000000002</v>
      </c>
      <c r="BC88" s="550">
        <f t="shared" si="285"/>
        <v>37.965000000000003</v>
      </c>
      <c r="BD88" s="555">
        <f t="shared" si="285"/>
        <v>8.07</v>
      </c>
      <c r="BE88" s="550">
        <f t="shared" si="285"/>
        <v>63.555000000000007</v>
      </c>
      <c r="BF88" s="550">
        <f t="shared" si="285"/>
        <v>65.802999999999983</v>
      </c>
      <c r="BG88" s="551">
        <f t="shared" si="285"/>
        <v>73.802000000000007</v>
      </c>
      <c r="BH88" s="550">
        <f>BH71+BH47+BH34+BH17+BH51-BH55+BH80</f>
        <v>268.65199999999999</v>
      </c>
      <c r="BI88" s="550">
        <f t="shared" ref="BI88:BJ88" si="286">BI71+BI47+BI34+BI17+BI51-BI55+BI80</f>
        <v>168.00500000000002</v>
      </c>
      <c r="BJ88" s="550">
        <f t="shared" si="286"/>
        <v>133.30999999999997</v>
      </c>
      <c r="BK88" s="550">
        <f>BK71+BK47+BK34+BK17+BK51-BK55+BK80</f>
        <v>125.52899999999998</v>
      </c>
      <c r="BL88" s="555">
        <f>BL71+BL47+BL34+BL17+BL51-BL55+BL80</f>
        <v>133.48599999999999</v>
      </c>
      <c r="BM88" s="550">
        <f t="shared" ref="BM88:BN88" si="287">BM71+BM47+BM34+BM17+BM51-BM55+BM80</f>
        <v>139.18100000000001</v>
      </c>
      <c r="BN88" s="550">
        <f t="shared" si="287"/>
        <v>574.83799999999997</v>
      </c>
      <c r="BO88" s="551">
        <f t="shared" si="285"/>
        <v>0</v>
      </c>
      <c r="BP88" s="555">
        <f t="shared" si="285"/>
        <v>0</v>
      </c>
      <c r="BQ88" s="550">
        <f t="shared" si="285"/>
        <v>0</v>
      </c>
      <c r="BR88" s="550">
        <f t="shared" si="285"/>
        <v>0</v>
      </c>
      <c r="BS88" s="551">
        <f t="shared" si="285"/>
        <v>0</v>
      </c>
      <c r="BT88" s="555">
        <f t="shared" ref="BT88:BW88" si="288">BT71+BT47+BT34+BT17+BT51-BT55+BT80</f>
        <v>0</v>
      </c>
      <c r="BU88" s="550">
        <f t="shared" si="288"/>
        <v>0</v>
      </c>
      <c r="BV88" s="550">
        <f t="shared" si="288"/>
        <v>0</v>
      </c>
      <c r="BW88" s="551">
        <f t="shared" si="288"/>
        <v>0</v>
      </c>
      <c r="BX88" s="552"/>
      <c r="BY88" s="550">
        <f t="shared" ref="BY88:CO88" si="289">BY71+BY47+BY34+BY17+BY51-BY55+BY80</f>
        <v>45.642999999999994</v>
      </c>
      <c r="BZ88" s="550">
        <f t="shared" si="289"/>
        <v>19.571999999999996</v>
      </c>
      <c r="CA88" s="550">
        <f t="shared" si="289"/>
        <v>12.976000000000001</v>
      </c>
      <c r="CB88" s="550">
        <f t="shared" si="289"/>
        <v>0</v>
      </c>
      <c r="CC88" s="550">
        <f t="shared" si="289"/>
        <v>-52.2</v>
      </c>
      <c r="CD88" s="550">
        <f t="shared" si="289"/>
        <v>6.1969999999999992</v>
      </c>
      <c r="CE88" s="550">
        <f t="shared" si="289"/>
        <v>-37.667000000000002</v>
      </c>
      <c r="CF88" s="550">
        <f t="shared" si="289"/>
        <v>-4.24</v>
      </c>
      <c r="CG88" s="550">
        <f t="shared" si="289"/>
        <v>11.039000000000009</v>
      </c>
      <c r="CH88" s="550">
        <f t="shared" si="289"/>
        <v>13.608999999999998</v>
      </c>
      <c r="CI88" s="550">
        <f t="shared" si="289"/>
        <v>216.155</v>
      </c>
      <c r="CJ88" s="550">
        <f t="shared" si="289"/>
        <v>87.615000000000009</v>
      </c>
      <c r="CK88" s="550">
        <f t="shared" si="289"/>
        <v>180.59300000000002</v>
      </c>
      <c r="CL88" s="550">
        <f t="shared" si="289"/>
        <v>211.23</v>
      </c>
      <c r="CM88" s="550">
        <f t="shared" si="289"/>
        <v>695.49599999999998</v>
      </c>
      <c r="CN88" s="550">
        <f t="shared" si="289"/>
        <v>847.505</v>
      </c>
      <c r="CO88" s="550">
        <f t="shared" si="289"/>
        <v>0</v>
      </c>
      <c r="CP88" s="551">
        <f t="shared" ref="CP88" si="290">CP71+CP47+CP34+CP17+CP51-CP55+CP80</f>
        <v>0</v>
      </c>
      <c r="CQ88" s="552"/>
      <c r="CR88" s="555">
        <f t="shared" ref="CR88:DG88" si="291">CR71+CR47+CR34+CR17+CR51-CR55+CR80</f>
        <v>19.571999999999996</v>
      </c>
      <c r="CS88" s="550">
        <f t="shared" si="291"/>
        <v>12.976000000000001</v>
      </c>
      <c r="CT88" s="550">
        <f t="shared" si="291"/>
        <v>0</v>
      </c>
      <c r="CU88" s="550">
        <f t="shared" si="291"/>
        <v>0</v>
      </c>
      <c r="CV88" s="550">
        <f t="shared" si="291"/>
        <v>-41.474000000000004</v>
      </c>
      <c r="CW88" s="550">
        <f t="shared" si="291"/>
        <v>-40.857000000000006</v>
      </c>
      <c r="CX88" s="550">
        <f t="shared" si="291"/>
        <v>-8.0629999999999988</v>
      </c>
      <c r="CY88" s="550">
        <f t="shared" si="291"/>
        <v>28.008000000000003</v>
      </c>
      <c r="CZ88" s="550">
        <f t="shared" si="291"/>
        <v>-5.9989999999999988</v>
      </c>
      <c r="DA88" s="551">
        <f t="shared" si="291"/>
        <v>179.42400000000001</v>
      </c>
      <c r="DB88" s="550">
        <f t="shared" si="291"/>
        <v>110.85600000000001</v>
      </c>
      <c r="DC88" s="555">
        <f t="shared" si="291"/>
        <v>161.24099999999999</v>
      </c>
      <c r="DD88" s="550">
        <f t="shared" si="291"/>
        <v>175.39299999999997</v>
      </c>
      <c r="DE88" s="550">
        <f t="shared" si="291"/>
        <v>643.76900000000001</v>
      </c>
      <c r="DF88" s="550">
        <f t="shared" si="291"/>
        <v>973.03399999999988</v>
      </c>
      <c r="DG88" s="550">
        <f t="shared" si="291"/>
        <v>0</v>
      </c>
      <c r="DH88" s="550">
        <f t="shared" ref="DH88" si="292">DH71+DH47+DH34+DH17+DH51-DH55+DH80</f>
        <v>0</v>
      </c>
      <c r="DI88" s="556"/>
    </row>
    <row r="89" spans="1:113" ht="14.25" customHeight="1">
      <c r="A89" s="554"/>
      <c r="B89" s="613" t="s">
        <v>322</v>
      </c>
      <c r="C89" s="45"/>
      <c r="D89" s="47">
        <f t="shared" ref="D89:AZ89" si="293">D75-D81</f>
        <v>30.059000000000005</v>
      </c>
      <c r="E89" s="47">
        <f t="shared" si="293"/>
        <v>34.395999999999994</v>
      </c>
      <c r="F89" s="47">
        <f t="shared" si="293"/>
        <v>36.381999999999991</v>
      </c>
      <c r="G89" s="48">
        <f t="shared" si="293"/>
        <v>33.038000000000046</v>
      </c>
      <c r="H89" s="47">
        <f t="shared" si="293"/>
        <v>33.489999999999981</v>
      </c>
      <c r="I89" s="47">
        <f t="shared" si="293"/>
        <v>36.103999999999985</v>
      </c>
      <c r="J89" s="47">
        <f t="shared" si="293"/>
        <v>40.395000000000017</v>
      </c>
      <c r="K89" s="48">
        <f t="shared" si="293"/>
        <v>46.845000000000013</v>
      </c>
      <c r="L89" s="47">
        <f t="shared" si="293"/>
        <v>56.775000000000006</v>
      </c>
      <c r="M89" s="47">
        <f t="shared" si="293"/>
        <v>60.442999999999984</v>
      </c>
      <c r="N89" s="47">
        <f t="shared" si="293"/>
        <v>53.139999999999993</v>
      </c>
      <c r="O89" s="48">
        <f t="shared" si="293"/>
        <v>56.403000000000027</v>
      </c>
      <c r="P89" s="47">
        <f t="shared" si="293"/>
        <v>61.023999999999987</v>
      </c>
      <c r="Q89" s="47">
        <f t="shared" si="293"/>
        <v>65.652999999999992</v>
      </c>
      <c r="R89" s="47">
        <f t="shared" si="293"/>
        <v>40.123999999999981</v>
      </c>
      <c r="S89" s="48">
        <f t="shared" si="293"/>
        <v>75.567999999999998</v>
      </c>
      <c r="T89" s="47">
        <f t="shared" si="293"/>
        <v>76.984000000000037</v>
      </c>
      <c r="U89" s="47">
        <f t="shared" si="293"/>
        <v>79.488000000000014</v>
      </c>
      <c r="V89" s="47">
        <f t="shared" si="293"/>
        <v>72.848999999999975</v>
      </c>
      <c r="W89" s="48">
        <f t="shared" si="293"/>
        <v>75.50800000000001</v>
      </c>
      <c r="X89" s="47">
        <f t="shared" si="293"/>
        <v>80.293000000000021</v>
      </c>
      <c r="Y89" s="47">
        <f t="shared" si="293"/>
        <v>77.137999999999977</v>
      </c>
      <c r="Z89" s="47">
        <f t="shared" si="293"/>
        <v>74.391000000000005</v>
      </c>
      <c r="AA89" s="48">
        <f t="shared" si="293"/>
        <v>71.168000000000006</v>
      </c>
      <c r="AB89" s="47">
        <f t="shared" si="293"/>
        <v>76.310000000000031</v>
      </c>
      <c r="AC89" s="47">
        <f t="shared" si="293"/>
        <v>76.512000000000029</v>
      </c>
      <c r="AD89" s="47">
        <f t="shared" si="293"/>
        <v>34.472999999999985</v>
      </c>
      <c r="AE89" s="48">
        <f t="shared" si="293"/>
        <v>20.624999999999986</v>
      </c>
      <c r="AF89" s="47">
        <f t="shared" si="293"/>
        <v>27.169000000000018</v>
      </c>
      <c r="AG89" s="47">
        <f t="shared" si="293"/>
        <v>44.896000000000015</v>
      </c>
      <c r="AH89" s="47">
        <f t="shared" si="293"/>
        <v>62.467000000000013</v>
      </c>
      <c r="AI89" s="47">
        <f t="shared" si="293"/>
        <v>78.233000000000061</v>
      </c>
      <c r="AJ89" s="46">
        <f t="shared" si="293"/>
        <v>101.60499999999999</v>
      </c>
      <c r="AK89" s="47">
        <f t="shared" si="293"/>
        <v>111.73100000000001</v>
      </c>
      <c r="AL89" s="47">
        <f t="shared" si="293"/>
        <v>105.79500000000003</v>
      </c>
      <c r="AM89" s="48">
        <f t="shared" si="293"/>
        <v>111.01499999999986</v>
      </c>
      <c r="AN89" s="892">
        <f t="shared" si="293"/>
        <v>103.435</v>
      </c>
      <c r="AO89" s="891">
        <f t="shared" si="293"/>
        <v>84.322999999999979</v>
      </c>
      <c r="AP89" s="891">
        <f t="shared" si="293"/>
        <v>76.736999999999995</v>
      </c>
      <c r="AQ89" s="893">
        <f t="shared" si="293"/>
        <v>85.623999999999981</v>
      </c>
      <c r="AR89" s="892">
        <f t="shared" si="293"/>
        <v>88.101000000000013</v>
      </c>
      <c r="AS89" s="891">
        <f t="shared" si="293"/>
        <v>80.582999999999998</v>
      </c>
      <c r="AT89" s="47">
        <f t="shared" si="293"/>
        <v>72.934000000000026</v>
      </c>
      <c r="AU89" s="893">
        <f t="shared" si="293"/>
        <v>101.30900000000007</v>
      </c>
      <c r="AV89" s="892">
        <f t="shared" si="293"/>
        <v>108.87699999999997</v>
      </c>
      <c r="AW89" s="891">
        <f t="shared" si="293"/>
        <v>122.87099999999992</v>
      </c>
      <c r="AX89" s="47">
        <f t="shared" si="293"/>
        <v>120.82900000000008</v>
      </c>
      <c r="AY89" s="893">
        <f t="shared" si="293"/>
        <v>130.14200000000005</v>
      </c>
      <c r="AZ89" s="892">
        <f t="shared" si="293"/>
        <v>139.733</v>
      </c>
      <c r="BA89" s="47">
        <f>BA75-BA81+BA84</f>
        <v>138.88800000000006</v>
      </c>
      <c r="BB89" s="47">
        <f>BB75-BB81+BB84</f>
        <v>133.61400000000003</v>
      </c>
      <c r="BC89" s="891">
        <f>BC75-BC81+BC84</f>
        <v>137.36700000000002</v>
      </c>
      <c r="BD89" s="892">
        <f>BD75-BD81</f>
        <v>138.52999999999997</v>
      </c>
      <c r="BE89" s="47">
        <f t="shared" ref="BE89" si="294">BE75-BE81+BE84</f>
        <v>128.45399999999995</v>
      </c>
      <c r="BF89" s="47">
        <f>BF75-BF81+BF84</f>
        <v>126.93100000000001</v>
      </c>
      <c r="BG89" s="893">
        <f>BG75-BG81+BG84</f>
        <v>141.11000000000001</v>
      </c>
      <c r="BH89" s="891">
        <f>BH75-BH81</f>
        <v>155.28899999999993</v>
      </c>
      <c r="BI89" s="47">
        <f t="shared" ref="BI89" si="295">BI75-BI81+BI84</f>
        <v>201.92400000000006</v>
      </c>
      <c r="BJ89" s="47">
        <f>BJ75-BJ81+BJ84</f>
        <v>233.10899999999998</v>
      </c>
      <c r="BK89" s="1437">
        <f>BK75-BK81+BK84</f>
        <v>262.43699999999995</v>
      </c>
      <c r="BL89" s="892">
        <f>BL75-BL81</f>
        <v>304.07299999999998</v>
      </c>
      <c r="BM89" s="47">
        <f t="shared" ref="BM89" si="296">BM75-BM81+BM84</f>
        <v>328.3370000000001</v>
      </c>
      <c r="BN89" s="47">
        <f>BN75-BN81+BN84</f>
        <v>323.75199999999995</v>
      </c>
      <c r="BO89" s="48">
        <f t="shared" ref="BO89:BS89" si="297">BO75-BO81+BO84</f>
        <v>319.36396904051264</v>
      </c>
      <c r="BP89" s="46">
        <f t="shared" si="297"/>
        <v>340.18058113278784</v>
      </c>
      <c r="BQ89" s="47">
        <f t="shared" si="297"/>
        <v>355.90966127439862</v>
      </c>
      <c r="BR89" s="47">
        <f t="shared" si="297"/>
        <v>346.07916920057528</v>
      </c>
      <c r="BS89" s="48">
        <f t="shared" si="297"/>
        <v>342.83251464298598</v>
      </c>
      <c r="BT89" s="46">
        <f t="shared" ref="BT89:BW89" si="298">BT75-BT81+BT84</f>
        <v>361.8847059608612</v>
      </c>
      <c r="BU89" s="47">
        <f t="shared" si="298"/>
        <v>375.3479258136789</v>
      </c>
      <c r="BV89" s="47">
        <f t="shared" si="298"/>
        <v>366.98705365713681</v>
      </c>
      <c r="BW89" s="48">
        <f t="shared" si="298"/>
        <v>364.06060944569589</v>
      </c>
      <c r="BX89" s="20"/>
      <c r="BY89" s="47">
        <f t="shared" ref="BY89:CJ89" si="299">BY75-BY81</f>
        <v>133.87500000000006</v>
      </c>
      <c r="BZ89" s="47">
        <f t="shared" si="299"/>
        <v>156.83399999999995</v>
      </c>
      <c r="CA89" s="47">
        <f t="shared" si="299"/>
        <v>226.761</v>
      </c>
      <c r="CB89" s="47">
        <f t="shared" si="299"/>
        <v>242.36900000000006</v>
      </c>
      <c r="CC89" s="47">
        <f t="shared" si="299"/>
        <v>304.82900000000006</v>
      </c>
      <c r="CD89" s="47">
        <f t="shared" si="299"/>
        <v>302.99000000000012</v>
      </c>
      <c r="CE89" s="47">
        <f t="shared" si="299"/>
        <v>207.91999999999996</v>
      </c>
      <c r="CF89" s="47">
        <f t="shared" si="299"/>
        <v>212.76500000000013</v>
      </c>
      <c r="CG89" s="47">
        <f t="shared" si="299"/>
        <v>429.98899999999986</v>
      </c>
      <c r="CH89" s="47">
        <f t="shared" si="299"/>
        <v>350.31399999999996</v>
      </c>
      <c r="CI89" s="47">
        <f t="shared" si="299"/>
        <v>343.54399999999998</v>
      </c>
      <c r="CJ89" s="47">
        <f t="shared" si="299"/>
        <v>482.89600000000047</v>
      </c>
      <c r="CK89" s="47">
        <f t="shared" ref="CK89:CP89" si="300">CK75-CK81+CK84</f>
        <v>549.60200000000009</v>
      </c>
      <c r="CL89" s="47">
        <f t="shared" si="300"/>
        <v>535.23199999999974</v>
      </c>
      <c r="CM89" s="47">
        <f t="shared" si="300"/>
        <v>860.13500000000022</v>
      </c>
      <c r="CN89" s="47">
        <f t="shared" si="300"/>
        <v>1275.5259690405128</v>
      </c>
      <c r="CO89" s="47">
        <f t="shared" si="300"/>
        <v>1385.0019262507481</v>
      </c>
      <c r="CP89" s="48">
        <f t="shared" si="300"/>
        <v>1468.2802948773726</v>
      </c>
      <c r="CQ89" s="20"/>
      <c r="CR89" s="46">
        <f t="shared" ref="CR89:DB89" si="301">CR75-CR81</f>
        <v>143.0270000000001</v>
      </c>
      <c r="CS89" s="47">
        <f t="shared" si="301"/>
        <v>217.20300000000009</v>
      </c>
      <c r="CT89" s="47">
        <f t="shared" si="301"/>
        <v>223.20399999999992</v>
      </c>
      <c r="CU89" s="47">
        <f t="shared" si="301"/>
        <v>304.88899999999995</v>
      </c>
      <c r="CV89" s="47">
        <f t="shared" si="301"/>
        <v>307.32999999999981</v>
      </c>
      <c r="CW89" s="47">
        <f t="shared" si="301"/>
        <v>258.46299999999991</v>
      </c>
      <c r="CX89" s="47">
        <f t="shared" si="301"/>
        <v>155.15699999999998</v>
      </c>
      <c r="CY89" s="47">
        <f t="shared" si="301"/>
        <v>397.17900000000026</v>
      </c>
      <c r="CZ89" s="47">
        <f t="shared" si="301"/>
        <v>375.59800000000001</v>
      </c>
      <c r="DA89" s="48">
        <f t="shared" si="301"/>
        <v>327.75900000000013</v>
      </c>
      <c r="DB89" s="47">
        <f t="shared" si="301"/>
        <v>454.33200000000022</v>
      </c>
      <c r="DC89" s="46">
        <f t="shared" ref="DC89:DH89" si="302">DC75-DC81+DC84</f>
        <v>542.34300000000007</v>
      </c>
      <c r="DD89" s="47">
        <f t="shared" si="302"/>
        <v>531.48900000000037</v>
      </c>
      <c r="DE89" s="47">
        <f t="shared" si="302"/>
        <v>738.80800000000011</v>
      </c>
      <c r="DF89" s="47">
        <f t="shared" si="302"/>
        <v>1218.5989999999999</v>
      </c>
      <c r="DG89" s="47">
        <f t="shared" si="302"/>
        <v>1361.5333806482743</v>
      </c>
      <c r="DH89" s="47">
        <f t="shared" si="302"/>
        <v>1447.052200074663</v>
      </c>
      <c r="DI89" s="556"/>
    </row>
    <row r="90" spans="1:113" ht="14.25" customHeight="1">
      <c r="A90" s="554"/>
      <c r="B90" s="613"/>
      <c r="C90" s="45"/>
      <c r="D90" s="47"/>
      <c r="E90" s="47"/>
      <c r="F90" s="47"/>
      <c r="G90" s="48"/>
      <c r="H90" s="47"/>
      <c r="I90" s="47"/>
      <c r="J90" s="47"/>
      <c r="K90" s="48"/>
      <c r="L90" s="47"/>
      <c r="M90" s="47"/>
      <c r="N90" s="47"/>
      <c r="O90" s="48"/>
      <c r="P90" s="47"/>
      <c r="Q90" s="47"/>
      <c r="R90" s="47"/>
      <c r="S90" s="48"/>
      <c r="T90" s="47"/>
      <c r="U90" s="47"/>
      <c r="V90" s="47"/>
      <c r="W90" s="48"/>
      <c r="X90" s="47"/>
      <c r="Y90" s="47"/>
      <c r="Z90" s="47"/>
      <c r="AA90" s="48"/>
      <c r="AB90" s="47"/>
      <c r="AC90" s="47"/>
      <c r="AD90" s="47"/>
      <c r="AE90" s="48"/>
      <c r="AF90" s="47"/>
      <c r="AG90" s="47"/>
      <c r="AH90" s="47"/>
      <c r="AI90" s="47"/>
      <c r="AJ90" s="46"/>
      <c r="AK90" s="47"/>
      <c r="AL90" s="47"/>
      <c r="AM90" s="48"/>
      <c r="AN90" s="892"/>
      <c r="AO90" s="891"/>
      <c r="AP90" s="891"/>
      <c r="AQ90" s="893"/>
      <c r="AR90" s="892"/>
      <c r="AS90" s="891"/>
      <c r="AT90" s="47"/>
      <c r="AU90" s="893"/>
      <c r="AV90" s="892"/>
      <c r="AW90" s="891"/>
      <c r="AX90" s="47"/>
      <c r="AY90" s="893"/>
      <c r="AZ90" s="892"/>
      <c r="BA90" s="47"/>
      <c r="BB90" s="47"/>
      <c r="BC90" s="891"/>
      <c r="BD90" s="892"/>
      <c r="BE90" s="47"/>
      <c r="BF90" s="47"/>
      <c r="BG90" s="893"/>
      <c r="BH90" s="891"/>
      <c r="BI90" s="47"/>
      <c r="BJ90" s="47"/>
      <c r="BK90" s="891"/>
      <c r="BL90" s="892"/>
      <c r="BM90" s="47"/>
      <c r="BN90" s="47"/>
      <c r="BO90" s="48"/>
      <c r="BP90" s="46"/>
      <c r="BQ90" s="47"/>
      <c r="BR90" s="47"/>
      <c r="BS90" s="48"/>
      <c r="BT90" s="46"/>
      <c r="BU90" s="47"/>
      <c r="BV90" s="47"/>
      <c r="BW90" s="48"/>
      <c r="BX90" s="20"/>
      <c r="BY90" s="47"/>
      <c r="BZ90" s="47"/>
      <c r="CA90" s="47"/>
      <c r="CB90" s="47"/>
      <c r="CC90" s="47"/>
      <c r="CD90" s="47"/>
      <c r="CE90" s="47"/>
      <c r="CF90" s="47"/>
      <c r="CG90" s="47"/>
      <c r="CH90" s="47"/>
      <c r="CI90" s="47"/>
      <c r="CJ90" s="47"/>
      <c r="CK90" s="47"/>
      <c r="CL90" s="47"/>
      <c r="CM90" s="47"/>
      <c r="CN90" s="47"/>
      <c r="CO90" s="47"/>
      <c r="CP90" s="48"/>
      <c r="CQ90" s="20"/>
      <c r="CR90" s="46"/>
      <c r="CS90" s="47"/>
      <c r="CT90" s="47"/>
      <c r="CU90" s="47"/>
      <c r="CV90" s="47"/>
      <c r="CW90" s="47"/>
      <c r="CX90" s="47"/>
      <c r="CY90" s="47"/>
      <c r="CZ90" s="47"/>
      <c r="DA90" s="48"/>
      <c r="DB90" s="47"/>
      <c r="DC90" s="46"/>
      <c r="DD90" s="47"/>
      <c r="DE90" s="47"/>
      <c r="DF90" s="47"/>
      <c r="DG90" s="47"/>
      <c r="DH90" s="47"/>
      <c r="DI90" s="556"/>
    </row>
    <row r="91" spans="1:113" ht="14.25" hidden="1" customHeight="1" outlineLevel="1">
      <c r="A91" s="554"/>
      <c r="B91" s="932" t="s">
        <v>295</v>
      </c>
      <c r="C91" s="549"/>
      <c r="D91" s="550">
        <f t="shared" ref="D91:O91" si="303">D119+D120</f>
        <v>0</v>
      </c>
      <c r="E91" s="550">
        <f t="shared" si="303"/>
        <v>0</v>
      </c>
      <c r="F91" s="550">
        <f t="shared" si="303"/>
        <v>0</v>
      </c>
      <c r="G91" s="551">
        <f t="shared" si="303"/>
        <v>0</v>
      </c>
      <c r="H91" s="550">
        <f t="shared" si="303"/>
        <v>0</v>
      </c>
      <c r="I91" s="550">
        <f t="shared" si="303"/>
        <v>0</v>
      </c>
      <c r="J91" s="550">
        <f t="shared" si="303"/>
        <v>0</v>
      </c>
      <c r="K91" s="551">
        <f t="shared" si="303"/>
        <v>0</v>
      </c>
      <c r="L91" s="550">
        <f t="shared" si="303"/>
        <v>0</v>
      </c>
      <c r="M91" s="550">
        <f t="shared" si="303"/>
        <v>0</v>
      </c>
      <c r="N91" s="550">
        <f t="shared" si="303"/>
        <v>0</v>
      </c>
      <c r="O91" s="551">
        <f t="shared" si="303"/>
        <v>0</v>
      </c>
      <c r="P91" s="550">
        <f>P119+P120</f>
        <v>0</v>
      </c>
      <c r="Q91" s="550">
        <f t="shared" ref="Q91:BO91" si="304">Q119+Q120</f>
        <v>0</v>
      </c>
      <c r="R91" s="550">
        <f t="shared" si="304"/>
        <v>0</v>
      </c>
      <c r="S91" s="551">
        <f t="shared" si="304"/>
        <v>0</v>
      </c>
      <c r="T91" s="550">
        <f t="shared" si="304"/>
        <v>4.4119999999999999</v>
      </c>
      <c r="U91" s="550">
        <f t="shared" si="304"/>
        <v>4.6879999999999997</v>
      </c>
      <c r="V91" s="550">
        <f t="shared" si="304"/>
        <v>5.883</v>
      </c>
      <c r="W91" s="551">
        <f t="shared" si="304"/>
        <v>5.8259999999999996</v>
      </c>
      <c r="X91" s="550">
        <f t="shared" si="304"/>
        <v>6.4019999999999992</v>
      </c>
      <c r="Y91" s="550">
        <f t="shared" si="304"/>
        <v>6.1849999999999996</v>
      </c>
      <c r="Z91" s="550">
        <f t="shared" si="304"/>
        <v>6.8109999999999991</v>
      </c>
      <c r="AA91" s="551">
        <f t="shared" si="304"/>
        <v>7.0529999999999999</v>
      </c>
      <c r="AB91" s="550">
        <f t="shared" si="304"/>
        <v>6.306</v>
      </c>
      <c r="AC91" s="550">
        <f t="shared" si="304"/>
        <v>6.9559999999999986</v>
      </c>
      <c r="AD91" s="550">
        <f t="shared" si="304"/>
        <v>6.7109999999999994</v>
      </c>
      <c r="AE91" s="551">
        <f t="shared" si="304"/>
        <v>7.2310000000000008</v>
      </c>
      <c r="AF91" s="550">
        <f t="shared" si="304"/>
        <v>7.8280000000000012</v>
      </c>
      <c r="AG91" s="550">
        <f t="shared" si="304"/>
        <v>8.2650000000000006</v>
      </c>
      <c r="AH91" s="550">
        <f t="shared" si="304"/>
        <v>7.657</v>
      </c>
      <c r="AI91" s="550">
        <f t="shared" si="304"/>
        <v>8.4650000000000016</v>
      </c>
      <c r="AJ91" s="555">
        <f t="shared" si="304"/>
        <v>8.2890000000000015</v>
      </c>
      <c r="AK91" s="550">
        <f t="shared" si="304"/>
        <v>7.8110000000000008</v>
      </c>
      <c r="AL91" s="550">
        <f t="shared" si="304"/>
        <v>8.2429999999999986</v>
      </c>
      <c r="AM91" s="551">
        <f t="shared" si="304"/>
        <v>7.9760000000000009</v>
      </c>
      <c r="AN91" s="555">
        <f t="shared" si="304"/>
        <v>7.855999999999999</v>
      </c>
      <c r="AO91" s="550">
        <f t="shared" si="304"/>
        <v>8.2579999999999991</v>
      </c>
      <c r="AP91" s="550">
        <f t="shared" si="304"/>
        <v>8.7010000000000005</v>
      </c>
      <c r="AQ91" s="551">
        <f t="shared" si="304"/>
        <v>8.5849999999999991</v>
      </c>
      <c r="AR91" s="555">
        <f t="shared" si="304"/>
        <v>8.6640000000000015</v>
      </c>
      <c r="AS91" s="550">
        <f t="shared" si="304"/>
        <v>17.133999999999997</v>
      </c>
      <c r="AT91" s="550">
        <f t="shared" si="304"/>
        <v>11.365000000000002</v>
      </c>
      <c r="AU91" s="551">
        <f>AU119+AU120</f>
        <v>11.813999999999998</v>
      </c>
      <c r="AV91" s="555">
        <f>AV119+AV120</f>
        <v>11.254000000000001</v>
      </c>
      <c r="AW91" s="550">
        <f>AW119+AW120</f>
        <v>13.411</v>
      </c>
      <c r="AX91" s="550">
        <f>AX118+AX119</f>
        <v>19.456000000000003</v>
      </c>
      <c r="AY91" s="551">
        <f>AY119+AY120</f>
        <v>11.190999999999999</v>
      </c>
      <c r="AZ91" s="555">
        <f>AZ119+AZ120</f>
        <v>11.901000000000002</v>
      </c>
      <c r="BA91" s="550">
        <f>BA119+BA120</f>
        <v>13.44</v>
      </c>
      <c r="BB91" s="550">
        <f>BB118+BB119</f>
        <v>20.273</v>
      </c>
      <c r="BC91" s="550">
        <f t="shared" ref="BC91:BH91" si="305">BC119+BC120</f>
        <v>11.428000000000001</v>
      </c>
      <c r="BD91" s="555">
        <f t="shared" si="305"/>
        <v>10.579999999999998</v>
      </c>
      <c r="BE91" s="550">
        <f t="shared" si="305"/>
        <v>14.452</v>
      </c>
      <c r="BF91" s="550">
        <f t="shared" si="305"/>
        <v>11.504999999999999</v>
      </c>
      <c r="BG91" s="551">
        <f t="shared" si="305"/>
        <v>11.871</v>
      </c>
      <c r="BH91" s="550">
        <f t="shared" si="305"/>
        <v>38.691000000000003</v>
      </c>
      <c r="BI91" s="550">
        <f t="shared" ref="BI91:BJ91" si="306">BI119+BI120</f>
        <v>16.032</v>
      </c>
      <c r="BJ91" s="550">
        <f t="shared" si="306"/>
        <v>13.279000000000002</v>
      </c>
      <c r="BK91" s="550">
        <f>BK119+BK120</f>
        <v>14.474000000000004</v>
      </c>
      <c r="BL91" s="555">
        <f t="shared" ref="BL91:BN91" si="307">BL119+BL120</f>
        <v>14.98</v>
      </c>
      <c r="BM91" s="550">
        <f t="shared" si="307"/>
        <v>15.763999999999999</v>
      </c>
      <c r="BN91" s="550">
        <f t="shared" si="307"/>
        <v>17.399000000000001</v>
      </c>
      <c r="BO91" s="551">
        <f t="shared" si="304"/>
        <v>21.84273</v>
      </c>
      <c r="BP91" s="555">
        <f t="shared" ref="BP91:BW91" si="308">BP119+BP120</f>
        <v>21.84273</v>
      </c>
      <c r="BQ91" s="550">
        <f t="shared" si="308"/>
        <v>21.84273</v>
      </c>
      <c r="BR91" s="550">
        <f t="shared" si="308"/>
        <v>21.84273</v>
      </c>
      <c r="BS91" s="551">
        <f t="shared" si="308"/>
        <v>21.84273</v>
      </c>
      <c r="BT91" s="555">
        <f t="shared" si="308"/>
        <v>21.84273</v>
      </c>
      <c r="BU91" s="550">
        <f t="shared" si="308"/>
        <v>21.84273</v>
      </c>
      <c r="BV91" s="550">
        <f t="shared" si="308"/>
        <v>21.84273</v>
      </c>
      <c r="BW91" s="551">
        <f t="shared" si="308"/>
        <v>21.84273</v>
      </c>
      <c r="BX91" s="552"/>
      <c r="BY91" s="550">
        <f>BY119+BY120</f>
        <v>0</v>
      </c>
      <c r="BZ91" s="550">
        <f>BZ119+BZ120</f>
        <v>0</v>
      </c>
      <c r="CA91" s="550">
        <f>CA119+CA120</f>
        <v>0</v>
      </c>
      <c r="CB91" s="550">
        <f t="shared" ref="CB91:CL91" si="309">CB119+CB120</f>
        <v>0</v>
      </c>
      <c r="CC91" s="550">
        <f t="shared" si="309"/>
        <v>20.809000000000001</v>
      </c>
      <c r="CD91" s="550">
        <f t="shared" si="309"/>
        <v>26.451000000000001</v>
      </c>
      <c r="CE91" s="550">
        <f t="shared" si="309"/>
        <v>27.203999999999994</v>
      </c>
      <c r="CF91" s="550">
        <f t="shared" si="309"/>
        <v>32.214999999999996</v>
      </c>
      <c r="CG91" s="550">
        <f t="shared" si="309"/>
        <v>32.318999999999996</v>
      </c>
      <c r="CH91" s="550">
        <f t="shared" si="309"/>
        <v>33.4</v>
      </c>
      <c r="CI91" s="550">
        <f t="shared" si="309"/>
        <v>48.977000000000004</v>
      </c>
      <c r="CJ91" s="550">
        <f t="shared" si="309"/>
        <v>48.064999999999998</v>
      </c>
      <c r="CK91" s="550">
        <f t="shared" si="309"/>
        <v>47.955999999999996</v>
      </c>
      <c r="CL91" s="550">
        <f t="shared" si="309"/>
        <v>48.407999999999987</v>
      </c>
      <c r="CM91" s="550">
        <f>CM119+CM120</f>
        <v>82.475999999999999</v>
      </c>
      <c r="CN91" s="550">
        <f>CN119+CN120</f>
        <v>69.985730000000004</v>
      </c>
      <c r="CO91" s="550">
        <f>CO119+CO120</f>
        <v>87.370919999999998</v>
      </c>
      <c r="CP91" s="551">
        <f>CP119+CP120</f>
        <v>87.370919999999998</v>
      </c>
      <c r="CQ91" s="552"/>
      <c r="CR91" s="555">
        <f>CR119+CR120</f>
        <v>0</v>
      </c>
      <c r="CS91" s="550">
        <f>CS119+CS120</f>
        <v>0</v>
      </c>
      <c r="CT91" s="550">
        <f>CT119+CT120</f>
        <v>0</v>
      </c>
      <c r="CU91" s="550">
        <f t="shared" ref="CU91:DC91" si="310">CU119+CU120</f>
        <v>14.983000000000001</v>
      </c>
      <c r="CV91" s="550">
        <f t="shared" si="310"/>
        <v>25.223999999999997</v>
      </c>
      <c r="CW91" s="550">
        <f t="shared" si="310"/>
        <v>27.026000000000003</v>
      </c>
      <c r="CX91" s="550">
        <f t="shared" si="310"/>
        <v>30.981000000000002</v>
      </c>
      <c r="CY91" s="550">
        <f t="shared" si="310"/>
        <v>32.807999999999993</v>
      </c>
      <c r="CZ91" s="550">
        <f t="shared" si="310"/>
        <v>32.790999999999997</v>
      </c>
      <c r="DA91" s="551">
        <f t="shared" si="310"/>
        <v>45.74799999999999</v>
      </c>
      <c r="DB91" s="550">
        <f t="shared" si="310"/>
        <v>48.688000000000002</v>
      </c>
      <c r="DC91" s="555">
        <f t="shared" si="310"/>
        <v>47.718999999999987</v>
      </c>
      <c r="DD91" s="550">
        <f>DD119+DD120</f>
        <v>47.965000000000003</v>
      </c>
      <c r="DE91" s="550">
        <f>DE119+DE120</f>
        <v>79.87299999999999</v>
      </c>
      <c r="DF91" s="550">
        <f>DF119+DF120</f>
        <v>62.61699999999999</v>
      </c>
      <c r="DG91" s="550">
        <f>DG119+DG120</f>
        <v>87.370919999999998</v>
      </c>
      <c r="DH91" s="550">
        <f>DH119+DH120</f>
        <v>87.370919999999998</v>
      </c>
      <c r="DI91" s="556"/>
    </row>
    <row r="92" spans="1:113" ht="14.25" hidden="1" customHeight="1" outlineLevel="1">
      <c r="A92" s="554"/>
      <c r="B92" s="613" t="s">
        <v>403</v>
      </c>
      <c r="C92" s="45"/>
      <c r="D92" s="47">
        <f t="shared" ref="D92:BO92" si="311">D89+D91</f>
        <v>30.059000000000005</v>
      </c>
      <c r="E92" s="47">
        <f t="shared" si="311"/>
        <v>34.395999999999994</v>
      </c>
      <c r="F92" s="47">
        <f t="shared" si="311"/>
        <v>36.381999999999991</v>
      </c>
      <c r="G92" s="48">
        <f t="shared" si="311"/>
        <v>33.038000000000046</v>
      </c>
      <c r="H92" s="47">
        <f t="shared" si="311"/>
        <v>33.489999999999981</v>
      </c>
      <c r="I92" s="47">
        <f t="shared" si="311"/>
        <v>36.103999999999985</v>
      </c>
      <c r="J92" s="47">
        <f t="shared" si="311"/>
        <v>40.395000000000017</v>
      </c>
      <c r="K92" s="48">
        <f t="shared" si="311"/>
        <v>46.845000000000013</v>
      </c>
      <c r="L92" s="47">
        <f t="shared" si="311"/>
        <v>56.775000000000006</v>
      </c>
      <c r="M92" s="47">
        <f t="shared" si="311"/>
        <v>60.442999999999984</v>
      </c>
      <c r="N92" s="47">
        <f t="shared" si="311"/>
        <v>53.139999999999993</v>
      </c>
      <c r="O92" s="48">
        <f t="shared" si="311"/>
        <v>56.403000000000027</v>
      </c>
      <c r="P92" s="47">
        <f t="shared" si="311"/>
        <v>61.023999999999987</v>
      </c>
      <c r="Q92" s="47">
        <f t="shared" si="311"/>
        <v>65.652999999999992</v>
      </c>
      <c r="R92" s="47">
        <f t="shared" si="311"/>
        <v>40.123999999999981</v>
      </c>
      <c r="S92" s="48">
        <f t="shared" si="311"/>
        <v>75.567999999999998</v>
      </c>
      <c r="T92" s="47">
        <f t="shared" si="311"/>
        <v>81.396000000000043</v>
      </c>
      <c r="U92" s="47">
        <f t="shared" si="311"/>
        <v>84.176000000000016</v>
      </c>
      <c r="V92" s="47">
        <f t="shared" si="311"/>
        <v>78.731999999999971</v>
      </c>
      <c r="W92" s="48">
        <f t="shared" si="311"/>
        <v>81.334000000000003</v>
      </c>
      <c r="X92" s="47">
        <f t="shared" si="311"/>
        <v>86.695000000000022</v>
      </c>
      <c r="Y92" s="47">
        <f t="shared" si="311"/>
        <v>83.322999999999979</v>
      </c>
      <c r="Z92" s="47">
        <f t="shared" si="311"/>
        <v>81.201999999999998</v>
      </c>
      <c r="AA92" s="1081">
        <f t="shared" si="311"/>
        <v>78.221000000000004</v>
      </c>
      <c r="AB92" s="47">
        <f t="shared" si="311"/>
        <v>82.616000000000028</v>
      </c>
      <c r="AC92" s="47">
        <f t="shared" si="311"/>
        <v>83.468000000000032</v>
      </c>
      <c r="AD92" s="47">
        <f t="shared" si="311"/>
        <v>41.183999999999983</v>
      </c>
      <c r="AE92" s="48">
        <f t="shared" si="311"/>
        <v>27.855999999999987</v>
      </c>
      <c r="AF92" s="47">
        <f t="shared" si="311"/>
        <v>34.997000000000021</v>
      </c>
      <c r="AG92" s="47">
        <f t="shared" si="311"/>
        <v>53.161000000000016</v>
      </c>
      <c r="AH92" s="47">
        <f t="shared" si="311"/>
        <v>70.124000000000009</v>
      </c>
      <c r="AI92" s="47">
        <f t="shared" si="311"/>
        <v>86.698000000000064</v>
      </c>
      <c r="AJ92" s="46">
        <f t="shared" si="311"/>
        <v>109.89399999999999</v>
      </c>
      <c r="AK92" s="47">
        <f t="shared" si="311"/>
        <v>119.54200000000002</v>
      </c>
      <c r="AL92" s="47">
        <f t="shared" si="311"/>
        <v>114.03800000000003</v>
      </c>
      <c r="AM92" s="48">
        <f t="shared" si="311"/>
        <v>118.99099999999986</v>
      </c>
      <c r="AN92" s="46">
        <f t="shared" si="311"/>
        <v>111.291</v>
      </c>
      <c r="AO92" s="47">
        <f t="shared" si="311"/>
        <v>92.580999999999975</v>
      </c>
      <c r="AP92" s="47">
        <f t="shared" si="311"/>
        <v>85.437999999999988</v>
      </c>
      <c r="AQ92" s="48">
        <f t="shared" si="311"/>
        <v>94.208999999999975</v>
      </c>
      <c r="AR92" s="46">
        <f t="shared" si="311"/>
        <v>96.765000000000015</v>
      </c>
      <c r="AS92" s="47">
        <f t="shared" si="311"/>
        <v>97.716999999999999</v>
      </c>
      <c r="AT92" s="47">
        <f t="shared" si="311"/>
        <v>84.299000000000035</v>
      </c>
      <c r="AU92" s="48">
        <f t="shared" si="311"/>
        <v>113.12300000000006</v>
      </c>
      <c r="AV92" s="46">
        <f t="shared" si="311"/>
        <v>120.13099999999997</v>
      </c>
      <c r="AW92" s="47">
        <f t="shared" si="311"/>
        <v>136.28199999999993</v>
      </c>
      <c r="AX92" s="47">
        <f t="shared" si="311"/>
        <v>140.28500000000008</v>
      </c>
      <c r="AY92" s="48">
        <f t="shared" si="311"/>
        <v>141.33300000000006</v>
      </c>
      <c r="AZ92" s="46">
        <f t="shared" si="311"/>
        <v>151.63400000000001</v>
      </c>
      <c r="BA92" s="47">
        <f t="shared" si="311"/>
        <v>152.32800000000006</v>
      </c>
      <c r="BB92" s="47">
        <f t="shared" si="311"/>
        <v>153.88700000000003</v>
      </c>
      <c r="BC92" s="47">
        <f t="shared" si="311"/>
        <v>148.79500000000002</v>
      </c>
      <c r="BD92" s="46">
        <f t="shared" si="311"/>
        <v>149.10999999999996</v>
      </c>
      <c r="BE92" s="47">
        <f t="shared" ref="BE92:BK92" si="312">BE89+BE91</f>
        <v>142.90599999999995</v>
      </c>
      <c r="BF92" s="47">
        <f t="shared" si="312"/>
        <v>138.43600000000001</v>
      </c>
      <c r="BG92" s="48">
        <f t="shared" si="312"/>
        <v>152.98100000000002</v>
      </c>
      <c r="BH92" s="47">
        <f t="shared" si="312"/>
        <v>193.97999999999993</v>
      </c>
      <c r="BI92" s="47">
        <f t="shared" si="312"/>
        <v>217.95600000000007</v>
      </c>
      <c r="BJ92" s="47">
        <f t="shared" si="312"/>
        <v>246.38799999999998</v>
      </c>
      <c r="BK92" s="47">
        <f t="shared" si="312"/>
        <v>276.91099999999994</v>
      </c>
      <c r="BL92" s="46">
        <f t="shared" ref="BL92:BN92" si="313">BL89+BL91</f>
        <v>319.053</v>
      </c>
      <c r="BM92" s="47">
        <f t="shared" si="313"/>
        <v>344.10100000000011</v>
      </c>
      <c r="BN92" s="47">
        <f t="shared" si="313"/>
        <v>341.15099999999995</v>
      </c>
      <c r="BO92" s="48">
        <f t="shared" si="311"/>
        <v>341.20669904051266</v>
      </c>
      <c r="BP92" s="46">
        <f t="shared" ref="BP92:BW92" si="314">BP89+BP91</f>
        <v>362.02331113278785</v>
      </c>
      <c r="BQ92" s="47">
        <f t="shared" si="314"/>
        <v>377.75239127439863</v>
      </c>
      <c r="BR92" s="47">
        <f t="shared" si="314"/>
        <v>367.9218992005753</v>
      </c>
      <c r="BS92" s="48">
        <f t="shared" si="314"/>
        <v>364.675244642986</v>
      </c>
      <c r="BT92" s="46">
        <f t="shared" si="314"/>
        <v>383.72743596086121</v>
      </c>
      <c r="BU92" s="47">
        <f t="shared" si="314"/>
        <v>397.19065581367892</v>
      </c>
      <c r="BV92" s="47">
        <f t="shared" si="314"/>
        <v>388.82978365713683</v>
      </c>
      <c r="BW92" s="48">
        <f t="shared" si="314"/>
        <v>385.90333944569591</v>
      </c>
      <c r="BX92" s="20"/>
      <c r="BY92" s="47">
        <f>BY89+BY91</f>
        <v>133.87500000000006</v>
      </c>
      <c r="BZ92" s="47">
        <f>BZ89+BZ91</f>
        <v>156.83399999999995</v>
      </c>
      <c r="CA92" s="47">
        <f>CA89+CA91</f>
        <v>226.761</v>
      </c>
      <c r="CB92" s="47">
        <f t="shared" ref="CB92:CL92" si="315">CB89+CB91</f>
        <v>242.36900000000006</v>
      </c>
      <c r="CC92" s="47">
        <f t="shared" si="315"/>
        <v>325.63800000000009</v>
      </c>
      <c r="CD92" s="47">
        <f t="shared" si="315"/>
        <v>329.44100000000014</v>
      </c>
      <c r="CE92" s="47">
        <f t="shared" si="315"/>
        <v>235.12399999999997</v>
      </c>
      <c r="CF92" s="47">
        <f t="shared" si="315"/>
        <v>244.98000000000013</v>
      </c>
      <c r="CG92" s="47">
        <f t="shared" si="315"/>
        <v>462.30799999999988</v>
      </c>
      <c r="CH92" s="47">
        <f t="shared" si="315"/>
        <v>383.71399999999994</v>
      </c>
      <c r="CI92" s="47">
        <f t="shared" si="315"/>
        <v>392.52099999999996</v>
      </c>
      <c r="CJ92" s="47">
        <f t="shared" si="315"/>
        <v>530.96100000000047</v>
      </c>
      <c r="CK92" s="47">
        <f t="shared" si="315"/>
        <v>597.55800000000011</v>
      </c>
      <c r="CL92" s="47">
        <f t="shared" si="315"/>
        <v>583.63999999999976</v>
      </c>
      <c r="CM92" s="47">
        <f>CM89+CM91</f>
        <v>942.61100000000022</v>
      </c>
      <c r="CN92" s="47">
        <f>CN89+CN91</f>
        <v>1345.5116990405129</v>
      </c>
      <c r="CO92" s="47">
        <f>CO89+CO91</f>
        <v>1472.3728462507481</v>
      </c>
      <c r="CP92" s="48">
        <f>CP89+CP91</f>
        <v>1555.6512148773727</v>
      </c>
      <c r="CQ92" s="20"/>
      <c r="CR92" s="46">
        <f>CR89+CR91</f>
        <v>143.0270000000001</v>
      </c>
      <c r="CS92" s="47">
        <f>CS89+CS91</f>
        <v>217.20300000000009</v>
      </c>
      <c r="CT92" s="47">
        <f>CT89+CT91</f>
        <v>223.20399999999992</v>
      </c>
      <c r="CU92" s="47">
        <f t="shared" ref="CU92:DD92" si="316">CU89+CU91</f>
        <v>319.87199999999996</v>
      </c>
      <c r="CV92" s="47">
        <f t="shared" si="316"/>
        <v>332.5539999999998</v>
      </c>
      <c r="CW92" s="47">
        <f t="shared" si="316"/>
        <v>285.48899999999992</v>
      </c>
      <c r="CX92" s="47">
        <f t="shared" si="316"/>
        <v>186.13799999999998</v>
      </c>
      <c r="CY92" s="47">
        <f t="shared" si="316"/>
        <v>429.98700000000025</v>
      </c>
      <c r="CZ92" s="47">
        <f t="shared" si="316"/>
        <v>408.38900000000001</v>
      </c>
      <c r="DA92" s="48">
        <f t="shared" si="316"/>
        <v>373.50700000000012</v>
      </c>
      <c r="DB92" s="47">
        <f t="shared" si="316"/>
        <v>503.02000000000021</v>
      </c>
      <c r="DC92" s="46">
        <f t="shared" si="316"/>
        <v>590.06200000000001</v>
      </c>
      <c r="DD92" s="47">
        <f t="shared" si="316"/>
        <v>579.45400000000041</v>
      </c>
      <c r="DE92" s="47">
        <f>DE89+DE91</f>
        <v>818.68100000000004</v>
      </c>
      <c r="DF92" s="47">
        <f>DF89+DF91</f>
        <v>1281.2159999999999</v>
      </c>
      <c r="DG92" s="47">
        <f>DG89+DG91</f>
        <v>1448.9043006482743</v>
      </c>
      <c r="DH92" s="47">
        <f>DH89+DH91</f>
        <v>1534.4231200746631</v>
      </c>
      <c r="DI92" s="556"/>
    </row>
    <row r="93" spans="1:113" ht="14.25" hidden="1" customHeight="1" outlineLevel="1">
      <c r="A93" s="11"/>
      <c r="B93" s="612"/>
      <c r="C93" s="24"/>
      <c r="D93" s="43"/>
      <c r="E93" s="43"/>
      <c r="F93" s="43"/>
      <c r="G93" s="58"/>
      <c r="H93" s="43"/>
      <c r="I93" s="43"/>
      <c r="J93" s="43"/>
      <c r="K93" s="58"/>
      <c r="L93" s="43"/>
      <c r="M93" s="43"/>
      <c r="N93" s="43"/>
      <c r="O93" s="58"/>
      <c r="P93" s="43"/>
      <c r="Q93" s="43"/>
      <c r="R93" s="43"/>
      <c r="S93" s="58"/>
      <c r="T93" s="43"/>
      <c r="U93" s="43"/>
      <c r="V93" s="43"/>
      <c r="W93" s="58"/>
      <c r="X93" s="43"/>
      <c r="Y93" s="43"/>
      <c r="Z93" s="43"/>
      <c r="AA93" s="58"/>
      <c r="AB93" s="43"/>
      <c r="AC93" s="43"/>
      <c r="AD93" s="43"/>
      <c r="AE93" s="58"/>
      <c r="AF93" s="43"/>
      <c r="AG93" s="43"/>
      <c r="AH93" s="43"/>
      <c r="AI93" s="581"/>
      <c r="AJ93" s="585"/>
      <c r="AK93" s="43"/>
      <c r="AL93" s="43"/>
      <c r="AM93" s="58"/>
      <c r="AN93" s="585"/>
      <c r="AO93" s="43"/>
      <c r="AP93" s="43"/>
      <c r="AQ93" s="1380"/>
      <c r="AR93" s="886"/>
      <c r="AS93" s="43"/>
      <c r="AT93" s="43"/>
      <c r="AU93" s="1380"/>
      <c r="AV93" s="886"/>
      <c r="AW93" s="43"/>
      <c r="AX93" s="43"/>
      <c r="AY93" s="1380"/>
      <c r="AZ93" s="1184"/>
      <c r="BA93" s="43"/>
      <c r="BB93" s="43"/>
      <c r="BC93" s="1419"/>
      <c r="BD93" s="1184"/>
      <c r="BE93" s="43"/>
      <c r="BF93" s="43"/>
      <c r="BG93" s="1380"/>
      <c r="BH93" s="1342"/>
      <c r="BI93" s="43"/>
      <c r="BJ93" s="43"/>
      <c r="BK93" s="1468"/>
      <c r="BL93" s="1455"/>
      <c r="BM93" s="43"/>
      <c r="BN93" s="43"/>
      <c r="BO93" s="1457"/>
      <c r="BP93" s="1399"/>
      <c r="BQ93" s="1379"/>
      <c r="BR93" s="1379"/>
      <c r="BS93" s="1380"/>
      <c r="BT93" s="1506"/>
      <c r="BU93" s="1501"/>
      <c r="BV93" s="1501"/>
      <c r="BW93" s="1502"/>
      <c r="BX93" s="160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2"/>
      <c r="CQ93" s="160"/>
      <c r="CR93" s="95"/>
      <c r="CS93" s="96"/>
      <c r="CT93" s="96"/>
      <c r="CU93" s="96"/>
      <c r="CV93" s="96"/>
      <c r="CW93" s="96"/>
      <c r="CX93" s="96"/>
      <c r="CY93" s="96"/>
      <c r="CZ93" s="96"/>
      <c r="DA93" s="97"/>
      <c r="DB93" s="96"/>
      <c r="DC93" s="95"/>
      <c r="DD93" s="96"/>
      <c r="DE93" s="96"/>
      <c r="DF93" s="96"/>
      <c r="DG93" s="96"/>
      <c r="DH93" s="96"/>
      <c r="DI93" s="23"/>
    </row>
    <row r="94" spans="1:113" ht="14.25" customHeight="1" collapsed="1">
      <c r="A94" s="8"/>
      <c r="B94" s="612" t="s">
        <v>16</v>
      </c>
      <c r="C94" s="24"/>
      <c r="D94" s="60">
        <f t="shared" ref="D94:AI94" si="317">D86/D104</f>
        <v>4.4041658984432262E-2</v>
      </c>
      <c r="E94" s="60">
        <f t="shared" si="317"/>
        <v>4.5296266969404982E-2</v>
      </c>
      <c r="F94" s="60">
        <f t="shared" si="317"/>
        <v>0.17248458011937662</v>
      </c>
      <c r="G94" s="61">
        <f t="shared" si="317"/>
        <v>0.15669479185934582</v>
      </c>
      <c r="H94" s="60">
        <f t="shared" si="317"/>
        <v>6.4094938545944155E-2</v>
      </c>
      <c r="I94" s="60">
        <f t="shared" si="317"/>
        <v>0.16983883562739316</v>
      </c>
      <c r="J94" s="60">
        <f t="shared" si="317"/>
        <v>0.18966397949327596</v>
      </c>
      <c r="K94" s="61">
        <f t="shared" si="317"/>
        <v>0.21820951280749404</v>
      </c>
      <c r="L94" s="60">
        <f t="shared" si="317"/>
        <v>0.20566386807159903</v>
      </c>
      <c r="M94" s="60">
        <f t="shared" si="317"/>
        <v>0.28591363414899496</v>
      </c>
      <c r="N94" s="60">
        <f t="shared" si="317"/>
        <v>0.25098357790928882</v>
      </c>
      <c r="O94" s="61">
        <f t="shared" si="317"/>
        <v>0.26633078034545621</v>
      </c>
      <c r="P94" s="60">
        <f t="shared" si="317"/>
        <v>0.28635649093170029</v>
      </c>
      <c r="Q94" s="60">
        <f t="shared" si="317"/>
        <v>0.30580656580712473</v>
      </c>
      <c r="R94" s="60">
        <f t="shared" si="317"/>
        <v>0.18604608029972125</v>
      </c>
      <c r="S94" s="61">
        <f t="shared" si="317"/>
        <v>0.34806159061493891</v>
      </c>
      <c r="T94" s="60">
        <f t="shared" si="317"/>
        <v>0.35026001974603166</v>
      </c>
      <c r="U94" s="60">
        <f t="shared" si="317"/>
        <v>0.36257315276441054</v>
      </c>
      <c r="V94" s="60">
        <f t="shared" si="317"/>
        <v>0.32975285171102653</v>
      </c>
      <c r="W94" s="61">
        <f t="shared" si="317"/>
        <v>0.57404077816534216</v>
      </c>
      <c r="X94" s="60">
        <f t="shared" si="317"/>
        <v>0.3591049769222513</v>
      </c>
      <c r="Y94" s="60">
        <f t="shared" si="317"/>
        <v>0.27332390407380036</v>
      </c>
      <c r="Z94" s="60">
        <f t="shared" si="317"/>
        <v>0.37912906873855501</v>
      </c>
      <c r="AA94" s="61">
        <f t="shared" si="317"/>
        <v>0.39577854345632418</v>
      </c>
      <c r="AB94" s="60">
        <f t="shared" si="317"/>
        <v>0.39543258535768322</v>
      </c>
      <c r="AC94" s="60">
        <f t="shared" si="317"/>
        <v>0.40290311595436756</v>
      </c>
      <c r="AD94" s="60">
        <f t="shared" si="317"/>
        <v>0.39324126761558487</v>
      </c>
      <c r="AE94" s="61">
        <f t="shared" si="317"/>
        <v>0.11926067503583676</v>
      </c>
      <c r="AF94" s="60">
        <f t="shared" si="317"/>
        <v>0.1475157120834816</v>
      </c>
      <c r="AG94" s="60">
        <f t="shared" si="317"/>
        <v>0.23798696782615208</v>
      </c>
      <c r="AH94" s="60">
        <f t="shared" si="317"/>
        <v>0.36943804195655294</v>
      </c>
      <c r="AI94" s="60">
        <f t="shared" si="317"/>
        <v>0.40068659811264884</v>
      </c>
      <c r="AJ94" s="59">
        <f t="shared" ref="AJ94:BS94" si="318">AJ86/AJ104</f>
        <v>0.47122143187844606</v>
      </c>
      <c r="AK94" s="60">
        <f t="shared" si="318"/>
        <v>0.54052353385351126</v>
      </c>
      <c r="AL94" s="60">
        <f t="shared" si="318"/>
        <v>0.51349519757458417</v>
      </c>
      <c r="AM94" s="61">
        <f t="shared" si="318"/>
        <v>0.62195224670389226</v>
      </c>
      <c r="AN94" s="59">
        <f t="shared" si="318"/>
        <v>0.48538131761232262</v>
      </c>
      <c r="AO94" s="60">
        <f t="shared" si="318"/>
        <v>0.39604093926543077</v>
      </c>
      <c r="AP94" s="60">
        <f t="shared" si="318"/>
        <v>0.38117280155048672</v>
      </c>
      <c r="AQ94" s="61">
        <f t="shared" si="318"/>
        <v>0.39140459282486395</v>
      </c>
      <c r="AR94" s="59">
        <f t="shared" si="318"/>
        <v>0.38640157093765348</v>
      </c>
      <c r="AS94" s="60">
        <f t="shared" si="318"/>
        <v>-0.10916211480985265</v>
      </c>
      <c r="AT94" s="60">
        <f t="shared" si="318"/>
        <v>4.9768841271006281E-2</v>
      </c>
      <c r="AU94" s="61">
        <f t="shared" si="318"/>
        <v>0.28498992580426485</v>
      </c>
      <c r="AV94" s="59">
        <f t="shared" si="318"/>
        <v>0.37019117522354006</v>
      </c>
      <c r="AW94" s="60">
        <f t="shared" si="318"/>
        <v>0.46105092966855254</v>
      </c>
      <c r="AX94" s="60">
        <f t="shared" si="318"/>
        <v>0.48108759453920569</v>
      </c>
      <c r="AY94" s="61">
        <f t="shared" si="318"/>
        <v>0.50067583041820685</v>
      </c>
      <c r="AZ94" s="59">
        <f t="shared" si="318"/>
        <v>0.40043736388051326</v>
      </c>
      <c r="BA94" s="60">
        <f t="shared" si="318"/>
        <v>0.41565757000053294</v>
      </c>
      <c r="BB94" s="60">
        <f t="shared" si="318"/>
        <v>0.38506490310398389</v>
      </c>
      <c r="BC94" s="60">
        <f t="shared" si="318"/>
        <v>0.44989069776914831</v>
      </c>
      <c r="BD94" s="59">
        <f t="shared" si="318"/>
        <v>0.60279931908454687</v>
      </c>
      <c r="BE94" s="60">
        <f t="shared" si="318"/>
        <v>0.29893735116237258</v>
      </c>
      <c r="BF94" s="60">
        <f t="shared" si="318"/>
        <v>0.28043582979699533</v>
      </c>
      <c r="BG94" s="61">
        <f t="shared" si="318"/>
        <v>0.30916214614787496</v>
      </c>
      <c r="BH94" s="60">
        <f>BH86/BH104</f>
        <v>-0.52888100958734796</v>
      </c>
      <c r="BI94" s="60">
        <f>BI86/BI104</f>
        <v>0.14497777397845807</v>
      </c>
      <c r="BJ94" s="60">
        <f t="shared" ref="BJ94:BK94" si="319">BJ86/BJ104</f>
        <v>0.45524245616419723</v>
      </c>
      <c r="BK94" s="60">
        <f t="shared" si="319"/>
        <v>0.5724272591576739</v>
      </c>
      <c r="BL94" s="59">
        <f>BL86/BL104</f>
        <v>0.70228734222031919</v>
      </c>
      <c r="BM94" s="60">
        <f>BM86/BM104</f>
        <v>0.77280025493632709</v>
      </c>
      <c r="BN94" s="60">
        <f t="shared" ref="BN94" si="320">BN86/BN104</f>
        <v>-1.0725312465293499</v>
      </c>
      <c r="BO94" s="61">
        <f t="shared" si="318"/>
        <v>1.3544940815439439</v>
      </c>
      <c r="BP94" s="59">
        <f t="shared" si="318"/>
        <v>1.4397288869303406</v>
      </c>
      <c r="BQ94" s="60">
        <f t="shared" si="318"/>
        <v>1.5031174852475435</v>
      </c>
      <c r="BR94" s="60">
        <f t="shared" si="318"/>
        <v>1.4585203585646356</v>
      </c>
      <c r="BS94" s="61">
        <f t="shared" si="318"/>
        <v>1.441799448412556</v>
      </c>
      <c r="BT94" s="59">
        <f t="shared" ref="BT94:BW94" si="321">BT86/BT104</f>
        <v>1.5187308512254909</v>
      </c>
      <c r="BU94" s="60">
        <f t="shared" si="321"/>
        <v>1.5719338046732314</v>
      </c>
      <c r="BV94" s="60">
        <f t="shared" si="321"/>
        <v>1.5337074554901426</v>
      </c>
      <c r="BW94" s="61">
        <f t="shared" si="321"/>
        <v>1.5183046590250933</v>
      </c>
      <c r="BX94" s="20"/>
      <c r="BY94" s="60">
        <f t="shared" ref="BY94:CO94" si="322">BY86/BY104</f>
        <v>0.41868647983666729</v>
      </c>
      <c r="BZ94" s="60">
        <f t="shared" si="322"/>
        <v>0.64384972055377943</v>
      </c>
      <c r="CA94" s="60">
        <f t="shared" si="322"/>
        <v>1.0085720486111114</v>
      </c>
      <c r="CB94" s="60">
        <f t="shared" si="322"/>
        <v>1.1265496978169147</v>
      </c>
      <c r="CC94" s="60">
        <f t="shared" si="322"/>
        <v>1.6184158038838827</v>
      </c>
      <c r="CD94" s="60">
        <f t="shared" si="322"/>
        <v>1.3996467789208606</v>
      </c>
      <c r="CE94" s="60">
        <f t="shared" si="322"/>
        <v>1.314790029338073</v>
      </c>
      <c r="CF94" s="60">
        <f t="shared" si="322"/>
        <v>1.1583530947198744</v>
      </c>
      <c r="CG94" s="60">
        <f t="shared" si="322"/>
        <v>2.1516061936676678</v>
      </c>
      <c r="CH94" s="60">
        <f t="shared" si="322"/>
        <v>1.6544196227861345</v>
      </c>
      <c r="CI94" s="60">
        <f t="shared" si="322"/>
        <v>0.62783279181775564</v>
      </c>
      <c r="CJ94" s="60">
        <f t="shared" si="322"/>
        <v>1.8163003909162256</v>
      </c>
      <c r="CK94" s="60">
        <f t="shared" si="322"/>
        <v>1.6505946356982715</v>
      </c>
      <c r="CL94" s="60">
        <f t="shared" si="322"/>
        <v>1.4904318545641884</v>
      </c>
      <c r="CM94" s="60">
        <f t="shared" si="322"/>
        <v>0.71357243471665499</v>
      </c>
      <c r="CN94" s="60">
        <f t="shared" si="322"/>
        <v>1.7879725845402794</v>
      </c>
      <c r="CO94" s="60">
        <f t="shared" si="322"/>
        <v>5.843125693477849</v>
      </c>
      <c r="CP94" s="61">
        <f t="shared" ref="CP94" si="323">CP86/CP104</f>
        <v>6.1426354526290421</v>
      </c>
      <c r="CQ94" s="20"/>
      <c r="CR94" s="59">
        <f t="shared" ref="CR94:DG94" si="324">CR86/CR104</f>
        <v>0.58170244144927385</v>
      </c>
      <c r="CS94" s="60">
        <f t="shared" si="324"/>
        <v>0.96019502264411349</v>
      </c>
      <c r="CT94" s="60">
        <f t="shared" si="324"/>
        <v>1.0439386463183344</v>
      </c>
      <c r="CU94" s="60">
        <f t="shared" si="324"/>
        <v>1.3905125676268877</v>
      </c>
      <c r="CV94" s="60">
        <f t="shared" si="324"/>
        <v>1.5865454483429131</v>
      </c>
      <c r="CW94" s="60">
        <f t="shared" si="324"/>
        <v>1.5873887132165274</v>
      </c>
      <c r="CX94" s="60">
        <f t="shared" si="324"/>
        <v>0.87696463423315951</v>
      </c>
      <c r="CY94" s="60">
        <f t="shared" si="324"/>
        <v>1.9275871026356302</v>
      </c>
      <c r="CZ94" s="60">
        <f t="shared" si="324"/>
        <v>1.8846948829835311</v>
      </c>
      <c r="DA94" s="61">
        <f t="shared" si="324"/>
        <v>0.73416631402332655</v>
      </c>
      <c r="DB94" s="60">
        <f t="shared" si="324"/>
        <v>1.6026390567331881</v>
      </c>
      <c r="DC94" s="59">
        <f t="shared" si="324"/>
        <v>1.7013728993835848</v>
      </c>
      <c r="DD94" s="60">
        <f t="shared" si="324"/>
        <v>1.6319931071462959</v>
      </c>
      <c r="DE94" s="60">
        <f t="shared" si="324"/>
        <v>0.42172080227192105</v>
      </c>
      <c r="DF94" s="60">
        <f t="shared" si="324"/>
        <v>1.0221802265684021</v>
      </c>
      <c r="DG94" s="60">
        <f t="shared" si="324"/>
        <v>5.7562576602993865</v>
      </c>
      <c r="DH94" s="60">
        <f t="shared" ref="DH94" si="325">DH86/DH104</f>
        <v>6.0665163021773392</v>
      </c>
      <c r="DI94" s="22"/>
    </row>
    <row r="95" spans="1:113" ht="14.25" hidden="1" customHeight="1" outlineLevel="1">
      <c r="A95" s="8"/>
      <c r="B95" s="612" t="s">
        <v>203</v>
      </c>
      <c r="C95" s="45"/>
      <c r="D95" s="456"/>
      <c r="E95" s="456"/>
      <c r="F95" s="456"/>
      <c r="G95" s="457"/>
      <c r="H95" s="456"/>
      <c r="I95" s="456"/>
      <c r="J95" s="456"/>
      <c r="K95" s="457"/>
      <c r="L95" s="456"/>
      <c r="M95" s="456"/>
      <c r="N95" s="456"/>
      <c r="O95" s="457"/>
      <c r="P95" s="456"/>
      <c r="Q95" s="456"/>
      <c r="R95" s="456"/>
      <c r="S95" s="457"/>
      <c r="T95" s="456"/>
      <c r="U95" s="456"/>
      <c r="V95" s="456"/>
      <c r="W95" s="457"/>
      <c r="X95" s="456"/>
      <c r="Y95" s="456"/>
      <c r="Z95" s="456"/>
      <c r="AA95" s="457"/>
      <c r="AB95" s="456"/>
      <c r="AC95" s="456"/>
      <c r="AD95" s="456"/>
      <c r="AE95" s="457"/>
      <c r="AF95" s="456"/>
      <c r="AG95" s="456"/>
      <c r="AH95" s="456"/>
      <c r="AI95" s="456"/>
      <c r="AJ95" s="507"/>
      <c r="AK95" s="456"/>
      <c r="AL95" s="456"/>
      <c r="AM95" s="457"/>
      <c r="AN95" s="507"/>
      <c r="AO95" s="456"/>
      <c r="AP95" s="456"/>
      <c r="AQ95" s="456"/>
      <c r="AR95" s="580"/>
      <c r="AS95" s="459"/>
      <c r="AT95" s="456"/>
      <c r="AU95" s="456"/>
      <c r="AV95" s="580"/>
      <c r="AW95" s="458"/>
      <c r="AX95" s="60"/>
      <c r="AY95" s="456"/>
      <c r="AZ95" s="580"/>
      <c r="BA95" s="60"/>
      <c r="BB95" s="60"/>
      <c r="BC95" s="456"/>
      <c r="BD95" s="580"/>
      <c r="BE95" s="60"/>
      <c r="BF95" s="60"/>
      <c r="BG95" s="457"/>
      <c r="BH95" s="459"/>
      <c r="BI95" s="60"/>
      <c r="BJ95" s="60"/>
      <c r="BK95" s="456"/>
      <c r="BL95" s="580"/>
      <c r="BM95" s="60"/>
      <c r="BN95" s="60"/>
      <c r="BO95" s="1197">
        <v>1.37</v>
      </c>
      <c r="BP95" s="1198">
        <v>1.44</v>
      </c>
      <c r="BQ95" s="1199">
        <v>1.49</v>
      </c>
      <c r="BR95" s="1199">
        <v>1.44</v>
      </c>
      <c r="BS95" s="1197">
        <v>1.49</v>
      </c>
      <c r="BT95" s="1198" t="s">
        <v>600</v>
      </c>
      <c r="BU95" s="1199" t="s">
        <v>600</v>
      </c>
      <c r="BV95" s="1199" t="s">
        <v>600</v>
      </c>
      <c r="BW95" s="1197" t="s">
        <v>600</v>
      </c>
      <c r="BX95" s="442"/>
      <c r="BY95" s="456"/>
      <c r="BZ95" s="456"/>
      <c r="CA95" s="456"/>
      <c r="CB95" s="456"/>
      <c r="CC95" s="456"/>
      <c r="CD95" s="456"/>
      <c r="CE95" s="456"/>
      <c r="CF95" s="456"/>
      <c r="CG95" s="456"/>
      <c r="CH95" s="1199" t="s">
        <v>598</v>
      </c>
      <c r="CI95" s="1199" t="s">
        <v>598</v>
      </c>
      <c r="CJ95" s="1199" t="s">
        <v>598</v>
      </c>
      <c r="CK95" s="1199" t="s">
        <v>598</v>
      </c>
      <c r="CL95" s="1199" t="s">
        <v>598</v>
      </c>
      <c r="CM95" s="1199">
        <v>3.89</v>
      </c>
      <c r="CN95" s="1199">
        <v>5.44</v>
      </c>
      <c r="CO95" s="1199">
        <v>5.82</v>
      </c>
      <c r="CP95" s="1197" t="s">
        <v>599</v>
      </c>
      <c r="CQ95" s="20"/>
      <c r="CR95" s="507"/>
      <c r="CS95" s="456"/>
      <c r="CT95" s="456"/>
      <c r="CU95" s="456"/>
      <c r="CV95" s="456"/>
      <c r="CW95" s="456"/>
      <c r="CX95" s="456"/>
      <c r="CY95" s="456"/>
      <c r="CZ95" s="456"/>
      <c r="DA95" s="783"/>
      <c r="DB95" s="506"/>
      <c r="DC95" s="1260"/>
      <c r="DD95" s="506"/>
      <c r="DE95" s="506"/>
      <c r="DF95" s="506"/>
      <c r="DG95" s="506"/>
      <c r="DH95" s="506"/>
      <c r="DI95" s="22"/>
    </row>
    <row r="96" spans="1:113" ht="14.25" customHeight="1" collapsed="1">
      <c r="A96" s="101"/>
      <c r="B96" s="607" t="s">
        <v>398</v>
      </c>
      <c r="C96" s="553"/>
      <c r="D96" s="909">
        <f t="shared" ref="D96:O96" si="326">D140</f>
        <v>0.14210479040500743</v>
      </c>
      <c r="E96" s="909">
        <f t="shared" si="326"/>
        <v>0.16407017677755409</v>
      </c>
      <c r="F96" s="909">
        <f t="shared" si="326"/>
        <v>0.17248458011937662</v>
      </c>
      <c r="G96" s="907">
        <f t="shared" si="326"/>
        <v>0.15669479185934582</v>
      </c>
      <c r="H96" s="909">
        <f t="shared" si="326"/>
        <v>0.15935705210866152</v>
      </c>
      <c r="I96" s="909">
        <f t="shared" si="326"/>
        <v>0.16983883562739316</v>
      </c>
      <c r="J96" s="909">
        <f t="shared" si="326"/>
        <v>0.18758358719072749</v>
      </c>
      <c r="K96" s="907">
        <f t="shared" si="326"/>
        <v>0.21820951280749404</v>
      </c>
      <c r="L96" s="909">
        <f t="shared" si="326"/>
        <v>0.26659435397531978</v>
      </c>
      <c r="M96" s="909">
        <f t="shared" si="326"/>
        <v>0.28591363414899496</v>
      </c>
      <c r="N96" s="909">
        <f t="shared" si="326"/>
        <v>0.25098357790928882</v>
      </c>
      <c r="O96" s="907">
        <f t="shared" si="326"/>
        <v>0.26633078034545621</v>
      </c>
      <c r="P96" s="909">
        <f>P140</f>
        <v>0.28635649093170029</v>
      </c>
      <c r="Q96" s="909">
        <f t="shared" ref="Q96:BO96" si="327">Q140</f>
        <v>0.30580656580712473</v>
      </c>
      <c r="R96" s="909">
        <f t="shared" si="327"/>
        <v>0.18604608029972125</v>
      </c>
      <c r="S96" s="907">
        <f t="shared" si="327"/>
        <v>0.34806159061493891</v>
      </c>
      <c r="T96" s="909">
        <f t="shared" si="327"/>
        <v>0.37033363513519685</v>
      </c>
      <c r="U96" s="909">
        <f t="shared" si="327"/>
        <v>0.38395679482559658</v>
      </c>
      <c r="V96" s="909">
        <f t="shared" si="327"/>
        <v>0.35638240086909279</v>
      </c>
      <c r="W96" s="907">
        <f t="shared" si="327"/>
        <v>0.36559207450825276</v>
      </c>
      <c r="X96" s="909">
        <f t="shared" si="327"/>
        <v>0.38773748613546111</v>
      </c>
      <c r="Y96" s="909">
        <f t="shared" si="327"/>
        <v>0.37532206626907616</v>
      </c>
      <c r="Z96" s="909">
        <f t="shared" si="327"/>
        <v>0.38422992661010619</v>
      </c>
      <c r="AA96" s="907">
        <f t="shared" si="327"/>
        <v>0.40897517005557854</v>
      </c>
      <c r="AB96" s="909">
        <f t="shared" si="327"/>
        <v>0.43243356416416734</v>
      </c>
      <c r="AC96" s="909">
        <f t="shared" si="327"/>
        <v>0.44412991656734213</v>
      </c>
      <c r="AD96" s="909">
        <f t="shared" si="327"/>
        <v>0.22382730340925761</v>
      </c>
      <c r="AE96" s="907">
        <f t="shared" si="327"/>
        <v>0.15125320359671596</v>
      </c>
      <c r="AF96" s="909">
        <f t="shared" si="327"/>
        <v>0.18863663314036846</v>
      </c>
      <c r="AG96" s="909">
        <f t="shared" si="327"/>
        <v>0.28440205005296332</v>
      </c>
      <c r="AH96" s="909">
        <f t="shared" si="327"/>
        <v>0.37327598596834893</v>
      </c>
      <c r="AI96" s="909">
        <f t="shared" si="327"/>
        <v>0.45860310608945909</v>
      </c>
      <c r="AJ96" s="908">
        <f t="shared" si="327"/>
        <v>0.57844395807904381</v>
      </c>
      <c r="AK96" s="909">
        <f t="shared" si="327"/>
        <v>0.62707127275778174</v>
      </c>
      <c r="AL96" s="909">
        <f t="shared" si="327"/>
        <v>0.57964383073042736</v>
      </c>
      <c r="AM96" s="907">
        <f t="shared" si="327"/>
        <v>0.5897021736222241</v>
      </c>
      <c r="AN96" s="908">
        <f t="shared" si="327"/>
        <v>0.54433021943910809</v>
      </c>
      <c r="AO96" s="909">
        <f t="shared" si="327"/>
        <v>0.46250980274626741</v>
      </c>
      <c r="AP96" s="909">
        <f t="shared" si="327"/>
        <v>0.42020551819805113</v>
      </c>
      <c r="AQ96" s="909">
        <f t="shared" si="327"/>
        <v>0.45794279112888736</v>
      </c>
      <c r="AR96" s="905">
        <f t="shared" si="327"/>
        <v>0.47563082965144826</v>
      </c>
      <c r="AS96" s="906">
        <f t="shared" si="327"/>
        <v>0.50370503967844993</v>
      </c>
      <c r="AT96" s="909">
        <f t="shared" si="327"/>
        <v>0.4135319586115801</v>
      </c>
      <c r="AU96" s="909">
        <f t="shared" si="327"/>
        <v>0.54122781050963042</v>
      </c>
      <c r="AV96" s="905">
        <f t="shared" si="327"/>
        <v>0.56717043709308135</v>
      </c>
      <c r="AW96" s="906">
        <f t="shared" si="327"/>
        <v>0.63001732301651425</v>
      </c>
      <c r="AX96" s="1166">
        <f t="shared" si="327"/>
        <v>0.60654802386244888</v>
      </c>
      <c r="AY96" s="909">
        <f t="shared" si="327"/>
        <v>0.63663397117329845</v>
      </c>
      <c r="AZ96" s="905">
        <f t="shared" si="327"/>
        <v>0.67549114360411011</v>
      </c>
      <c r="BA96" s="1166">
        <f t="shared" si="327"/>
        <v>0.67099278090812808</v>
      </c>
      <c r="BB96" s="1166">
        <f t="shared" si="327"/>
        <v>0.64394391207450918</v>
      </c>
      <c r="BC96" s="909">
        <f t="shared" si="327"/>
        <v>0.67590509028218848</v>
      </c>
      <c r="BD96" s="905">
        <f t="shared" si="327"/>
        <v>0.6903349317697326</v>
      </c>
      <c r="BE96" s="1166">
        <f t="shared" si="327"/>
        <v>0.65851063339766647</v>
      </c>
      <c r="BF96" s="1166">
        <f t="shared" si="327"/>
        <v>0.63573804335359552</v>
      </c>
      <c r="BG96" s="907">
        <f>BG140</f>
        <v>0.70293646163951307</v>
      </c>
      <c r="BH96" s="906">
        <f>BH140</f>
        <v>0.84118437594832418</v>
      </c>
      <c r="BI96" s="1166">
        <f t="shared" ref="BI96:BJ96" si="328">BI140</f>
        <v>0.93890836040348824</v>
      </c>
      <c r="BJ96" s="1166">
        <f t="shared" si="328"/>
        <v>1.0474845385347289</v>
      </c>
      <c r="BK96" s="909">
        <f>BK140</f>
        <v>1.1580250113935218</v>
      </c>
      <c r="BL96" s="905">
        <f>BL140</f>
        <v>1.3137314637178779</v>
      </c>
      <c r="BM96" s="1166">
        <f t="shared" ref="BM96:BN96" si="329">BM140</f>
        <v>1.4060596403926999</v>
      </c>
      <c r="BN96" s="1166">
        <f t="shared" si="329"/>
        <v>1.3603388816904216</v>
      </c>
      <c r="BO96" s="907">
        <f t="shared" si="327"/>
        <v>1.3513136595663866</v>
      </c>
      <c r="BP96" s="908">
        <f t="shared" ref="BP96:BW96" si="330">BP140</f>
        <v>1.4309221783904655</v>
      </c>
      <c r="BQ96" s="909">
        <f t="shared" si="330"/>
        <v>1.4901475000962472</v>
      </c>
      <c r="BR96" s="909">
        <f t="shared" si="330"/>
        <v>1.4485114141754933</v>
      </c>
      <c r="BS96" s="907">
        <f t="shared" si="330"/>
        <v>1.4329086233516148</v>
      </c>
      <c r="BT96" s="908">
        <f t="shared" si="330"/>
        <v>1.5048134743563186</v>
      </c>
      <c r="BU96" s="909">
        <f t="shared" si="330"/>
        <v>1.5545622536738901</v>
      </c>
      <c r="BV96" s="909">
        <f t="shared" si="330"/>
        <v>1.518866342410691</v>
      </c>
      <c r="BW96" s="907">
        <f t="shared" si="330"/>
        <v>1.5044964500806861</v>
      </c>
      <c r="BX96" s="312"/>
      <c r="BY96" s="909">
        <f>BY140</f>
        <v>0.63527577849458061</v>
      </c>
      <c r="BZ96" s="909">
        <f>BZ140</f>
        <v>0.73565536764240247</v>
      </c>
      <c r="CA96" s="909">
        <f>CA140</f>
        <v>1.0697888360507246</v>
      </c>
      <c r="CB96" s="909">
        <f t="shared" ref="CB96:CL96" si="331">CB140</f>
        <v>1.1265496978169147</v>
      </c>
      <c r="CC96" s="909">
        <f t="shared" si="331"/>
        <v>1.4761201066163807</v>
      </c>
      <c r="CD96" s="909">
        <f t="shared" si="331"/>
        <v>1.5536115558468944</v>
      </c>
      <c r="CE96" s="909">
        <f t="shared" si="331"/>
        <v>1.2587746536180051</v>
      </c>
      <c r="CF96" s="909">
        <f t="shared" si="331"/>
        <v>1.3076811186123578</v>
      </c>
      <c r="CG96" s="909">
        <f t="shared" si="331"/>
        <v>2.3742803584726393</v>
      </c>
      <c r="CH96" s="909">
        <f t="shared" si="331"/>
        <v>1.8854010814741655</v>
      </c>
      <c r="CI96" s="909">
        <f t="shared" si="331"/>
        <v>1.9345277478989322</v>
      </c>
      <c r="CJ96" s="909">
        <f t="shared" si="331"/>
        <v>2.4418258933036876</v>
      </c>
      <c r="CK96" s="909">
        <f>CK140</f>
        <v>2.6631180787400872</v>
      </c>
      <c r="CL96" s="909">
        <f t="shared" si="331"/>
        <v>2.6854199701278874</v>
      </c>
      <c r="CM96" s="909">
        <f>CM140</f>
        <v>4.0221501770076404</v>
      </c>
      <c r="CN96" s="909">
        <f>CN140</f>
        <v>5.4309580039455856</v>
      </c>
      <c r="CO96" s="909">
        <f>CO140</f>
        <v>5.8024545665054115</v>
      </c>
      <c r="CP96" s="907">
        <f>CP140</f>
        <v>6.0827026974677318</v>
      </c>
      <c r="CQ96" s="312"/>
      <c r="CR96" s="908">
        <f>CR140</f>
        <v>0.67392292813709664</v>
      </c>
      <c r="CS96" s="909">
        <f>CS140</f>
        <v>1.0212030706193078</v>
      </c>
      <c r="CT96" s="909">
        <f>CT140</f>
        <v>1.0439386463183344</v>
      </c>
      <c r="CU96" s="909">
        <f t="shared" ref="CU96:DC96" si="332">CU140</f>
        <v>1.4588457964437811</v>
      </c>
      <c r="CV96" s="909">
        <f t="shared" si="332"/>
        <v>1.5126318362984055</v>
      </c>
      <c r="CW96" s="909">
        <f t="shared" si="332"/>
        <v>1.5140385418531106</v>
      </c>
      <c r="CX96" s="909">
        <f t="shared" si="332"/>
        <v>1.0001007418630796</v>
      </c>
      <c r="CY96" s="909">
        <f t="shared" si="332"/>
        <v>2.2451313767901238</v>
      </c>
      <c r="CZ96" s="909">
        <f t="shared" si="332"/>
        <v>2.0170196793128912</v>
      </c>
      <c r="DA96" s="907">
        <f t="shared" si="332"/>
        <v>1.8486281555392232</v>
      </c>
      <c r="DB96" s="909">
        <f t="shared" si="332"/>
        <v>2.3470620896887362</v>
      </c>
      <c r="DC96" s="908">
        <f t="shared" si="332"/>
        <v>2.6286897400744249</v>
      </c>
      <c r="DD96" s="909">
        <f>DD140</f>
        <v>2.6540957410808419</v>
      </c>
      <c r="DE96" s="909">
        <f>DE140</f>
        <v>3.5760614100559516</v>
      </c>
      <c r="DF96" s="909">
        <f>DF140</f>
        <v>5.2419427922652444</v>
      </c>
      <c r="DG96" s="909">
        <f>DG140</f>
        <v>5.7212410686999977</v>
      </c>
      <c r="DH96" s="909">
        <f>DH140</f>
        <v>6.0114519885393261</v>
      </c>
      <c r="DI96" s="467"/>
    </row>
    <row r="97" spans="1:119" ht="14.25" customHeight="1">
      <c r="A97" s="8"/>
      <c r="B97" s="617" t="s">
        <v>327</v>
      </c>
      <c r="C97" s="63"/>
      <c r="D97" s="65">
        <f t="shared" ref="D97:AI97" si="333">D89/D104</f>
        <v>0.14210479040500743</v>
      </c>
      <c r="E97" s="65">
        <f t="shared" si="333"/>
        <v>0.16407017677755409</v>
      </c>
      <c r="F97" s="65">
        <f t="shared" si="333"/>
        <v>0.17248458011937662</v>
      </c>
      <c r="G97" s="66">
        <f t="shared" si="333"/>
        <v>0.15669479185934582</v>
      </c>
      <c r="H97" s="65">
        <f t="shared" si="333"/>
        <v>0.15935705210866152</v>
      </c>
      <c r="I97" s="65">
        <f t="shared" si="333"/>
        <v>0.16983883562739316</v>
      </c>
      <c r="J97" s="65">
        <f t="shared" si="333"/>
        <v>0.18758358719072749</v>
      </c>
      <c r="K97" s="66">
        <f t="shared" si="333"/>
        <v>0.21820951280749404</v>
      </c>
      <c r="L97" s="65">
        <f t="shared" si="333"/>
        <v>0.26659435397531978</v>
      </c>
      <c r="M97" s="65">
        <f t="shared" si="333"/>
        <v>0.28591363414899496</v>
      </c>
      <c r="N97" s="65">
        <f t="shared" si="333"/>
        <v>0.25098357790928882</v>
      </c>
      <c r="O97" s="66">
        <f t="shared" si="333"/>
        <v>0.26633078034545621</v>
      </c>
      <c r="P97" s="65">
        <f t="shared" si="333"/>
        <v>0.28635649093170029</v>
      </c>
      <c r="Q97" s="65">
        <f t="shared" si="333"/>
        <v>0.30580656580712473</v>
      </c>
      <c r="R97" s="65">
        <f t="shared" si="333"/>
        <v>0.18604608029972125</v>
      </c>
      <c r="S97" s="66">
        <f t="shared" si="333"/>
        <v>0.34806159061493891</v>
      </c>
      <c r="T97" s="65">
        <f t="shared" si="333"/>
        <v>0.35026001974603166</v>
      </c>
      <c r="U97" s="65">
        <f t="shared" si="333"/>
        <v>0.36257315276441054</v>
      </c>
      <c r="V97" s="65">
        <f t="shared" si="333"/>
        <v>0.32975285171102653</v>
      </c>
      <c r="W97" s="66">
        <f t="shared" si="333"/>
        <v>0.33940450933151139</v>
      </c>
      <c r="X97" s="65">
        <f t="shared" si="333"/>
        <v>0.3591049769222513</v>
      </c>
      <c r="Y97" s="65">
        <f t="shared" si="333"/>
        <v>0.34746220788814608</v>
      </c>
      <c r="Z97" s="65">
        <f t="shared" si="333"/>
        <v>0.35200177914894226</v>
      </c>
      <c r="AA97" s="66">
        <f t="shared" si="333"/>
        <v>0.37209885967343059</v>
      </c>
      <c r="AB97" s="65">
        <f t="shared" si="333"/>
        <v>0.39942632518359178</v>
      </c>
      <c r="AC97" s="65">
        <f t="shared" si="333"/>
        <v>0.40711731653328809</v>
      </c>
      <c r="AD97" s="65">
        <f t="shared" si="333"/>
        <v>0.18735427909934285</v>
      </c>
      <c r="AE97" s="66">
        <f t="shared" si="333"/>
        <v>0.11199013943790444</v>
      </c>
      <c r="AF97" s="65">
        <f t="shared" si="333"/>
        <v>0.14644308614426019</v>
      </c>
      <c r="AG97" s="65">
        <f t="shared" si="333"/>
        <v>0.24018574592610831</v>
      </c>
      <c r="AH97" s="65">
        <f t="shared" si="333"/>
        <v>0.33251712702476838</v>
      </c>
      <c r="AI97" s="65">
        <f t="shared" si="333"/>
        <v>0.41382611823452276</v>
      </c>
      <c r="AJ97" s="64">
        <f>AJ89/AJ105</f>
        <v>0.53456058756681668</v>
      </c>
      <c r="AK97" s="65">
        <f t="shared" ref="AK97:BS97" si="334">AK89/AK105</f>
        <v>0.58588702911318069</v>
      </c>
      <c r="AL97" s="65">
        <f t="shared" si="334"/>
        <v>0.53906906830399237</v>
      </c>
      <c r="AM97" s="66">
        <f t="shared" si="334"/>
        <v>0.5500448399387593</v>
      </c>
      <c r="AN97" s="64">
        <f>AN89/AN105</f>
        <v>0.50562896263815771</v>
      </c>
      <c r="AO97" s="65">
        <f t="shared" si="334"/>
        <v>0.42119591006948076</v>
      </c>
      <c r="AP97" s="65">
        <f t="shared" si="334"/>
        <v>0.37747367074784421</v>
      </c>
      <c r="AQ97" s="66">
        <f t="shared" si="334"/>
        <v>0.41561618701369296</v>
      </c>
      <c r="AR97" s="64">
        <f>AR89/AR105</f>
        <v>0.43250368188512528</v>
      </c>
      <c r="AS97" s="65">
        <f t="shared" si="334"/>
        <v>0.41524786148613829</v>
      </c>
      <c r="AT97" s="65">
        <f t="shared" si="334"/>
        <v>0.35681123260194236</v>
      </c>
      <c r="AU97" s="66">
        <f t="shared" si="334"/>
        <v>0.48369985581008978</v>
      </c>
      <c r="AV97" s="64">
        <f>AV89/AV105</f>
        <v>0.51292717627881979</v>
      </c>
      <c r="AW97" s="65">
        <f t="shared" si="334"/>
        <v>0.5675990299110748</v>
      </c>
      <c r="AX97" s="65">
        <f t="shared" si="334"/>
        <v>0.55150646540903503</v>
      </c>
      <c r="AY97" s="66">
        <f t="shared" si="334"/>
        <v>0.586365213316693</v>
      </c>
      <c r="AZ97" s="64">
        <f>AZ89/AZ105</f>
        <v>0.62411730813036814</v>
      </c>
      <c r="BA97" s="65">
        <f t="shared" si="334"/>
        <v>0.61815365716879889</v>
      </c>
      <c r="BB97" s="65">
        <f t="shared" si="334"/>
        <v>0.59914711197406367</v>
      </c>
      <c r="BC97" s="65">
        <f t="shared" si="334"/>
        <v>0.62320569821250349</v>
      </c>
      <c r="BD97" s="64">
        <f>BD89/BD105</f>
        <v>0.64059226924019541</v>
      </c>
      <c r="BE97" s="65">
        <f t="shared" si="334"/>
        <v>0.59168397827719132</v>
      </c>
      <c r="BF97" s="65">
        <f t="shared" si="334"/>
        <v>0.58231907328822119</v>
      </c>
      <c r="BG97" s="66">
        <f t="shared" si="334"/>
        <v>0.64815282645341765</v>
      </c>
      <c r="BH97" s="65">
        <f>BH89/BH105</f>
        <v>0.67320847964624764</v>
      </c>
      <c r="BI97" s="65">
        <f t="shared" ref="BI97:BK97" si="335">BI89/BI105</f>
        <v>0.86307061036074562</v>
      </c>
      <c r="BJ97" s="65">
        <f t="shared" si="335"/>
        <v>0.99016667799374736</v>
      </c>
      <c r="BK97" s="65">
        <f t="shared" si="335"/>
        <v>1.0972776799862858</v>
      </c>
      <c r="BL97" s="64">
        <f>BL89/BL105</f>
        <v>1.2518340730006339</v>
      </c>
      <c r="BM97" s="65">
        <f t="shared" ref="BM97:BN97" si="336">BM89/BM105</f>
        <v>1.3414267446183519</v>
      </c>
      <c r="BN97" s="65">
        <f t="shared" si="336"/>
        <v>1.29074852985149</v>
      </c>
      <c r="BO97" s="66">
        <f t="shared" si="334"/>
        <v>1.2648077981802481</v>
      </c>
      <c r="BP97" s="64">
        <f>BP89/BP105</f>
        <v>1.344587277204695</v>
      </c>
      <c r="BQ97" s="65">
        <f t="shared" si="334"/>
        <v>1.4039828847116316</v>
      </c>
      <c r="BR97" s="65">
        <f t="shared" si="334"/>
        <v>1.3625164141754933</v>
      </c>
      <c r="BS97" s="66">
        <f t="shared" si="334"/>
        <v>1.3470825722710649</v>
      </c>
      <c r="BT97" s="64">
        <f>BT89/BT105</f>
        <v>1.4191557096504361</v>
      </c>
      <c r="BU97" s="65">
        <f t="shared" ref="BU97:BW97" si="337">BU89/BU105</f>
        <v>1.4690721166875886</v>
      </c>
      <c r="BV97" s="65">
        <f t="shared" si="337"/>
        <v>1.4335431783481907</v>
      </c>
      <c r="BW97" s="66">
        <f t="shared" si="337"/>
        <v>1.4193396079754226</v>
      </c>
      <c r="BX97" s="20"/>
      <c r="BY97" s="65">
        <f>BY89/BY105</f>
        <v>0.63527577849458061</v>
      </c>
      <c r="BZ97" s="65">
        <f t="shared" ref="BZ97:CO97" si="338">BZ89/BZ105</f>
        <v>0.73565536764240247</v>
      </c>
      <c r="CA97" s="65">
        <f t="shared" si="338"/>
        <v>1.0697888360507246</v>
      </c>
      <c r="CB97" s="65">
        <f t="shared" si="338"/>
        <v>1.1265496978169147</v>
      </c>
      <c r="CC97" s="65">
        <f t="shared" si="338"/>
        <v>1.3817927145473341</v>
      </c>
      <c r="CD97" s="65">
        <f t="shared" si="338"/>
        <v>1.4288712252149869</v>
      </c>
      <c r="CE97" s="65">
        <f t="shared" si="338"/>
        <v>1.113133606013234</v>
      </c>
      <c r="CF97" s="65">
        <f t="shared" si="338"/>
        <v>1.1357203575865715</v>
      </c>
      <c r="CG97" s="65">
        <f t="shared" si="338"/>
        <v>2.2082993092468475</v>
      </c>
      <c r="CH97" s="65">
        <f t="shared" si="338"/>
        <v>1.7212882366959266</v>
      </c>
      <c r="CI97" s="65">
        <f t="shared" si="338"/>
        <v>1.693146100779807</v>
      </c>
      <c r="CJ97" s="65">
        <f t="shared" si="338"/>
        <v>2.22078072885349</v>
      </c>
      <c r="CK97" s="65">
        <f t="shared" si="338"/>
        <v>2.4645884856244078</v>
      </c>
      <c r="CL97" s="65">
        <f t="shared" si="338"/>
        <v>2.463560856947566</v>
      </c>
      <c r="CM97" s="65">
        <f t="shared" si="338"/>
        <v>3.6631691021853134</v>
      </c>
      <c r="CN97" s="65">
        <f t="shared" si="338"/>
        <v>5.1484710060424703</v>
      </c>
      <c r="CO97" s="65">
        <f t="shared" si="338"/>
        <v>5.4581356699536867</v>
      </c>
      <c r="CP97" s="66">
        <f t="shared" ref="CP97" si="339">CP89/CP105</f>
        <v>5.7410764218079082</v>
      </c>
      <c r="CQ97" s="20"/>
      <c r="CR97" s="64">
        <f>CR89/CR105</f>
        <v>0.67392292813709664</v>
      </c>
      <c r="CS97" s="65">
        <f t="shared" ref="CS97:DG97" si="340">CS89/CS105</f>
        <v>1.0212030706193078</v>
      </c>
      <c r="CT97" s="65">
        <f t="shared" si="340"/>
        <v>1.0439386463183344</v>
      </c>
      <c r="CU97" s="65">
        <f t="shared" si="340"/>
        <v>1.3905125676268877</v>
      </c>
      <c r="CV97" s="65">
        <f t="shared" si="340"/>
        <v>1.3978997162854423</v>
      </c>
      <c r="CW97" s="65">
        <f t="shared" si="340"/>
        <v>1.3707111084594523</v>
      </c>
      <c r="CX97" s="65">
        <f t="shared" si="340"/>
        <v>0.83364294665919825</v>
      </c>
      <c r="CY97" s="65">
        <f t="shared" si="340"/>
        <v>2.0738278950343254</v>
      </c>
      <c r="CZ97" s="65">
        <f t="shared" si="340"/>
        <v>1.8550660216376134</v>
      </c>
      <c r="DA97" s="66">
        <f t="shared" si="340"/>
        <v>1.6222039095154315</v>
      </c>
      <c r="DB97" s="60">
        <f t="shared" si="340"/>
        <v>2.1198867109309028</v>
      </c>
      <c r="DC97" s="64">
        <f t="shared" si="340"/>
        <v>2.4278805853221792</v>
      </c>
      <c r="DD97" s="65">
        <f t="shared" si="340"/>
        <v>2.4387305032308704</v>
      </c>
      <c r="DE97" s="65">
        <f t="shared" si="340"/>
        <v>3.2200312716218211</v>
      </c>
      <c r="DF97" s="65">
        <f t="shared" si="340"/>
        <v>4.9857527885318591</v>
      </c>
      <c r="DG97" s="65">
        <f t="shared" si="340"/>
        <v>5.3762423717602141</v>
      </c>
      <c r="DH97" s="65">
        <f t="shared" ref="DH97" si="341">DH89/DH105</f>
        <v>5.6691565135148405</v>
      </c>
      <c r="DI97" s="1293"/>
    </row>
    <row r="98" spans="1:119" ht="14.25" customHeight="1">
      <c r="A98" s="8"/>
      <c r="B98" s="618"/>
      <c r="C98" s="68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344"/>
      <c r="AQ98" s="344"/>
      <c r="AR98" s="344"/>
      <c r="AS98" s="344"/>
      <c r="AT98" s="344"/>
      <c r="AU98" s="344"/>
      <c r="AV98" s="344"/>
      <c r="AW98" s="344"/>
      <c r="AX98" s="84"/>
      <c r="AY98" s="344"/>
      <c r="AZ98" s="41"/>
      <c r="BA98" s="43"/>
      <c r="BB98" s="344"/>
      <c r="BC98" s="69"/>
      <c r="BD98" s="41"/>
      <c r="BE98" s="43"/>
      <c r="BF98" s="344"/>
      <c r="BG98" s="69"/>
      <c r="BI98" s="43"/>
      <c r="BJ98" s="344"/>
      <c r="BL98" s="1254"/>
      <c r="BM98" s="1254"/>
      <c r="BN98" s="1254"/>
      <c r="BO98" s="1254"/>
      <c r="BP98" s="1254"/>
      <c r="BQ98" s="1254"/>
      <c r="BR98" s="1254"/>
      <c r="BS98" s="1254"/>
      <c r="BT98" s="1254"/>
      <c r="BU98" s="1254"/>
      <c r="BV98" s="1254"/>
      <c r="BW98" s="1254"/>
      <c r="BX98" s="8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1344"/>
      <c r="CM98" s="1344"/>
      <c r="CN98" s="1344"/>
      <c r="CO98" s="1344"/>
      <c r="CP98" s="1344"/>
      <c r="CQ98" s="1344"/>
      <c r="CR98" s="1344"/>
      <c r="CS98" s="1344"/>
      <c r="CT98" s="1344"/>
      <c r="CU98" s="1344"/>
      <c r="CV98" s="1344"/>
      <c r="CW98" s="1344"/>
      <c r="CX98" s="1344"/>
      <c r="CY98" s="1344"/>
      <c r="CZ98" s="1344"/>
      <c r="DA98" s="1344"/>
      <c r="DB98" s="1344"/>
      <c r="DC98" s="1344"/>
      <c r="DD98" s="1344"/>
      <c r="DE98" s="1344"/>
      <c r="DF98" s="1344"/>
      <c r="DG98" s="1344"/>
      <c r="DH98" s="1344"/>
      <c r="DI98" s="14"/>
    </row>
    <row r="99" spans="1:119" ht="14.25" customHeight="1">
      <c r="A99" s="8"/>
      <c r="B99" s="618"/>
      <c r="C99" s="68"/>
      <c r="D99" s="41"/>
      <c r="E99" s="41"/>
      <c r="F99" s="71"/>
      <c r="G99" s="71"/>
      <c r="H99" s="41"/>
      <c r="I99" s="41"/>
      <c r="J99" s="71"/>
      <c r="K99" s="71"/>
      <c r="L99" s="41"/>
      <c r="M99" s="41"/>
      <c r="N99" s="71"/>
      <c r="O99" s="71"/>
      <c r="P99" s="41"/>
      <c r="Q99" s="41"/>
      <c r="R99" s="71"/>
      <c r="S99" s="71"/>
      <c r="T99" s="41"/>
      <c r="U99" s="41"/>
      <c r="V99" s="71"/>
      <c r="W99" s="71"/>
      <c r="X99" s="41"/>
      <c r="Y99" s="41"/>
      <c r="Z99" s="71"/>
      <c r="AA99" s="71"/>
      <c r="AB99" s="41"/>
      <c r="AC99" s="41"/>
      <c r="AD99" s="71"/>
      <c r="AE99" s="41"/>
      <c r="AF99" s="41"/>
      <c r="AG99" s="71"/>
      <c r="AH99" s="71"/>
      <c r="AI99" s="71"/>
      <c r="AJ99" s="41"/>
      <c r="AK99" s="41"/>
      <c r="AL99" s="71"/>
      <c r="AM99" s="71"/>
      <c r="AN99" s="41"/>
      <c r="AO99" s="41"/>
      <c r="AP99" s="71"/>
      <c r="AQ99" s="344"/>
      <c r="AR99" s="344"/>
      <c r="AS99" s="344"/>
      <c r="AT99" s="71"/>
      <c r="AU99" s="344"/>
      <c r="AV99" s="344"/>
      <c r="AW99" s="344"/>
      <c r="AX99" s="344"/>
      <c r="AY99" s="344"/>
      <c r="AZ99" s="41"/>
      <c r="BA99" s="344"/>
      <c r="BB99" s="57"/>
      <c r="BC99" s="41"/>
      <c r="BD99" s="41"/>
      <c r="BE99" s="344"/>
      <c r="BF99" s="57"/>
      <c r="BG99" s="41"/>
      <c r="BH99" s="41"/>
      <c r="BI99" s="344"/>
      <c r="BJ99" s="57"/>
      <c r="BK99" s="57"/>
      <c r="BL99" s="1428"/>
      <c r="BM99" s="1513"/>
      <c r="BN99" s="1513"/>
      <c r="BO99" s="1513"/>
      <c r="BP99" s="1513"/>
      <c r="BQ99" s="1513"/>
      <c r="BR99" s="1513"/>
      <c r="BS99" s="1513"/>
      <c r="BT99" s="1513"/>
      <c r="BU99" s="1513"/>
      <c r="BV99" s="1513"/>
      <c r="BW99" s="1513"/>
      <c r="BX99" s="1469"/>
      <c r="BY99" s="1469"/>
      <c r="BZ99" s="1469"/>
      <c r="CA99" s="1469"/>
      <c r="CB99" s="1469"/>
      <c r="CC99" s="1469"/>
      <c r="CD99" s="1469"/>
      <c r="CE99" s="1469"/>
      <c r="CF99" s="1469"/>
      <c r="CG99" s="1469"/>
      <c r="CH99" s="1513"/>
      <c r="CI99" s="1513"/>
      <c r="CJ99" s="1513"/>
      <c r="CK99" s="1469"/>
      <c r="CL99" s="1469"/>
      <c r="CM99" s="1513"/>
      <c r="CN99" s="1513"/>
      <c r="CO99" s="1539"/>
      <c r="CP99" s="1539"/>
      <c r="CQ99" s="1539"/>
      <c r="CR99" s="1539"/>
      <c r="CS99" s="1539"/>
      <c r="CT99" s="1539"/>
      <c r="CU99" s="1539"/>
      <c r="CV99" s="1539"/>
      <c r="CW99" s="1539"/>
      <c r="CX99" s="1539"/>
      <c r="CY99" s="1539"/>
      <c r="CZ99" s="1539"/>
      <c r="DA99" s="1539"/>
      <c r="DB99" s="1539"/>
      <c r="DC99" s="1539"/>
      <c r="DD99" s="1539"/>
      <c r="DE99" s="1539"/>
      <c r="DF99" s="1539"/>
      <c r="DG99" s="1539"/>
      <c r="DH99" s="1539"/>
      <c r="DI99" s="14"/>
    </row>
    <row r="100" spans="1:119" s="1366" customFormat="1" ht="14.25" customHeight="1">
      <c r="A100" s="8"/>
      <c r="B100" s="618"/>
      <c r="C100" s="68"/>
      <c r="D100" s="41"/>
      <c r="E100" s="41"/>
      <c r="F100" s="71"/>
      <c r="G100" s="71"/>
      <c r="H100" s="41"/>
      <c r="I100" s="41"/>
      <c r="J100" s="71"/>
      <c r="K100" s="71"/>
      <c r="L100" s="41"/>
      <c r="M100" s="41"/>
      <c r="N100" s="71"/>
      <c r="O100" s="71"/>
      <c r="P100" s="41"/>
      <c r="Q100" s="41"/>
      <c r="R100" s="71"/>
      <c r="S100" s="71"/>
      <c r="T100" s="41"/>
      <c r="U100" s="41"/>
      <c r="V100" s="71"/>
      <c r="W100" s="71"/>
      <c r="X100" s="41"/>
      <c r="Y100" s="41"/>
      <c r="Z100" s="71"/>
      <c r="AA100" s="71"/>
      <c r="AB100" s="41"/>
      <c r="AC100" s="41"/>
      <c r="AD100" s="71"/>
      <c r="AE100" s="41"/>
      <c r="AF100" s="41"/>
      <c r="AG100" s="71"/>
      <c r="AH100" s="71"/>
      <c r="AI100" s="71"/>
      <c r="AJ100" s="41"/>
      <c r="AK100" s="41"/>
      <c r="AL100" s="71"/>
      <c r="AM100" s="71"/>
      <c r="AN100" s="41"/>
      <c r="AO100" s="41"/>
      <c r="AP100" s="71"/>
      <c r="AQ100" s="344"/>
      <c r="AR100" s="344"/>
      <c r="AS100" s="344"/>
      <c r="AT100" s="71"/>
      <c r="AU100" s="344"/>
      <c r="AV100" s="344"/>
      <c r="AW100" s="344"/>
      <c r="AX100" s="344"/>
      <c r="AY100" s="344"/>
      <c r="AZ100" s="41"/>
      <c r="BA100" s="344"/>
      <c r="BB100" s="57"/>
      <c r="BC100" s="41"/>
      <c r="BD100" s="41"/>
      <c r="BE100" s="344"/>
      <c r="BF100" s="57"/>
      <c r="BG100" s="41"/>
      <c r="BH100" s="41"/>
      <c r="BI100" s="344"/>
      <c r="BJ100" s="57"/>
      <c r="BK100" s="1423"/>
      <c r="BL100" s="1423"/>
      <c r="BM100" s="1514"/>
      <c r="BN100" s="1514"/>
      <c r="BO100" s="1514"/>
      <c r="BP100" s="1514"/>
      <c r="BQ100" s="1514"/>
      <c r="BR100" s="1514"/>
      <c r="BS100" s="1514"/>
      <c r="BT100" s="1514"/>
      <c r="BU100" s="1514"/>
      <c r="BV100" s="1514"/>
      <c r="BW100" s="1514"/>
      <c r="BX100" s="14"/>
      <c r="BY100" s="41"/>
      <c r="BZ100" s="41"/>
      <c r="CA100" s="41"/>
      <c r="CB100" s="41"/>
      <c r="CC100" s="41"/>
      <c r="CD100" s="41"/>
      <c r="CE100" s="41"/>
      <c r="CF100" s="41"/>
      <c r="CG100" s="343"/>
      <c r="CH100" s="343"/>
      <c r="CI100" s="343"/>
      <c r="CJ100" s="343"/>
      <c r="CK100" s="343"/>
      <c r="CL100" s="60"/>
      <c r="CM100" s="1413"/>
      <c r="CN100" s="1470"/>
      <c r="CO100" s="1470"/>
      <c r="CP100" s="1470"/>
      <c r="CQ100" s="1470"/>
      <c r="CR100" s="1470"/>
      <c r="CS100" s="1470"/>
      <c r="CT100" s="1470"/>
      <c r="CU100" s="1470"/>
      <c r="CV100" s="1470"/>
      <c r="CW100" s="1470"/>
      <c r="CX100" s="1470"/>
      <c r="CY100" s="1470"/>
      <c r="CZ100" s="1470"/>
      <c r="DA100" s="1470"/>
      <c r="DB100" s="1470"/>
      <c r="DC100" s="1470"/>
      <c r="DD100" s="1470"/>
      <c r="DE100" s="1470"/>
      <c r="DF100" s="1470"/>
      <c r="DG100" s="1470"/>
      <c r="DH100" s="1470"/>
      <c r="DI100" s="14"/>
      <c r="DJ100"/>
      <c r="DK100"/>
      <c r="DL100"/>
      <c r="DM100"/>
      <c r="DN100"/>
      <c r="DO100"/>
    </row>
    <row r="101" spans="1:119" s="1366" customFormat="1" ht="14.25" customHeight="1">
      <c r="A101" s="8"/>
      <c r="B101" s="618"/>
      <c r="C101" s="68"/>
      <c r="D101" s="41"/>
      <c r="E101" s="41"/>
      <c r="F101" s="71"/>
      <c r="G101" s="71"/>
      <c r="H101" s="41"/>
      <c r="I101" s="41"/>
      <c r="J101" s="71"/>
      <c r="K101" s="71"/>
      <c r="L101" s="41"/>
      <c r="M101" s="41"/>
      <c r="N101" s="71"/>
      <c r="O101" s="71"/>
      <c r="P101" s="41"/>
      <c r="Q101" s="41"/>
      <c r="R101" s="71"/>
      <c r="S101" s="71"/>
      <c r="T101" s="41"/>
      <c r="U101" s="41"/>
      <c r="V101" s="71"/>
      <c r="W101" s="71"/>
      <c r="X101" s="41"/>
      <c r="Y101" s="41"/>
      <c r="Z101" s="71"/>
      <c r="AA101" s="71"/>
      <c r="AB101" s="41"/>
      <c r="AC101" s="41"/>
      <c r="AD101" s="71"/>
      <c r="AE101" s="41"/>
      <c r="AF101" s="41"/>
      <c r="AG101" s="71"/>
      <c r="AH101" s="71"/>
      <c r="AI101" s="71"/>
      <c r="AJ101" s="41"/>
      <c r="AK101" s="41"/>
      <c r="AL101" s="71"/>
      <c r="AM101" s="71"/>
      <c r="AN101" s="41"/>
      <c r="AO101" s="41"/>
      <c r="AP101" s="71"/>
      <c r="AQ101" s="344"/>
      <c r="AR101" s="344"/>
      <c r="AS101" s="344"/>
      <c r="AT101" s="71"/>
      <c r="AU101" s="344"/>
      <c r="AV101" s="344"/>
      <c r="AW101" s="344"/>
      <c r="AX101" s="344"/>
      <c r="AY101" s="344"/>
      <c r="AZ101" s="41"/>
      <c r="BA101" s="344"/>
      <c r="BB101" s="57"/>
      <c r="BC101" s="41"/>
      <c r="BD101" s="41"/>
      <c r="BE101" s="344"/>
      <c r="BF101" s="57"/>
      <c r="BG101" s="41"/>
      <c r="BH101" s="41"/>
      <c r="BI101" s="344"/>
      <c r="BJ101" s="57"/>
      <c r="BK101" s="344"/>
      <c r="BL101" s="344"/>
      <c r="BM101" s="344"/>
      <c r="BN101" s="344"/>
      <c r="BO101" s="344"/>
      <c r="BP101" s="344"/>
      <c r="BQ101" s="344"/>
      <c r="BR101" s="344"/>
      <c r="BS101" s="344"/>
      <c r="BT101" s="344"/>
      <c r="BU101" s="344"/>
      <c r="BV101" s="344"/>
      <c r="BW101" s="344"/>
      <c r="BX101" s="8"/>
      <c r="BY101" s="41"/>
      <c r="BZ101" s="41"/>
      <c r="CA101" s="41"/>
      <c r="CB101" s="41"/>
      <c r="CC101" s="41"/>
      <c r="CD101" s="41"/>
      <c r="CE101" s="41"/>
      <c r="CF101" s="41"/>
      <c r="CG101" s="343"/>
      <c r="CH101" s="343"/>
      <c r="CI101" s="343"/>
      <c r="CJ101" s="343"/>
      <c r="CK101" s="343"/>
      <c r="CL101" s="60"/>
      <c r="CM101" s="1413"/>
      <c r="CN101" s="1413"/>
      <c r="CO101" s="1413"/>
      <c r="CP101" s="1413"/>
      <c r="CQ101" s="345"/>
      <c r="CR101" s="356"/>
      <c r="CS101" s="356"/>
      <c r="CT101" s="356"/>
      <c r="CU101" s="356"/>
      <c r="CV101" s="356"/>
      <c r="CW101" s="356"/>
      <c r="CX101" s="356"/>
      <c r="CY101" s="356"/>
      <c r="CZ101" s="356"/>
      <c r="DA101" s="356"/>
      <c r="DB101" s="356"/>
      <c r="DC101" s="356"/>
      <c r="DD101" s="60"/>
      <c r="DE101" s="60"/>
      <c r="DF101" s="1381"/>
      <c r="DG101" s="1381"/>
      <c r="DH101" s="1381"/>
      <c r="DI101" s="14"/>
      <c r="DJ101"/>
      <c r="DK101"/>
      <c r="DL101"/>
      <c r="DM101"/>
      <c r="DN101"/>
      <c r="DO101"/>
    </row>
    <row r="102" spans="1:119" ht="14.25" customHeight="1">
      <c r="A102" s="8"/>
      <c r="B102" s="622" t="s">
        <v>332</v>
      </c>
      <c r="C102" s="598"/>
      <c r="D102" s="599" t="str">
        <f t="shared" ref="D102:O102" si="342">+D$7</f>
        <v>F1Q03A</v>
      </c>
      <c r="E102" s="600" t="str">
        <f t="shared" si="342"/>
        <v>F2Q03A</v>
      </c>
      <c r="F102" s="600" t="str">
        <f t="shared" si="342"/>
        <v>F3Q03A</v>
      </c>
      <c r="G102" s="601" t="str">
        <f t="shared" si="342"/>
        <v>F4Q03A</v>
      </c>
      <c r="H102" s="599" t="str">
        <f t="shared" si="342"/>
        <v>F1Q04A</v>
      </c>
      <c r="I102" s="600" t="str">
        <f t="shared" si="342"/>
        <v>F2Q04A</v>
      </c>
      <c r="J102" s="600" t="str">
        <f t="shared" si="342"/>
        <v>F3Q04A</v>
      </c>
      <c r="K102" s="601" t="str">
        <f t="shared" si="342"/>
        <v>F4Q04A</v>
      </c>
      <c r="L102" s="599" t="str">
        <f t="shared" si="342"/>
        <v>F1Q05A</v>
      </c>
      <c r="M102" s="600" t="str">
        <f t="shared" si="342"/>
        <v>F2Q05A</v>
      </c>
      <c r="N102" s="600" t="str">
        <f t="shared" si="342"/>
        <v>F3Q05A</v>
      </c>
      <c r="O102" s="601" t="str">
        <f t="shared" si="342"/>
        <v>F4Q05A</v>
      </c>
      <c r="P102" s="599" t="str">
        <f>+P$7</f>
        <v>F1Q06A</v>
      </c>
      <c r="Q102" s="600" t="str">
        <f t="shared" ref="Q102:CP102" si="343">+Q$7</f>
        <v>F2Q06A</v>
      </c>
      <c r="R102" s="600" t="str">
        <f t="shared" si="343"/>
        <v>F3Q06A</v>
      </c>
      <c r="S102" s="601" t="str">
        <f t="shared" si="343"/>
        <v>F4Q06A</v>
      </c>
      <c r="T102" s="599" t="str">
        <f t="shared" si="343"/>
        <v>F1Q07A</v>
      </c>
      <c r="U102" s="600" t="str">
        <f t="shared" si="343"/>
        <v>F2Q07A</v>
      </c>
      <c r="V102" s="600" t="str">
        <f t="shared" si="343"/>
        <v>F3Q07A</v>
      </c>
      <c r="W102" s="601" t="str">
        <f t="shared" si="343"/>
        <v>F4Q07A</v>
      </c>
      <c r="X102" s="600" t="str">
        <f t="shared" si="343"/>
        <v>F1Q08A</v>
      </c>
      <c r="Y102" s="600" t="str">
        <f t="shared" si="343"/>
        <v>F2Q08A</v>
      </c>
      <c r="Z102" s="600" t="str">
        <f t="shared" si="343"/>
        <v>F3Q08A</v>
      </c>
      <c r="AA102" s="600" t="str">
        <f t="shared" si="343"/>
        <v>F4Q08A</v>
      </c>
      <c r="AB102" s="599" t="str">
        <f t="shared" si="343"/>
        <v>F1Q09A</v>
      </c>
      <c r="AC102" s="600" t="str">
        <f t="shared" si="343"/>
        <v>F2Q09A</v>
      </c>
      <c r="AD102" s="600" t="str">
        <f t="shared" si="343"/>
        <v>F3Q09A</v>
      </c>
      <c r="AE102" s="601" t="str">
        <f t="shared" si="343"/>
        <v>F4Q09A</v>
      </c>
      <c r="AF102" s="600" t="str">
        <f t="shared" si="343"/>
        <v>F1Q10A</v>
      </c>
      <c r="AG102" s="600" t="str">
        <f t="shared" si="343"/>
        <v>F2Q10A</v>
      </c>
      <c r="AH102" s="600" t="str">
        <f t="shared" si="343"/>
        <v>F3Q10A</v>
      </c>
      <c r="AI102" s="600" t="str">
        <f t="shared" si="343"/>
        <v>F4Q10A</v>
      </c>
      <c r="AJ102" s="599" t="str">
        <f t="shared" si="343"/>
        <v>F1Q11A</v>
      </c>
      <c r="AK102" s="600" t="str">
        <f t="shared" si="343"/>
        <v>F2Q11A</v>
      </c>
      <c r="AL102" s="600" t="str">
        <f t="shared" si="343"/>
        <v>F3Q11A</v>
      </c>
      <c r="AM102" s="601" t="str">
        <f t="shared" si="343"/>
        <v>F4Q11A</v>
      </c>
      <c r="AN102" s="600" t="str">
        <f t="shared" si="343"/>
        <v>F1Q12A</v>
      </c>
      <c r="AO102" s="600" t="str">
        <f t="shared" si="343"/>
        <v>F2Q12A</v>
      </c>
      <c r="AP102" s="600" t="str">
        <f t="shared" si="343"/>
        <v>F3Q12A</v>
      </c>
      <c r="AQ102" s="600" t="str">
        <f t="shared" si="343"/>
        <v>F4Q12A</v>
      </c>
      <c r="AR102" s="599" t="str">
        <f t="shared" si="343"/>
        <v>F1Q13A</v>
      </c>
      <c r="AS102" s="600" t="str">
        <f t="shared" si="343"/>
        <v>F2Q13A</v>
      </c>
      <c r="AT102" s="600" t="str">
        <f t="shared" si="343"/>
        <v>F3Q13A</v>
      </c>
      <c r="AU102" s="600" t="str">
        <f t="shared" si="343"/>
        <v>F4Q13A</v>
      </c>
      <c r="AV102" s="599" t="str">
        <f t="shared" si="343"/>
        <v>F1Q14A</v>
      </c>
      <c r="AW102" s="600" t="str">
        <f t="shared" si="343"/>
        <v>F2Q14A</v>
      </c>
      <c r="AX102" s="1167" t="str">
        <f t="shared" si="343"/>
        <v>F3Q14A</v>
      </c>
      <c r="AY102" s="600" t="str">
        <f t="shared" si="343"/>
        <v>F4Q14A</v>
      </c>
      <c r="AZ102" s="599" t="str">
        <f t="shared" si="343"/>
        <v>F1Q15A</v>
      </c>
      <c r="BA102" s="1167" t="str">
        <f t="shared" si="343"/>
        <v>F2Q15A</v>
      </c>
      <c r="BB102" s="1167" t="str">
        <f t="shared" si="343"/>
        <v>F3Q15A</v>
      </c>
      <c r="BC102" s="601" t="str">
        <f t="shared" si="343"/>
        <v>F4Q15A</v>
      </c>
      <c r="BD102" s="599" t="str">
        <f t="shared" si="343"/>
        <v>F1Q16A</v>
      </c>
      <c r="BE102" s="1167" t="str">
        <f t="shared" si="343"/>
        <v>F2Q16A</v>
      </c>
      <c r="BF102" s="1167" t="str">
        <f t="shared" si="343"/>
        <v>F3Q16A</v>
      </c>
      <c r="BG102" s="1343" t="str">
        <f t="shared" si="343"/>
        <v>F4Q16A</v>
      </c>
      <c r="BH102" s="599" t="str">
        <f t="shared" si="343"/>
        <v>F1Q17A</v>
      </c>
      <c r="BI102" s="1167" t="str">
        <f t="shared" si="343"/>
        <v>F2Q17A</v>
      </c>
      <c r="BJ102" s="1167" t="str">
        <f t="shared" si="343"/>
        <v>F3Q17A</v>
      </c>
      <c r="BK102" s="600" t="str">
        <f t="shared" si="343"/>
        <v>F4Q17A</v>
      </c>
      <c r="BL102" s="599" t="str">
        <f t="shared" si="343"/>
        <v>F1Q18A</v>
      </c>
      <c r="BM102" s="600" t="str">
        <f t="shared" si="343"/>
        <v>F2Q18A</v>
      </c>
      <c r="BN102" s="600" t="str">
        <f t="shared" si="343"/>
        <v>F3Q18A</v>
      </c>
      <c r="BO102" s="601" t="str">
        <f t="shared" si="343"/>
        <v>F4Q18E</v>
      </c>
      <c r="BP102" s="599" t="str">
        <f t="shared" si="343"/>
        <v>F1Q19E</v>
      </c>
      <c r="BQ102" s="600" t="str">
        <f t="shared" si="343"/>
        <v>F2Q19E</v>
      </c>
      <c r="BR102" s="600" t="str">
        <f t="shared" si="343"/>
        <v>F3Q19E</v>
      </c>
      <c r="BS102" s="601" t="str">
        <f t="shared" si="343"/>
        <v>F4Q19E</v>
      </c>
      <c r="BT102" s="600" t="str">
        <f t="shared" si="343"/>
        <v>F1Q20E</v>
      </c>
      <c r="BU102" s="600" t="str">
        <f t="shared" si="343"/>
        <v>F2Q20E</v>
      </c>
      <c r="BV102" s="600" t="str">
        <f t="shared" si="343"/>
        <v>F3Q20E</v>
      </c>
      <c r="BW102" s="601" t="str">
        <f t="shared" si="343"/>
        <v>F4Q20E</v>
      </c>
      <c r="BX102" s="1099"/>
      <c r="BY102" s="599" t="str">
        <f t="shared" si="343"/>
        <v>FY2003A</v>
      </c>
      <c r="BZ102" s="600" t="str">
        <f t="shared" si="343"/>
        <v>FY2004A</v>
      </c>
      <c r="CA102" s="600" t="str">
        <f t="shared" si="343"/>
        <v>FY2005A</v>
      </c>
      <c r="CB102" s="600" t="str">
        <f t="shared" si="343"/>
        <v>FY2006A</v>
      </c>
      <c r="CC102" s="600" t="str">
        <f t="shared" si="343"/>
        <v>FY2007A</v>
      </c>
      <c r="CD102" s="600" t="str">
        <f t="shared" si="343"/>
        <v>FY2008A</v>
      </c>
      <c r="CE102" s="600" t="str">
        <f t="shared" si="343"/>
        <v>FY2009A</v>
      </c>
      <c r="CF102" s="600" t="str">
        <f t="shared" si="343"/>
        <v>FY2010A</v>
      </c>
      <c r="CG102" s="600" t="str">
        <f t="shared" si="343"/>
        <v>FY2011A</v>
      </c>
      <c r="CH102" s="600" t="str">
        <f t="shared" si="343"/>
        <v>FY2012A</v>
      </c>
      <c r="CI102" s="600" t="str">
        <f t="shared" si="343"/>
        <v>FY2013A</v>
      </c>
      <c r="CJ102" s="600" t="str">
        <f t="shared" si="343"/>
        <v>FY2014A</v>
      </c>
      <c r="CK102" s="600" t="str">
        <f t="shared" si="343"/>
        <v>FY2015A</v>
      </c>
      <c r="CL102" s="600" t="str">
        <f t="shared" si="343"/>
        <v>FY2016A</v>
      </c>
      <c r="CM102" s="600" t="str">
        <f t="shared" si="343"/>
        <v>FY2017A</v>
      </c>
      <c r="CN102" s="600" t="str">
        <f t="shared" si="343"/>
        <v>FY2018E</v>
      </c>
      <c r="CO102" s="600" t="str">
        <f t="shared" si="343"/>
        <v>FY2019E</v>
      </c>
      <c r="CP102" s="601" t="str">
        <f t="shared" si="343"/>
        <v>FY2020E</v>
      </c>
      <c r="CQ102" s="1099"/>
      <c r="CR102" s="1271" t="str">
        <f>+CR$5</f>
        <v>CY2003</v>
      </c>
      <c r="CS102" s="1272" t="str">
        <f>+CS$5</f>
        <v>CY2004</v>
      </c>
      <c r="CT102" s="1272" t="str">
        <f>+CT$5</f>
        <v>CY2005</v>
      </c>
      <c r="CU102" s="1272" t="str">
        <f>+CU$5</f>
        <v>CY2006</v>
      </c>
      <c r="CV102" s="1272" t="str">
        <f t="shared" ref="CV102:DH102" si="344">+CV$5</f>
        <v>CY2007</v>
      </c>
      <c r="CW102" s="1272" t="str">
        <f t="shared" si="344"/>
        <v>CY2008</v>
      </c>
      <c r="CX102" s="1272" t="str">
        <f t="shared" si="344"/>
        <v>CY2009</v>
      </c>
      <c r="CY102" s="1272" t="str">
        <f t="shared" si="344"/>
        <v>CY2010</v>
      </c>
      <c r="CZ102" s="1272" t="str">
        <f t="shared" si="344"/>
        <v>CY2011</v>
      </c>
      <c r="DA102" s="1272" t="str">
        <f t="shared" si="344"/>
        <v>CY2012</v>
      </c>
      <c r="DB102" s="1272" t="str">
        <f t="shared" si="344"/>
        <v>CY2013</v>
      </c>
      <c r="DC102" s="599" t="str">
        <f t="shared" si="344"/>
        <v>CY2014</v>
      </c>
      <c r="DD102" s="600" t="str">
        <f t="shared" si="344"/>
        <v>CY2015</v>
      </c>
      <c r="DE102" s="600" t="str">
        <f t="shared" si="344"/>
        <v>CY2016</v>
      </c>
      <c r="DF102" s="600" t="str">
        <f t="shared" si="344"/>
        <v>CY2017</v>
      </c>
      <c r="DG102" s="600" t="str">
        <f t="shared" si="344"/>
        <v>CY2018</v>
      </c>
      <c r="DH102" s="600" t="str">
        <f t="shared" si="344"/>
        <v>CY2019</v>
      </c>
      <c r="DI102" s="22"/>
    </row>
    <row r="103" spans="1:119" ht="14.25" customHeight="1">
      <c r="A103" s="11"/>
      <c r="B103" s="620" t="s">
        <v>300</v>
      </c>
      <c r="C103" s="74"/>
      <c r="D103" s="75">
        <v>201.292</v>
      </c>
      <c r="E103" s="76">
        <v>202.047</v>
      </c>
      <c r="F103" s="76">
        <v>203.10900000000001</v>
      </c>
      <c r="G103" s="77">
        <v>203.49600000000001</v>
      </c>
      <c r="H103" s="75">
        <v>203.90299999999999</v>
      </c>
      <c r="I103" s="76">
        <v>205.089</v>
      </c>
      <c r="J103" s="76">
        <v>207.142</v>
      </c>
      <c r="K103" s="77">
        <v>207.98599999999999</v>
      </c>
      <c r="L103" s="75">
        <v>206.69399999999999</v>
      </c>
      <c r="M103" s="76">
        <v>206.191</v>
      </c>
      <c r="N103" s="76">
        <v>206.70599999999999</v>
      </c>
      <c r="O103" s="77">
        <v>207.38499999999999</v>
      </c>
      <c r="P103" s="75">
        <v>208.39599999999999</v>
      </c>
      <c r="Q103" s="76">
        <v>209.42400000000001</v>
      </c>
      <c r="R103" s="76">
        <v>210.83600000000001</v>
      </c>
      <c r="S103" s="77">
        <v>211.78100000000001</v>
      </c>
      <c r="T103" s="75">
        <v>214.17500000000001</v>
      </c>
      <c r="U103" s="76">
        <v>215.02500000000001</v>
      </c>
      <c r="V103" s="76">
        <v>215.52500000000001</v>
      </c>
      <c r="W103" s="77">
        <v>215.49799999999999</v>
      </c>
      <c r="X103" s="75">
        <v>218.11099999999999</v>
      </c>
      <c r="Y103" s="76">
        <v>216.797</v>
      </c>
      <c r="Z103" s="76">
        <v>207.00200000000001</v>
      </c>
      <c r="AA103" s="77">
        <v>186.96899999999999</v>
      </c>
      <c r="AB103" s="75">
        <v>184.66300000000001</v>
      </c>
      <c r="AC103" s="76">
        <v>183.61500000000001</v>
      </c>
      <c r="AD103" s="76">
        <v>181.96299999999999</v>
      </c>
      <c r="AE103" s="77">
        <v>182.392</v>
      </c>
      <c r="AF103" s="75">
        <v>182.85599999999999</v>
      </c>
      <c r="AG103" s="76">
        <v>183.19</v>
      </c>
      <c r="AH103" s="76">
        <v>183.85599999999999</v>
      </c>
      <c r="AI103" s="77">
        <v>184.66499999999999</v>
      </c>
      <c r="AJ103" s="75">
        <v>185.54</v>
      </c>
      <c r="AK103" s="76">
        <v>186.303</v>
      </c>
      <c r="AL103" s="76">
        <v>187.488</v>
      </c>
      <c r="AM103" s="77">
        <v>188.93299999999999</v>
      </c>
      <c r="AN103" s="75">
        <v>190.11199999999999</v>
      </c>
      <c r="AO103" s="76">
        <v>190.809</v>
      </c>
      <c r="AP103" s="76">
        <v>191.64</v>
      </c>
      <c r="AQ103" s="77">
        <v>192.57</v>
      </c>
      <c r="AR103" s="75">
        <v>193.452</v>
      </c>
      <c r="AS103" s="76">
        <v>194.06</v>
      </c>
      <c r="AT103" s="76">
        <v>194.958</v>
      </c>
      <c r="AU103" s="77">
        <v>195.90799999999999</v>
      </c>
      <c r="AV103" s="1114">
        <v>196.95</v>
      </c>
      <c r="AW103" s="76">
        <v>197.82499999999999</v>
      </c>
      <c r="AX103" s="76">
        <v>198.75899999999999</v>
      </c>
      <c r="AY103" s="77">
        <v>199.63</v>
      </c>
      <c r="AZ103" s="1216">
        <v>200.18700000000001</v>
      </c>
      <c r="BA103" s="76">
        <v>200.62899999999999</v>
      </c>
      <c r="BB103" s="76">
        <v>201.203</v>
      </c>
      <c r="BC103" s="77">
        <v>201.73</v>
      </c>
      <c r="BD103" s="1216">
        <v>202.232</v>
      </c>
      <c r="BE103" s="76">
        <v>204.27500000000001</v>
      </c>
      <c r="BF103" s="76">
        <v>203.29400000000001</v>
      </c>
      <c r="BG103" s="85">
        <v>203.73599999999999</v>
      </c>
      <c r="BH103" s="89">
        <v>214.345</v>
      </c>
      <c r="BI103" s="84">
        <v>215.524</v>
      </c>
      <c r="BJ103" s="76">
        <v>216.21</v>
      </c>
      <c r="BK103" s="85">
        <v>222.703</v>
      </c>
      <c r="BL103" s="89">
        <v>229.429</v>
      </c>
      <c r="BM103" s="84">
        <v>233.29900000000001</v>
      </c>
      <c r="BN103" s="76">
        <v>234.10599999999999</v>
      </c>
      <c r="BO103" s="87">
        <f t="shared" ref="BO103" si="345">BN103+(BO104-BN104)</f>
        <v>235.78100000000001</v>
      </c>
      <c r="BP103" s="296">
        <f t="shared" ref="BP103:BP104" si="346">BO103+(BP104-BO104)</f>
        <v>236.28100000000001</v>
      </c>
      <c r="BQ103" s="86">
        <f t="shared" ref="BQ103:BQ104" si="347">BP103+(BQ104-BP104)</f>
        <v>236.78100000000001</v>
      </c>
      <c r="BR103" s="86">
        <f t="shared" ref="BR103:BR104" si="348">BQ103+(BR104-BQ104)</f>
        <v>237.28100000000001</v>
      </c>
      <c r="BS103" s="87">
        <f t="shared" ref="BS103:BS104" si="349">BR103+(BS104-BR104)</f>
        <v>237.78100000000001</v>
      </c>
      <c r="BT103" s="86">
        <f t="shared" ref="BT103:BT104" si="350">BS103+(BT104-BS104)</f>
        <v>238.28100000000001</v>
      </c>
      <c r="BU103" s="86">
        <f t="shared" ref="BU103:BU104" si="351">BT103+(BU104-BT104)</f>
        <v>238.78100000000001</v>
      </c>
      <c r="BV103" s="86">
        <f t="shared" ref="BV103:BV104" si="352">BU103+(BV104-BU104)</f>
        <v>239.28100000000001</v>
      </c>
      <c r="BW103" s="86">
        <f t="shared" ref="BW103:BW104" si="353">BV103+(BW104-BV104)</f>
        <v>239.78100000000001</v>
      </c>
      <c r="BX103" s="160"/>
      <c r="BY103" s="357">
        <f>AVERAGE(D103:G103)</f>
        <v>202.48599999999999</v>
      </c>
      <c r="BZ103" s="78">
        <f>AVERAGE(H103:K103)</f>
        <v>206.03</v>
      </c>
      <c r="CA103" s="78">
        <f>AVERAGE(L103:O103)</f>
        <v>206.744</v>
      </c>
      <c r="CB103" s="78">
        <f>AVERAGE(P103:S103)</f>
        <v>210.10924999999997</v>
      </c>
      <c r="CC103" s="78">
        <f>AVERAGE(T103:W103)</f>
        <v>215.05574999999999</v>
      </c>
      <c r="CD103" s="78">
        <f>AVERAGE(X103:AA103)</f>
        <v>207.21975000000003</v>
      </c>
      <c r="CE103" s="78">
        <f>AVERAGE(AB103:AE103)</f>
        <v>183.15825000000001</v>
      </c>
      <c r="CF103" s="78">
        <f>AVERAGE(AF103:AI103)</f>
        <v>183.64175</v>
      </c>
      <c r="CG103" s="78">
        <f>AVERAGE(AJ103:AM103)</f>
        <v>187.06599999999997</v>
      </c>
      <c r="CH103" s="78">
        <f>AVERAGE(AN103:AQ103)</f>
        <v>191.28274999999996</v>
      </c>
      <c r="CI103" s="78">
        <f>AVERAGE(AR103:AU103)</f>
        <v>194.59450000000001</v>
      </c>
      <c r="CJ103" s="78">
        <f>AVERAGE(AV103:AY103)</f>
        <v>198.291</v>
      </c>
      <c r="CK103" s="78">
        <f>AVERAGE(AZ103:BC103)</f>
        <v>200.93725000000001</v>
      </c>
      <c r="CL103" s="78">
        <f>AVERAGE(BD103:BG103)</f>
        <v>203.38425000000001</v>
      </c>
      <c r="CM103" s="78">
        <f>AVERAGE(BH103:BK103)</f>
        <v>217.19550000000001</v>
      </c>
      <c r="CN103" s="78">
        <f>AVERAGE(BL103:BO103)</f>
        <v>233.15375</v>
      </c>
      <c r="CO103" s="78">
        <f>AVERAGE(BP103:BS103)</f>
        <v>237.03100000000001</v>
      </c>
      <c r="CP103" s="79">
        <f>AVERAGE(BT103:BW103)</f>
        <v>239.03100000000001</v>
      </c>
      <c r="CQ103" s="160"/>
      <c r="CR103" s="357">
        <f>AVERAGE(G103:J103)</f>
        <v>204.90750000000003</v>
      </c>
      <c r="CS103" s="78">
        <f>AVERAGE(K103:N103)</f>
        <v>206.89425</v>
      </c>
      <c r="CT103" s="78">
        <f>AVERAGE(O103:R103)</f>
        <v>209.01024999999998</v>
      </c>
      <c r="CU103" s="78">
        <f>AVERAGE(S103:V103)</f>
        <v>214.12649999999999</v>
      </c>
      <c r="CV103" s="78">
        <f>AVERAGE(W103:Z103)</f>
        <v>214.35199999999998</v>
      </c>
      <c r="CW103" s="78">
        <f>AVERAGE(AA103:AD103)</f>
        <v>184.30250000000001</v>
      </c>
      <c r="CX103" s="78">
        <f>AVERAGE(AE103:AH103)</f>
        <v>183.0735</v>
      </c>
      <c r="CY103" s="78">
        <f>AVERAGE(AI103:AL103)</f>
        <v>185.99900000000002</v>
      </c>
      <c r="CZ103" s="78">
        <f>AVERAGE(AM103:AP103)</f>
        <v>190.37349999999998</v>
      </c>
      <c r="DA103" s="78">
        <f>AVERAGE(AQ103:AT103)</f>
        <v>193.76</v>
      </c>
      <c r="DB103" s="78">
        <f>AVERAGE(AU103:AX103)</f>
        <v>197.3605</v>
      </c>
      <c r="DC103" s="78">
        <f>AVERAGE(AY103:BB103)</f>
        <v>200.41225</v>
      </c>
      <c r="DD103" s="78">
        <f>AVERAGE(BC103:BF103)</f>
        <v>202.88274999999999</v>
      </c>
      <c r="DE103" s="78">
        <f>AVERAGE(BG103:BJ103)</f>
        <v>212.45375000000001</v>
      </c>
      <c r="DF103" s="78">
        <f>AVERAGE(BK103:BN103)</f>
        <v>229.88425000000001</v>
      </c>
      <c r="DG103" s="78">
        <f>AVERAGE(BO103:BR103)</f>
        <v>236.53100000000001</v>
      </c>
      <c r="DH103" s="78">
        <f>AVERAGE(BS103:BV103)</f>
        <v>238.53100000000001</v>
      </c>
      <c r="DI103" s="23"/>
    </row>
    <row r="104" spans="1:119" ht="14.25" customHeight="1">
      <c r="A104" s="11"/>
      <c r="B104" s="612" t="s">
        <v>485</v>
      </c>
      <c r="C104" s="24"/>
      <c r="D104" s="84">
        <v>211.52699999999999</v>
      </c>
      <c r="E104" s="84">
        <v>209.642</v>
      </c>
      <c r="F104" s="84">
        <v>210.929</v>
      </c>
      <c r="G104" s="30">
        <v>210.84299999999999</v>
      </c>
      <c r="H104" s="84">
        <v>210.15700000000001</v>
      </c>
      <c r="I104" s="84">
        <v>212.578</v>
      </c>
      <c r="J104" s="84">
        <v>215.34399999999999</v>
      </c>
      <c r="K104" s="30">
        <v>214.679</v>
      </c>
      <c r="L104" s="84">
        <v>212.964</v>
      </c>
      <c r="M104" s="84">
        <v>211.40299999999999</v>
      </c>
      <c r="N104" s="84">
        <v>211.727</v>
      </c>
      <c r="O104" s="30">
        <v>211.77799999999999</v>
      </c>
      <c r="P104" s="84">
        <v>213.10499999999999</v>
      </c>
      <c r="Q104" s="84">
        <v>214.68799999999999</v>
      </c>
      <c r="R104" s="84">
        <v>215.667</v>
      </c>
      <c r="S104" s="30">
        <v>217.11099999999999</v>
      </c>
      <c r="T104" s="84">
        <v>219.791</v>
      </c>
      <c r="U104" s="84">
        <v>219.233</v>
      </c>
      <c r="V104" s="84">
        <v>220.92</v>
      </c>
      <c r="W104" s="30">
        <v>222.47200000000001</v>
      </c>
      <c r="X104" s="84">
        <v>223.59200000000001</v>
      </c>
      <c r="Y104" s="84">
        <v>222.00399999999999</v>
      </c>
      <c r="Z104" s="84">
        <v>211.33699999999999</v>
      </c>
      <c r="AA104" s="30">
        <v>191.261</v>
      </c>
      <c r="AB104" s="84">
        <v>191.04900000000001</v>
      </c>
      <c r="AC104" s="84">
        <v>187.93600000000001</v>
      </c>
      <c r="AD104" s="84">
        <v>183.999</v>
      </c>
      <c r="AE104" s="30">
        <v>184.16800000000001</v>
      </c>
      <c r="AF104" s="84">
        <v>185.52600000000001</v>
      </c>
      <c r="AG104" s="84">
        <v>186.922</v>
      </c>
      <c r="AH104" s="84">
        <v>187.86099999999999</v>
      </c>
      <c r="AI104" s="30">
        <v>189.048</v>
      </c>
      <c r="AJ104" s="84">
        <v>190.072</v>
      </c>
      <c r="AK104" s="84">
        <v>190.70400000000001</v>
      </c>
      <c r="AL104" s="84">
        <v>196.255</v>
      </c>
      <c r="AM104" s="30">
        <v>201.82900000000001</v>
      </c>
      <c r="AN104" s="84">
        <v>204.56700000000001</v>
      </c>
      <c r="AO104" s="84">
        <v>200.19900000000001</v>
      </c>
      <c r="AP104" s="84">
        <v>203.291</v>
      </c>
      <c r="AQ104" s="30">
        <v>206.017</v>
      </c>
      <c r="AR104" s="84">
        <v>203.7</v>
      </c>
      <c r="AS104" s="84">
        <v>194.06</v>
      </c>
      <c r="AT104" s="84">
        <v>204.405</v>
      </c>
      <c r="AU104" s="30">
        <v>209.446</v>
      </c>
      <c r="AV104" s="88">
        <v>212.26599999999999</v>
      </c>
      <c r="AW104" s="84">
        <v>216.47499999999999</v>
      </c>
      <c r="AX104" s="84">
        <v>219.089</v>
      </c>
      <c r="AY104" s="30">
        <v>222.68899999999999</v>
      </c>
      <c r="AZ104" s="89">
        <v>224.52699999999999</v>
      </c>
      <c r="BA104" s="84">
        <v>225.28399999999999</v>
      </c>
      <c r="BB104" s="84">
        <v>223.48699999999999</v>
      </c>
      <c r="BC104" s="30">
        <v>220.947</v>
      </c>
      <c r="BD104" s="89">
        <v>216.767</v>
      </c>
      <c r="BE104" s="84">
        <v>217.09899999999999</v>
      </c>
      <c r="BF104" s="84">
        <v>217.97499999999999</v>
      </c>
      <c r="BG104" s="30">
        <v>217.71100000000001</v>
      </c>
      <c r="BH104" s="89">
        <v>214.345</v>
      </c>
      <c r="BI104" s="84">
        <v>233.96</v>
      </c>
      <c r="BJ104" s="84">
        <v>235.42400000000001</v>
      </c>
      <c r="BK104" s="30">
        <v>239.17099999999999</v>
      </c>
      <c r="BL104" s="89">
        <v>242.90199999999999</v>
      </c>
      <c r="BM104" s="84">
        <v>244.767</v>
      </c>
      <c r="BN104" s="84">
        <v>234.10599999999999</v>
      </c>
      <c r="BO104" s="87">
        <f t="shared" ref="BO104" si="354">BN104+(BO105-BN105)</f>
        <v>235.78100000000001</v>
      </c>
      <c r="BP104" s="296">
        <f t="shared" si="346"/>
        <v>236.28100000000001</v>
      </c>
      <c r="BQ104" s="86">
        <f t="shared" si="347"/>
        <v>236.78100000000001</v>
      </c>
      <c r="BR104" s="86">
        <f t="shared" si="348"/>
        <v>237.28100000000001</v>
      </c>
      <c r="BS104" s="87">
        <f t="shared" si="349"/>
        <v>237.78100000000001</v>
      </c>
      <c r="BT104" s="86">
        <f t="shared" si="350"/>
        <v>238.28100000000001</v>
      </c>
      <c r="BU104" s="86">
        <f t="shared" si="351"/>
        <v>238.78100000000001</v>
      </c>
      <c r="BV104" s="86">
        <f t="shared" si="352"/>
        <v>239.28100000000001</v>
      </c>
      <c r="BW104" s="86">
        <f t="shared" si="353"/>
        <v>239.78100000000001</v>
      </c>
      <c r="BX104" s="160"/>
      <c r="BY104" s="296">
        <f>AVERAGE(D104:G104)</f>
        <v>210.73524999999998</v>
      </c>
      <c r="BZ104" s="86">
        <f>AVERAGE(H104:K104)</f>
        <v>213.18949999999998</v>
      </c>
      <c r="CA104" s="86">
        <f>AVERAGE(L104:O104)</f>
        <v>211.96799999999999</v>
      </c>
      <c r="CB104" s="86">
        <f>AVERAGE(P104:S104)</f>
        <v>215.14275000000001</v>
      </c>
      <c r="CC104" s="86">
        <f>AVERAGE(T104:W104)</f>
        <v>220.60399999999998</v>
      </c>
      <c r="CD104" s="86">
        <f>AVERAGE(X104:AA104)</f>
        <v>212.04849999999999</v>
      </c>
      <c r="CE104" s="86">
        <f>AVERAGE(AB104:AE104)</f>
        <v>186.78800000000001</v>
      </c>
      <c r="CF104" s="86">
        <f>AVERAGE(AF104:AI104)</f>
        <v>187.33924999999999</v>
      </c>
      <c r="CG104" s="86">
        <f>AVERAGE(AJ104:AM104)</f>
        <v>194.71499999999997</v>
      </c>
      <c r="CH104" s="86">
        <f>AVERAGE(AN104:AQ104)</f>
        <v>203.51850000000002</v>
      </c>
      <c r="CI104" s="86">
        <f>AVERAGE(AR104:AU104)</f>
        <v>202.90275</v>
      </c>
      <c r="CJ104" s="86">
        <f>AVERAGE(AV104:AY104)</f>
        <v>217.62974999999997</v>
      </c>
      <c r="CK104" s="86">
        <f>AVERAGE(AZ104:BC104)</f>
        <v>223.56125</v>
      </c>
      <c r="CL104" s="86">
        <f>AVERAGE(BD104:BG104)</f>
        <v>217.38800000000001</v>
      </c>
      <c r="CM104" s="86">
        <f>AVERAGE(BH104:BK104)</f>
        <v>230.72500000000002</v>
      </c>
      <c r="CN104" s="86">
        <f>AVERAGE(BL104:BO104)</f>
        <v>239.38900000000001</v>
      </c>
      <c r="CO104" s="86">
        <f>AVERAGE(BP104:BS104)</f>
        <v>237.03100000000001</v>
      </c>
      <c r="CP104" s="87">
        <f>AVERAGE(BT104:BW104)</f>
        <v>239.03100000000001</v>
      </c>
      <c r="CQ104" s="160"/>
      <c r="CR104" s="296">
        <f>AVERAGE(G104:J104)</f>
        <v>212.23050000000001</v>
      </c>
      <c r="CS104" s="86">
        <f>AVERAGE(K104:N104)</f>
        <v>212.69325000000001</v>
      </c>
      <c r="CT104" s="86">
        <f>AVERAGE(O104:R104)</f>
        <v>213.80949999999999</v>
      </c>
      <c r="CU104" s="86">
        <f>AVERAGE(S104:V104)</f>
        <v>219.26374999999999</v>
      </c>
      <c r="CV104" s="86">
        <f>AVERAGE(W104:Z104)</f>
        <v>219.85124999999999</v>
      </c>
      <c r="CW104" s="86">
        <f>AVERAGE(AA104:AD104)</f>
        <v>188.56125</v>
      </c>
      <c r="CX104" s="86">
        <f>AVERAGE(AE104:AH104)</f>
        <v>186.11924999999999</v>
      </c>
      <c r="CY104" s="86">
        <f>AVERAGE(AI104:AL104)</f>
        <v>191.51975000000002</v>
      </c>
      <c r="CZ104" s="86">
        <f>AVERAGE(AM104:AP104)</f>
        <v>202.47149999999999</v>
      </c>
      <c r="DA104" s="86">
        <f>AVERAGE(AQ104:AT104)</f>
        <v>202.0455</v>
      </c>
      <c r="DB104" s="86">
        <f>AVERAGE(AU104:AX104)</f>
        <v>214.31900000000002</v>
      </c>
      <c r="DC104" s="86">
        <f>AVERAGE(AY104:BB104)</f>
        <v>223.99674999999999</v>
      </c>
      <c r="DD104" s="86">
        <f>AVERAGE(BC104:BF104)</f>
        <v>218.197</v>
      </c>
      <c r="DE104" s="86">
        <f>AVERAGE(BG104:BJ104)</f>
        <v>225.36</v>
      </c>
      <c r="DF104" s="86">
        <f>AVERAGE(BK104:BN104)</f>
        <v>240.23649999999998</v>
      </c>
      <c r="DG104" s="86">
        <f>AVERAGE(BO104:BR104)</f>
        <v>236.53100000000001</v>
      </c>
      <c r="DH104" s="86">
        <f>AVERAGE(BS104:BV104)</f>
        <v>238.53100000000001</v>
      </c>
      <c r="DI104" s="23"/>
    </row>
    <row r="105" spans="1:119" ht="14.25" customHeight="1">
      <c r="A105" s="11"/>
      <c r="B105" s="612" t="s">
        <v>491</v>
      </c>
      <c r="C105" s="24"/>
      <c r="D105" s="84">
        <v>211.52699999999999</v>
      </c>
      <c r="E105" s="84">
        <v>209.642</v>
      </c>
      <c r="F105" s="84">
        <v>210.929</v>
      </c>
      <c r="G105" s="30">
        <v>210.84299999999999</v>
      </c>
      <c r="H105" s="84">
        <v>210.15700000000001</v>
      </c>
      <c r="I105" s="84">
        <v>212.578</v>
      </c>
      <c r="J105" s="84">
        <v>215.34399999999999</v>
      </c>
      <c r="K105" s="30">
        <v>214.679</v>
      </c>
      <c r="L105" s="84">
        <v>212.964</v>
      </c>
      <c r="M105" s="84">
        <v>211.40299999999999</v>
      </c>
      <c r="N105" s="84">
        <v>211.727</v>
      </c>
      <c r="O105" s="30">
        <v>211.77799999999999</v>
      </c>
      <c r="P105" s="84">
        <v>213.10499999999999</v>
      </c>
      <c r="Q105" s="84">
        <v>214.68799999999999</v>
      </c>
      <c r="R105" s="84">
        <v>215.667</v>
      </c>
      <c r="S105" s="30">
        <v>217.11099999999999</v>
      </c>
      <c r="T105" s="84">
        <v>219.791</v>
      </c>
      <c r="U105" s="84">
        <v>219.233</v>
      </c>
      <c r="V105" s="84">
        <v>220.92</v>
      </c>
      <c r="W105" s="30">
        <v>222.47200000000001</v>
      </c>
      <c r="X105" s="84">
        <v>223.59200000000001</v>
      </c>
      <c r="Y105" s="84">
        <v>222.00399999999999</v>
      </c>
      <c r="Z105" s="84">
        <v>211.33699999999999</v>
      </c>
      <c r="AA105" s="30">
        <v>191.261</v>
      </c>
      <c r="AB105" s="84">
        <v>191.04900000000001</v>
      </c>
      <c r="AC105" s="84">
        <v>187.93600000000001</v>
      </c>
      <c r="AD105" s="84">
        <v>183.999</v>
      </c>
      <c r="AE105" s="30">
        <v>184.16800000000001</v>
      </c>
      <c r="AF105" s="84">
        <v>185.52600000000001</v>
      </c>
      <c r="AG105" s="84">
        <v>186.922</v>
      </c>
      <c r="AH105" s="84">
        <v>187.86099999999999</v>
      </c>
      <c r="AI105" s="30">
        <v>189.048</v>
      </c>
      <c r="AJ105" s="84">
        <v>190.072</v>
      </c>
      <c r="AK105" s="84">
        <v>190.70400000000001</v>
      </c>
      <c r="AL105" s="84">
        <v>196.255</v>
      </c>
      <c r="AM105" s="30">
        <v>201.82900000000001</v>
      </c>
      <c r="AN105" s="84">
        <v>204.56700000000001</v>
      </c>
      <c r="AO105" s="84">
        <v>200.19900000000001</v>
      </c>
      <c r="AP105" s="84">
        <v>203.291</v>
      </c>
      <c r="AQ105" s="30">
        <v>206.017</v>
      </c>
      <c r="AR105" s="84">
        <v>203.7</v>
      </c>
      <c r="AS105" s="84">
        <v>194.06</v>
      </c>
      <c r="AT105" s="84">
        <v>204.405</v>
      </c>
      <c r="AU105" s="30">
        <v>209.446</v>
      </c>
      <c r="AV105" s="88">
        <v>212.26599999999999</v>
      </c>
      <c r="AW105" s="84">
        <v>216.47499999999999</v>
      </c>
      <c r="AX105" s="84">
        <v>219.089</v>
      </c>
      <c r="AY105" s="30">
        <v>221.947</v>
      </c>
      <c r="AZ105" s="89">
        <v>223.88900000000001</v>
      </c>
      <c r="BA105" s="84">
        <v>224.68199999999999</v>
      </c>
      <c r="BB105" s="84">
        <v>223.00700000000001</v>
      </c>
      <c r="BC105" s="30">
        <v>220.42</v>
      </c>
      <c r="BD105" s="89">
        <v>216.25299999999999</v>
      </c>
      <c r="BE105" s="84">
        <v>217.09899999999999</v>
      </c>
      <c r="BF105" s="84">
        <v>217.97499999999999</v>
      </c>
      <c r="BG105" s="30">
        <v>217.71100000000001</v>
      </c>
      <c r="BH105" s="89">
        <v>230.67</v>
      </c>
      <c r="BI105" s="84">
        <v>233.96</v>
      </c>
      <c r="BJ105" s="84">
        <v>235.42400000000001</v>
      </c>
      <c r="BK105" s="30">
        <v>239.17099999999999</v>
      </c>
      <c r="BL105" s="89">
        <v>242.90199999999999</v>
      </c>
      <c r="BM105" s="84">
        <v>244.767</v>
      </c>
      <c r="BN105" s="84">
        <v>250.82499999999999</v>
      </c>
      <c r="BO105" s="87">
        <v>252.5</v>
      </c>
      <c r="BP105" s="296">
        <f t="shared" ref="BP105:BS105" si="355">BO105+0.5</f>
        <v>253</v>
      </c>
      <c r="BQ105" s="86">
        <f t="shared" si="355"/>
        <v>253.5</v>
      </c>
      <c r="BR105" s="86">
        <f t="shared" si="355"/>
        <v>254</v>
      </c>
      <c r="BS105" s="87">
        <f t="shared" si="355"/>
        <v>254.5</v>
      </c>
      <c r="BT105" s="86">
        <f t="shared" ref="BT105" si="356">BS105+0.5</f>
        <v>255</v>
      </c>
      <c r="BU105" s="86">
        <f t="shared" ref="BU105" si="357">BT105+0.5</f>
        <v>255.5</v>
      </c>
      <c r="BV105" s="86">
        <f t="shared" ref="BV105" si="358">BU105+0.5</f>
        <v>256</v>
      </c>
      <c r="BW105" s="87">
        <f t="shared" ref="BW105" si="359">BV105+0.5</f>
        <v>256.5</v>
      </c>
      <c r="BX105" s="160"/>
      <c r="BY105" s="296">
        <f>AVERAGE(D105:G105)</f>
        <v>210.73524999999998</v>
      </c>
      <c r="BZ105" s="86">
        <f>AVERAGE(H105:K105)</f>
        <v>213.18949999999998</v>
      </c>
      <c r="CA105" s="86">
        <f>AVERAGE(L105:O105)</f>
        <v>211.96799999999999</v>
      </c>
      <c r="CB105" s="86">
        <f>AVERAGE(P105:S105)</f>
        <v>215.14275000000001</v>
      </c>
      <c r="CC105" s="86">
        <f>AVERAGE(T105:W105)</f>
        <v>220.60399999999998</v>
      </c>
      <c r="CD105" s="86">
        <f>AVERAGE(X105:AA105)</f>
        <v>212.04849999999999</v>
      </c>
      <c r="CE105" s="86">
        <f>AVERAGE(AB105:AE105)</f>
        <v>186.78800000000001</v>
      </c>
      <c r="CF105" s="86">
        <f>AVERAGE(AF105:AI105)</f>
        <v>187.33924999999999</v>
      </c>
      <c r="CG105" s="86">
        <f>AVERAGE(AJ105:AM105)</f>
        <v>194.71499999999997</v>
      </c>
      <c r="CH105" s="86">
        <f>AVERAGE(AN105:AQ105)</f>
        <v>203.51850000000002</v>
      </c>
      <c r="CI105" s="86">
        <f>AVERAGE(AR105:AU105)</f>
        <v>202.90275</v>
      </c>
      <c r="CJ105" s="86">
        <f>AVERAGE(AV105:AY105)</f>
        <v>217.44424999999998</v>
      </c>
      <c r="CK105" s="86">
        <f>AVERAGE(AZ105:BC105)</f>
        <v>222.99949999999998</v>
      </c>
      <c r="CL105" s="86">
        <f>AVERAGE(BD105:BG105)</f>
        <v>217.2595</v>
      </c>
      <c r="CM105" s="86">
        <f>AVERAGE(BH105:BK105)</f>
        <v>234.80624999999998</v>
      </c>
      <c r="CN105" s="86">
        <f>AVERAGE(BL105:BO105)</f>
        <v>247.74849999999998</v>
      </c>
      <c r="CO105" s="86">
        <f>AVERAGE(BP105:BS105)</f>
        <v>253.75</v>
      </c>
      <c r="CP105" s="87">
        <f>AVERAGE(BT105:BW105)</f>
        <v>255.75</v>
      </c>
      <c r="CQ105" s="160"/>
      <c r="CR105" s="296">
        <f>AVERAGE(G105:J105)</f>
        <v>212.23050000000001</v>
      </c>
      <c r="CS105" s="86">
        <f>AVERAGE(K105:N105)</f>
        <v>212.69325000000001</v>
      </c>
      <c r="CT105" s="86">
        <f>AVERAGE(O105:R105)</f>
        <v>213.80949999999999</v>
      </c>
      <c r="CU105" s="86">
        <f>AVERAGE(S105:V105)</f>
        <v>219.26374999999999</v>
      </c>
      <c r="CV105" s="86">
        <f>AVERAGE(W105:Z105)</f>
        <v>219.85124999999999</v>
      </c>
      <c r="CW105" s="86">
        <f>AVERAGE(AA105:AD105)</f>
        <v>188.56125</v>
      </c>
      <c r="CX105" s="86">
        <f>AVERAGE(AE105:AH105)</f>
        <v>186.11924999999999</v>
      </c>
      <c r="CY105" s="86">
        <f>AVERAGE(AI105:AL105)</f>
        <v>191.51975000000002</v>
      </c>
      <c r="CZ105" s="86">
        <f>AVERAGE(AM105:AP105)</f>
        <v>202.47149999999999</v>
      </c>
      <c r="DA105" s="86">
        <f>AVERAGE(AQ105:AT105)</f>
        <v>202.0455</v>
      </c>
      <c r="DB105" s="86">
        <f>AVERAGE(AU105:AX105)</f>
        <v>214.31900000000002</v>
      </c>
      <c r="DC105" s="86">
        <f>AVERAGE(AY105:BB105)</f>
        <v>223.38125000000002</v>
      </c>
      <c r="DD105" s="86">
        <f>AVERAGE(BC105:BF105)</f>
        <v>217.93674999999999</v>
      </c>
      <c r="DE105" s="86">
        <f>AVERAGE(BG105:BJ105)</f>
        <v>229.44125</v>
      </c>
      <c r="DF105" s="86">
        <f>AVERAGE(BK105:BN105)</f>
        <v>244.41624999999999</v>
      </c>
      <c r="DG105" s="86">
        <f>AVERAGE(BO105:BR105)</f>
        <v>253.25</v>
      </c>
      <c r="DH105" s="86">
        <f>AVERAGE(BS105:BV105)</f>
        <v>255.25</v>
      </c>
      <c r="DI105" s="23"/>
    </row>
    <row r="106" spans="1:119" ht="14.25" customHeight="1">
      <c r="A106" s="11"/>
      <c r="B106" s="612" t="s">
        <v>329</v>
      </c>
      <c r="C106" s="24"/>
      <c r="D106" s="84"/>
      <c r="E106" s="84"/>
      <c r="F106" s="84"/>
      <c r="G106" s="30"/>
      <c r="H106" s="84"/>
      <c r="I106" s="84"/>
      <c r="J106" s="84"/>
      <c r="K106" s="30"/>
      <c r="L106" s="84"/>
      <c r="M106" s="84"/>
      <c r="N106" s="84"/>
      <c r="O106" s="30"/>
      <c r="P106" s="84"/>
      <c r="Q106" s="84"/>
      <c r="R106" s="84"/>
      <c r="S106" s="30"/>
      <c r="T106" s="84"/>
      <c r="U106" s="84"/>
      <c r="V106" s="84"/>
      <c r="W106" s="30"/>
      <c r="X106" s="84"/>
      <c r="Y106" s="84"/>
      <c r="Z106" s="84"/>
      <c r="AA106" s="30"/>
      <c r="AB106" s="84"/>
      <c r="AC106" s="84"/>
      <c r="AD106" s="84"/>
      <c r="AE106" s="30"/>
      <c r="AF106" s="84"/>
      <c r="AG106" s="84"/>
      <c r="AH106" s="84"/>
      <c r="AI106" s="30"/>
      <c r="AJ106" s="84"/>
      <c r="AK106" s="84"/>
      <c r="AL106" s="84"/>
      <c r="AM106" s="30"/>
      <c r="AN106" s="84"/>
      <c r="AO106" s="84"/>
      <c r="AP106" s="84"/>
      <c r="AQ106" s="30"/>
      <c r="AR106" s="84"/>
      <c r="AS106" s="84"/>
      <c r="AT106" s="84"/>
      <c r="AU106" s="30"/>
      <c r="AV106" s="86"/>
      <c r="AW106" s="84"/>
      <c r="AX106" s="86"/>
      <c r="AY106" s="30"/>
      <c r="AZ106" s="296"/>
      <c r="BA106" s="86"/>
      <c r="BB106" s="86"/>
      <c r="BC106" s="30"/>
      <c r="BD106" s="296"/>
      <c r="BE106" s="86"/>
      <c r="BF106" s="86"/>
      <c r="BG106" s="30"/>
      <c r="BH106" s="296"/>
      <c r="BI106" s="86"/>
      <c r="BJ106" s="86"/>
      <c r="BK106" s="86"/>
      <c r="BL106" s="296"/>
      <c r="BM106" s="86"/>
      <c r="BN106" s="86"/>
      <c r="BO106" s="87"/>
      <c r="BP106" s="296"/>
      <c r="BQ106" s="86"/>
      <c r="BR106" s="86"/>
      <c r="BS106" s="87"/>
      <c r="BT106" s="86"/>
      <c r="BU106" s="86"/>
      <c r="BV106" s="86"/>
      <c r="BW106" s="87"/>
      <c r="BX106" s="160"/>
      <c r="BY106" s="89"/>
      <c r="BZ106" s="88"/>
      <c r="CA106" s="88"/>
      <c r="CB106" s="88"/>
      <c r="CC106" s="88"/>
      <c r="CD106" s="88"/>
      <c r="CE106" s="88"/>
      <c r="CF106" s="88"/>
      <c r="CG106" s="88"/>
      <c r="CH106" s="86"/>
      <c r="CI106" s="86"/>
      <c r="CJ106" s="86"/>
      <c r="CK106" s="86"/>
      <c r="CL106" s="86"/>
      <c r="CM106" s="86"/>
      <c r="CN106" s="86"/>
      <c r="CO106" s="86"/>
      <c r="CP106" s="87"/>
      <c r="CQ106" s="160"/>
      <c r="CR106" s="296"/>
      <c r="CS106" s="86"/>
      <c r="CT106" s="86"/>
      <c r="CU106" s="86"/>
      <c r="CV106" s="86"/>
      <c r="CW106" s="86"/>
      <c r="CX106" s="86"/>
      <c r="CY106" s="86"/>
      <c r="CZ106" s="86"/>
      <c r="DA106" s="86"/>
      <c r="DB106" s="86"/>
      <c r="DC106" s="86"/>
      <c r="DD106" s="86"/>
      <c r="DE106" s="86"/>
      <c r="DF106" s="86"/>
      <c r="DG106" s="86"/>
      <c r="DH106" s="86"/>
      <c r="DI106" s="23"/>
    </row>
    <row r="107" spans="1:119" ht="14.25" customHeight="1">
      <c r="A107" s="11"/>
      <c r="B107" s="612"/>
      <c r="C107" s="24"/>
      <c r="D107" s="84"/>
      <c r="E107" s="84"/>
      <c r="F107" s="84"/>
      <c r="G107" s="30"/>
      <c r="H107" s="84"/>
      <c r="I107" s="84"/>
      <c r="J107" s="84"/>
      <c r="K107" s="30"/>
      <c r="L107" s="84"/>
      <c r="M107" s="84"/>
      <c r="N107" s="84"/>
      <c r="O107" s="30"/>
      <c r="P107" s="84"/>
      <c r="Q107" s="84"/>
      <c r="R107" s="84"/>
      <c r="S107" s="30"/>
      <c r="T107" s="84"/>
      <c r="U107" s="84"/>
      <c r="V107" s="84"/>
      <c r="W107" s="30"/>
      <c r="X107" s="84"/>
      <c r="Y107" s="84"/>
      <c r="Z107" s="84"/>
      <c r="AA107" s="30"/>
      <c r="AB107" s="84"/>
      <c r="AC107" s="84"/>
      <c r="AD107" s="84"/>
      <c r="AE107" s="30"/>
      <c r="AF107" s="84"/>
      <c r="AG107" s="84"/>
      <c r="AH107" s="84"/>
      <c r="AI107" s="30"/>
      <c r="AJ107" s="84"/>
      <c r="AK107" s="84"/>
      <c r="AL107" s="84"/>
      <c r="AM107" s="30"/>
      <c r="AN107" s="84"/>
      <c r="AO107" s="84"/>
      <c r="AP107" s="84"/>
      <c r="AQ107" s="30"/>
      <c r="AR107" s="84"/>
      <c r="AS107" s="84"/>
      <c r="AT107" s="84"/>
      <c r="AU107" s="30"/>
      <c r="AV107" s="86"/>
      <c r="AW107" s="84"/>
      <c r="AX107" s="86"/>
      <c r="AY107" s="30"/>
      <c r="AZ107" s="296"/>
      <c r="BA107" s="86"/>
      <c r="BB107" s="86"/>
      <c r="BC107" s="30"/>
      <c r="BD107" s="296"/>
      <c r="BE107" s="86"/>
      <c r="BF107" s="86"/>
      <c r="BG107" s="30"/>
      <c r="BH107" s="296"/>
      <c r="BI107" s="86"/>
      <c r="BJ107" s="86"/>
      <c r="BK107" s="86"/>
      <c r="BL107" s="296"/>
      <c r="BM107" s="86"/>
      <c r="BN107" s="86"/>
      <c r="BO107" s="87"/>
      <c r="BP107" s="296"/>
      <c r="BQ107" s="86"/>
      <c r="BR107" s="86"/>
      <c r="BS107" s="87"/>
      <c r="BT107" s="86"/>
      <c r="BU107" s="86"/>
      <c r="BV107" s="86"/>
      <c r="BW107" s="87"/>
      <c r="BX107" s="160"/>
      <c r="BY107" s="89"/>
      <c r="BZ107" s="88"/>
      <c r="CA107" s="88"/>
      <c r="CB107" s="88"/>
      <c r="CC107" s="88"/>
      <c r="CD107" s="88"/>
      <c r="CE107" s="88"/>
      <c r="CF107" s="88"/>
      <c r="CG107" s="88"/>
      <c r="CH107" s="86"/>
      <c r="CI107" s="86"/>
      <c r="CJ107" s="86"/>
      <c r="CK107" s="86"/>
      <c r="CL107" s="86"/>
      <c r="CM107" s="86"/>
      <c r="CN107" s="86"/>
      <c r="CO107" s="86"/>
      <c r="CP107" s="87"/>
      <c r="CQ107" s="160"/>
      <c r="CR107" s="296"/>
      <c r="CS107" s="86"/>
      <c r="CT107" s="86"/>
      <c r="CU107" s="86"/>
      <c r="CV107" s="86"/>
      <c r="CW107" s="86"/>
      <c r="CX107" s="86"/>
      <c r="CY107" s="86"/>
      <c r="CZ107" s="86"/>
      <c r="DA107" s="86"/>
      <c r="DB107" s="86"/>
      <c r="DC107" s="86"/>
      <c r="DD107" s="86"/>
      <c r="DE107" s="86"/>
      <c r="DF107" s="86"/>
      <c r="DG107" s="86"/>
      <c r="DH107" s="86"/>
      <c r="DI107" s="23"/>
    </row>
    <row r="108" spans="1:119" ht="14.25" customHeight="1">
      <c r="A108" s="11"/>
      <c r="B108" s="612" t="s">
        <v>331</v>
      </c>
      <c r="C108" s="24"/>
      <c r="D108" s="81">
        <f t="shared" ref="D108:O108" si="360">+D104</f>
        <v>211.52699999999999</v>
      </c>
      <c r="E108" s="81">
        <f t="shared" si="360"/>
        <v>209.642</v>
      </c>
      <c r="F108" s="81">
        <f t="shared" si="360"/>
        <v>210.929</v>
      </c>
      <c r="G108" s="32">
        <f t="shared" si="360"/>
        <v>210.84299999999999</v>
      </c>
      <c r="H108" s="81">
        <f t="shared" si="360"/>
        <v>210.15700000000001</v>
      </c>
      <c r="I108" s="81">
        <f t="shared" si="360"/>
        <v>212.578</v>
      </c>
      <c r="J108" s="81">
        <f t="shared" si="360"/>
        <v>215.34399999999999</v>
      </c>
      <c r="K108" s="32">
        <f t="shared" si="360"/>
        <v>214.679</v>
      </c>
      <c r="L108" s="81">
        <f t="shared" si="360"/>
        <v>212.964</v>
      </c>
      <c r="M108" s="81">
        <f t="shared" si="360"/>
        <v>211.40299999999999</v>
      </c>
      <c r="N108" s="81">
        <f t="shared" si="360"/>
        <v>211.727</v>
      </c>
      <c r="O108" s="32">
        <f t="shared" si="360"/>
        <v>211.77799999999999</v>
      </c>
      <c r="P108" s="81">
        <f>+P104</f>
        <v>213.10499999999999</v>
      </c>
      <c r="Q108" s="81">
        <f t="shared" ref="Q108:DB108" si="361">+Q104</f>
        <v>214.68799999999999</v>
      </c>
      <c r="R108" s="81">
        <f t="shared" si="361"/>
        <v>215.667</v>
      </c>
      <c r="S108" s="32">
        <f t="shared" si="361"/>
        <v>217.11099999999999</v>
      </c>
      <c r="T108" s="81">
        <f t="shared" si="361"/>
        <v>219.791</v>
      </c>
      <c r="U108" s="81">
        <f t="shared" si="361"/>
        <v>219.233</v>
      </c>
      <c r="V108" s="81">
        <f t="shared" si="361"/>
        <v>220.92</v>
      </c>
      <c r="W108" s="32">
        <f t="shared" si="361"/>
        <v>222.47200000000001</v>
      </c>
      <c r="X108" s="81">
        <f t="shared" si="361"/>
        <v>223.59200000000001</v>
      </c>
      <c r="Y108" s="81">
        <f t="shared" si="361"/>
        <v>222.00399999999999</v>
      </c>
      <c r="Z108" s="81">
        <f t="shared" si="361"/>
        <v>211.33699999999999</v>
      </c>
      <c r="AA108" s="32">
        <f t="shared" si="361"/>
        <v>191.261</v>
      </c>
      <c r="AB108" s="81">
        <f t="shared" si="361"/>
        <v>191.04900000000001</v>
      </c>
      <c r="AC108" s="81">
        <f t="shared" si="361"/>
        <v>187.93600000000001</v>
      </c>
      <c r="AD108" s="81">
        <f t="shared" si="361"/>
        <v>183.999</v>
      </c>
      <c r="AE108" s="32">
        <f t="shared" si="361"/>
        <v>184.16800000000001</v>
      </c>
      <c r="AF108" s="81">
        <f t="shared" si="361"/>
        <v>185.52600000000001</v>
      </c>
      <c r="AG108" s="81">
        <f t="shared" si="361"/>
        <v>186.922</v>
      </c>
      <c r="AH108" s="81">
        <f t="shared" si="361"/>
        <v>187.86099999999999</v>
      </c>
      <c r="AI108" s="32">
        <f t="shared" si="361"/>
        <v>189.048</v>
      </c>
      <c r="AJ108" s="81">
        <f t="shared" si="361"/>
        <v>190.072</v>
      </c>
      <c r="AK108" s="81">
        <f t="shared" si="361"/>
        <v>190.70400000000001</v>
      </c>
      <c r="AL108" s="81">
        <f t="shared" si="361"/>
        <v>196.255</v>
      </c>
      <c r="AM108" s="30">
        <v>189.541707</v>
      </c>
      <c r="AN108" s="84">
        <v>190.56150400000001</v>
      </c>
      <c r="AO108" s="84">
        <v>191.127533</v>
      </c>
      <c r="AP108" s="84">
        <v>192.05384900000001</v>
      </c>
      <c r="AQ108" s="30">
        <v>193.150532</v>
      </c>
      <c r="AR108" s="84">
        <v>193.682267</v>
      </c>
      <c r="AS108" s="84">
        <v>194.49686700000001</v>
      </c>
      <c r="AT108" s="84">
        <v>195.34188499999999</v>
      </c>
      <c r="AU108" s="32">
        <f>AU104</f>
        <v>209.446</v>
      </c>
      <c r="AV108" s="86">
        <v>193.682267</v>
      </c>
      <c r="AW108" s="86">
        <f t="shared" si="361"/>
        <v>216.47499999999999</v>
      </c>
      <c r="AX108" s="86">
        <f t="shared" si="361"/>
        <v>219.089</v>
      </c>
      <c r="AY108" s="32">
        <f t="shared" si="361"/>
        <v>222.68899999999999</v>
      </c>
      <c r="AZ108" s="296">
        <v>193.682267</v>
      </c>
      <c r="BA108" s="86">
        <f>+BA104</f>
        <v>225.28399999999999</v>
      </c>
      <c r="BB108" s="86">
        <f>+BB104</f>
        <v>223.48699999999999</v>
      </c>
      <c r="BC108" s="32">
        <f>+BC104</f>
        <v>220.947</v>
      </c>
      <c r="BD108" s="296">
        <v>193.682267</v>
      </c>
      <c r="BE108" s="86">
        <f t="shared" ref="BE108:BO108" si="362">+BE104</f>
        <v>217.09899999999999</v>
      </c>
      <c r="BF108" s="86">
        <f t="shared" si="362"/>
        <v>217.97499999999999</v>
      </c>
      <c r="BG108" s="32">
        <f t="shared" si="362"/>
        <v>217.71100000000001</v>
      </c>
      <c r="BH108" s="296">
        <v>193.682267</v>
      </c>
      <c r="BI108" s="86">
        <f t="shared" ref="BI108:BJ108" si="363">+BI104</f>
        <v>233.96</v>
      </c>
      <c r="BJ108" s="86">
        <f t="shared" si="363"/>
        <v>235.42400000000001</v>
      </c>
      <c r="BK108" s="86">
        <f t="shared" si="362"/>
        <v>239.17099999999999</v>
      </c>
      <c r="BL108" s="296">
        <f t="shared" si="362"/>
        <v>242.90199999999999</v>
      </c>
      <c r="BM108" s="86">
        <f t="shared" si="362"/>
        <v>244.767</v>
      </c>
      <c r="BN108" s="86">
        <f t="shared" si="362"/>
        <v>234.10599999999999</v>
      </c>
      <c r="BO108" s="87">
        <f t="shared" si="362"/>
        <v>235.78100000000001</v>
      </c>
      <c r="BP108" s="296">
        <f t="shared" ref="BP108:BW108" si="364">+BP104</f>
        <v>236.28100000000001</v>
      </c>
      <c r="BQ108" s="86">
        <f t="shared" si="364"/>
        <v>236.78100000000001</v>
      </c>
      <c r="BR108" s="86">
        <f t="shared" si="364"/>
        <v>237.28100000000001</v>
      </c>
      <c r="BS108" s="87">
        <f t="shared" si="364"/>
        <v>237.78100000000001</v>
      </c>
      <c r="BT108" s="86">
        <f t="shared" si="364"/>
        <v>238.28100000000001</v>
      </c>
      <c r="BU108" s="86">
        <f t="shared" si="364"/>
        <v>238.78100000000001</v>
      </c>
      <c r="BV108" s="86">
        <f t="shared" si="364"/>
        <v>239.28100000000001</v>
      </c>
      <c r="BW108" s="87">
        <f t="shared" si="364"/>
        <v>239.78100000000001</v>
      </c>
      <c r="BX108" s="160"/>
      <c r="BY108" s="296">
        <f>+BY104</f>
        <v>210.73524999999998</v>
      </c>
      <c r="BZ108" s="86">
        <f>+BZ104</f>
        <v>213.18949999999998</v>
      </c>
      <c r="CA108" s="86">
        <f>+CA104</f>
        <v>211.96799999999999</v>
      </c>
      <c r="CB108" s="86">
        <f t="shared" si="361"/>
        <v>215.14275000000001</v>
      </c>
      <c r="CC108" s="86">
        <f t="shared" si="361"/>
        <v>220.60399999999998</v>
      </c>
      <c r="CD108" s="86">
        <f t="shared" si="361"/>
        <v>212.04849999999999</v>
      </c>
      <c r="CE108" s="86">
        <f t="shared" si="361"/>
        <v>186.78800000000001</v>
      </c>
      <c r="CF108" s="86">
        <f t="shared" si="361"/>
        <v>187.33924999999999</v>
      </c>
      <c r="CG108" s="86">
        <f t="shared" si="361"/>
        <v>194.71499999999997</v>
      </c>
      <c r="CH108" s="86">
        <f t="shared" si="361"/>
        <v>203.51850000000002</v>
      </c>
      <c r="CI108" s="86">
        <f t="shared" si="361"/>
        <v>202.90275</v>
      </c>
      <c r="CJ108" s="86">
        <f t="shared" si="361"/>
        <v>217.62974999999997</v>
      </c>
      <c r="CK108" s="86">
        <f t="shared" si="361"/>
        <v>223.56125</v>
      </c>
      <c r="CL108" s="86">
        <f>+CL104</f>
        <v>217.38800000000001</v>
      </c>
      <c r="CM108" s="86">
        <f>+CM104</f>
        <v>230.72500000000002</v>
      </c>
      <c r="CN108" s="86">
        <f>+CN104</f>
        <v>239.38900000000001</v>
      </c>
      <c r="CO108" s="86">
        <f>+CO104</f>
        <v>237.03100000000001</v>
      </c>
      <c r="CP108" s="87">
        <f>+CP104</f>
        <v>239.03100000000001</v>
      </c>
      <c r="CQ108" s="160"/>
      <c r="CR108" s="296">
        <f>+CR104</f>
        <v>212.23050000000001</v>
      </c>
      <c r="CS108" s="86">
        <f>+CS104</f>
        <v>212.69325000000001</v>
      </c>
      <c r="CT108" s="86">
        <f>+CT104</f>
        <v>213.80949999999999</v>
      </c>
      <c r="CU108" s="86">
        <f t="shared" si="361"/>
        <v>219.26374999999999</v>
      </c>
      <c r="CV108" s="86">
        <f t="shared" si="361"/>
        <v>219.85124999999999</v>
      </c>
      <c r="CW108" s="86">
        <f t="shared" si="361"/>
        <v>188.56125</v>
      </c>
      <c r="CX108" s="86">
        <f t="shared" si="361"/>
        <v>186.11924999999999</v>
      </c>
      <c r="CY108" s="86">
        <f t="shared" si="361"/>
        <v>191.51975000000002</v>
      </c>
      <c r="CZ108" s="86">
        <f t="shared" si="361"/>
        <v>202.47149999999999</v>
      </c>
      <c r="DA108" s="86">
        <f t="shared" si="361"/>
        <v>202.0455</v>
      </c>
      <c r="DB108" s="86">
        <f t="shared" si="361"/>
        <v>214.31900000000002</v>
      </c>
      <c r="DC108" s="86">
        <f t="shared" ref="DC108:DH108" si="365">+DC104</f>
        <v>223.99674999999999</v>
      </c>
      <c r="DD108" s="86">
        <f t="shared" si="365"/>
        <v>218.197</v>
      </c>
      <c r="DE108" s="86">
        <f t="shared" si="365"/>
        <v>225.36</v>
      </c>
      <c r="DF108" s="86">
        <f t="shared" si="365"/>
        <v>240.23649999999998</v>
      </c>
      <c r="DG108" s="86">
        <f t="shared" si="365"/>
        <v>236.53100000000001</v>
      </c>
      <c r="DH108" s="86">
        <f t="shared" si="365"/>
        <v>238.53100000000001</v>
      </c>
      <c r="DI108" s="23"/>
    </row>
    <row r="109" spans="1:119" ht="14.25" customHeight="1">
      <c r="A109" s="11"/>
      <c r="B109" s="612"/>
      <c r="C109" s="24"/>
      <c r="D109" s="84"/>
      <c r="E109" s="84"/>
      <c r="F109" s="84"/>
      <c r="G109" s="30"/>
      <c r="H109" s="84"/>
      <c r="I109" s="84"/>
      <c r="J109" s="84"/>
      <c r="K109" s="30"/>
      <c r="L109" s="84"/>
      <c r="M109" s="84"/>
      <c r="N109" s="84"/>
      <c r="O109" s="30"/>
      <c r="P109" s="84"/>
      <c r="Q109" s="84"/>
      <c r="R109" s="84"/>
      <c r="S109" s="30"/>
      <c r="T109" s="84"/>
      <c r="U109" s="84"/>
      <c r="V109" s="84"/>
      <c r="W109" s="30"/>
      <c r="X109" s="84"/>
      <c r="Y109" s="84"/>
      <c r="Z109" s="84"/>
      <c r="AA109" s="30"/>
      <c r="AB109" s="84"/>
      <c r="AC109" s="84"/>
      <c r="AD109" s="84"/>
      <c r="AE109" s="30"/>
      <c r="AF109" s="84"/>
      <c r="AG109" s="84"/>
      <c r="AH109" s="84"/>
      <c r="AI109" s="30"/>
      <c r="AJ109" s="84"/>
      <c r="AK109" s="84"/>
      <c r="AL109" s="84"/>
      <c r="AM109" s="30"/>
      <c r="AN109" s="84"/>
      <c r="AO109" s="84"/>
      <c r="AP109" s="84"/>
      <c r="AQ109" s="30"/>
      <c r="AR109" s="84"/>
      <c r="AS109" s="84"/>
      <c r="AT109" s="84"/>
      <c r="AU109" s="30"/>
      <c r="AV109" s="86"/>
      <c r="AW109" s="84"/>
      <c r="AX109" s="86"/>
      <c r="AY109" s="30"/>
      <c r="AZ109" s="296"/>
      <c r="BA109" s="86"/>
      <c r="BB109" s="86"/>
      <c r="BC109" s="30"/>
      <c r="BD109" s="296"/>
      <c r="BE109" s="86"/>
      <c r="BF109" s="86"/>
      <c r="BG109" s="30"/>
      <c r="BH109" s="296"/>
      <c r="BI109" s="86"/>
      <c r="BJ109" s="86"/>
      <c r="BK109" s="86"/>
      <c r="BL109" s="296"/>
      <c r="BM109" s="86"/>
      <c r="BN109" s="86"/>
      <c r="BO109" s="87"/>
      <c r="BP109" s="296"/>
      <c r="BQ109" s="86"/>
      <c r="BR109" s="86"/>
      <c r="BS109" s="87"/>
      <c r="BT109" s="86"/>
      <c r="BU109" s="86"/>
      <c r="BV109" s="86"/>
      <c r="BW109" s="87"/>
      <c r="BX109" s="160"/>
      <c r="BY109" s="89"/>
      <c r="BZ109" s="88"/>
      <c r="CA109" s="88"/>
      <c r="CB109" s="88"/>
      <c r="CC109" s="88"/>
      <c r="CD109" s="88"/>
      <c r="CE109" s="88"/>
      <c r="CF109" s="88"/>
      <c r="CG109" s="88"/>
      <c r="CH109" s="86"/>
      <c r="CI109" s="86"/>
      <c r="CJ109" s="86"/>
      <c r="CK109" s="86"/>
      <c r="CL109" s="86"/>
      <c r="CM109" s="86"/>
      <c r="CN109" s="86"/>
      <c r="CO109" s="86"/>
      <c r="CP109" s="87"/>
      <c r="CQ109" s="160"/>
      <c r="CR109" s="296"/>
      <c r="CS109" s="86"/>
      <c r="CT109" s="86"/>
      <c r="CU109" s="86"/>
      <c r="CV109" s="86"/>
      <c r="CW109" s="86"/>
      <c r="CX109" s="86"/>
      <c r="CY109" s="86"/>
      <c r="CZ109" s="86"/>
      <c r="DA109" s="86"/>
      <c r="DB109" s="86"/>
      <c r="DC109" s="86"/>
      <c r="DD109" s="86"/>
      <c r="DE109" s="86"/>
      <c r="DF109" s="86"/>
      <c r="DG109" s="86"/>
      <c r="DH109" s="86"/>
      <c r="DI109" s="23"/>
    </row>
    <row r="110" spans="1:119" ht="14.25" customHeight="1">
      <c r="A110" s="11"/>
      <c r="B110" s="612" t="s">
        <v>17</v>
      </c>
      <c r="C110" s="24"/>
      <c r="D110" s="712">
        <f>-CFS!D43/IS!D104</f>
        <v>0</v>
      </c>
      <c r="E110" s="713">
        <f>-CFS!E43/IS!E104</f>
        <v>0</v>
      </c>
      <c r="F110" s="713">
        <f>-CFS!F43/IS!F104</f>
        <v>1.9252923969677E-2</v>
      </c>
      <c r="G110" s="714">
        <f>-CFS!G43/IS!G104</f>
        <v>1.9293977035045033E-2</v>
      </c>
      <c r="H110" s="712">
        <f>-CFS!H43/IS!H104</f>
        <v>2.3282593489629178E-2</v>
      </c>
      <c r="I110" s="713">
        <f>-CFS!I43/IS!I104</f>
        <v>2.313974164777164E-2</v>
      </c>
      <c r="J110" s="713">
        <f>-CFS!J43/IS!J104</f>
        <v>2.8897949327587488E-2</v>
      </c>
      <c r="K110" s="714">
        <f>-CFS!K43/IS!K104</f>
        <v>3.3939043874808443E-2</v>
      </c>
      <c r="L110" s="712">
        <f>-CFS!L43/IS!L104</f>
        <v>3.8814071861910937E-2</v>
      </c>
      <c r="M110" s="713">
        <f>-CFS!M43/IS!M104</f>
        <v>4.4810149335629115E-2</v>
      </c>
      <c r="N110" s="713">
        <f>-CFS!N43/IS!N104</f>
        <v>5.0782375417400709E-2</v>
      </c>
      <c r="O110" s="714">
        <f>-CFS!O43/IS!O104</f>
        <v>6.8496255512848353E-2</v>
      </c>
      <c r="P110" s="712">
        <f>-CFS!P43/IS!P104</f>
        <v>9.2888482203608569E-2</v>
      </c>
      <c r="Q110" s="713">
        <f>-CFS!Q43/IS!Q104</f>
        <v>0.12190713966313906</v>
      </c>
      <c r="R110" s="713">
        <f>-CFS!R43/IS!R104</f>
        <v>0.15600439566553992</v>
      </c>
      <c r="S110" s="714">
        <f>-CFS!S43/IS!S104</f>
        <v>0.18652670753669784</v>
      </c>
      <c r="T110" s="712">
        <f>-CFS!T43/IS!T104</f>
        <v>0.20958092005587126</v>
      </c>
      <c r="U110" s="713">
        <f>-CFS!U43/IS!U104</f>
        <v>0.23038958550948074</v>
      </c>
      <c r="V110" s="713">
        <f>-CFS!V43/IS!V104</f>
        <v>0.24421962701430394</v>
      </c>
      <c r="W110" s="714">
        <f>-CFS!W43/IS!W104</f>
        <v>0.25788413822863093</v>
      </c>
      <c r="X110" s="712">
        <f>-CFS!X43/IS!X104</f>
        <v>0.27335056710436867</v>
      </c>
      <c r="Y110" s="713">
        <f>-CFS!Y43/IS!Y104</f>
        <v>0.28871101421596007</v>
      </c>
      <c r="Z110" s="713">
        <f>-CFS!Z43/IS!Z104</f>
        <v>0.31408603320762579</v>
      </c>
      <c r="AA110" s="714">
        <f>-CFS!AA43/IS!AA104</f>
        <v>0.31562629077543247</v>
      </c>
      <c r="AB110" s="712">
        <f>-CFS!AB43/IS!AB104</f>
        <v>0.31916942773843354</v>
      </c>
      <c r="AC110" s="713">
        <f>-CFS!AC43/IS!AC104</f>
        <v>0.33079346160395029</v>
      </c>
      <c r="AD110" s="713">
        <f>-CFS!AD43/IS!AD104</f>
        <v>0.33527356126935476</v>
      </c>
      <c r="AE110" s="714">
        <f>-CFS!AE43/IS!AE104</f>
        <v>0.33568263759176409</v>
      </c>
      <c r="AF110" s="712">
        <f>-CFS!AF43/IS!AF104</f>
        <v>0.33413645526772529</v>
      </c>
      <c r="AG110" s="713">
        <f>-CFS!AG43/IS!AG104</f>
        <v>0.33213318924471169</v>
      </c>
      <c r="AH110" s="713">
        <f>-CFS!AH43/IS!AH104</f>
        <v>0.33279925050968534</v>
      </c>
      <c r="AI110" s="714">
        <f>-CFS!AI43/IS!AI104</f>
        <v>0.33304769159155351</v>
      </c>
      <c r="AJ110" s="712">
        <f>-CFS!AJ43/IS!AJ104</f>
        <v>0.33383665137421609</v>
      </c>
      <c r="AK110" s="713">
        <f>-CFS!AK43/IS!AK104</f>
        <v>0.33511620102357581</v>
      </c>
      <c r="AL110" s="713">
        <f>-CFS!AL43/IS!AL104</f>
        <v>0.65958574303839379</v>
      </c>
      <c r="AM110" s="714">
        <f>-CFS!AM43/IS!AM104</f>
        <v>1.4864068097251205E-5</v>
      </c>
      <c r="AN110" s="712">
        <f>-CFS!AN43/IS!AN104</f>
        <v>0.32214384529274032</v>
      </c>
      <c r="AO110" s="713">
        <f>-CFS!AO43/IS!AO104</f>
        <v>0.33070095255221049</v>
      </c>
      <c r="AP110" s="713">
        <f>-CFS!AP43/IS!AP104</f>
        <v>0.32865694988956728</v>
      </c>
      <c r="AQ110" s="714">
        <f>-CFS!AQ43/IS!AQ104</f>
        <v>0.3264730580486076</v>
      </c>
      <c r="AR110" s="1290">
        <f>-CFS!AR43/IS!AR104</f>
        <v>0.33259204712812962</v>
      </c>
      <c r="AS110" s="1291">
        <f>-CFS!AS43/IS!AS104</f>
        <v>0.35115943522621879</v>
      </c>
      <c r="AT110" s="1291">
        <f>-CFS!AT43/IS!AT104</f>
        <v>0.33608277684009685</v>
      </c>
      <c r="AU110" s="1292">
        <f>-CFS!AU43/IS!AU104</f>
        <v>0.33053865912932207</v>
      </c>
      <c r="AV110" s="1290">
        <f>-CFS!AV43/IS!AV104</f>
        <v>0.32827678478889699</v>
      </c>
      <c r="AW110" s="1291">
        <f>-CFS!AW43/IS!AW104</f>
        <v>0.32376024945143783</v>
      </c>
      <c r="AX110" s="1291">
        <f>-CFS!AX43/IS!AX104</f>
        <v>0.32203351149532833</v>
      </c>
      <c r="AY110" s="1292">
        <f>-CFS!AY43/IS!AY104</f>
        <v>0.31830040998881859</v>
      </c>
      <c r="AZ110" s="1290">
        <f>-CFS!AZ43/IS!AZ104</f>
        <v>0.31711999002347158</v>
      </c>
      <c r="BA110" s="1291">
        <f>-CFS!BA43/IS!BA104</f>
        <v>0.31711972443671105</v>
      </c>
      <c r="BB110" s="1291">
        <f>-CFS!BB43/IS!BB104</f>
        <v>0.32121331442097306</v>
      </c>
      <c r="BC110" s="1292">
        <f>-CFS!BC43/IS!BC104</f>
        <v>0.32608272572155311</v>
      </c>
      <c r="BD110" s="1290">
        <v>0.35799999999999998</v>
      </c>
      <c r="BE110" s="1291">
        <v>0.35849999999999999</v>
      </c>
      <c r="BF110" s="1291">
        <v>0.35899999999999999</v>
      </c>
      <c r="BG110" s="1292">
        <v>0.35949999999999999</v>
      </c>
      <c r="BH110" s="1290">
        <v>0.35799999999999998</v>
      </c>
      <c r="BI110" s="1291">
        <v>0.35849999999999999</v>
      </c>
      <c r="BJ110" s="1291">
        <v>0.35899999999999999</v>
      </c>
      <c r="BK110" s="1292">
        <v>0.36149999999999999</v>
      </c>
      <c r="BL110" s="1290">
        <v>0.36199999999999999</v>
      </c>
      <c r="BM110" s="1291">
        <v>0.36249999999999999</v>
      </c>
      <c r="BN110" s="1291">
        <v>0.36299999999999999</v>
      </c>
      <c r="BO110" s="503">
        <f t="shared" ref="BO110" si="366">+BN110</f>
        <v>0.36299999999999999</v>
      </c>
      <c r="BP110" s="486">
        <f t="shared" ref="BP110:BW110" si="367">+BO110</f>
        <v>0.36299999999999999</v>
      </c>
      <c r="BQ110" s="502">
        <f t="shared" si="367"/>
        <v>0.36299999999999999</v>
      </c>
      <c r="BR110" s="502">
        <f t="shared" si="367"/>
        <v>0.36299999999999999</v>
      </c>
      <c r="BS110" s="503">
        <f t="shared" si="367"/>
        <v>0.36299999999999999</v>
      </c>
      <c r="BT110" s="502">
        <f t="shared" si="367"/>
        <v>0.36299999999999999</v>
      </c>
      <c r="BU110" s="502">
        <f t="shared" si="367"/>
        <v>0.36299999999999999</v>
      </c>
      <c r="BV110" s="502">
        <f t="shared" si="367"/>
        <v>0.36299999999999999</v>
      </c>
      <c r="BW110" s="503">
        <f t="shared" si="367"/>
        <v>0.36299999999999999</v>
      </c>
      <c r="BX110" s="504"/>
      <c r="BY110" s="781">
        <f>SUM(D110:G110)</f>
        <v>3.8546901004722037E-2</v>
      </c>
      <c r="BZ110" s="505">
        <f>SUM(H110:K110)</f>
        <v>0.10925932833979676</v>
      </c>
      <c r="CA110" s="505">
        <f>SUM(L110:O110)</f>
        <v>0.20290285212778911</v>
      </c>
      <c r="CB110" s="505">
        <f>SUM(P110:S110)</f>
        <v>0.5573267250689854</v>
      </c>
      <c r="CC110" s="505">
        <f>SUM(T110:W110)</f>
        <v>0.94207427080828698</v>
      </c>
      <c r="CD110" s="505">
        <f>SUM(X110:AA110)</f>
        <v>1.1917739053033869</v>
      </c>
      <c r="CE110" s="505">
        <f>SUM(AB110:AE110)</f>
        <v>1.3209190882035027</v>
      </c>
      <c r="CF110" s="505">
        <f>SUM(AF110:AI110)</f>
        <v>1.3321165866136757</v>
      </c>
      <c r="CG110" s="505">
        <f>SUM(AJ110:AM110)</f>
        <v>1.3285534595042829</v>
      </c>
      <c r="CH110" s="505">
        <f>SUM(AN110:AQ110)</f>
        <v>1.3079748057831257</v>
      </c>
      <c r="CI110" s="505">
        <f>SUM(AR110:AU110)</f>
        <v>1.3503729183237674</v>
      </c>
      <c r="CJ110" s="505">
        <f>SUM(AV110:AY110)</f>
        <v>1.2923709557244818</v>
      </c>
      <c r="CK110" s="505">
        <f t="shared" ref="CK110" si="368">SUM(AZ110:BC110)</f>
        <v>1.2815357546027086</v>
      </c>
      <c r="CL110" s="1479">
        <f>SUM(BD110:BG110)</f>
        <v>1.4349999999999998</v>
      </c>
      <c r="CM110" s="1479">
        <f>SUM(BH110:BK110)</f>
        <v>1.4369999999999998</v>
      </c>
      <c r="CN110" s="1479">
        <f>SUM(BL110:BO110)</f>
        <v>1.4504999999999999</v>
      </c>
      <c r="CO110" s="505">
        <f>SUM(BP110:BS110)</f>
        <v>1.452</v>
      </c>
      <c r="CP110" s="1276">
        <f>SUM(BT110:BW110)</f>
        <v>1.452</v>
      </c>
      <c r="CQ110" s="20"/>
      <c r="CR110" s="33">
        <f>SUM(G110:J110)</f>
        <v>9.4614261500033353E-2</v>
      </c>
      <c r="CS110" s="31">
        <f>SUM(K110:N110)</f>
        <v>0.1683456404897492</v>
      </c>
      <c r="CT110" s="31">
        <f>SUM(O110:R110)</f>
        <v>0.43929627304513591</v>
      </c>
      <c r="CU110" s="31">
        <f>SUM(S110:V110)</f>
        <v>0.87071684011635386</v>
      </c>
      <c r="CV110" s="31">
        <f>SUM(W110:Z110)</f>
        <v>1.1340317527565855</v>
      </c>
      <c r="CW110" s="31">
        <f>SUM(AA110:AD110)</f>
        <v>1.300862741387171</v>
      </c>
      <c r="CX110" s="31">
        <f>SUM(AE110:AH110)</f>
        <v>1.3347515326138863</v>
      </c>
      <c r="CY110" s="31">
        <f>SUM(AI110:AL110)</f>
        <v>1.6615862870277391</v>
      </c>
      <c r="CZ110" s="31">
        <f>SUM(AM110:AP110)</f>
        <v>0.98151661180261529</v>
      </c>
      <c r="DA110" s="31">
        <f>SUM(AQ110:AT110)</f>
        <v>1.3463073172430529</v>
      </c>
      <c r="DB110" s="31">
        <f>SUM(AU110:AX110)</f>
        <v>1.3046092048649851</v>
      </c>
      <c r="DC110" s="31">
        <f>SUM(AY110:BB110)</f>
        <v>1.2737534388699743</v>
      </c>
      <c r="DD110" s="31">
        <f>SUM(BC110:BF110)</f>
        <v>1.4015827257215532</v>
      </c>
      <c r="DE110" s="31">
        <f>SUM(BG110:BJ110)</f>
        <v>1.4350000000000001</v>
      </c>
      <c r="DF110" s="31">
        <f>SUM(BK110:BN110)</f>
        <v>1.4490000000000001</v>
      </c>
      <c r="DG110" s="31">
        <f>SUM(BO110:BR110)</f>
        <v>1.452</v>
      </c>
      <c r="DH110" s="31">
        <f>SUM(BS110:BV110)</f>
        <v>1.452</v>
      </c>
      <c r="DI110" s="22"/>
    </row>
    <row r="111" spans="1:119" ht="14.25" customHeight="1">
      <c r="A111" s="8"/>
      <c r="B111" s="617" t="s">
        <v>18</v>
      </c>
      <c r="C111" s="63"/>
      <c r="D111" s="321">
        <v>0.35</v>
      </c>
      <c r="E111" s="321">
        <v>0.35</v>
      </c>
      <c r="F111" s="321">
        <v>0.35</v>
      </c>
      <c r="G111" s="322">
        <v>0.35</v>
      </c>
      <c r="H111" s="321">
        <v>0.35</v>
      </c>
      <c r="I111" s="321">
        <v>0.35</v>
      </c>
      <c r="J111" s="321">
        <v>0.35</v>
      </c>
      <c r="K111" s="322">
        <v>0.35</v>
      </c>
      <c r="L111" s="321">
        <v>0.35</v>
      </c>
      <c r="M111" s="321">
        <v>0.35</v>
      </c>
      <c r="N111" s="321">
        <v>0.35</v>
      </c>
      <c r="O111" s="322">
        <v>0.35</v>
      </c>
      <c r="P111" s="321">
        <v>0.35</v>
      </c>
      <c r="Q111" s="321">
        <v>0.35</v>
      </c>
      <c r="R111" s="321">
        <v>0.35</v>
      </c>
      <c r="S111" s="322">
        <v>0.35</v>
      </c>
      <c r="T111" s="321">
        <v>0.35</v>
      </c>
      <c r="U111" s="321">
        <v>0.35</v>
      </c>
      <c r="V111" s="321">
        <v>0.35</v>
      </c>
      <c r="W111" s="322">
        <v>0.35</v>
      </c>
      <c r="X111" s="321">
        <v>0.35</v>
      </c>
      <c r="Y111" s="321">
        <v>0.35</v>
      </c>
      <c r="Z111" s="321">
        <v>0.35</v>
      </c>
      <c r="AA111" s="322">
        <v>0.35</v>
      </c>
      <c r="AB111" s="321">
        <v>0.35</v>
      </c>
      <c r="AC111" s="321">
        <v>0.35</v>
      </c>
      <c r="AD111" s="321">
        <v>0.35</v>
      </c>
      <c r="AE111" s="322">
        <v>0.35</v>
      </c>
      <c r="AF111" s="321">
        <v>0.35</v>
      </c>
      <c r="AG111" s="321">
        <v>0.35</v>
      </c>
      <c r="AH111" s="321">
        <v>0.35</v>
      </c>
      <c r="AI111" s="322">
        <v>0.35</v>
      </c>
      <c r="AJ111" s="321">
        <v>0.35</v>
      </c>
      <c r="AK111" s="321">
        <v>0.35</v>
      </c>
      <c r="AL111" s="321">
        <v>0.35</v>
      </c>
      <c r="AM111" s="322">
        <v>0.35</v>
      </c>
      <c r="AN111" s="321">
        <v>0.35</v>
      </c>
      <c r="AO111" s="321">
        <v>0.35</v>
      </c>
      <c r="AP111" s="321">
        <v>0.35</v>
      </c>
      <c r="AQ111" s="322">
        <v>0.35</v>
      </c>
      <c r="AR111" s="321">
        <v>0.35</v>
      </c>
      <c r="AS111" s="321">
        <v>0.35</v>
      </c>
      <c r="AT111" s="321">
        <v>0.35</v>
      </c>
      <c r="AU111" s="322">
        <v>0.35</v>
      </c>
      <c r="AV111" s="780">
        <v>0.35</v>
      </c>
      <c r="AW111" s="321">
        <v>0.35</v>
      </c>
      <c r="AX111" s="321">
        <v>0.35</v>
      </c>
      <c r="AY111" s="322">
        <v>0.35</v>
      </c>
      <c r="AZ111" s="780">
        <v>0.35</v>
      </c>
      <c r="BA111" s="321">
        <v>0.35</v>
      </c>
      <c r="BB111" s="321">
        <v>0.35</v>
      </c>
      <c r="BC111" s="322">
        <v>0.35</v>
      </c>
      <c r="BD111" s="780">
        <v>0.35</v>
      </c>
      <c r="BE111" s="321">
        <v>0.35</v>
      </c>
      <c r="BF111" s="321">
        <v>0.35</v>
      </c>
      <c r="BG111" s="322">
        <v>0.35</v>
      </c>
      <c r="BH111" s="780">
        <v>0.35</v>
      </c>
      <c r="BI111" s="321">
        <v>0.35</v>
      </c>
      <c r="BJ111" s="321">
        <v>0.35</v>
      </c>
      <c r="BK111" s="322">
        <v>0.35</v>
      </c>
      <c r="BL111" s="780">
        <v>0.35</v>
      </c>
      <c r="BM111" s="321">
        <v>0.35</v>
      </c>
      <c r="BN111" s="321">
        <v>0.35</v>
      </c>
      <c r="BO111" s="1215">
        <v>0.35</v>
      </c>
      <c r="BP111" s="1436">
        <v>0.35</v>
      </c>
      <c r="BQ111" s="1214">
        <v>0.35</v>
      </c>
      <c r="BR111" s="1214">
        <v>0.35</v>
      </c>
      <c r="BS111" s="1215">
        <v>0.35</v>
      </c>
      <c r="BT111" s="1214">
        <v>0.35</v>
      </c>
      <c r="BU111" s="1214">
        <v>0.35</v>
      </c>
      <c r="BV111" s="1214">
        <v>0.35</v>
      </c>
      <c r="BW111" s="1215">
        <v>0.35</v>
      </c>
      <c r="BX111" s="20"/>
      <c r="BY111" s="780">
        <v>0.35</v>
      </c>
      <c r="BZ111" s="321">
        <v>0.35</v>
      </c>
      <c r="CA111" s="321">
        <v>0.35</v>
      </c>
      <c r="CB111" s="321">
        <v>0.35</v>
      </c>
      <c r="CC111" s="321">
        <v>0.35</v>
      </c>
      <c r="CD111" s="321">
        <v>0.35</v>
      </c>
      <c r="CE111" s="321">
        <v>0.35</v>
      </c>
      <c r="CF111" s="321">
        <v>0.35</v>
      </c>
      <c r="CG111" s="321">
        <v>0.35</v>
      </c>
      <c r="CH111" s="1214">
        <v>0.35</v>
      </c>
      <c r="CI111" s="1214">
        <v>0.35</v>
      </c>
      <c r="CJ111" s="1214">
        <v>0.35</v>
      </c>
      <c r="CK111" s="1214">
        <v>0.35</v>
      </c>
      <c r="CL111" s="1214">
        <v>0.35</v>
      </c>
      <c r="CM111" s="1214">
        <v>0.35</v>
      </c>
      <c r="CN111" s="1214">
        <v>0.35</v>
      </c>
      <c r="CO111" s="1214">
        <v>0.35</v>
      </c>
      <c r="CP111" s="1215">
        <v>0.35</v>
      </c>
      <c r="CQ111" s="20"/>
      <c r="CR111" s="780">
        <v>0.35</v>
      </c>
      <c r="CS111" s="321">
        <v>0.35</v>
      </c>
      <c r="CT111" s="321">
        <v>0.35</v>
      </c>
      <c r="CU111" s="321">
        <v>0.35</v>
      </c>
      <c r="CV111" s="321">
        <v>0.35</v>
      </c>
      <c r="CW111" s="321">
        <v>0.35</v>
      </c>
      <c r="CX111" s="321">
        <v>0.35</v>
      </c>
      <c r="CY111" s="321">
        <v>0.35</v>
      </c>
      <c r="CZ111" s="321">
        <v>0.35</v>
      </c>
      <c r="DA111" s="321">
        <v>0.35</v>
      </c>
      <c r="DB111" s="321">
        <v>0.35</v>
      </c>
      <c r="DC111" s="1214">
        <v>0.35</v>
      </c>
      <c r="DD111" s="1214">
        <v>0.35</v>
      </c>
      <c r="DE111" s="1214">
        <v>0.35</v>
      </c>
      <c r="DF111" s="1214">
        <v>0.35</v>
      </c>
      <c r="DG111" s="1214">
        <v>0.35</v>
      </c>
      <c r="DH111" s="1214">
        <v>0.35</v>
      </c>
      <c r="DI111" s="22"/>
    </row>
    <row r="112" spans="1:119" ht="14.25" customHeight="1">
      <c r="A112" s="8"/>
      <c r="B112" s="621"/>
      <c r="C112" s="8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11"/>
      <c r="BZ112" s="8"/>
      <c r="CA112" s="8"/>
      <c r="CB112" s="8"/>
      <c r="CC112" s="8"/>
      <c r="CD112" s="8"/>
      <c r="CE112" s="8"/>
      <c r="CF112" s="14"/>
      <c r="CG112" s="8"/>
      <c r="CH112" s="8"/>
      <c r="CI112" s="8"/>
      <c r="CJ112" s="8"/>
      <c r="CK112" s="8"/>
      <c r="CL112" s="14"/>
      <c r="CM112" s="14"/>
      <c r="CN112" s="14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14"/>
      <c r="CZ112" s="8"/>
      <c r="DA112" s="8"/>
      <c r="DB112" s="8"/>
      <c r="DC112" s="8"/>
      <c r="DD112" s="14"/>
      <c r="DE112" s="14"/>
      <c r="DF112" s="14"/>
      <c r="DG112" s="14"/>
      <c r="DH112" s="14"/>
      <c r="DI112" s="8"/>
    </row>
    <row r="113" spans="1:113" ht="14.25" customHeight="1">
      <c r="A113" s="8"/>
      <c r="B113" s="621"/>
      <c r="C113" s="8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8"/>
      <c r="AP113" s="8"/>
      <c r="AQ113" s="8"/>
      <c r="AR113" s="8"/>
      <c r="AS113" s="8"/>
      <c r="AT113" s="8"/>
      <c r="AU113" s="8"/>
      <c r="AV113" s="8"/>
      <c r="AW113" s="8"/>
      <c r="AX113" s="308"/>
      <c r="AY113" s="8"/>
      <c r="AZ113" s="8"/>
      <c r="BA113" s="308"/>
      <c r="BB113" s="308"/>
      <c r="BC113" s="323"/>
      <c r="BD113" s="8"/>
      <c r="BE113" s="308"/>
      <c r="BF113" s="308"/>
      <c r="BG113" s="323"/>
      <c r="BH113" s="8"/>
      <c r="BI113" s="308"/>
      <c r="BJ113" s="30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11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14"/>
      <c r="CM113" s="14"/>
      <c r="CN113" s="14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14"/>
      <c r="CZ113" s="8"/>
      <c r="DA113" s="8"/>
      <c r="DB113" s="8"/>
      <c r="DC113" s="8"/>
      <c r="DD113" s="14"/>
      <c r="DE113" s="14"/>
      <c r="DF113" s="14"/>
      <c r="DG113" s="14"/>
      <c r="DH113" s="14"/>
      <c r="DI113" s="8"/>
    </row>
    <row r="114" spans="1:113" ht="14.25" customHeight="1" outlineLevel="1">
      <c r="A114" s="8"/>
      <c r="B114" s="621"/>
      <c r="C114" s="8"/>
      <c r="D114" s="560">
        <f t="shared" ref="D114:AI114" si="369">D6</f>
        <v>37437</v>
      </c>
      <c r="E114" s="561">
        <f t="shared" si="369"/>
        <v>37529</v>
      </c>
      <c r="F114" s="561">
        <f t="shared" si="369"/>
        <v>37621</v>
      </c>
      <c r="G114" s="562">
        <f t="shared" si="369"/>
        <v>37711</v>
      </c>
      <c r="H114" s="560">
        <f t="shared" si="369"/>
        <v>37802</v>
      </c>
      <c r="I114" s="561">
        <f t="shared" si="369"/>
        <v>37894</v>
      </c>
      <c r="J114" s="561">
        <f t="shared" si="369"/>
        <v>37986</v>
      </c>
      <c r="K114" s="562">
        <f t="shared" si="369"/>
        <v>38077</v>
      </c>
      <c r="L114" s="560">
        <f t="shared" si="369"/>
        <v>38168</v>
      </c>
      <c r="M114" s="561">
        <f t="shared" si="369"/>
        <v>38260</v>
      </c>
      <c r="N114" s="561">
        <f t="shared" si="369"/>
        <v>38352</v>
      </c>
      <c r="O114" s="562">
        <f t="shared" si="369"/>
        <v>38442</v>
      </c>
      <c r="P114" s="560">
        <f t="shared" si="369"/>
        <v>38533</v>
      </c>
      <c r="Q114" s="561">
        <f t="shared" si="369"/>
        <v>38625</v>
      </c>
      <c r="R114" s="561">
        <f t="shared" si="369"/>
        <v>38717</v>
      </c>
      <c r="S114" s="562">
        <f t="shared" si="369"/>
        <v>38807</v>
      </c>
      <c r="T114" s="560">
        <f t="shared" si="369"/>
        <v>38898</v>
      </c>
      <c r="U114" s="561">
        <f t="shared" si="369"/>
        <v>38990</v>
      </c>
      <c r="V114" s="561">
        <f t="shared" si="369"/>
        <v>39082</v>
      </c>
      <c r="W114" s="562">
        <f t="shared" si="369"/>
        <v>39172</v>
      </c>
      <c r="X114" s="560">
        <f t="shared" si="369"/>
        <v>39263</v>
      </c>
      <c r="Y114" s="561">
        <f t="shared" si="369"/>
        <v>39355</v>
      </c>
      <c r="Z114" s="561">
        <f t="shared" si="369"/>
        <v>39447</v>
      </c>
      <c r="AA114" s="562">
        <f t="shared" si="369"/>
        <v>39538</v>
      </c>
      <c r="AB114" s="560">
        <f t="shared" si="369"/>
        <v>39629</v>
      </c>
      <c r="AC114" s="561">
        <f t="shared" si="369"/>
        <v>39721</v>
      </c>
      <c r="AD114" s="561">
        <f t="shared" si="369"/>
        <v>39813</v>
      </c>
      <c r="AE114" s="562">
        <f t="shared" si="369"/>
        <v>39903</v>
      </c>
      <c r="AF114" s="560">
        <f t="shared" si="369"/>
        <v>39994</v>
      </c>
      <c r="AG114" s="561">
        <f t="shared" si="369"/>
        <v>40086</v>
      </c>
      <c r="AH114" s="561">
        <f t="shared" si="369"/>
        <v>40178</v>
      </c>
      <c r="AI114" s="562">
        <f t="shared" si="369"/>
        <v>40268</v>
      </c>
      <c r="AJ114" s="560">
        <f t="shared" ref="AJ114:BS114" si="370">AJ6</f>
        <v>40359</v>
      </c>
      <c r="AK114" s="561">
        <f t="shared" si="370"/>
        <v>40451</v>
      </c>
      <c r="AL114" s="561">
        <f t="shared" si="370"/>
        <v>40543</v>
      </c>
      <c r="AM114" s="562">
        <f t="shared" si="370"/>
        <v>40633</v>
      </c>
      <c r="AN114" s="560">
        <f t="shared" si="370"/>
        <v>40724</v>
      </c>
      <c r="AO114" s="561">
        <f t="shared" si="370"/>
        <v>40816</v>
      </c>
      <c r="AP114" s="561">
        <f t="shared" si="370"/>
        <v>40908</v>
      </c>
      <c r="AQ114" s="562">
        <f t="shared" si="370"/>
        <v>40999</v>
      </c>
      <c r="AR114" s="560">
        <f t="shared" si="370"/>
        <v>41090</v>
      </c>
      <c r="AS114" s="561">
        <f t="shared" si="370"/>
        <v>41182</v>
      </c>
      <c r="AT114" s="561">
        <f t="shared" si="370"/>
        <v>41274</v>
      </c>
      <c r="AU114" s="562">
        <f t="shared" si="370"/>
        <v>41364</v>
      </c>
      <c r="AV114" s="560">
        <f t="shared" si="370"/>
        <v>41455</v>
      </c>
      <c r="AW114" s="561">
        <f t="shared" si="370"/>
        <v>41547</v>
      </c>
      <c r="AX114" s="561">
        <f t="shared" si="370"/>
        <v>41639</v>
      </c>
      <c r="AY114" s="562">
        <f t="shared" si="370"/>
        <v>41729</v>
      </c>
      <c r="AZ114" s="560">
        <f t="shared" si="370"/>
        <v>41820</v>
      </c>
      <c r="BA114" s="561">
        <f t="shared" si="370"/>
        <v>41912</v>
      </c>
      <c r="BB114" s="561">
        <f t="shared" si="370"/>
        <v>42004</v>
      </c>
      <c r="BC114" s="562">
        <f t="shared" si="370"/>
        <v>42094</v>
      </c>
      <c r="BD114" s="560">
        <f t="shared" si="370"/>
        <v>42185</v>
      </c>
      <c r="BE114" s="561">
        <f t="shared" si="370"/>
        <v>42277</v>
      </c>
      <c r="BF114" s="561">
        <f t="shared" si="370"/>
        <v>42369</v>
      </c>
      <c r="BG114" s="562">
        <f t="shared" si="370"/>
        <v>42460</v>
      </c>
      <c r="BH114" s="560">
        <f>BH6</f>
        <v>42551</v>
      </c>
      <c r="BI114" s="1329">
        <f t="shared" ref="BI114:BJ114" si="371">BI6</f>
        <v>42643</v>
      </c>
      <c r="BJ114" s="1355">
        <f t="shared" si="371"/>
        <v>42735</v>
      </c>
      <c r="BK114" s="562">
        <f t="shared" si="370"/>
        <v>42825</v>
      </c>
      <c r="BL114" s="560">
        <f t="shared" si="370"/>
        <v>42916</v>
      </c>
      <c r="BM114" s="561">
        <f t="shared" si="370"/>
        <v>43008</v>
      </c>
      <c r="BN114" s="561">
        <f t="shared" si="370"/>
        <v>43100</v>
      </c>
      <c r="BO114" s="562">
        <f t="shared" si="370"/>
        <v>43190</v>
      </c>
      <c r="BP114" s="560">
        <f t="shared" si="370"/>
        <v>43281</v>
      </c>
      <c r="BQ114" s="561">
        <f t="shared" si="370"/>
        <v>43373</v>
      </c>
      <c r="BR114" s="561">
        <f t="shared" si="370"/>
        <v>43465</v>
      </c>
      <c r="BS114" s="562">
        <f t="shared" si="370"/>
        <v>43555</v>
      </c>
      <c r="BT114" s="1354">
        <f t="shared" ref="BT114:BW114" si="372">BT6</f>
        <v>43646</v>
      </c>
      <c r="BU114" s="1355">
        <f t="shared" si="372"/>
        <v>43738</v>
      </c>
      <c r="BV114" s="1355">
        <f t="shared" si="372"/>
        <v>43830</v>
      </c>
      <c r="BW114" s="1356">
        <f t="shared" si="372"/>
        <v>43921</v>
      </c>
      <c r="BX114" s="20"/>
      <c r="BY114" s="17" t="str">
        <f t="shared" ref="BY114:CL114" si="373">BY6</f>
        <v>FY2003</v>
      </c>
      <c r="BZ114" s="18" t="str">
        <f t="shared" si="373"/>
        <v>FY2004</v>
      </c>
      <c r="CA114" s="18" t="str">
        <f t="shared" si="373"/>
        <v>FY2005</v>
      </c>
      <c r="CB114" s="18" t="str">
        <f t="shared" si="373"/>
        <v>FY2006</v>
      </c>
      <c r="CC114" s="18" t="str">
        <f t="shared" si="373"/>
        <v>FY2007</v>
      </c>
      <c r="CD114" s="18" t="str">
        <f t="shared" si="373"/>
        <v>FY2008</v>
      </c>
      <c r="CE114" s="18" t="str">
        <f t="shared" si="373"/>
        <v>FY2009</v>
      </c>
      <c r="CF114" s="18" t="str">
        <f t="shared" si="373"/>
        <v>FY2010</v>
      </c>
      <c r="CG114" s="18" t="str">
        <f t="shared" si="373"/>
        <v>FY2011</v>
      </c>
      <c r="CH114" s="1492" t="str">
        <f t="shared" si="373"/>
        <v>FY2012</v>
      </c>
      <c r="CI114" s="1492" t="str">
        <f t="shared" si="373"/>
        <v>FY2013</v>
      </c>
      <c r="CJ114" s="1492" t="str">
        <f t="shared" si="373"/>
        <v>FY2014</v>
      </c>
      <c r="CK114" s="18" t="str">
        <f t="shared" si="373"/>
        <v>FY2015</v>
      </c>
      <c r="CL114" s="18" t="str">
        <f t="shared" si="373"/>
        <v>FY2016</v>
      </c>
      <c r="CM114" s="18" t="str">
        <f>CM7</f>
        <v>FY2017A</v>
      </c>
      <c r="CN114" s="1327" t="str">
        <f>CN7</f>
        <v>FY2018E</v>
      </c>
      <c r="CO114" s="1374" t="str">
        <f>CO7</f>
        <v>FY2019E</v>
      </c>
      <c r="CP114" s="1375" t="str">
        <f>CP7</f>
        <v>FY2020E</v>
      </c>
      <c r="CQ114" s="22"/>
      <c r="CR114" s="8">
        <f t="shared" ref="CR114:DB114" si="374">CR6</f>
        <v>37986</v>
      </c>
      <c r="CS114" s="8">
        <f t="shared" si="374"/>
        <v>38352</v>
      </c>
      <c r="CT114" s="8">
        <f t="shared" si="374"/>
        <v>38717</v>
      </c>
      <c r="CU114" s="8">
        <f t="shared" si="374"/>
        <v>39082</v>
      </c>
      <c r="CV114" s="8">
        <f t="shared" si="374"/>
        <v>39447</v>
      </c>
      <c r="CW114" s="8">
        <f t="shared" si="374"/>
        <v>39813</v>
      </c>
      <c r="CX114" s="8">
        <f t="shared" si="374"/>
        <v>40178</v>
      </c>
      <c r="CY114" s="14">
        <f t="shared" si="374"/>
        <v>40543</v>
      </c>
      <c r="CZ114" s="8">
        <f t="shared" si="374"/>
        <v>40908</v>
      </c>
      <c r="DA114" s="8">
        <f t="shared" si="374"/>
        <v>41274</v>
      </c>
      <c r="DB114" s="8">
        <f t="shared" si="374"/>
        <v>41639</v>
      </c>
      <c r="DC114" s="523" t="str">
        <f t="shared" ref="DC114:DG115" si="375">+DC5</f>
        <v>CY2014</v>
      </c>
      <c r="DD114" s="524" t="str">
        <f t="shared" si="375"/>
        <v>CY2015</v>
      </c>
      <c r="DE114" s="524" t="str">
        <f t="shared" si="375"/>
        <v>CY2016</v>
      </c>
      <c r="DF114" s="524" t="str">
        <f t="shared" si="375"/>
        <v>CY2017</v>
      </c>
      <c r="DG114" s="1353" t="str">
        <f t="shared" si="375"/>
        <v>CY2018</v>
      </c>
      <c r="DH114" s="1345" t="str">
        <f t="shared" ref="DH114" si="376">+DH5</f>
        <v>CY2019</v>
      </c>
      <c r="DI114" s="8"/>
    </row>
    <row r="115" spans="1:113" ht="14.25" customHeight="1">
      <c r="A115" s="8"/>
      <c r="B115" s="622" t="s">
        <v>295</v>
      </c>
      <c r="C115" s="598"/>
      <c r="D115" s="599" t="str">
        <f t="shared" ref="D115:O115" si="377">+D$7</f>
        <v>F1Q03A</v>
      </c>
      <c r="E115" s="600" t="str">
        <f t="shared" si="377"/>
        <v>F2Q03A</v>
      </c>
      <c r="F115" s="600" t="str">
        <f t="shared" si="377"/>
        <v>F3Q03A</v>
      </c>
      <c r="G115" s="601" t="str">
        <f t="shared" si="377"/>
        <v>F4Q03A</v>
      </c>
      <c r="H115" s="599" t="str">
        <f t="shared" si="377"/>
        <v>F1Q04A</v>
      </c>
      <c r="I115" s="600" t="str">
        <f t="shared" si="377"/>
        <v>F2Q04A</v>
      </c>
      <c r="J115" s="600" t="str">
        <f t="shared" si="377"/>
        <v>F3Q04A</v>
      </c>
      <c r="K115" s="601" t="str">
        <f t="shared" si="377"/>
        <v>F4Q04A</v>
      </c>
      <c r="L115" s="599" t="str">
        <f t="shared" si="377"/>
        <v>F1Q05A</v>
      </c>
      <c r="M115" s="600" t="str">
        <f t="shared" si="377"/>
        <v>F2Q05A</v>
      </c>
      <c r="N115" s="600" t="str">
        <f t="shared" si="377"/>
        <v>F3Q05A</v>
      </c>
      <c r="O115" s="601" t="str">
        <f t="shared" si="377"/>
        <v>F4Q05A</v>
      </c>
      <c r="P115" s="599" t="str">
        <f>+P$7</f>
        <v>F1Q06A</v>
      </c>
      <c r="Q115" s="600" t="str">
        <f t="shared" ref="Q115:CP115" si="378">+Q$7</f>
        <v>F2Q06A</v>
      </c>
      <c r="R115" s="600" t="str">
        <f t="shared" si="378"/>
        <v>F3Q06A</v>
      </c>
      <c r="S115" s="601" t="str">
        <f t="shared" si="378"/>
        <v>F4Q06A</v>
      </c>
      <c r="T115" s="599" t="str">
        <f t="shared" si="378"/>
        <v>F1Q07A</v>
      </c>
      <c r="U115" s="600" t="str">
        <f t="shared" si="378"/>
        <v>F2Q07A</v>
      </c>
      <c r="V115" s="600" t="str">
        <f t="shared" si="378"/>
        <v>F3Q07A</v>
      </c>
      <c r="W115" s="601" t="str">
        <f t="shared" si="378"/>
        <v>F4Q07A</v>
      </c>
      <c r="X115" s="600" t="str">
        <f t="shared" si="378"/>
        <v>F1Q08A</v>
      </c>
      <c r="Y115" s="600" t="str">
        <f t="shared" si="378"/>
        <v>F2Q08A</v>
      </c>
      <c r="Z115" s="600" t="str">
        <f t="shared" si="378"/>
        <v>F3Q08A</v>
      </c>
      <c r="AA115" s="600" t="str">
        <f t="shared" si="378"/>
        <v>F4Q08A</v>
      </c>
      <c r="AB115" s="599" t="str">
        <f t="shared" si="378"/>
        <v>F1Q09A</v>
      </c>
      <c r="AC115" s="600" t="str">
        <f t="shared" si="378"/>
        <v>F2Q09A</v>
      </c>
      <c r="AD115" s="600" t="str">
        <f t="shared" si="378"/>
        <v>F3Q09A</v>
      </c>
      <c r="AE115" s="601" t="str">
        <f t="shared" si="378"/>
        <v>F4Q09A</v>
      </c>
      <c r="AF115" s="600" t="str">
        <f t="shared" si="378"/>
        <v>F1Q10A</v>
      </c>
      <c r="AG115" s="600" t="str">
        <f t="shared" si="378"/>
        <v>F2Q10A</v>
      </c>
      <c r="AH115" s="600" t="str">
        <f t="shared" si="378"/>
        <v>F3Q10A</v>
      </c>
      <c r="AI115" s="600" t="str">
        <f t="shared" si="378"/>
        <v>F4Q10A</v>
      </c>
      <c r="AJ115" s="599" t="str">
        <f t="shared" si="378"/>
        <v>F1Q11A</v>
      </c>
      <c r="AK115" s="600" t="str">
        <f t="shared" si="378"/>
        <v>F2Q11A</v>
      </c>
      <c r="AL115" s="600" t="str">
        <f t="shared" si="378"/>
        <v>F3Q11A</v>
      </c>
      <c r="AM115" s="601" t="str">
        <f t="shared" si="378"/>
        <v>F4Q11A</v>
      </c>
      <c r="AN115" s="600" t="str">
        <f t="shared" si="378"/>
        <v>F1Q12A</v>
      </c>
      <c r="AO115" s="600" t="str">
        <f t="shared" si="378"/>
        <v>F2Q12A</v>
      </c>
      <c r="AP115" s="600" t="str">
        <f t="shared" si="378"/>
        <v>F3Q12A</v>
      </c>
      <c r="AQ115" s="601" t="str">
        <f t="shared" si="378"/>
        <v>F4Q12A</v>
      </c>
      <c r="AR115" s="600" t="str">
        <f t="shared" si="378"/>
        <v>F1Q13A</v>
      </c>
      <c r="AS115" s="600" t="str">
        <f t="shared" si="378"/>
        <v>F2Q13A</v>
      </c>
      <c r="AT115" s="600" t="str">
        <f t="shared" si="378"/>
        <v>F3Q13A</v>
      </c>
      <c r="AU115" s="601" t="str">
        <f t="shared" si="378"/>
        <v>F4Q13A</v>
      </c>
      <c r="AV115" s="600" t="str">
        <f t="shared" si="378"/>
        <v>F1Q14A</v>
      </c>
      <c r="AW115" s="600" t="str">
        <f t="shared" si="378"/>
        <v>F2Q14A</v>
      </c>
      <c r="AX115" s="600" t="str">
        <f t="shared" si="378"/>
        <v>F3Q14A</v>
      </c>
      <c r="AY115" s="601" t="str">
        <f t="shared" si="378"/>
        <v>F4Q14A</v>
      </c>
      <c r="AZ115" s="599" t="str">
        <f t="shared" si="378"/>
        <v>F1Q15A</v>
      </c>
      <c r="BA115" s="600" t="str">
        <f t="shared" si="378"/>
        <v>F2Q15A</v>
      </c>
      <c r="BB115" s="600" t="str">
        <f t="shared" si="378"/>
        <v>F3Q15A</v>
      </c>
      <c r="BC115" s="601" t="str">
        <f t="shared" si="378"/>
        <v>F4Q15A</v>
      </c>
      <c r="BD115" s="599" t="str">
        <f t="shared" si="378"/>
        <v>F1Q16A</v>
      </c>
      <c r="BE115" s="600" t="str">
        <f t="shared" si="378"/>
        <v>F2Q16A</v>
      </c>
      <c r="BF115" s="600" t="str">
        <f t="shared" si="378"/>
        <v>F3Q16A</v>
      </c>
      <c r="BG115" s="601" t="str">
        <f t="shared" si="378"/>
        <v>F4Q16A</v>
      </c>
      <c r="BH115" s="599" t="str">
        <f t="shared" si="378"/>
        <v>F1Q17A</v>
      </c>
      <c r="BI115" s="600" t="str">
        <f t="shared" si="378"/>
        <v>F2Q17A</v>
      </c>
      <c r="BJ115" s="600" t="str">
        <f t="shared" si="378"/>
        <v>F3Q17A</v>
      </c>
      <c r="BK115" s="601" t="str">
        <f t="shared" si="378"/>
        <v>F4Q17A</v>
      </c>
      <c r="BL115" s="599" t="str">
        <f t="shared" si="378"/>
        <v>F1Q18A</v>
      </c>
      <c r="BM115" s="600" t="str">
        <f t="shared" si="378"/>
        <v>F2Q18A</v>
      </c>
      <c r="BN115" s="600" t="str">
        <f t="shared" si="378"/>
        <v>F3Q18A</v>
      </c>
      <c r="BO115" s="601" t="str">
        <f t="shared" si="378"/>
        <v>F4Q18E</v>
      </c>
      <c r="BP115" s="599" t="str">
        <f t="shared" si="378"/>
        <v>F1Q19E</v>
      </c>
      <c r="BQ115" s="600" t="str">
        <f t="shared" si="378"/>
        <v>F2Q19E</v>
      </c>
      <c r="BR115" s="600" t="str">
        <f t="shared" si="378"/>
        <v>F3Q19E</v>
      </c>
      <c r="BS115" s="601" t="str">
        <f t="shared" si="378"/>
        <v>F4Q19E</v>
      </c>
      <c r="BT115" s="599" t="str">
        <f t="shared" si="378"/>
        <v>F1Q20E</v>
      </c>
      <c r="BU115" s="600" t="str">
        <f t="shared" si="378"/>
        <v>F2Q20E</v>
      </c>
      <c r="BV115" s="600" t="str">
        <f t="shared" si="378"/>
        <v>F3Q20E</v>
      </c>
      <c r="BW115" s="601" t="str">
        <f t="shared" si="378"/>
        <v>F4Q20E</v>
      </c>
      <c r="BX115" s="1099"/>
      <c r="BY115" s="599" t="str">
        <f t="shared" si="378"/>
        <v>FY2003A</v>
      </c>
      <c r="BZ115" s="600" t="str">
        <f t="shared" si="378"/>
        <v>FY2004A</v>
      </c>
      <c r="CA115" s="600" t="str">
        <f t="shared" si="378"/>
        <v>FY2005A</v>
      </c>
      <c r="CB115" s="600" t="str">
        <f t="shared" si="378"/>
        <v>FY2006A</v>
      </c>
      <c r="CC115" s="600" t="str">
        <f t="shared" si="378"/>
        <v>FY2007A</v>
      </c>
      <c r="CD115" s="600" t="str">
        <f t="shared" si="378"/>
        <v>FY2008A</v>
      </c>
      <c r="CE115" s="600" t="str">
        <f t="shared" si="378"/>
        <v>FY2009A</v>
      </c>
      <c r="CF115" s="600" t="str">
        <f t="shared" si="378"/>
        <v>FY2010A</v>
      </c>
      <c r="CG115" s="600" t="str">
        <f t="shared" si="378"/>
        <v>FY2011A</v>
      </c>
      <c r="CH115" s="600" t="str">
        <f t="shared" si="378"/>
        <v>FY2012A</v>
      </c>
      <c r="CI115" s="600" t="str">
        <f t="shared" si="378"/>
        <v>FY2013A</v>
      </c>
      <c r="CJ115" s="600" t="str">
        <f t="shared" si="378"/>
        <v>FY2014A</v>
      </c>
      <c r="CK115" s="600" t="str">
        <f t="shared" si="378"/>
        <v>FY2015A</v>
      </c>
      <c r="CL115" s="600" t="str">
        <f t="shared" si="378"/>
        <v>FY2016A</v>
      </c>
      <c r="CM115" s="600" t="str">
        <f t="shared" si="378"/>
        <v>FY2017A</v>
      </c>
      <c r="CN115" s="600" t="str">
        <f t="shared" si="378"/>
        <v>FY2018E</v>
      </c>
      <c r="CO115" s="600" t="str">
        <f t="shared" si="378"/>
        <v>FY2019E</v>
      </c>
      <c r="CP115" s="601" t="str">
        <f t="shared" si="378"/>
        <v>FY2020E</v>
      </c>
      <c r="CQ115" s="1099"/>
      <c r="CR115" s="599" t="str">
        <f>+CR$5</f>
        <v>CY2003</v>
      </c>
      <c r="CS115" s="600" t="str">
        <f>+CS$5</f>
        <v>CY2004</v>
      </c>
      <c r="CT115" s="600" t="str">
        <f>+CT$5</f>
        <v>CY2005</v>
      </c>
      <c r="CU115" s="600" t="str">
        <f>+CU$5</f>
        <v>CY2006</v>
      </c>
      <c r="CV115" s="600" t="str">
        <f t="shared" ref="CV115:DB115" si="379">+CV$5</f>
        <v>CY2007</v>
      </c>
      <c r="CW115" s="600" t="str">
        <f t="shared" si="379"/>
        <v>CY2008</v>
      </c>
      <c r="CX115" s="600" t="str">
        <f t="shared" si="379"/>
        <v>CY2009</v>
      </c>
      <c r="CY115" s="600" t="str">
        <f t="shared" si="379"/>
        <v>CY2010</v>
      </c>
      <c r="CZ115" s="600" t="str">
        <f t="shared" si="379"/>
        <v>CY2011</v>
      </c>
      <c r="DA115" s="600" t="str">
        <f t="shared" si="379"/>
        <v>CY2012</v>
      </c>
      <c r="DB115" s="600" t="str">
        <f t="shared" si="379"/>
        <v>CY2013</v>
      </c>
      <c r="DC115" s="560">
        <f t="shared" si="375"/>
        <v>42004</v>
      </c>
      <c r="DD115" s="561">
        <f t="shared" si="375"/>
        <v>42369</v>
      </c>
      <c r="DE115" s="561">
        <f t="shared" si="375"/>
        <v>42735</v>
      </c>
      <c r="DF115" s="561">
        <f t="shared" si="375"/>
        <v>43100</v>
      </c>
      <c r="DG115" s="1355">
        <f t="shared" si="375"/>
        <v>43465</v>
      </c>
      <c r="DH115" s="1356">
        <f t="shared" ref="DH115" si="380">+DH6</f>
        <v>43830</v>
      </c>
      <c r="DI115" s="14"/>
    </row>
    <row r="116" spans="1:113" ht="14.25" customHeight="1">
      <c r="A116" s="227"/>
      <c r="B116" s="736" t="s">
        <v>296</v>
      </c>
      <c r="C116" s="247"/>
      <c r="D116" s="934">
        <v>0</v>
      </c>
      <c r="E116" s="935">
        <v>0</v>
      </c>
      <c r="F116" s="935">
        <v>0</v>
      </c>
      <c r="G116" s="933">
        <v>0</v>
      </c>
      <c r="H116" s="934">
        <v>0</v>
      </c>
      <c r="I116" s="935">
        <v>0</v>
      </c>
      <c r="J116" s="935">
        <v>0</v>
      </c>
      <c r="K116" s="933">
        <v>0</v>
      </c>
      <c r="L116" s="934">
        <v>0</v>
      </c>
      <c r="M116" s="935">
        <v>0</v>
      </c>
      <c r="N116" s="935">
        <v>0</v>
      </c>
      <c r="O116" s="933">
        <v>0</v>
      </c>
      <c r="P116" s="934">
        <v>0</v>
      </c>
      <c r="Q116" s="935">
        <v>0</v>
      </c>
      <c r="R116" s="935">
        <v>0</v>
      </c>
      <c r="S116" s="933">
        <v>0</v>
      </c>
      <c r="T116" s="934">
        <v>0</v>
      </c>
      <c r="U116" s="935">
        <v>0</v>
      </c>
      <c r="V116" s="935">
        <v>1.595</v>
      </c>
      <c r="W116" s="933">
        <v>1.66</v>
      </c>
      <c r="X116" s="934">
        <v>1.59</v>
      </c>
      <c r="Y116" s="935">
        <v>1.4930000000000001</v>
      </c>
      <c r="Z116" s="935">
        <v>1.5549999999999999</v>
      </c>
      <c r="AA116" s="933">
        <v>1.5529999999999999</v>
      </c>
      <c r="AB116" s="934">
        <v>1.625</v>
      </c>
      <c r="AC116" s="935">
        <v>2.0529999999999999</v>
      </c>
      <c r="AD116" s="935">
        <v>0.96699999999999997</v>
      </c>
      <c r="AE116" s="933">
        <v>1.2</v>
      </c>
      <c r="AF116" s="934">
        <v>1.71</v>
      </c>
      <c r="AG116" s="935">
        <v>1.869</v>
      </c>
      <c r="AH116" s="935">
        <v>1.266</v>
      </c>
      <c r="AI116" s="1079">
        <f>7.054-AH116-AG116-AF116</f>
        <v>2.2090000000000005</v>
      </c>
      <c r="AJ116" s="934">
        <v>1.9650000000000001</v>
      </c>
      <c r="AK116" s="935">
        <v>1.7430000000000001</v>
      </c>
      <c r="AL116" s="935">
        <v>1.708</v>
      </c>
      <c r="AM116" s="933">
        <v>1.4089999999999996</v>
      </c>
      <c r="AN116" s="934">
        <v>1.399</v>
      </c>
      <c r="AO116" s="935">
        <v>1.6080000000000001</v>
      </c>
      <c r="AP116" s="935">
        <v>1.369</v>
      </c>
      <c r="AQ116" s="1079">
        <f>5.648-AP116-AO116-AN116</f>
        <v>1.2719999999999998</v>
      </c>
      <c r="AR116" s="934">
        <v>1.31</v>
      </c>
      <c r="AS116" s="935">
        <v>2.6139999999999999</v>
      </c>
      <c r="AT116" s="935">
        <v>1.8340000000000001</v>
      </c>
      <c r="AU116" s="933">
        <v>2.476</v>
      </c>
      <c r="AV116" s="934">
        <v>1.9690000000000001</v>
      </c>
      <c r="AW116" s="935">
        <v>1.8640000000000001</v>
      </c>
      <c r="AX116" s="935">
        <v>1.841</v>
      </c>
      <c r="AY116" s="933">
        <v>1.6659999999999999</v>
      </c>
      <c r="AZ116" s="934">
        <v>2.0550000000000002</v>
      </c>
      <c r="BA116" s="935">
        <v>2.64</v>
      </c>
      <c r="BB116" s="935">
        <v>2.29</v>
      </c>
      <c r="BC116" s="933">
        <v>2.0249999999999999</v>
      </c>
      <c r="BD116" s="934">
        <v>1.657</v>
      </c>
      <c r="BE116" s="935">
        <v>2.3980000000000001</v>
      </c>
      <c r="BF116" s="935">
        <v>2.27</v>
      </c>
      <c r="BG116" s="933">
        <v>1.927</v>
      </c>
      <c r="BH116" s="934">
        <v>7.8970000000000002</v>
      </c>
      <c r="BI116" s="935">
        <v>4.0999999999999996</v>
      </c>
      <c r="BJ116" s="935">
        <v>3.468</v>
      </c>
      <c r="BK116" s="933">
        <v>3.2480000000000002</v>
      </c>
      <c r="BL116" s="934">
        <v>3.3940000000000001</v>
      </c>
      <c r="BM116" s="1481">
        <v>3.6989999999999998</v>
      </c>
      <c r="BN116" s="1481">
        <v>3.4940000000000002</v>
      </c>
      <c r="BO116" s="593">
        <f t="shared" ref="BO116:BO117" si="381">+BN116</f>
        <v>3.4940000000000002</v>
      </c>
      <c r="BP116" s="591">
        <f t="shared" ref="BP116:BS118" si="382">+BO116</f>
        <v>3.4940000000000002</v>
      </c>
      <c r="BQ116" s="592">
        <f t="shared" si="382"/>
        <v>3.4940000000000002</v>
      </c>
      <c r="BR116" s="592">
        <f t="shared" si="382"/>
        <v>3.4940000000000002</v>
      </c>
      <c r="BS116" s="593">
        <f t="shared" si="382"/>
        <v>3.4940000000000002</v>
      </c>
      <c r="BT116" s="591">
        <f t="shared" ref="BT116:BT118" si="383">+BS116</f>
        <v>3.4940000000000002</v>
      </c>
      <c r="BU116" s="1406">
        <f t="shared" ref="BU116:BU118" si="384">+BT116</f>
        <v>3.4940000000000002</v>
      </c>
      <c r="BV116" s="1406">
        <f t="shared" ref="BV116:BV118" si="385">+BU116</f>
        <v>3.4940000000000002</v>
      </c>
      <c r="BW116" s="593">
        <f t="shared" ref="BW116:BW118" si="386">+BV116</f>
        <v>3.4940000000000002</v>
      </c>
      <c r="BX116" s="1100"/>
      <c r="BY116" s="591">
        <f>SUM(D116:G116)</f>
        <v>0</v>
      </c>
      <c r="BZ116" s="592">
        <f>SUM(H116:K116)</f>
        <v>0</v>
      </c>
      <c r="CA116" s="592">
        <f>SUM(L116:O116)</f>
        <v>0</v>
      </c>
      <c r="CB116" s="592">
        <f>SUM(P116:S116)</f>
        <v>0</v>
      </c>
      <c r="CC116" s="592">
        <f>SUM(T116:W116)</f>
        <v>3.2549999999999999</v>
      </c>
      <c r="CD116" s="592">
        <f>SUM(X116:AA116)</f>
        <v>6.1909999999999998</v>
      </c>
      <c r="CE116" s="592">
        <f>SUM(AB116:AE116)</f>
        <v>5.8449999999999998</v>
      </c>
      <c r="CF116" s="592">
        <f>SUM(AF116:AI116)</f>
        <v>7.0540000000000003</v>
      </c>
      <c r="CG116" s="592">
        <f>SUM(AJ116:AM116)</f>
        <v>6.8250000000000002</v>
      </c>
      <c r="CH116" s="1406">
        <f>SUM(AN116:AQ116)</f>
        <v>5.6479999999999997</v>
      </c>
      <c r="CI116" s="1406">
        <f>SUM(AR116:AU116)</f>
        <v>8.234</v>
      </c>
      <c r="CJ116" s="1406">
        <f>SUM(AV116:AY116)</f>
        <v>7.34</v>
      </c>
      <c r="CK116" s="592">
        <f>SUM(AZ116:BC116)</f>
        <v>9.01</v>
      </c>
      <c r="CL116" s="592">
        <f>SUM(BD116:BG116)</f>
        <v>8.2519999999999989</v>
      </c>
      <c r="CM116" s="592">
        <f>SUM(BH116:BK116)</f>
        <v>18.713000000000001</v>
      </c>
      <c r="CN116" s="592">
        <f>SUM(BL116:BO116)</f>
        <v>14.081</v>
      </c>
      <c r="CO116" s="1406">
        <f>SUM(BP116:BS116)</f>
        <v>13.976000000000001</v>
      </c>
      <c r="CP116" s="593">
        <f>SUM(BT116:BW116)</f>
        <v>13.976000000000001</v>
      </c>
      <c r="CQ116" s="1100"/>
      <c r="CR116" s="591">
        <f>SUM(G116:J116)</f>
        <v>0</v>
      </c>
      <c r="CS116" s="592">
        <f>SUM(K116:N116)</f>
        <v>0</v>
      </c>
      <c r="CT116" s="592">
        <f>SUM(O116:R116)</f>
        <v>0</v>
      </c>
      <c r="CU116" s="592">
        <f>SUM(S116:V116)</f>
        <v>1.595</v>
      </c>
      <c r="CV116" s="592">
        <f>SUM(W116:Z116)</f>
        <v>6.298</v>
      </c>
      <c r="CW116" s="592">
        <f>SUM(AA116:AD116)</f>
        <v>6.1979999999999995</v>
      </c>
      <c r="CX116" s="592">
        <f>SUM(AE116:AH116)</f>
        <v>6.0449999999999999</v>
      </c>
      <c r="CY116" s="592">
        <f>SUM(AI116:AL116)</f>
        <v>7.6250000000000009</v>
      </c>
      <c r="CZ116" s="592">
        <f>SUM(AM116:AP116)</f>
        <v>5.7850000000000001</v>
      </c>
      <c r="DA116" s="592">
        <f>SUM(AQ116:AT116)</f>
        <v>7.0299999999999994</v>
      </c>
      <c r="DB116" s="592">
        <f>SUM(AU116:AX116)</f>
        <v>8.15</v>
      </c>
      <c r="DC116" s="592">
        <f>SUM(AY116:BB116)</f>
        <v>8.6509999999999998</v>
      </c>
      <c r="DD116" s="592">
        <f>SUM(BC116:BF116)</f>
        <v>8.35</v>
      </c>
      <c r="DE116" s="592">
        <f>SUM(BG116:BJ116)</f>
        <v>17.391999999999999</v>
      </c>
      <c r="DF116" s="592">
        <f>SUM(BK116:BN116)</f>
        <v>13.835000000000001</v>
      </c>
      <c r="DG116" s="1406">
        <f>SUM(BO116:BR116)</f>
        <v>13.976000000000001</v>
      </c>
      <c r="DH116" s="1406">
        <f>SUM(BS116:BV116)</f>
        <v>13.976000000000001</v>
      </c>
      <c r="DI116" s="248"/>
    </row>
    <row r="117" spans="1:113" ht="14.25" customHeight="1">
      <c r="A117" s="227"/>
      <c r="B117" s="736" t="s">
        <v>108</v>
      </c>
      <c r="C117" s="247"/>
      <c r="D117" s="934">
        <v>0</v>
      </c>
      <c r="E117" s="935">
        <v>0</v>
      </c>
      <c r="F117" s="935">
        <v>0</v>
      </c>
      <c r="G117" s="933">
        <v>0</v>
      </c>
      <c r="H117" s="934">
        <v>0</v>
      </c>
      <c r="I117" s="935">
        <v>0</v>
      </c>
      <c r="J117" s="935">
        <v>0</v>
      </c>
      <c r="K117" s="933">
        <v>0</v>
      </c>
      <c r="L117" s="934">
        <v>0</v>
      </c>
      <c r="M117" s="935">
        <v>0</v>
      </c>
      <c r="N117" s="935">
        <v>0</v>
      </c>
      <c r="O117" s="933">
        <v>0</v>
      </c>
      <c r="P117" s="934">
        <v>0</v>
      </c>
      <c r="Q117" s="935">
        <v>0</v>
      </c>
      <c r="R117" s="935">
        <v>0</v>
      </c>
      <c r="S117" s="933">
        <v>0</v>
      </c>
      <c r="T117" s="934">
        <v>2.2909999999999999</v>
      </c>
      <c r="U117" s="935">
        <v>2.5219999999999998</v>
      </c>
      <c r="V117" s="935">
        <v>2.431</v>
      </c>
      <c r="W117" s="933">
        <v>2.379</v>
      </c>
      <c r="X117" s="934">
        <v>2.5859999999999999</v>
      </c>
      <c r="Y117" s="935">
        <v>2.5089999999999999</v>
      </c>
      <c r="Z117" s="935">
        <v>2.7290000000000001</v>
      </c>
      <c r="AA117" s="933">
        <v>2.871</v>
      </c>
      <c r="AB117" s="934">
        <v>2.4350000000000001</v>
      </c>
      <c r="AC117" s="935">
        <v>2.64</v>
      </c>
      <c r="AD117" s="935">
        <v>2.948</v>
      </c>
      <c r="AE117" s="933">
        <v>2.843</v>
      </c>
      <c r="AF117" s="934">
        <v>2.9889999999999999</v>
      </c>
      <c r="AG117" s="935">
        <v>3.1080000000000001</v>
      </c>
      <c r="AH117" s="935">
        <v>3.1080000000000001</v>
      </c>
      <c r="AI117" s="1079">
        <f>12.194-AH117-AG117-AF117</f>
        <v>2.9889999999999999</v>
      </c>
      <c r="AJ117" s="934">
        <v>3.1669999999999998</v>
      </c>
      <c r="AK117" s="935">
        <v>3.0249999999999999</v>
      </c>
      <c r="AL117" s="935">
        <v>3.3239999999999998</v>
      </c>
      <c r="AM117" s="933">
        <v>3.3580000000000005</v>
      </c>
      <c r="AN117" s="934">
        <v>3.4129999999999998</v>
      </c>
      <c r="AO117" s="935">
        <v>3.556</v>
      </c>
      <c r="AP117" s="935">
        <v>3.851</v>
      </c>
      <c r="AQ117" s="1079">
        <f>14.719-AP117-AO117-AN117</f>
        <v>3.8989999999999987</v>
      </c>
      <c r="AR117" s="934">
        <v>4.032</v>
      </c>
      <c r="AS117" s="935">
        <v>6.3579999999999997</v>
      </c>
      <c r="AT117" s="935">
        <v>6.1719999999999997</v>
      </c>
      <c r="AU117" s="933">
        <v>5.6159999999999997</v>
      </c>
      <c r="AV117" s="934">
        <v>5.69</v>
      </c>
      <c r="AW117" s="935">
        <v>6.931</v>
      </c>
      <c r="AX117" s="935">
        <v>6.141</v>
      </c>
      <c r="AY117" s="933">
        <v>5.7919999999999998</v>
      </c>
      <c r="AZ117" s="934">
        <v>6.3090000000000002</v>
      </c>
      <c r="BA117" s="935">
        <v>7.2610000000000001</v>
      </c>
      <c r="BB117" s="935">
        <v>7.0750000000000002</v>
      </c>
      <c r="BC117" s="933">
        <v>7.5190000000000001</v>
      </c>
      <c r="BD117" s="934">
        <v>7.0979999999999999</v>
      </c>
      <c r="BE117" s="935">
        <v>8.67</v>
      </c>
      <c r="BF117" s="935">
        <v>7.8550000000000004</v>
      </c>
      <c r="BG117" s="933">
        <v>8.3989999999999991</v>
      </c>
      <c r="BH117" s="934">
        <v>17.516999999999999</v>
      </c>
      <c r="BI117" s="935">
        <v>10.170999999999999</v>
      </c>
      <c r="BJ117" s="935">
        <v>9.8810000000000002</v>
      </c>
      <c r="BK117" s="933">
        <v>9.2319999999999993</v>
      </c>
      <c r="BL117" s="934">
        <v>10.289</v>
      </c>
      <c r="BM117" s="1481">
        <v>10.587</v>
      </c>
      <c r="BN117" s="1481">
        <v>10.920999999999999</v>
      </c>
      <c r="BO117" s="593">
        <f t="shared" si="381"/>
        <v>10.920999999999999</v>
      </c>
      <c r="BP117" s="591">
        <f t="shared" si="382"/>
        <v>10.920999999999999</v>
      </c>
      <c r="BQ117" s="1406">
        <f t="shared" si="382"/>
        <v>10.920999999999999</v>
      </c>
      <c r="BR117" s="1406">
        <f t="shared" si="382"/>
        <v>10.920999999999999</v>
      </c>
      <c r="BS117" s="593">
        <f t="shared" si="382"/>
        <v>10.920999999999999</v>
      </c>
      <c r="BT117" s="591">
        <f t="shared" si="383"/>
        <v>10.920999999999999</v>
      </c>
      <c r="BU117" s="1406">
        <f t="shared" si="384"/>
        <v>10.920999999999999</v>
      </c>
      <c r="BV117" s="1406">
        <f t="shared" si="385"/>
        <v>10.920999999999999</v>
      </c>
      <c r="BW117" s="593">
        <f t="shared" si="386"/>
        <v>10.920999999999999</v>
      </c>
      <c r="BX117" s="1100"/>
      <c r="BY117" s="591">
        <f>SUM(D117:G117)</f>
        <v>0</v>
      </c>
      <c r="BZ117" s="592">
        <f>SUM(H117:K117)</f>
        <v>0</v>
      </c>
      <c r="CA117" s="592">
        <f>SUM(L117:O117)</f>
        <v>0</v>
      </c>
      <c r="CB117" s="592">
        <f>SUM(P117:S117)</f>
        <v>0</v>
      </c>
      <c r="CC117" s="592">
        <f>SUM(T117:W117)</f>
        <v>9.6229999999999993</v>
      </c>
      <c r="CD117" s="592">
        <f>SUM(X117:AA117)</f>
        <v>10.695</v>
      </c>
      <c r="CE117" s="592">
        <f>SUM(AB117:AE117)</f>
        <v>10.866</v>
      </c>
      <c r="CF117" s="592">
        <f>SUM(AF117:AI117)</f>
        <v>12.193999999999999</v>
      </c>
      <c r="CG117" s="592">
        <f>SUM(AJ117:AM117)</f>
        <v>12.874000000000001</v>
      </c>
      <c r="CH117" s="1406">
        <f>SUM(AN117:AQ117)</f>
        <v>14.718999999999999</v>
      </c>
      <c r="CI117" s="1406">
        <f>SUM(AR117:AU117)</f>
        <v>22.178000000000001</v>
      </c>
      <c r="CJ117" s="1406">
        <f>SUM(AV117:AY117)</f>
        <v>24.554000000000002</v>
      </c>
      <c r="CK117" s="592">
        <f>SUM(AZ117:BC117)</f>
        <v>28.164000000000001</v>
      </c>
      <c r="CL117" s="592">
        <f>SUM(BD117:BG117)</f>
        <v>32.021999999999998</v>
      </c>
      <c r="CM117" s="592">
        <f>SUM(BH117:BK117)</f>
        <v>46.801000000000002</v>
      </c>
      <c r="CN117" s="592">
        <f>SUM(BL117:BO117)</f>
        <v>42.717999999999996</v>
      </c>
      <c r="CO117" s="1406">
        <f>SUM(BP117:BS117)</f>
        <v>43.683999999999997</v>
      </c>
      <c r="CP117" s="593">
        <f t="shared" ref="CP117:CP118" si="387">SUM(BT117:BW117)</f>
        <v>43.683999999999997</v>
      </c>
      <c r="CQ117" s="1100"/>
      <c r="CR117" s="591">
        <f>SUM(G117:J117)</f>
        <v>0</v>
      </c>
      <c r="CS117" s="592">
        <f>SUM(K117:N117)</f>
        <v>0</v>
      </c>
      <c r="CT117" s="592">
        <f>SUM(O117:R117)</f>
        <v>0</v>
      </c>
      <c r="CU117" s="592">
        <f>SUM(S117:V117)</f>
        <v>7.2439999999999998</v>
      </c>
      <c r="CV117" s="592">
        <f>SUM(W117:Z117)</f>
        <v>10.202999999999999</v>
      </c>
      <c r="CW117" s="592">
        <f>SUM(AA117:AD117)</f>
        <v>10.894</v>
      </c>
      <c r="CX117" s="592">
        <f>SUM(AE117:AH117)</f>
        <v>12.048</v>
      </c>
      <c r="CY117" s="592">
        <f>SUM(AI117:AL117)</f>
        <v>12.504999999999999</v>
      </c>
      <c r="CZ117" s="592">
        <f>SUM(AM117:AP117)</f>
        <v>14.178000000000001</v>
      </c>
      <c r="DA117" s="592">
        <f>SUM(AQ117:AT117)</f>
        <v>20.460999999999999</v>
      </c>
      <c r="DB117" s="592">
        <f>SUM(AU117:AX117)</f>
        <v>24.378</v>
      </c>
      <c r="DC117" s="592">
        <f>SUM(AY117:BB117)</f>
        <v>26.436999999999998</v>
      </c>
      <c r="DD117" s="592">
        <f>SUM(BC117:BF117)</f>
        <v>31.141999999999999</v>
      </c>
      <c r="DE117" s="592">
        <f>SUM(BG117:BJ117)</f>
        <v>45.967999999999996</v>
      </c>
      <c r="DF117" s="592">
        <f>SUM(BK117:BN117)</f>
        <v>41.028999999999996</v>
      </c>
      <c r="DG117" s="1406">
        <f>SUM(BO117:BR117)</f>
        <v>43.683999999999997</v>
      </c>
      <c r="DH117" s="1406">
        <f>SUM(BS117:BV117)</f>
        <v>43.683999999999997</v>
      </c>
      <c r="DI117" s="248"/>
    </row>
    <row r="118" spans="1:113" ht="14.25" customHeight="1">
      <c r="A118" s="737"/>
      <c r="B118" s="674" t="s">
        <v>109</v>
      </c>
      <c r="C118" s="738"/>
      <c r="D118" s="937">
        <v>0</v>
      </c>
      <c r="E118" s="938">
        <v>0</v>
      </c>
      <c r="F118" s="938">
        <v>0</v>
      </c>
      <c r="G118" s="936">
        <v>0</v>
      </c>
      <c r="H118" s="937">
        <v>0</v>
      </c>
      <c r="I118" s="938">
        <v>0</v>
      </c>
      <c r="J118" s="938">
        <v>0</v>
      </c>
      <c r="K118" s="936">
        <v>0</v>
      </c>
      <c r="L118" s="937">
        <v>0</v>
      </c>
      <c r="M118" s="938">
        <v>0</v>
      </c>
      <c r="N118" s="938">
        <v>0</v>
      </c>
      <c r="O118" s="936">
        <v>0</v>
      </c>
      <c r="P118" s="937">
        <v>0</v>
      </c>
      <c r="Q118" s="938">
        <v>0</v>
      </c>
      <c r="R118" s="938">
        <v>0</v>
      </c>
      <c r="S118" s="936">
        <v>0</v>
      </c>
      <c r="T118" s="937">
        <v>3.5139999999999998</v>
      </c>
      <c r="U118" s="938">
        <v>3.6459999999999999</v>
      </c>
      <c r="V118" s="938">
        <v>3.714</v>
      </c>
      <c r="W118" s="936">
        <v>3.6269999999999998</v>
      </c>
      <c r="X118" s="937">
        <v>3.8570000000000002</v>
      </c>
      <c r="Y118" s="938">
        <v>3.7690000000000001</v>
      </c>
      <c r="Z118" s="938">
        <v>4.0730000000000004</v>
      </c>
      <c r="AA118" s="936">
        <v>4.2610000000000001</v>
      </c>
      <c r="AB118" s="937">
        <v>3.6389999999999998</v>
      </c>
      <c r="AC118" s="938">
        <v>3.8</v>
      </c>
      <c r="AD118" s="938">
        <v>4.25</v>
      </c>
      <c r="AE118" s="936">
        <v>4.0810000000000004</v>
      </c>
      <c r="AF118" s="937">
        <v>4.2990000000000004</v>
      </c>
      <c r="AG118" s="938">
        <v>4.5229999999999997</v>
      </c>
      <c r="AH118" s="938">
        <v>4.4630000000000001</v>
      </c>
      <c r="AI118" s="1080">
        <f>17.53-AH118-AG118-AF118</f>
        <v>4.2450000000000001</v>
      </c>
      <c r="AJ118" s="937">
        <v>4.319</v>
      </c>
      <c r="AK118" s="938">
        <v>4.157</v>
      </c>
      <c r="AL118" s="938">
        <v>4.3769999999999998</v>
      </c>
      <c r="AM118" s="936">
        <v>4.26</v>
      </c>
      <c r="AN118" s="937">
        <v>4.2119999999999997</v>
      </c>
      <c r="AO118" s="938">
        <v>4.32</v>
      </c>
      <c r="AP118" s="938">
        <v>4.742</v>
      </c>
      <c r="AQ118" s="1080">
        <f>17.922-AP118-AO118-AN118</f>
        <v>4.6479999999999997</v>
      </c>
      <c r="AR118" s="937">
        <v>4.6440000000000001</v>
      </c>
      <c r="AS118" s="938">
        <v>11.581</v>
      </c>
      <c r="AT118" s="938">
        <v>6.1139999999999999</v>
      </c>
      <c r="AU118" s="936">
        <v>5.2640000000000002</v>
      </c>
      <c r="AV118" s="937">
        <v>4.9969999999999999</v>
      </c>
      <c r="AW118" s="938">
        <v>6.2050000000000001</v>
      </c>
      <c r="AX118" s="938">
        <v>5.7370000000000001</v>
      </c>
      <c r="AY118" s="936">
        <v>4.9539999999999997</v>
      </c>
      <c r="AZ118" s="937">
        <v>4.9569999999999999</v>
      </c>
      <c r="BA118" s="938">
        <v>5.3719999999999999</v>
      </c>
      <c r="BB118" s="938">
        <v>5.4539999999999997</v>
      </c>
      <c r="BC118" s="936">
        <v>5.6390000000000002</v>
      </c>
      <c r="BD118" s="937">
        <v>5.3570000000000002</v>
      </c>
      <c r="BE118" s="938">
        <v>11.958</v>
      </c>
      <c r="BF118" s="938">
        <v>6.84</v>
      </c>
      <c r="BG118" s="936">
        <v>6.9909999999999997</v>
      </c>
      <c r="BH118" s="937">
        <v>34.164999999999999</v>
      </c>
      <c r="BI118" s="938">
        <v>10.119</v>
      </c>
      <c r="BJ118" s="938">
        <v>8.7710000000000008</v>
      </c>
      <c r="BK118" s="936">
        <v>9.5860000000000003</v>
      </c>
      <c r="BL118" s="937">
        <v>8.7249999999999996</v>
      </c>
      <c r="BM118" s="1482">
        <v>9.3239999999999998</v>
      </c>
      <c r="BN118" s="1482">
        <v>9.5879999999999992</v>
      </c>
      <c r="BO118" s="1407">
        <f t="shared" ref="BO118" si="388">+BN118</f>
        <v>9.5879999999999992</v>
      </c>
      <c r="BP118" s="1369">
        <f t="shared" si="382"/>
        <v>9.5879999999999992</v>
      </c>
      <c r="BQ118" s="1407">
        <f t="shared" si="382"/>
        <v>9.5879999999999992</v>
      </c>
      <c r="BR118" s="1407">
        <f t="shared" si="382"/>
        <v>9.5879999999999992</v>
      </c>
      <c r="BS118" s="1407">
        <f t="shared" si="382"/>
        <v>9.5879999999999992</v>
      </c>
      <c r="BT118" s="1369">
        <f t="shared" si="383"/>
        <v>9.5879999999999992</v>
      </c>
      <c r="BU118" s="1407">
        <f t="shared" si="384"/>
        <v>9.5879999999999992</v>
      </c>
      <c r="BV118" s="1407">
        <f t="shared" si="385"/>
        <v>9.5879999999999992</v>
      </c>
      <c r="BW118" s="1407">
        <f t="shared" si="386"/>
        <v>9.5879999999999992</v>
      </c>
      <c r="BX118" s="1101"/>
      <c r="BY118" s="627">
        <f>SUM(D118:G118)</f>
        <v>0</v>
      </c>
      <c r="BZ118" s="628">
        <f>SUM(H118:K118)</f>
        <v>0</v>
      </c>
      <c r="CA118" s="628">
        <f>SUM(L118:O118)</f>
        <v>0</v>
      </c>
      <c r="CB118" s="628">
        <f>SUM(P118:S118)</f>
        <v>0</v>
      </c>
      <c r="CC118" s="628">
        <f>SUM(T118:W118)</f>
        <v>14.501000000000001</v>
      </c>
      <c r="CD118" s="628">
        <f>SUM(X118:AA118)</f>
        <v>15.96</v>
      </c>
      <c r="CE118" s="628">
        <f>SUM(AB118:AE118)</f>
        <v>15.77</v>
      </c>
      <c r="CF118" s="628">
        <f>SUM(AF118:AI118)</f>
        <v>17.53</v>
      </c>
      <c r="CG118" s="628">
        <f>SUM(AJ118:AM118)</f>
        <v>17.113</v>
      </c>
      <c r="CH118" s="1407">
        <f>SUM(AN118:AQ118)</f>
        <v>17.922000000000001</v>
      </c>
      <c r="CI118" s="1407">
        <f>SUM(AR118:AU118)</f>
        <v>27.603000000000002</v>
      </c>
      <c r="CJ118" s="1407">
        <f>SUM(AV118:AY118)</f>
        <v>21.893000000000001</v>
      </c>
      <c r="CK118" s="628">
        <f>SUM(AZ118:BC118)</f>
        <v>21.422000000000001</v>
      </c>
      <c r="CL118" s="628">
        <f>SUM(BD118:BG118)</f>
        <v>31.146000000000001</v>
      </c>
      <c r="CM118" s="628">
        <f>SUM(BH118:BK118)</f>
        <v>62.640999999999998</v>
      </c>
      <c r="CN118" s="628">
        <f>SUM(BL118:BO118)</f>
        <v>37.225000000000001</v>
      </c>
      <c r="CO118" s="1407">
        <f>SUM(BP118:BS118)</f>
        <v>38.351999999999997</v>
      </c>
      <c r="CP118" s="629">
        <f t="shared" si="387"/>
        <v>38.351999999999997</v>
      </c>
      <c r="CQ118" s="1101"/>
      <c r="CR118" s="627">
        <f>SUM(G118:J118)</f>
        <v>0</v>
      </c>
      <c r="CS118" s="628">
        <f>SUM(K118:N118)</f>
        <v>0</v>
      </c>
      <c r="CT118" s="628">
        <f>SUM(O118:R118)</f>
        <v>0</v>
      </c>
      <c r="CU118" s="628">
        <f>SUM(S118:V118)</f>
        <v>10.874000000000001</v>
      </c>
      <c r="CV118" s="628">
        <f>SUM(W118:Z118)</f>
        <v>15.326000000000001</v>
      </c>
      <c r="CW118" s="628">
        <f>SUM(AA118:AD118)</f>
        <v>15.95</v>
      </c>
      <c r="CX118" s="628">
        <f>SUM(AE118:AH118)</f>
        <v>17.366</v>
      </c>
      <c r="CY118" s="628">
        <f>SUM(AI118:AL118)</f>
        <v>17.097999999999999</v>
      </c>
      <c r="CZ118" s="628">
        <f>SUM(AM118:AP118)</f>
        <v>17.533999999999999</v>
      </c>
      <c r="DA118" s="628">
        <f>SUM(AQ118:AT118)</f>
        <v>26.986999999999998</v>
      </c>
      <c r="DB118" s="628">
        <f>SUM(AU118:AX118)</f>
        <v>22.203000000000003</v>
      </c>
      <c r="DC118" s="628">
        <f>SUM(AY118:BB118)</f>
        <v>20.736999999999998</v>
      </c>
      <c r="DD118" s="628">
        <f>SUM(BC118:BF118)</f>
        <v>29.794</v>
      </c>
      <c r="DE118" s="628">
        <f>SUM(BG118:BJ118)</f>
        <v>60.045999999999999</v>
      </c>
      <c r="DF118" s="628">
        <f>SUM(BK118:BN118)</f>
        <v>37.222999999999999</v>
      </c>
      <c r="DG118" s="1407">
        <f>SUM(BO118:BR118)</f>
        <v>38.351999999999997</v>
      </c>
      <c r="DH118" s="1407">
        <f>SUM(BS118:BV118)</f>
        <v>38.351999999999997</v>
      </c>
      <c r="DI118" s="931"/>
    </row>
    <row r="119" spans="1:113" ht="14.25" customHeight="1">
      <c r="A119" s="227"/>
      <c r="B119" s="736" t="s">
        <v>297</v>
      </c>
      <c r="C119" s="247"/>
      <c r="D119" s="248">
        <f t="shared" ref="D119:AI119" si="389">+SUM(D116:D118)</f>
        <v>0</v>
      </c>
      <c r="E119" s="247">
        <f t="shared" si="389"/>
        <v>0</v>
      </c>
      <c r="F119" s="247">
        <f t="shared" si="389"/>
        <v>0</v>
      </c>
      <c r="G119" s="228">
        <f t="shared" si="389"/>
        <v>0</v>
      </c>
      <c r="H119" s="248">
        <f t="shared" si="389"/>
        <v>0</v>
      </c>
      <c r="I119" s="247">
        <f t="shared" si="389"/>
        <v>0</v>
      </c>
      <c r="J119" s="247">
        <f t="shared" si="389"/>
        <v>0</v>
      </c>
      <c r="K119" s="228">
        <f t="shared" si="389"/>
        <v>0</v>
      </c>
      <c r="L119" s="248">
        <f t="shared" si="389"/>
        <v>0</v>
      </c>
      <c r="M119" s="247">
        <f t="shared" si="389"/>
        <v>0</v>
      </c>
      <c r="N119" s="247">
        <f t="shared" si="389"/>
        <v>0</v>
      </c>
      <c r="O119" s="228">
        <f t="shared" si="389"/>
        <v>0</v>
      </c>
      <c r="P119" s="248">
        <f t="shared" si="389"/>
        <v>0</v>
      </c>
      <c r="Q119" s="247">
        <f t="shared" si="389"/>
        <v>0</v>
      </c>
      <c r="R119" s="247">
        <f t="shared" si="389"/>
        <v>0</v>
      </c>
      <c r="S119" s="228">
        <f t="shared" si="389"/>
        <v>0</v>
      </c>
      <c r="T119" s="248">
        <f t="shared" si="389"/>
        <v>5.8049999999999997</v>
      </c>
      <c r="U119" s="247">
        <f t="shared" si="389"/>
        <v>6.1679999999999993</v>
      </c>
      <c r="V119" s="247">
        <f t="shared" si="389"/>
        <v>7.74</v>
      </c>
      <c r="W119" s="228">
        <f t="shared" si="389"/>
        <v>7.6659999999999995</v>
      </c>
      <c r="X119" s="248">
        <f t="shared" si="389"/>
        <v>8.0330000000000013</v>
      </c>
      <c r="Y119" s="247">
        <f t="shared" si="389"/>
        <v>7.7709999999999999</v>
      </c>
      <c r="Z119" s="247">
        <f t="shared" si="389"/>
        <v>8.3569999999999993</v>
      </c>
      <c r="AA119" s="228">
        <f t="shared" si="389"/>
        <v>8.6849999999999987</v>
      </c>
      <c r="AB119" s="248">
        <f t="shared" si="389"/>
        <v>7.6989999999999998</v>
      </c>
      <c r="AC119" s="247">
        <f t="shared" si="389"/>
        <v>8.4929999999999986</v>
      </c>
      <c r="AD119" s="247">
        <f t="shared" si="389"/>
        <v>8.1649999999999991</v>
      </c>
      <c r="AE119" s="228">
        <f t="shared" si="389"/>
        <v>8.1240000000000006</v>
      </c>
      <c r="AF119" s="248">
        <f t="shared" si="389"/>
        <v>8.9980000000000011</v>
      </c>
      <c r="AG119" s="247">
        <f t="shared" si="389"/>
        <v>9.5</v>
      </c>
      <c r="AH119" s="247">
        <f t="shared" si="389"/>
        <v>8.8369999999999997</v>
      </c>
      <c r="AI119" s="228">
        <f t="shared" si="389"/>
        <v>9.4430000000000014</v>
      </c>
      <c r="AJ119" s="248">
        <f t="shared" ref="AJ119:BO119" si="390">+SUM(AJ116:AJ118)</f>
        <v>9.4510000000000005</v>
      </c>
      <c r="AK119" s="247">
        <f t="shared" si="390"/>
        <v>8.9250000000000007</v>
      </c>
      <c r="AL119" s="247">
        <f t="shared" si="390"/>
        <v>9.4089999999999989</v>
      </c>
      <c r="AM119" s="228">
        <f t="shared" si="390"/>
        <v>9.027000000000001</v>
      </c>
      <c r="AN119" s="248">
        <f t="shared" si="390"/>
        <v>9.0239999999999991</v>
      </c>
      <c r="AO119" s="247">
        <f t="shared" si="390"/>
        <v>9.484</v>
      </c>
      <c r="AP119" s="247">
        <f t="shared" si="390"/>
        <v>9.9619999999999997</v>
      </c>
      <c r="AQ119" s="228">
        <f t="shared" si="390"/>
        <v>9.8189999999999991</v>
      </c>
      <c r="AR119" s="248">
        <f t="shared" si="390"/>
        <v>9.9860000000000007</v>
      </c>
      <c r="AS119" s="247">
        <f t="shared" si="390"/>
        <v>20.552999999999997</v>
      </c>
      <c r="AT119" s="890">
        <f t="shared" si="390"/>
        <v>14.120000000000001</v>
      </c>
      <c r="AU119" s="228">
        <f t="shared" si="390"/>
        <v>13.355999999999998</v>
      </c>
      <c r="AV119" s="248">
        <f t="shared" si="390"/>
        <v>12.656000000000001</v>
      </c>
      <c r="AW119" s="247">
        <f t="shared" si="390"/>
        <v>15</v>
      </c>
      <c r="AX119" s="890">
        <f t="shared" si="390"/>
        <v>13.719000000000001</v>
      </c>
      <c r="AY119" s="228">
        <f t="shared" si="390"/>
        <v>12.411999999999999</v>
      </c>
      <c r="AZ119" s="956">
        <f t="shared" si="390"/>
        <v>13.321000000000002</v>
      </c>
      <c r="BA119" s="890">
        <f t="shared" si="390"/>
        <v>15.273</v>
      </c>
      <c r="BB119" s="890">
        <f t="shared" si="390"/>
        <v>14.818999999999999</v>
      </c>
      <c r="BC119" s="228">
        <f t="shared" si="390"/>
        <v>15.183</v>
      </c>
      <c r="BD119" s="956">
        <f t="shared" si="390"/>
        <v>14.111999999999998</v>
      </c>
      <c r="BE119" s="890">
        <f t="shared" si="390"/>
        <v>23.026</v>
      </c>
      <c r="BF119" s="890">
        <f t="shared" si="390"/>
        <v>16.965</v>
      </c>
      <c r="BG119" s="228">
        <f t="shared" si="390"/>
        <v>17.317</v>
      </c>
      <c r="BH119" s="956">
        <f>+SUM(BH116:BH118)</f>
        <v>59.579000000000001</v>
      </c>
      <c r="BI119" s="890">
        <f t="shared" ref="BI119" si="391">+SUM(BI116:BI118)</f>
        <v>24.39</v>
      </c>
      <c r="BJ119" s="890">
        <f t="shared" ref="BJ119" si="392">+SUM(BJ116:BJ118)</f>
        <v>22.12</v>
      </c>
      <c r="BK119" s="1384">
        <f t="shared" si="390"/>
        <v>22.066000000000003</v>
      </c>
      <c r="BL119" s="248">
        <f t="shared" si="390"/>
        <v>22.408000000000001</v>
      </c>
      <c r="BM119" s="247">
        <f t="shared" si="390"/>
        <v>23.61</v>
      </c>
      <c r="BN119" s="247">
        <f t="shared" si="390"/>
        <v>24.003</v>
      </c>
      <c r="BO119" s="228">
        <f t="shared" si="390"/>
        <v>24.003</v>
      </c>
      <c r="BP119" s="248">
        <f t="shared" ref="BP119:BW119" si="393">+SUM(BP116:BP118)</f>
        <v>24.003</v>
      </c>
      <c r="BQ119" s="247">
        <f t="shared" si="393"/>
        <v>24.003</v>
      </c>
      <c r="BR119" s="247">
        <f t="shared" si="393"/>
        <v>24.003</v>
      </c>
      <c r="BS119" s="228">
        <f t="shared" si="393"/>
        <v>24.003</v>
      </c>
      <c r="BT119" s="1392">
        <f t="shared" si="393"/>
        <v>24.003</v>
      </c>
      <c r="BU119" s="1391">
        <f t="shared" si="393"/>
        <v>24.003</v>
      </c>
      <c r="BV119" s="1391">
        <f t="shared" si="393"/>
        <v>24.003</v>
      </c>
      <c r="BW119" s="1384">
        <f t="shared" si="393"/>
        <v>24.003</v>
      </c>
      <c r="BX119" s="1100"/>
      <c r="BY119" s="248">
        <f t="shared" ref="BY119:CH119" si="394">+SUM(BY116:BY118)</f>
        <v>0</v>
      </c>
      <c r="BZ119" s="247">
        <f t="shared" si="394"/>
        <v>0</v>
      </c>
      <c r="CA119" s="247">
        <f t="shared" si="394"/>
        <v>0</v>
      </c>
      <c r="CB119" s="247">
        <f t="shared" si="394"/>
        <v>0</v>
      </c>
      <c r="CC119" s="247">
        <f t="shared" si="394"/>
        <v>27.379000000000001</v>
      </c>
      <c r="CD119" s="247">
        <f t="shared" si="394"/>
        <v>32.846000000000004</v>
      </c>
      <c r="CE119" s="247">
        <f t="shared" si="394"/>
        <v>32.480999999999995</v>
      </c>
      <c r="CF119" s="247">
        <f t="shared" si="394"/>
        <v>36.777999999999999</v>
      </c>
      <c r="CG119" s="247">
        <f t="shared" si="394"/>
        <v>36.811999999999998</v>
      </c>
      <c r="CH119" s="31">
        <f t="shared" si="394"/>
        <v>38.289000000000001</v>
      </c>
      <c r="CI119" s="31">
        <f>SUM(AR119:AU119)</f>
        <v>58.015000000000001</v>
      </c>
      <c r="CJ119" s="31">
        <f>SUM(AV119:AY119)</f>
        <v>53.786999999999999</v>
      </c>
      <c r="CK119" s="31">
        <f>SUM(AZ119:BC119)</f>
        <v>58.595999999999997</v>
      </c>
      <c r="CL119" s="31">
        <f>SUM(BD119:BG119)</f>
        <v>71.419999999999987</v>
      </c>
      <c r="CM119" s="31">
        <f>SUM(BH119:BK119)</f>
        <v>128.155</v>
      </c>
      <c r="CN119" s="31">
        <f>SUM(BL119:BO119)</f>
        <v>94.024000000000001</v>
      </c>
      <c r="CO119" s="31">
        <f>SUM(BP119:BS119)</f>
        <v>96.012</v>
      </c>
      <c r="CP119" s="32">
        <f>SUM(BT119:BW119)</f>
        <v>96.012</v>
      </c>
      <c r="CQ119" s="1100"/>
      <c r="CR119" s="248">
        <f t="shared" ref="CR119:DF119" si="395">+SUM(CR116:CR118)</f>
        <v>0</v>
      </c>
      <c r="CS119" s="247">
        <f t="shared" si="395"/>
        <v>0</v>
      </c>
      <c r="CT119" s="247">
        <f t="shared" si="395"/>
        <v>0</v>
      </c>
      <c r="CU119" s="247">
        <f t="shared" si="395"/>
        <v>19.713000000000001</v>
      </c>
      <c r="CV119" s="247">
        <f t="shared" si="395"/>
        <v>31.826999999999998</v>
      </c>
      <c r="CW119" s="247">
        <f t="shared" si="395"/>
        <v>33.042000000000002</v>
      </c>
      <c r="CX119" s="247">
        <f t="shared" si="395"/>
        <v>35.459000000000003</v>
      </c>
      <c r="CY119" s="247">
        <f t="shared" si="395"/>
        <v>37.227999999999994</v>
      </c>
      <c r="CZ119" s="247">
        <f t="shared" si="395"/>
        <v>37.497</v>
      </c>
      <c r="DA119" s="247">
        <f t="shared" si="395"/>
        <v>54.477999999999994</v>
      </c>
      <c r="DB119" s="247">
        <f t="shared" si="395"/>
        <v>54.731000000000002</v>
      </c>
      <c r="DC119" s="247">
        <f t="shared" si="395"/>
        <v>55.824999999999989</v>
      </c>
      <c r="DD119" s="247">
        <f t="shared" si="395"/>
        <v>69.286000000000001</v>
      </c>
      <c r="DE119" s="247">
        <f t="shared" si="395"/>
        <v>123.40600000000001</v>
      </c>
      <c r="DF119" s="247">
        <f t="shared" si="395"/>
        <v>92.086999999999989</v>
      </c>
      <c r="DG119" s="1391">
        <f>+SUM(DG116:DG118)</f>
        <v>96.012</v>
      </c>
      <c r="DH119" s="1391">
        <f>+SUM(DH116:DH118)</f>
        <v>96.012</v>
      </c>
      <c r="DI119" s="248"/>
    </row>
    <row r="120" spans="1:113" ht="14.25" customHeight="1">
      <c r="A120" s="227"/>
      <c r="B120" s="958" t="s">
        <v>12</v>
      </c>
      <c r="C120" s="739"/>
      <c r="D120" s="940">
        <v>0</v>
      </c>
      <c r="E120" s="941">
        <v>0</v>
      </c>
      <c r="F120" s="941">
        <v>0</v>
      </c>
      <c r="G120" s="939">
        <v>0</v>
      </c>
      <c r="H120" s="940">
        <v>0</v>
      </c>
      <c r="I120" s="941">
        <v>0</v>
      </c>
      <c r="J120" s="941">
        <v>0</v>
      </c>
      <c r="K120" s="939">
        <v>0</v>
      </c>
      <c r="L120" s="940">
        <v>0</v>
      </c>
      <c r="M120" s="941">
        <v>0</v>
      </c>
      <c r="N120" s="941">
        <v>0</v>
      </c>
      <c r="O120" s="939">
        <v>0</v>
      </c>
      <c r="P120" s="940">
        <v>0</v>
      </c>
      <c r="Q120" s="941">
        <v>0</v>
      </c>
      <c r="R120" s="941">
        <v>0</v>
      </c>
      <c r="S120" s="939">
        <v>0</v>
      </c>
      <c r="T120" s="940">
        <f>4.412-T119</f>
        <v>-1.3929999999999998</v>
      </c>
      <c r="U120" s="941">
        <f>4.688-U119</f>
        <v>-1.4799999999999995</v>
      </c>
      <c r="V120" s="941">
        <v>-1.8570000000000002</v>
      </c>
      <c r="W120" s="939">
        <v>-1.84</v>
      </c>
      <c r="X120" s="940">
        <v>-1.631000000000002</v>
      </c>
      <c r="Y120" s="941">
        <v>-1.5860000000000003</v>
      </c>
      <c r="Z120" s="941">
        <v>-1.546</v>
      </c>
      <c r="AA120" s="939">
        <v>-1.6319999999999988</v>
      </c>
      <c r="AB120" s="940">
        <v>-1.393</v>
      </c>
      <c r="AC120" s="941">
        <v>-1.5369999999999999</v>
      </c>
      <c r="AD120" s="941">
        <v>-1.454</v>
      </c>
      <c r="AE120" s="939">
        <v>-0.89300000000000002</v>
      </c>
      <c r="AF120" s="940">
        <v>-1.17</v>
      </c>
      <c r="AG120" s="941">
        <v>-1.2350000000000001</v>
      </c>
      <c r="AH120" s="941">
        <v>-1.18</v>
      </c>
      <c r="AI120" s="939">
        <v>-0.97799999999999998</v>
      </c>
      <c r="AJ120" s="940">
        <v>-1.1619999999999999</v>
      </c>
      <c r="AK120" s="941">
        <v>-1.1140000000000001</v>
      </c>
      <c r="AL120" s="941">
        <v>-1.1659999999999999</v>
      </c>
      <c r="AM120" s="939">
        <v>-1.0509999999999999</v>
      </c>
      <c r="AN120" s="940">
        <v>-1.1679999999999999</v>
      </c>
      <c r="AO120" s="941">
        <v>-1.226</v>
      </c>
      <c r="AP120" s="941">
        <v>-1.2609999999999999</v>
      </c>
      <c r="AQ120" s="939">
        <v>-1.234</v>
      </c>
      <c r="AR120" s="940">
        <v>-1.3220000000000001</v>
      </c>
      <c r="AS120" s="941">
        <v>-3.419</v>
      </c>
      <c r="AT120" s="942">
        <v>-2.7549999999999999</v>
      </c>
      <c r="AU120" s="939">
        <v>-1.542</v>
      </c>
      <c r="AV120" s="940">
        <v>-1.4019999999999999</v>
      </c>
      <c r="AW120" s="941">
        <v>-1.589</v>
      </c>
      <c r="AX120" s="942">
        <v>-1.51</v>
      </c>
      <c r="AY120" s="939">
        <v>-1.2210000000000001</v>
      </c>
      <c r="AZ120" s="940">
        <v>-1.42</v>
      </c>
      <c r="BA120" s="942">
        <v>-1.833</v>
      </c>
      <c r="BB120" s="942">
        <v>-3.6320000000000001</v>
      </c>
      <c r="BC120" s="939">
        <v>-3.7549999999999999</v>
      </c>
      <c r="BD120" s="940">
        <v>-3.532</v>
      </c>
      <c r="BE120" s="942">
        <v>-8.5739999999999998</v>
      </c>
      <c r="BF120" s="942">
        <v>-5.46</v>
      </c>
      <c r="BG120" s="939">
        <v>-5.4459999999999997</v>
      </c>
      <c r="BH120" s="940">
        <v>-20.888000000000002</v>
      </c>
      <c r="BI120" s="942">
        <v>-8.3580000000000005</v>
      </c>
      <c r="BJ120" s="942">
        <v>-8.8409999999999993</v>
      </c>
      <c r="BK120" s="939">
        <v>-7.5919999999999996</v>
      </c>
      <c r="BL120" s="940">
        <v>-7.4279999999999999</v>
      </c>
      <c r="BM120" s="1483">
        <v>-7.8460000000000001</v>
      </c>
      <c r="BN120" s="1483">
        <v>-6.6040000000000001</v>
      </c>
      <c r="BO120" s="597">
        <f t="shared" ref="BO120:BS120" si="396">-BO119*BO82</f>
        <v>-2.1602700000000001</v>
      </c>
      <c r="BP120" s="595">
        <f t="shared" si="396"/>
        <v>-2.1602700000000001</v>
      </c>
      <c r="BQ120" s="596">
        <f t="shared" si="396"/>
        <v>-2.1602700000000001</v>
      </c>
      <c r="BR120" s="596">
        <f t="shared" si="396"/>
        <v>-2.1602700000000001</v>
      </c>
      <c r="BS120" s="597">
        <f t="shared" si="396"/>
        <v>-2.1602700000000001</v>
      </c>
      <c r="BT120" s="595">
        <f t="shared" ref="BT120:BW120" si="397">-BT119*BT82</f>
        <v>-2.1602700000000001</v>
      </c>
      <c r="BU120" s="596">
        <f t="shared" si="397"/>
        <v>-2.1602700000000001</v>
      </c>
      <c r="BV120" s="596">
        <f t="shared" si="397"/>
        <v>-2.1602700000000001</v>
      </c>
      <c r="BW120" s="597">
        <f t="shared" si="397"/>
        <v>-2.1602700000000001</v>
      </c>
      <c r="BX120" s="1100"/>
      <c r="BY120" s="595">
        <f>SUM(D120:G120)</f>
        <v>0</v>
      </c>
      <c r="BZ120" s="596">
        <f>SUM(H120:K120)</f>
        <v>0</v>
      </c>
      <c r="CA120" s="596">
        <f>SUM(L120:O120)</f>
        <v>0</v>
      </c>
      <c r="CB120" s="596">
        <f>SUM(P120:S120)</f>
        <v>0</v>
      </c>
      <c r="CC120" s="596">
        <f>SUM(T120:W120)</f>
        <v>-6.5699999999999994</v>
      </c>
      <c r="CD120" s="596">
        <f>SUM(X120:AA120)</f>
        <v>-6.3950000000000014</v>
      </c>
      <c r="CE120" s="596">
        <f>SUM(AB120:AE120)</f>
        <v>-5.2769999999999992</v>
      </c>
      <c r="CF120" s="596">
        <f>SUM(AF120:AI120)</f>
        <v>-4.5629999999999997</v>
      </c>
      <c r="CG120" s="596">
        <f>SUM(AJ120:AM120)</f>
        <v>-4.4929999999999994</v>
      </c>
      <c r="CH120" s="596">
        <f>SUM(AN120:AQ120)</f>
        <v>-4.8890000000000002</v>
      </c>
      <c r="CI120" s="596">
        <f>SUM(AR120:AU120)</f>
        <v>-9.0380000000000003</v>
      </c>
      <c r="CJ120" s="596">
        <f>SUM(AV120:AY120)</f>
        <v>-5.7219999999999995</v>
      </c>
      <c r="CK120" s="596">
        <f>SUM(AZ120:BC120)</f>
        <v>-10.64</v>
      </c>
      <c r="CL120" s="596">
        <f>SUM(BD120:BG120)</f>
        <v>-23.012</v>
      </c>
      <c r="CM120" s="596">
        <f>SUM(BH120:BK120)</f>
        <v>-45.679000000000002</v>
      </c>
      <c r="CN120" s="596">
        <f>SUM(BL120:BO120)</f>
        <v>-24.038270000000001</v>
      </c>
      <c r="CO120" s="596">
        <f>SUM(BP120:BS120)</f>
        <v>-8.6410800000000005</v>
      </c>
      <c r="CP120" s="597">
        <f>SUM(BT120:BW120)</f>
        <v>-8.6410800000000005</v>
      </c>
      <c r="CQ120" s="1100"/>
      <c r="CR120" s="595">
        <f>SUM(G120:J120)</f>
        <v>0</v>
      </c>
      <c r="CS120" s="596">
        <f>SUM(K120:N120)</f>
        <v>0</v>
      </c>
      <c r="CT120" s="596">
        <f>SUM(O120:R120)</f>
        <v>0</v>
      </c>
      <c r="CU120" s="596">
        <f>SUM(S120:V120)</f>
        <v>-4.7299999999999995</v>
      </c>
      <c r="CV120" s="596">
        <f>SUM(W120:Z120)</f>
        <v>-6.6030000000000024</v>
      </c>
      <c r="CW120" s="596">
        <f>SUM(AA120:AD120)</f>
        <v>-6.0159999999999982</v>
      </c>
      <c r="CX120" s="596">
        <f>SUM(AE120:AH120)</f>
        <v>-4.4779999999999998</v>
      </c>
      <c r="CY120" s="596">
        <f>SUM(AI120:AL120)</f>
        <v>-4.42</v>
      </c>
      <c r="CZ120" s="596">
        <f>SUM(AM120:AP120)</f>
        <v>-4.7059999999999995</v>
      </c>
      <c r="DA120" s="596">
        <f>SUM(AQ120:AT120)</f>
        <v>-8.73</v>
      </c>
      <c r="DB120" s="596">
        <f>SUM(AU120:AX120)</f>
        <v>-6.0429999999999993</v>
      </c>
      <c r="DC120" s="596">
        <f>SUM(AY120:BB120)</f>
        <v>-8.1059999999999999</v>
      </c>
      <c r="DD120" s="596">
        <f>SUM(BC120:BF120)</f>
        <v>-21.321000000000002</v>
      </c>
      <c r="DE120" s="596">
        <f>SUM(BG120:BJ120)</f>
        <v>-43.533000000000008</v>
      </c>
      <c r="DF120" s="596">
        <f>SUM(BK120:BN120)</f>
        <v>-29.47</v>
      </c>
      <c r="DG120" s="596">
        <f>SUM(BO120:BR120)</f>
        <v>-8.6410800000000005</v>
      </c>
      <c r="DH120" s="596">
        <f>SUM(BS120:BV120)</f>
        <v>-8.6410800000000005</v>
      </c>
      <c r="DI120" s="248"/>
    </row>
    <row r="121" spans="1:113" ht="14.25" customHeight="1">
      <c r="A121" s="8"/>
      <c r="B121" s="621"/>
      <c r="C121" s="8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323"/>
      <c r="AZ121" s="8"/>
      <c r="BA121" s="8"/>
      <c r="BB121" s="8"/>
      <c r="BC121" s="323"/>
      <c r="BD121" s="8"/>
      <c r="BE121" s="8"/>
      <c r="BF121" s="8"/>
      <c r="BG121" s="323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11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14"/>
      <c r="CM121" s="14"/>
      <c r="CN121" s="14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14"/>
      <c r="CZ121" s="8"/>
      <c r="DA121" s="8"/>
      <c r="DB121" s="8"/>
      <c r="DC121" s="8"/>
      <c r="DD121" s="14"/>
      <c r="DE121" s="14"/>
      <c r="DF121" s="14"/>
      <c r="DG121" s="14"/>
      <c r="DH121" s="14"/>
      <c r="DI121" s="8"/>
    </row>
    <row r="122" spans="1:113" ht="14.25" customHeight="1">
      <c r="A122" s="8"/>
      <c r="B122" s="621"/>
      <c r="C122" s="8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1285">
        <f>BL134-BH134</f>
        <v>0.10088337514451412</v>
      </c>
      <c r="BM122" s="8"/>
      <c r="BN122" s="8"/>
      <c r="BO122" s="8"/>
      <c r="BP122" s="1408"/>
      <c r="BQ122" s="8"/>
      <c r="BR122" s="8"/>
      <c r="BS122" s="8"/>
      <c r="BT122" s="1412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14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14"/>
      <c r="CZ122" s="8"/>
      <c r="DA122" s="8"/>
      <c r="DB122" s="8"/>
      <c r="DC122" s="8"/>
      <c r="DD122" s="14"/>
      <c r="DE122" s="14"/>
      <c r="DF122" s="14"/>
      <c r="DG122" s="14"/>
      <c r="DH122" s="14"/>
      <c r="DI122" s="8"/>
    </row>
    <row r="123" spans="1:113" ht="14.25" customHeight="1">
      <c r="A123" s="8"/>
      <c r="B123" s="621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11"/>
      <c r="AK123" s="11"/>
      <c r="AL123" s="11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1368"/>
      <c r="BQ123" s="8"/>
      <c r="BR123" s="8"/>
      <c r="BS123" s="8"/>
      <c r="BT123" s="136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11"/>
      <c r="CI123" s="11"/>
      <c r="CJ123" s="11"/>
      <c r="CK123" s="11"/>
      <c r="CL123" s="68"/>
      <c r="CM123" s="952"/>
      <c r="CN123" s="952"/>
      <c r="CO123" s="8"/>
      <c r="CP123" s="8"/>
      <c r="CQ123" s="11"/>
      <c r="CR123" s="11"/>
      <c r="CS123" s="11"/>
      <c r="CT123" s="11"/>
      <c r="CU123" s="11"/>
      <c r="CV123" s="11"/>
      <c r="CW123" s="11"/>
      <c r="CX123" s="11"/>
      <c r="CY123" s="68"/>
      <c r="CZ123" s="11"/>
      <c r="DA123" s="11"/>
      <c r="DB123" s="11"/>
      <c r="DC123" s="11"/>
      <c r="DD123" s="68"/>
      <c r="DE123" s="68"/>
      <c r="DF123" s="68"/>
      <c r="DG123" s="68"/>
      <c r="DH123" s="68"/>
      <c r="DI123" s="11"/>
    </row>
    <row r="124" spans="1:113" ht="14.25" customHeight="1">
      <c r="A124" s="8"/>
      <c r="B124" s="622" t="s">
        <v>393</v>
      </c>
      <c r="C124" s="598"/>
      <c r="D124" s="599" t="str">
        <f t="shared" ref="D124:O124" si="398">+D$7</f>
        <v>F1Q03A</v>
      </c>
      <c r="E124" s="600" t="str">
        <f t="shared" si="398"/>
        <v>F2Q03A</v>
      </c>
      <c r="F124" s="600" t="str">
        <f t="shared" si="398"/>
        <v>F3Q03A</v>
      </c>
      <c r="G124" s="601" t="str">
        <f t="shared" si="398"/>
        <v>F4Q03A</v>
      </c>
      <c r="H124" s="599" t="str">
        <f t="shared" si="398"/>
        <v>F1Q04A</v>
      </c>
      <c r="I124" s="600" t="str">
        <f t="shared" si="398"/>
        <v>F2Q04A</v>
      </c>
      <c r="J124" s="600" t="str">
        <f t="shared" si="398"/>
        <v>F3Q04A</v>
      </c>
      <c r="K124" s="601" t="str">
        <f t="shared" si="398"/>
        <v>F4Q04A</v>
      </c>
      <c r="L124" s="599" t="str">
        <f t="shared" si="398"/>
        <v>F1Q05A</v>
      </c>
      <c r="M124" s="600" t="str">
        <f t="shared" si="398"/>
        <v>F2Q05A</v>
      </c>
      <c r="N124" s="600" t="str">
        <f t="shared" si="398"/>
        <v>F3Q05A</v>
      </c>
      <c r="O124" s="601" t="str">
        <f t="shared" si="398"/>
        <v>F4Q05A</v>
      </c>
      <c r="P124" s="599" t="str">
        <f>+P$7</f>
        <v>F1Q06A</v>
      </c>
      <c r="Q124" s="600" t="str">
        <f t="shared" ref="Q124:CP124" si="399">+Q$7</f>
        <v>F2Q06A</v>
      </c>
      <c r="R124" s="600" t="str">
        <f t="shared" si="399"/>
        <v>F3Q06A</v>
      </c>
      <c r="S124" s="601" t="str">
        <f t="shared" si="399"/>
        <v>F4Q06A</v>
      </c>
      <c r="T124" s="599" t="str">
        <f t="shared" si="399"/>
        <v>F1Q07A</v>
      </c>
      <c r="U124" s="600" t="str">
        <f t="shared" si="399"/>
        <v>F2Q07A</v>
      </c>
      <c r="V124" s="600" t="str">
        <f t="shared" si="399"/>
        <v>F3Q07A</v>
      </c>
      <c r="W124" s="601" t="str">
        <f t="shared" si="399"/>
        <v>F4Q07A</v>
      </c>
      <c r="X124" s="600" t="str">
        <f t="shared" si="399"/>
        <v>F1Q08A</v>
      </c>
      <c r="Y124" s="600" t="str">
        <f t="shared" si="399"/>
        <v>F2Q08A</v>
      </c>
      <c r="Z124" s="600" t="str">
        <f t="shared" si="399"/>
        <v>F3Q08A</v>
      </c>
      <c r="AA124" s="600" t="str">
        <f t="shared" si="399"/>
        <v>F4Q08A</v>
      </c>
      <c r="AB124" s="599" t="str">
        <f t="shared" si="399"/>
        <v>F1Q09A</v>
      </c>
      <c r="AC124" s="600" t="str">
        <f t="shared" si="399"/>
        <v>F2Q09A</v>
      </c>
      <c r="AD124" s="600" t="str">
        <f t="shared" si="399"/>
        <v>F3Q09A</v>
      </c>
      <c r="AE124" s="601" t="str">
        <f t="shared" si="399"/>
        <v>F4Q09A</v>
      </c>
      <c r="AF124" s="600" t="str">
        <f t="shared" si="399"/>
        <v>F1Q10A</v>
      </c>
      <c r="AG124" s="600" t="str">
        <f t="shared" si="399"/>
        <v>F2Q10A</v>
      </c>
      <c r="AH124" s="600" t="str">
        <f t="shared" si="399"/>
        <v>F3Q10A</v>
      </c>
      <c r="AI124" s="600" t="str">
        <f t="shared" si="399"/>
        <v>F4Q10A</v>
      </c>
      <c r="AJ124" s="599" t="str">
        <f t="shared" si="399"/>
        <v>F1Q11A</v>
      </c>
      <c r="AK124" s="600" t="str">
        <f t="shared" si="399"/>
        <v>F2Q11A</v>
      </c>
      <c r="AL124" s="600" t="str">
        <f t="shared" si="399"/>
        <v>F3Q11A</v>
      </c>
      <c r="AM124" s="601" t="str">
        <f t="shared" si="399"/>
        <v>F4Q11A</v>
      </c>
      <c r="AN124" s="600" t="str">
        <f t="shared" si="399"/>
        <v>F1Q12A</v>
      </c>
      <c r="AO124" s="600" t="str">
        <f t="shared" si="399"/>
        <v>F2Q12A</v>
      </c>
      <c r="AP124" s="600" t="str">
        <f t="shared" si="399"/>
        <v>F3Q12A</v>
      </c>
      <c r="AQ124" s="601" t="str">
        <f t="shared" si="399"/>
        <v>F4Q12A</v>
      </c>
      <c r="AR124" s="600" t="str">
        <f t="shared" si="399"/>
        <v>F1Q13A</v>
      </c>
      <c r="AS124" s="600" t="str">
        <f t="shared" si="399"/>
        <v>F2Q13A</v>
      </c>
      <c r="AT124" s="600" t="str">
        <f t="shared" si="399"/>
        <v>F3Q13A</v>
      </c>
      <c r="AU124" s="601" t="str">
        <f t="shared" si="399"/>
        <v>F4Q13A</v>
      </c>
      <c r="AV124" s="599" t="str">
        <f t="shared" si="399"/>
        <v>F1Q14A</v>
      </c>
      <c r="AW124" s="600" t="str">
        <f t="shared" si="399"/>
        <v>F2Q14A</v>
      </c>
      <c r="AX124" s="600" t="str">
        <f t="shared" si="399"/>
        <v>F3Q14A</v>
      </c>
      <c r="AY124" s="601" t="str">
        <f t="shared" si="399"/>
        <v>F4Q14A</v>
      </c>
      <c r="AZ124" s="599" t="str">
        <f t="shared" si="399"/>
        <v>F1Q15A</v>
      </c>
      <c r="BA124" s="600" t="str">
        <f t="shared" si="399"/>
        <v>F2Q15A</v>
      </c>
      <c r="BB124" s="600" t="str">
        <f t="shared" si="399"/>
        <v>F3Q15A</v>
      </c>
      <c r="BC124" s="601" t="str">
        <f t="shared" si="399"/>
        <v>F4Q15A</v>
      </c>
      <c r="BD124" s="599" t="str">
        <f t="shared" si="399"/>
        <v>F1Q16A</v>
      </c>
      <c r="BE124" s="600" t="str">
        <f t="shared" si="399"/>
        <v>F2Q16A</v>
      </c>
      <c r="BF124" s="600" t="str">
        <f t="shared" si="399"/>
        <v>F3Q16A</v>
      </c>
      <c r="BG124" s="601" t="str">
        <f t="shared" si="399"/>
        <v>F4Q16A</v>
      </c>
      <c r="BH124" s="599" t="str">
        <f t="shared" si="399"/>
        <v>F1Q17A</v>
      </c>
      <c r="BI124" s="600" t="str">
        <f t="shared" si="399"/>
        <v>F2Q17A</v>
      </c>
      <c r="BJ124" s="600" t="str">
        <f t="shared" si="399"/>
        <v>F3Q17A</v>
      </c>
      <c r="BK124" s="601" t="str">
        <f t="shared" si="399"/>
        <v>F4Q17A</v>
      </c>
      <c r="BL124" s="599" t="str">
        <f t="shared" si="399"/>
        <v>F1Q18A</v>
      </c>
      <c r="BM124" s="600" t="str">
        <f t="shared" si="399"/>
        <v>F2Q18A</v>
      </c>
      <c r="BN124" s="600" t="str">
        <f t="shared" si="399"/>
        <v>F3Q18A</v>
      </c>
      <c r="BO124" s="601" t="str">
        <f t="shared" si="399"/>
        <v>F4Q18E</v>
      </c>
      <c r="BP124" s="599" t="str">
        <f t="shared" si="399"/>
        <v>F1Q19E</v>
      </c>
      <c r="BQ124" s="600" t="str">
        <f t="shared" si="399"/>
        <v>F2Q19E</v>
      </c>
      <c r="BR124" s="600" t="str">
        <f t="shared" si="399"/>
        <v>F3Q19E</v>
      </c>
      <c r="BS124" s="601" t="str">
        <f t="shared" si="399"/>
        <v>F4Q19E</v>
      </c>
      <c r="BT124" s="600" t="str">
        <f t="shared" si="399"/>
        <v>F1Q20E</v>
      </c>
      <c r="BU124" s="600" t="str">
        <f t="shared" si="399"/>
        <v>F2Q20E</v>
      </c>
      <c r="BV124" s="600" t="str">
        <f t="shared" si="399"/>
        <v>F3Q20E</v>
      </c>
      <c r="BW124" s="601" t="str">
        <f t="shared" si="399"/>
        <v>F4Q20E</v>
      </c>
      <c r="BX124" s="1099"/>
      <c r="BY124" s="599" t="str">
        <f t="shared" si="399"/>
        <v>FY2003A</v>
      </c>
      <c r="BZ124" s="600" t="str">
        <f t="shared" si="399"/>
        <v>FY2004A</v>
      </c>
      <c r="CA124" s="600" t="str">
        <f t="shared" si="399"/>
        <v>FY2005A</v>
      </c>
      <c r="CB124" s="600" t="str">
        <f t="shared" si="399"/>
        <v>FY2006A</v>
      </c>
      <c r="CC124" s="600" t="str">
        <f t="shared" si="399"/>
        <v>FY2007A</v>
      </c>
      <c r="CD124" s="600" t="str">
        <f t="shared" si="399"/>
        <v>FY2008A</v>
      </c>
      <c r="CE124" s="600" t="str">
        <f t="shared" si="399"/>
        <v>FY2009A</v>
      </c>
      <c r="CF124" s="600" t="str">
        <f t="shared" si="399"/>
        <v>FY2010A</v>
      </c>
      <c r="CG124" s="600" t="str">
        <f t="shared" si="399"/>
        <v>FY2011A</v>
      </c>
      <c r="CH124" s="600" t="str">
        <f t="shared" si="399"/>
        <v>FY2012A</v>
      </c>
      <c r="CI124" s="600" t="str">
        <f t="shared" si="399"/>
        <v>FY2013A</v>
      </c>
      <c r="CJ124" s="600" t="str">
        <f t="shared" si="399"/>
        <v>FY2014A</v>
      </c>
      <c r="CK124" s="600" t="str">
        <f t="shared" si="399"/>
        <v>FY2015A</v>
      </c>
      <c r="CL124" s="600" t="str">
        <f t="shared" si="399"/>
        <v>FY2016A</v>
      </c>
      <c r="CM124" s="600" t="str">
        <f t="shared" si="399"/>
        <v>FY2017A</v>
      </c>
      <c r="CN124" s="600" t="str">
        <f t="shared" si="399"/>
        <v>FY2018E</v>
      </c>
      <c r="CO124" s="600" t="str">
        <f t="shared" si="399"/>
        <v>FY2019E</v>
      </c>
      <c r="CP124" s="601" t="str">
        <f t="shared" si="399"/>
        <v>FY2020E</v>
      </c>
      <c r="CQ124" s="1099"/>
      <c r="CR124" s="599" t="str">
        <f>+CR$5</f>
        <v>CY2003</v>
      </c>
      <c r="CS124" s="600" t="str">
        <f>+CS$5</f>
        <v>CY2004</v>
      </c>
      <c r="CT124" s="600" t="str">
        <f>+CT$5</f>
        <v>CY2005</v>
      </c>
      <c r="CU124" s="600" t="str">
        <f>+CU$5</f>
        <v>CY2006</v>
      </c>
      <c r="CV124" s="600" t="str">
        <f t="shared" ref="CV124:DH124" si="400">+CV$5</f>
        <v>CY2007</v>
      </c>
      <c r="CW124" s="600" t="str">
        <f t="shared" si="400"/>
        <v>CY2008</v>
      </c>
      <c r="CX124" s="600" t="str">
        <f t="shared" si="400"/>
        <v>CY2009</v>
      </c>
      <c r="CY124" s="600" t="str">
        <f t="shared" si="400"/>
        <v>CY2010</v>
      </c>
      <c r="CZ124" s="600" t="str">
        <f t="shared" si="400"/>
        <v>CY2011</v>
      </c>
      <c r="DA124" s="600" t="str">
        <f t="shared" si="400"/>
        <v>CY2012</v>
      </c>
      <c r="DB124" s="600" t="str">
        <f t="shared" si="400"/>
        <v>CY2013</v>
      </c>
      <c r="DC124" s="600" t="str">
        <f t="shared" si="400"/>
        <v>CY2014</v>
      </c>
      <c r="DD124" s="600" t="str">
        <f t="shared" si="400"/>
        <v>CY2015</v>
      </c>
      <c r="DE124" s="600" t="str">
        <f t="shared" si="400"/>
        <v>CY2016</v>
      </c>
      <c r="DF124" s="600" t="str">
        <f t="shared" si="400"/>
        <v>CY2017</v>
      </c>
      <c r="DG124" s="600" t="str">
        <f t="shared" si="400"/>
        <v>CY2018</v>
      </c>
      <c r="DH124" s="600" t="str">
        <f t="shared" si="400"/>
        <v>CY2019</v>
      </c>
      <c r="DI124" s="22"/>
    </row>
    <row r="125" spans="1:113" ht="14.25" customHeight="1">
      <c r="A125" s="227"/>
      <c r="B125" s="736" t="s">
        <v>92</v>
      </c>
      <c r="C125" s="247"/>
      <c r="D125" s="591">
        <f t="shared" ref="D125:AY125" si="401">D8</f>
        <v>157.54400000000001</v>
      </c>
      <c r="E125" s="592">
        <f t="shared" si="401"/>
        <v>166.77799999999999</v>
      </c>
      <c r="F125" s="592">
        <f t="shared" si="401"/>
        <v>167.47399999999999</v>
      </c>
      <c r="G125" s="593">
        <f t="shared" si="401"/>
        <v>159.66600000000003</v>
      </c>
      <c r="H125" s="591">
        <f t="shared" si="401"/>
        <v>161.28299999999999</v>
      </c>
      <c r="I125" s="592">
        <f t="shared" si="401"/>
        <v>168.48599999999999</v>
      </c>
      <c r="J125" s="592">
        <f t="shared" si="401"/>
        <v>177.96700000000001</v>
      </c>
      <c r="K125" s="593">
        <f t="shared" si="401"/>
        <v>191.52400000000003</v>
      </c>
      <c r="L125" s="591">
        <f t="shared" si="401"/>
        <v>212.77500000000001</v>
      </c>
      <c r="M125" s="592">
        <f t="shared" si="401"/>
        <v>220.69399999999999</v>
      </c>
      <c r="N125" s="592">
        <f t="shared" si="401"/>
        <v>205.38399999999999</v>
      </c>
      <c r="O125" s="593">
        <f t="shared" si="401"/>
        <v>208.08300000000006</v>
      </c>
      <c r="P125" s="591">
        <f t="shared" si="401"/>
        <v>218.52699999999999</v>
      </c>
      <c r="Q125" s="592">
        <f t="shared" si="401"/>
        <v>227.298</v>
      </c>
      <c r="R125" s="592">
        <f t="shared" si="401"/>
        <v>234.89599999999999</v>
      </c>
      <c r="S125" s="593">
        <f t="shared" si="401"/>
        <v>247.172</v>
      </c>
      <c r="T125" s="591">
        <f t="shared" si="401"/>
        <v>262.55700000000002</v>
      </c>
      <c r="U125" s="592">
        <f t="shared" si="401"/>
        <v>267.93400000000003</v>
      </c>
      <c r="V125" s="592">
        <f t="shared" si="401"/>
        <v>251.00399999999999</v>
      </c>
      <c r="W125" s="593">
        <f t="shared" si="401"/>
        <v>258.17599999999999</v>
      </c>
      <c r="X125" s="591">
        <f t="shared" si="401"/>
        <v>264.072</v>
      </c>
      <c r="Y125" s="592">
        <f t="shared" si="401"/>
        <v>258.64699999999999</v>
      </c>
      <c r="Z125" s="592">
        <f t="shared" si="401"/>
        <v>252.6</v>
      </c>
      <c r="AA125" s="593">
        <f t="shared" si="401"/>
        <v>260.41800000000001</v>
      </c>
      <c r="AB125" s="591">
        <f t="shared" si="401"/>
        <v>268.17200000000003</v>
      </c>
      <c r="AC125" s="592">
        <f t="shared" si="401"/>
        <v>269.70600000000002</v>
      </c>
      <c r="AD125" s="592">
        <f t="shared" si="401"/>
        <v>192.166</v>
      </c>
      <c r="AE125" s="593">
        <f t="shared" si="401"/>
        <v>173.25299999999999</v>
      </c>
      <c r="AF125" s="591">
        <f t="shared" si="401"/>
        <v>192.94900000000001</v>
      </c>
      <c r="AG125" s="592">
        <f t="shared" si="401"/>
        <v>226.661</v>
      </c>
      <c r="AH125" s="592">
        <f t="shared" si="401"/>
        <v>250.09899999999999</v>
      </c>
      <c r="AI125" s="593">
        <f t="shared" si="401"/>
        <v>278.0200000000001</v>
      </c>
      <c r="AJ125" s="591">
        <f t="shared" si="401"/>
        <v>357.125</v>
      </c>
      <c r="AK125" s="592">
        <f t="shared" si="401"/>
        <v>382.27100000000002</v>
      </c>
      <c r="AL125" s="592">
        <f t="shared" si="401"/>
        <v>367.82400000000001</v>
      </c>
      <c r="AM125" s="593">
        <f t="shared" si="401"/>
        <v>379.9849999999999</v>
      </c>
      <c r="AN125" s="591">
        <f t="shared" si="401"/>
        <v>374.50700000000001</v>
      </c>
      <c r="AO125" s="592">
        <f t="shared" si="401"/>
        <v>340.60199999999998</v>
      </c>
      <c r="AP125" s="592">
        <f t="shared" si="401"/>
        <v>329.15600000000001</v>
      </c>
      <c r="AQ125" s="593">
        <f t="shared" si="401"/>
        <v>338.911</v>
      </c>
      <c r="AR125" s="591">
        <f t="shared" si="401"/>
        <v>352.13400000000001</v>
      </c>
      <c r="AS125" s="592">
        <f t="shared" si="401"/>
        <v>383.298</v>
      </c>
      <c r="AT125" s="592">
        <f t="shared" si="401"/>
        <v>416.04700000000003</v>
      </c>
      <c r="AU125" s="593">
        <f t="shared" si="401"/>
        <v>430.14400000000001</v>
      </c>
      <c r="AV125" s="591">
        <f t="shared" si="401"/>
        <v>462.79199999999997</v>
      </c>
      <c r="AW125" s="592">
        <f t="shared" si="401"/>
        <v>492.66899999999998</v>
      </c>
      <c r="AX125" s="592">
        <f t="shared" si="401"/>
        <v>482.37200000000001</v>
      </c>
      <c r="AY125" s="593">
        <f t="shared" si="401"/>
        <v>493.38400000000019</v>
      </c>
      <c r="AZ125" s="591">
        <f>AZ8+2.469</f>
        <v>531.34500000000003</v>
      </c>
      <c r="BA125" s="592">
        <f>BA8</f>
        <v>546.24300000000005</v>
      </c>
      <c r="BB125" s="592">
        <v>535.79999999999995</v>
      </c>
      <c r="BC125" s="593">
        <f>BC8+3.983</f>
        <v>547.18999999999994</v>
      </c>
      <c r="BD125" s="591">
        <f>BD8</f>
        <v>533.952</v>
      </c>
      <c r="BE125" s="592">
        <v>559.4</v>
      </c>
      <c r="BF125" s="592">
        <v>552.01300000000003</v>
      </c>
      <c r="BG125" s="593">
        <v>568.4</v>
      </c>
      <c r="BH125" s="591">
        <v>843.99800000000005</v>
      </c>
      <c r="BI125" s="592">
        <v>873.83500000000004</v>
      </c>
      <c r="BJ125" s="592">
        <v>881.2</v>
      </c>
      <c r="BK125" s="593">
        <v>902.66600000000005</v>
      </c>
      <c r="BL125" s="591">
        <f t="shared" ref="BL125:BO125" si="402">BL8</f>
        <v>972.14099999999996</v>
      </c>
      <c r="BM125" s="592">
        <f t="shared" si="402"/>
        <v>1012.139</v>
      </c>
      <c r="BN125" s="592">
        <f t="shared" si="402"/>
        <v>994.20500000000004</v>
      </c>
      <c r="BO125" s="1168">
        <f t="shared" si="402"/>
        <v>985.53216599999996</v>
      </c>
      <c r="BP125" s="1536">
        <f t="shared" ref="BP125:BS125" si="403">BP8</f>
        <v>1029.1018515000001</v>
      </c>
      <c r="BQ125" s="1537">
        <f t="shared" si="403"/>
        <v>1061.3265526545001</v>
      </c>
      <c r="BR125" s="1537">
        <f t="shared" si="403"/>
        <v>1039.7374200049585</v>
      </c>
      <c r="BS125" s="1538">
        <f t="shared" si="403"/>
        <v>1030.3623180237353</v>
      </c>
      <c r="BT125" s="1406">
        <f t="shared" ref="BT125:BW125" si="404">BT8</f>
        <v>1071.4096212196996</v>
      </c>
      <c r="BU125" s="1406">
        <f t="shared" si="404"/>
        <v>1098.9462959489163</v>
      </c>
      <c r="BV125" s="1406">
        <f t="shared" si="404"/>
        <v>1083.0117619537671</v>
      </c>
      <c r="BW125" s="593">
        <f t="shared" si="404"/>
        <v>1073.2236018299827</v>
      </c>
      <c r="BX125" s="1100"/>
      <c r="BY125" s="591">
        <f t="shared" ref="BY125:CO125" si="405">BY8</f>
        <v>651.46199999999999</v>
      </c>
      <c r="BZ125" s="592">
        <f t="shared" si="405"/>
        <v>699.26</v>
      </c>
      <c r="CA125" s="592">
        <f t="shared" si="405"/>
        <v>846.93600000000004</v>
      </c>
      <c r="CB125" s="592">
        <f t="shared" si="405"/>
        <v>927.89300000000003</v>
      </c>
      <c r="CC125" s="592">
        <f t="shared" si="405"/>
        <v>1039.671</v>
      </c>
      <c r="CD125" s="592">
        <f t="shared" si="405"/>
        <v>1035.7370000000001</v>
      </c>
      <c r="CE125" s="592">
        <f t="shared" si="405"/>
        <v>903.29700000000003</v>
      </c>
      <c r="CF125" s="592">
        <f t="shared" si="405"/>
        <v>947.72900000000016</v>
      </c>
      <c r="CG125" s="592">
        <f t="shared" si="405"/>
        <v>1487.2049999999999</v>
      </c>
      <c r="CH125" s="1406">
        <f t="shared" si="405"/>
        <v>1383.1759999999999</v>
      </c>
      <c r="CI125" s="1406">
        <f t="shared" si="405"/>
        <v>1581.623</v>
      </c>
      <c r="CJ125" s="1406">
        <f t="shared" si="405"/>
        <v>1931.2170000000003</v>
      </c>
      <c r="CK125" s="592">
        <f t="shared" si="405"/>
        <v>2147.0360000000001</v>
      </c>
      <c r="CL125" s="592">
        <f t="shared" si="405"/>
        <v>2173.2869999999998</v>
      </c>
      <c r="CM125" s="592">
        <f>SUM(BH125:BK125)</f>
        <v>3501.6990000000005</v>
      </c>
      <c r="CN125" s="592">
        <f t="shared" si="405"/>
        <v>3964.0171660000001</v>
      </c>
      <c r="CO125" s="1406">
        <f t="shared" si="405"/>
        <v>4160.5281421831942</v>
      </c>
      <c r="CP125" s="593">
        <f t="shared" ref="CP125" si="406">CP8</f>
        <v>4326.5912809523652</v>
      </c>
      <c r="CQ125" s="1100"/>
      <c r="CR125" s="591">
        <f t="shared" ref="CR125:DG125" si="407">CR8</f>
        <v>667.40200000000004</v>
      </c>
      <c r="CS125" s="592">
        <f t="shared" si="407"/>
        <v>830.37700000000007</v>
      </c>
      <c r="CT125" s="592">
        <f t="shared" si="407"/>
        <v>888.80399999999997</v>
      </c>
      <c r="CU125" s="592">
        <f t="shared" si="407"/>
        <v>1028.6669999999999</v>
      </c>
      <c r="CV125" s="592">
        <f t="shared" si="407"/>
        <v>1033.4949999999999</v>
      </c>
      <c r="CW125" s="592">
        <f t="shared" si="407"/>
        <v>990.46199999999999</v>
      </c>
      <c r="CX125" s="592">
        <f t="shared" si="407"/>
        <v>842.96199999999999</v>
      </c>
      <c r="CY125" s="592">
        <f t="shared" si="407"/>
        <v>1385.2400000000002</v>
      </c>
      <c r="CZ125" s="592">
        <f t="shared" si="407"/>
        <v>1424.25</v>
      </c>
      <c r="DA125" s="592">
        <f t="shared" si="407"/>
        <v>1490.39</v>
      </c>
      <c r="DB125" s="592">
        <f t="shared" si="407"/>
        <v>1867.9770000000001</v>
      </c>
      <c r="DC125" s="592">
        <f t="shared" si="407"/>
        <v>2097.2130000000002</v>
      </c>
      <c r="DD125" s="592">
        <f t="shared" si="407"/>
        <v>2158.8940000000002</v>
      </c>
      <c r="DE125" s="592">
        <f t="shared" si="407"/>
        <v>3062.741</v>
      </c>
      <c r="DF125" s="592">
        <f t="shared" si="407"/>
        <v>3881.1509999999998</v>
      </c>
      <c r="DG125" s="1406">
        <f t="shared" si="407"/>
        <v>4115.6979901594586</v>
      </c>
      <c r="DH125" s="1406">
        <f t="shared" ref="DH125" si="408">DH8</f>
        <v>4283.729997146118</v>
      </c>
      <c r="DI125" s="248"/>
    </row>
    <row r="126" spans="1:113" ht="14.25" customHeight="1">
      <c r="A126" s="227"/>
      <c r="B126" s="736"/>
      <c r="C126" s="247"/>
      <c r="D126" s="591"/>
      <c r="E126" s="592"/>
      <c r="F126" s="592"/>
      <c r="G126" s="593"/>
      <c r="H126" s="591"/>
      <c r="I126" s="592"/>
      <c r="J126" s="592"/>
      <c r="K126" s="593"/>
      <c r="L126" s="591"/>
      <c r="M126" s="592"/>
      <c r="N126" s="592"/>
      <c r="O126" s="593"/>
      <c r="P126" s="591"/>
      <c r="Q126" s="592"/>
      <c r="R126" s="592"/>
      <c r="S126" s="593"/>
      <c r="T126" s="591"/>
      <c r="U126" s="592"/>
      <c r="V126" s="592"/>
      <c r="W126" s="593"/>
      <c r="X126" s="591"/>
      <c r="Y126" s="592"/>
      <c r="Z126" s="592"/>
      <c r="AA126" s="593"/>
      <c r="AB126" s="591"/>
      <c r="AC126" s="592"/>
      <c r="AD126" s="592"/>
      <c r="AE126" s="593"/>
      <c r="AF126" s="591"/>
      <c r="AG126" s="592"/>
      <c r="AH126" s="592"/>
      <c r="AI126" s="593"/>
      <c r="AJ126" s="591"/>
      <c r="AK126" s="592"/>
      <c r="AL126" s="592"/>
      <c r="AM126" s="593"/>
      <c r="AN126" s="591"/>
      <c r="AO126" s="592"/>
      <c r="AP126" s="592"/>
      <c r="AQ126" s="593"/>
      <c r="AR126" s="591"/>
      <c r="AS126" s="592"/>
      <c r="AT126" s="592"/>
      <c r="AU126" s="593"/>
      <c r="AV126" s="591"/>
      <c r="AW126" s="592"/>
      <c r="AX126" s="592"/>
      <c r="AY126" s="593"/>
      <c r="AZ126" s="591"/>
      <c r="BA126" s="592"/>
      <c r="BB126" s="592"/>
      <c r="BC126" s="593"/>
      <c r="BD126" s="591"/>
      <c r="BE126" s="592"/>
      <c r="BF126" s="592"/>
      <c r="BG126" s="593"/>
      <c r="BH126" s="591"/>
      <c r="BI126" s="592"/>
      <c r="BJ126" s="592"/>
      <c r="BK126" s="1165"/>
      <c r="BL126" s="1409">
        <f t="shared" ref="BL126:BS126" si="409">BL125/BK125-1</f>
        <v>7.6966452707867505E-2</v>
      </c>
      <c r="BM126" s="1409">
        <f t="shared" ref="BM126" si="410">BM125/BL125-1</f>
        <v>4.1144237307139564E-2</v>
      </c>
      <c r="BN126" s="1409">
        <f t="shared" ref="BN126" si="411">BN125/BM125-1</f>
        <v>-1.7718910149692846E-2</v>
      </c>
      <c r="BO126" s="1410">
        <f t="shared" ref="BO126" si="412">BO125/BN125-1</f>
        <v>-8.7233860219975146E-3</v>
      </c>
      <c r="BP126" s="1164">
        <f t="shared" si="409"/>
        <v>4.4209298288900412E-2</v>
      </c>
      <c r="BQ126" s="1541">
        <f t="shared" si="409"/>
        <v>3.1313422580602657E-2</v>
      </c>
      <c r="BR126" s="1541">
        <f t="shared" si="409"/>
        <v>-2.0341649415577812E-2</v>
      </c>
      <c r="BS126" s="1540">
        <f t="shared" si="409"/>
        <v>-9.0167977037688418E-3</v>
      </c>
      <c r="BT126" s="1424">
        <f t="shared" ref="BT126" si="413">BT125/BS125-1</f>
        <v>3.9837737151232622E-2</v>
      </c>
      <c r="BU126" s="1424">
        <f t="shared" ref="BU126" si="414">BU125/BT125-1</f>
        <v>2.5701350990173788E-2</v>
      </c>
      <c r="BV126" s="1424">
        <f t="shared" ref="BV126" si="415">BV125/BU125-1</f>
        <v>-1.4499829567549583E-2</v>
      </c>
      <c r="BW126" s="1410">
        <f t="shared" ref="BW126" si="416">BW125/BV125-1</f>
        <v>-9.0379074980001528E-3</v>
      </c>
      <c r="BX126" s="1100"/>
      <c r="BY126" s="591"/>
      <c r="BZ126" s="592"/>
      <c r="CA126" s="592"/>
      <c r="CB126" s="592"/>
      <c r="CC126" s="592"/>
      <c r="CD126" s="592"/>
      <c r="CE126" s="592"/>
      <c r="CF126" s="592"/>
      <c r="CG126" s="592"/>
      <c r="CH126" s="1406"/>
      <c r="CI126" s="1406"/>
      <c r="CJ126" s="1406"/>
      <c r="CK126" s="592"/>
      <c r="CL126" s="592"/>
      <c r="CM126" s="1424">
        <f>CM125/CL125-1</f>
        <v>0.61124554649247931</v>
      </c>
      <c r="CN126" s="1424">
        <f>CN125/CM125-1</f>
        <v>0.13202681498324087</v>
      </c>
      <c r="CO126" s="1424">
        <f>CO125/CN125-1</f>
        <v>4.9573694551249492E-2</v>
      </c>
      <c r="CP126" s="1410">
        <f>CP125/CO125-1</f>
        <v>3.9913956376228521E-2</v>
      </c>
      <c r="CQ126" s="1100"/>
      <c r="CR126" s="591"/>
      <c r="CS126" s="592"/>
      <c r="CT126" s="592"/>
      <c r="CU126" s="592"/>
      <c r="CV126" s="592"/>
      <c r="CW126" s="592"/>
      <c r="CX126" s="592"/>
      <c r="CY126" s="592"/>
      <c r="CZ126" s="592"/>
      <c r="DA126" s="592"/>
      <c r="DB126" s="592"/>
      <c r="DC126" s="592"/>
      <c r="DD126" s="592"/>
      <c r="DE126" s="592"/>
      <c r="DF126" s="592"/>
      <c r="DG126" s="1406"/>
      <c r="DH126" s="1406"/>
      <c r="DI126" s="248"/>
    </row>
    <row r="127" spans="1:113" ht="14.25" customHeight="1">
      <c r="A127" s="227"/>
      <c r="B127" s="736" t="s">
        <v>486</v>
      </c>
      <c r="C127" s="247"/>
      <c r="D127" s="591">
        <f t="shared" ref="D127:AI127" si="417">D23+D116</f>
        <v>82.367000000000004</v>
      </c>
      <c r="E127" s="592">
        <f t="shared" si="417"/>
        <v>90.3</v>
      </c>
      <c r="F127" s="592">
        <f t="shared" si="417"/>
        <v>92.893999999999991</v>
      </c>
      <c r="G127" s="593">
        <f t="shared" si="417"/>
        <v>86.674000000000049</v>
      </c>
      <c r="H127" s="591">
        <f t="shared" si="417"/>
        <v>87.275999999999982</v>
      </c>
      <c r="I127" s="592">
        <f t="shared" si="417"/>
        <v>91.193999999999988</v>
      </c>
      <c r="J127" s="592">
        <f t="shared" si="417"/>
        <v>97.01900000000002</v>
      </c>
      <c r="K127" s="593">
        <f t="shared" si="417"/>
        <v>106.22500000000002</v>
      </c>
      <c r="L127" s="591">
        <f t="shared" si="417"/>
        <v>121.459</v>
      </c>
      <c r="M127" s="592">
        <f t="shared" si="417"/>
        <v>126.377</v>
      </c>
      <c r="N127" s="592">
        <f t="shared" si="417"/>
        <v>116.78799999999998</v>
      </c>
      <c r="O127" s="593">
        <f t="shared" si="417"/>
        <v>119.35100000000006</v>
      </c>
      <c r="P127" s="591">
        <f t="shared" si="417"/>
        <v>127.50499999999998</v>
      </c>
      <c r="Q127" s="592">
        <f t="shared" si="417"/>
        <v>134.55599999999998</v>
      </c>
      <c r="R127" s="592">
        <f t="shared" si="417"/>
        <v>140.26999999999998</v>
      </c>
      <c r="S127" s="593">
        <f t="shared" si="417"/>
        <v>148.54599999999999</v>
      </c>
      <c r="T127" s="591">
        <f t="shared" si="417"/>
        <v>158.48400000000004</v>
      </c>
      <c r="U127" s="592">
        <f t="shared" si="417"/>
        <v>161.96100000000001</v>
      </c>
      <c r="V127" s="592">
        <f t="shared" si="417"/>
        <v>151.30499999999998</v>
      </c>
      <c r="W127" s="593">
        <f t="shared" si="417"/>
        <v>156.261</v>
      </c>
      <c r="X127" s="591">
        <f t="shared" si="417"/>
        <v>160.13500000000002</v>
      </c>
      <c r="Y127" s="592">
        <f t="shared" si="417"/>
        <v>156.20499999999998</v>
      </c>
      <c r="Z127" s="592">
        <f t="shared" si="417"/>
        <v>154.602</v>
      </c>
      <c r="AA127" s="593">
        <f t="shared" si="417"/>
        <v>160.18700000000001</v>
      </c>
      <c r="AB127" s="591">
        <f t="shared" si="417"/>
        <v>165.22200000000004</v>
      </c>
      <c r="AC127" s="592">
        <f t="shared" si="417"/>
        <v>166.20600000000002</v>
      </c>
      <c r="AD127" s="592">
        <f t="shared" si="417"/>
        <v>106.062</v>
      </c>
      <c r="AE127" s="593">
        <f t="shared" si="417"/>
        <v>85.404999999999987</v>
      </c>
      <c r="AF127" s="591">
        <f t="shared" si="417"/>
        <v>99.112000000000009</v>
      </c>
      <c r="AG127" s="592">
        <f t="shared" si="417"/>
        <v>125.789</v>
      </c>
      <c r="AH127" s="592">
        <f t="shared" si="417"/>
        <v>147.583</v>
      </c>
      <c r="AI127" s="593">
        <f t="shared" si="417"/>
        <v>171.34900000000007</v>
      </c>
      <c r="AJ127" s="591">
        <f t="shared" ref="AJ127:BS127" si="418">AJ23+AJ116</f>
        <v>215.31800000000001</v>
      </c>
      <c r="AK127" s="592">
        <f t="shared" si="418"/>
        <v>230.11700000000002</v>
      </c>
      <c r="AL127" s="592">
        <f t="shared" si="418"/>
        <v>219.85200000000003</v>
      </c>
      <c r="AM127" s="593">
        <f t="shared" si="418"/>
        <v>228.86099999999985</v>
      </c>
      <c r="AN127" s="591">
        <f t="shared" si="418"/>
        <v>222.85600000000002</v>
      </c>
      <c r="AO127" s="592">
        <f t="shared" si="418"/>
        <v>198.31099999999998</v>
      </c>
      <c r="AP127" s="592">
        <f t="shared" si="418"/>
        <v>186.857</v>
      </c>
      <c r="AQ127" s="593">
        <f t="shared" si="418"/>
        <v>193.49999999999994</v>
      </c>
      <c r="AR127" s="591">
        <f t="shared" si="418"/>
        <v>207.738</v>
      </c>
      <c r="AS127" s="592">
        <f t="shared" si="418"/>
        <v>235.196</v>
      </c>
      <c r="AT127" s="592">
        <f t="shared" si="418"/>
        <v>233.07000000000002</v>
      </c>
      <c r="AU127" s="593">
        <f t="shared" si="418"/>
        <v>244.31600000000009</v>
      </c>
      <c r="AV127" s="591">
        <f t="shared" si="418"/>
        <v>268.54299999999995</v>
      </c>
      <c r="AW127" s="592">
        <f t="shared" si="418"/>
        <v>290.72699999999992</v>
      </c>
      <c r="AX127" s="592">
        <f t="shared" si="418"/>
        <v>284.60300000000007</v>
      </c>
      <c r="AY127" s="593">
        <f t="shared" si="418"/>
        <v>292.57200000000012</v>
      </c>
      <c r="AZ127" s="591">
        <f t="shared" si="418"/>
        <v>317.74700000000001</v>
      </c>
      <c r="BA127" s="592">
        <f t="shared" si="418"/>
        <v>322.78400000000005</v>
      </c>
      <c r="BB127" s="592">
        <f t="shared" si="418"/>
        <v>311.64300000000009</v>
      </c>
      <c r="BC127" s="593">
        <f t="shared" si="418"/>
        <v>318.95999999999998</v>
      </c>
      <c r="BD127" s="591">
        <f t="shared" si="418"/>
        <v>311.21699999999998</v>
      </c>
      <c r="BE127" s="592">
        <f t="shared" si="418"/>
        <v>323.89999999999998</v>
      </c>
      <c r="BF127" s="592">
        <f t="shared" si="418"/>
        <v>319.74100000000004</v>
      </c>
      <c r="BG127" s="593">
        <f t="shared" si="418"/>
        <v>331.87500000000006</v>
      </c>
      <c r="BH127" s="591">
        <f>BH23+BH116</f>
        <v>471.09099999999995</v>
      </c>
      <c r="BI127" s="592">
        <f t="shared" ref="BI127:BO127" si="419">BI23+BI116</f>
        <v>499.92100000000005</v>
      </c>
      <c r="BJ127" s="592">
        <f t="shared" si="419"/>
        <v>509.71999999999997</v>
      </c>
      <c r="BK127" s="593">
        <f t="shared" si="419"/>
        <v>534.72400000000005</v>
      </c>
      <c r="BL127" s="592">
        <f t="shared" si="419"/>
        <v>587.173</v>
      </c>
      <c r="BM127" s="592">
        <f t="shared" si="419"/>
        <v>617.79300000000001</v>
      </c>
      <c r="BN127" s="592">
        <f t="shared" si="419"/>
        <v>610.553</v>
      </c>
      <c r="BO127" s="593">
        <f t="shared" si="419"/>
        <v>607.20430739200003</v>
      </c>
      <c r="BP127" s="1536">
        <f t="shared" si="418"/>
        <v>636.64333715409998</v>
      </c>
      <c r="BQ127" s="1537">
        <f t="shared" si="418"/>
        <v>658.24146610869445</v>
      </c>
      <c r="BR127" s="1537">
        <f t="shared" si="418"/>
        <v>643.38956232146938</v>
      </c>
      <c r="BS127" s="1538">
        <f t="shared" si="418"/>
        <v>637.46102724354205</v>
      </c>
      <c r="BT127" s="1406">
        <f t="shared" ref="BT127:BW127" si="420">BT23+BT116</f>
        <v>664.64290826465435</v>
      </c>
      <c r="BU127" s="1406">
        <f t="shared" si="420"/>
        <v>683.47306572473747</v>
      </c>
      <c r="BV127" s="1406">
        <f t="shared" si="420"/>
        <v>672.00110106471061</v>
      </c>
      <c r="BW127" s="593">
        <f t="shared" si="420"/>
        <v>667.00502888063841</v>
      </c>
      <c r="BX127" s="1100"/>
      <c r="BY127" s="591">
        <f t="shared" ref="BY127:CO127" si="421">BY23+BY116</f>
        <v>352.23500000000001</v>
      </c>
      <c r="BZ127" s="592">
        <f t="shared" si="421"/>
        <v>381.71399999999994</v>
      </c>
      <c r="CA127" s="592">
        <f t="shared" si="421"/>
        <v>483.97500000000002</v>
      </c>
      <c r="CB127" s="592">
        <f t="shared" si="421"/>
        <v>550.87700000000007</v>
      </c>
      <c r="CC127" s="592">
        <f t="shared" si="421"/>
        <v>628.01100000000008</v>
      </c>
      <c r="CD127" s="592">
        <f t="shared" si="421"/>
        <v>631.12900000000013</v>
      </c>
      <c r="CE127" s="592">
        <f t="shared" si="421"/>
        <v>522.89499999999998</v>
      </c>
      <c r="CF127" s="592">
        <f t="shared" si="421"/>
        <v>543.83300000000008</v>
      </c>
      <c r="CG127" s="592">
        <f t="shared" si="421"/>
        <v>894.14799999999991</v>
      </c>
      <c r="CH127" s="1406">
        <f t="shared" si="421"/>
        <v>801.52399999999989</v>
      </c>
      <c r="CI127" s="1406">
        <f t="shared" si="421"/>
        <v>920.32</v>
      </c>
      <c r="CJ127" s="1406">
        <f t="shared" si="421"/>
        <v>1136.4450000000004</v>
      </c>
      <c r="CK127" s="592">
        <f t="shared" si="421"/>
        <v>1271.134</v>
      </c>
      <c r="CL127" s="592">
        <f t="shared" si="421"/>
        <v>1286.7329999999997</v>
      </c>
      <c r="CM127" s="592">
        <f t="shared" si="421"/>
        <v>2015.4560000000004</v>
      </c>
      <c r="CN127" s="592">
        <f t="shared" si="421"/>
        <v>2422.7233073920002</v>
      </c>
      <c r="CO127" s="1406">
        <f t="shared" si="421"/>
        <v>2575.7353928278062</v>
      </c>
      <c r="CP127" s="593">
        <f t="shared" ref="CP127" si="422">CP23+CP116</f>
        <v>2687.1221039347406</v>
      </c>
      <c r="CQ127" s="1100"/>
      <c r="CR127" s="591">
        <f t="shared" ref="CR127:DG127" si="423">CR23+CR116</f>
        <v>362.16300000000012</v>
      </c>
      <c r="CS127" s="592">
        <f t="shared" si="423"/>
        <v>470.84900000000005</v>
      </c>
      <c r="CT127" s="592">
        <f t="shared" si="423"/>
        <v>521.6819999999999</v>
      </c>
      <c r="CU127" s="592">
        <f t="shared" si="423"/>
        <v>620.29599999999994</v>
      </c>
      <c r="CV127" s="592">
        <f t="shared" si="423"/>
        <v>627.20299999999986</v>
      </c>
      <c r="CW127" s="592">
        <f t="shared" si="423"/>
        <v>597.67699999999991</v>
      </c>
      <c r="CX127" s="592">
        <f t="shared" si="423"/>
        <v>457.88900000000001</v>
      </c>
      <c r="CY127" s="592">
        <f t="shared" si="423"/>
        <v>836.63600000000031</v>
      </c>
      <c r="CZ127" s="592">
        <f t="shared" si="423"/>
        <v>836.88499999999999</v>
      </c>
      <c r="DA127" s="592">
        <f t="shared" si="423"/>
        <v>869.50400000000002</v>
      </c>
      <c r="DB127" s="592">
        <f t="shared" si="423"/>
        <v>1088.1890000000003</v>
      </c>
      <c r="DC127" s="592">
        <f t="shared" si="423"/>
        <v>1244.7460000000003</v>
      </c>
      <c r="DD127" s="592">
        <f t="shared" si="423"/>
        <v>1273.8180000000002</v>
      </c>
      <c r="DE127" s="592">
        <f t="shared" si="423"/>
        <v>1812.6070000000002</v>
      </c>
      <c r="DF127" s="592">
        <f t="shared" si="423"/>
        <v>2350.2429999999999</v>
      </c>
      <c r="DG127" s="1406">
        <f t="shared" si="423"/>
        <v>2545.4786729762636</v>
      </c>
      <c r="DH127" s="1406">
        <f t="shared" ref="DH127" si="424">DH23+DH116</f>
        <v>2657.5781022976444</v>
      </c>
      <c r="DI127" s="248"/>
    </row>
    <row r="128" spans="1:113" ht="14.25" customHeight="1">
      <c r="A128" s="894"/>
      <c r="B128" s="895" t="s">
        <v>487</v>
      </c>
      <c r="C128" s="896"/>
      <c r="D128" s="897">
        <f t="shared" ref="D128:BG128" si="425">D127/D125</f>
        <v>0.52281902198750829</v>
      </c>
      <c r="E128" s="898">
        <f t="shared" si="425"/>
        <v>0.54143831920277252</v>
      </c>
      <c r="F128" s="898">
        <f t="shared" si="425"/>
        <v>0.55467714391487632</v>
      </c>
      <c r="G128" s="899">
        <f t="shared" si="425"/>
        <v>0.5428456903786657</v>
      </c>
      <c r="H128" s="897">
        <f t="shared" si="425"/>
        <v>0.54113576756384729</v>
      </c>
      <c r="I128" s="898">
        <f t="shared" si="425"/>
        <v>0.54125565328870051</v>
      </c>
      <c r="J128" s="898">
        <f t="shared" si="425"/>
        <v>0.54515162923463345</v>
      </c>
      <c r="K128" s="899">
        <f t="shared" si="425"/>
        <v>0.55463022910966775</v>
      </c>
      <c r="L128" s="897">
        <f t="shared" si="425"/>
        <v>0.57083303959581722</v>
      </c>
      <c r="M128" s="898">
        <f t="shared" si="425"/>
        <v>0.57263450750813349</v>
      </c>
      <c r="N128" s="898">
        <f t="shared" si="425"/>
        <v>0.56863241537802356</v>
      </c>
      <c r="O128" s="899">
        <f t="shared" si="425"/>
        <v>0.57357400652624202</v>
      </c>
      <c r="P128" s="897">
        <f t="shared" si="425"/>
        <v>0.58347481089293307</v>
      </c>
      <c r="Q128" s="898">
        <f t="shared" si="425"/>
        <v>0.59198057176042018</v>
      </c>
      <c r="R128" s="898">
        <f t="shared" si="425"/>
        <v>0.59715789115182882</v>
      </c>
      <c r="S128" s="899">
        <f t="shared" si="425"/>
        <v>0.60098231191235252</v>
      </c>
      <c r="T128" s="897">
        <f t="shared" si="425"/>
        <v>0.60361750019995664</v>
      </c>
      <c r="U128" s="898">
        <f t="shared" si="425"/>
        <v>0.60448095426485626</v>
      </c>
      <c r="V128" s="898">
        <f t="shared" si="425"/>
        <v>0.60279915857914612</v>
      </c>
      <c r="W128" s="899">
        <f t="shared" si="425"/>
        <v>0.60524990704015869</v>
      </c>
      <c r="X128" s="897">
        <f t="shared" si="425"/>
        <v>0.60640658608258358</v>
      </c>
      <c r="Y128" s="898">
        <f t="shared" si="425"/>
        <v>0.60393122672986732</v>
      </c>
      <c r="Z128" s="898">
        <f t="shared" si="425"/>
        <v>0.6120427553444181</v>
      </c>
      <c r="AA128" s="899">
        <f t="shared" si="425"/>
        <v>0.61511493061155531</v>
      </c>
      <c r="AB128" s="897">
        <f t="shared" si="425"/>
        <v>0.61610458959175463</v>
      </c>
      <c r="AC128" s="898">
        <f t="shared" si="425"/>
        <v>0.61624880425352058</v>
      </c>
      <c r="AD128" s="898">
        <f t="shared" si="425"/>
        <v>0.55192906133238973</v>
      </c>
      <c r="AE128" s="899">
        <f t="shared" si="425"/>
        <v>0.49294961703404844</v>
      </c>
      <c r="AF128" s="897">
        <f t="shared" si="425"/>
        <v>0.51366941523407739</v>
      </c>
      <c r="AG128" s="898">
        <f t="shared" si="425"/>
        <v>0.55496534472185333</v>
      </c>
      <c r="AH128" s="898">
        <f t="shared" si="425"/>
        <v>0.59009832106485838</v>
      </c>
      <c r="AI128" s="899">
        <f t="shared" si="425"/>
        <v>0.61631896985828361</v>
      </c>
      <c r="AJ128" s="897">
        <f t="shared" si="425"/>
        <v>0.60292054602730139</v>
      </c>
      <c r="AK128" s="898">
        <f t="shared" si="425"/>
        <v>0.60197346908345128</v>
      </c>
      <c r="AL128" s="898">
        <f t="shared" si="425"/>
        <v>0.59770977423985394</v>
      </c>
      <c r="AM128" s="899">
        <f t="shared" si="425"/>
        <v>0.60228956406173906</v>
      </c>
      <c r="AN128" s="897">
        <f t="shared" si="425"/>
        <v>0.59506497875874154</v>
      </c>
      <c r="AO128" s="898">
        <f t="shared" si="425"/>
        <v>0.58223674552703741</v>
      </c>
      <c r="AP128" s="898">
        <f t="shared" si="425"/>
        <v>0.56768523131888826</v>
      </c>
      <c r="AQ128" s="899">
        <f t="shared" si="425"/>
        <v>0.57094635464768018</v>
      </c>
      <c r="AR128" s="897">
        <f t="shared" si="425"/>
        <v>0.5899401932218985</v>
      </c>
      <c r="AS128" s="898">
        <f t="shared" si="425"/>
        <v>0.6136113415671357</v>
      </c>
      <c r="AT128" s="898">
        <f t="shared" si="425"/>
        <v>0.56020113112220493</v>
      </c>
      <c r="AU128" s="899">
        <f t="shared" si="425"/>
        <v>0.56798653474185412</v>
      </c>
      <c r="AV128" s="897">
        <f t="shared" si="425"/>
        <v>0.58026716105723519</v>
      </c>
      <c r="AW128" s="898">
        <f t="shared" si="425"/>
        <v>0.59010613616850249</v>
      </c>
      <c r="AX128" s="898">
        <f t="shared" si="425"/>
        <v>0.59000729727264445</v>
      </c>
      <c r="AY128" s="899">
        <f t="shared" si="425"/>
        <v>0.59299044962949754</v>
      </c>
      <c r="AZ128" s="897">
        <f>AZ127/AZ125</f>
        <v>0.59800506262409547</v>
      </c>
      <c r="BA128" s="898">
        <f t="shared" si="425"/>
        <v>0.59091649687044046</v>
      </c>
      <c r="BB128" s="898">
        <f t="shared" si="425"/>
        <v>0.58164053751399802</v>
      </c>
      <c r="BC128" s="899">
        <f t="shared" si="425"/>
        <v>0.58290538935287561</v>
      </c>
      <c r="BD128" s="897">
        <f t="shared" si="425"/>
        <v>0.58285576231571379</v>
      </c>
      <c r="BE128" s="898">
        <f>BE127/BE125</f>
        <v>0.57901322845906322</v>
      </c>
      <c r="BF128" s="898">
        <f>BF127/BF125</f>
        <v>0.57922730080632168</v>
      </c>
      <c r="BG128" s="899">
        <f t="shared" si="425"/>
        <v>0.58387579169598891</v>
      </c>
      <c r="BH128" s="897">
        <f>BH127/BH125</f>
        <v>0.55816601461140891</v>
      </c>
      <c r="BI128" s="898">
        <f>BI127/BI125</f>
        <v>0.57209999599466721</v>
      </c>
      <c r="BJ128" s="898">
        <f>BJ127/BJ125</f>
        <v>0.57843849296413974</v>
      </c>
      <c r="BK128" s="899">
        <f t="shared" ref="BK128" si="426">BK127/BK125</f>
        <v>0.59238300766839569</v>
      </c>
      <c r="BL128" s="898">
        <f t="shared" ref="BL128:BW128" si="427">BL127/BL125</f>
        <v>0.60399983130019208</v>
      </c>
      <c r="BM128" s="898">
        <f t="shared" si="427"/>
        <v>0.6103835540375383</v>
      </c>
      <c r="BN128" s="898">
        <f t="shared" si="427"/>
        <v>0.61411177775207326</v>
      </c>
      <c r="BO128" s="899">
        <f t="shared" si="427"/>
        <v>0.61611820328145439</v>
      </c>
      <c r="BP128" s="897">
        <f t="shared" si="427"/>
        <v>0.61863977431013295</v>
      </c>
      <c r="BQ128" s="898">
        <f t="shared" si="427"/>
        <v>0.62020634880221981</v>
      </c>
      <c r="BR128" s="898">
        <f t="shared" si="427"/>
        <v>0.61880004503290942</v>
      </c>
      <c r="BS128" s="899">
        <f t="shared" si="427"/>
        <v>0.61867657239854301</v>
      </c>
      <c r="BT128" s="898">
        <f t="shared" si="427"/>
        <v>0.62034435299173496</v>
      </c>
      <c r="BU128" s="898">
        <f t="shared" si="427"/>
        <v>0.62193491005361035</v>
      </c>
      <c r="BV128" s="898">
        <f t="shared" si="427"/>
        <v>0.62049289275714981</v>
      </c>
      <c r="BW128" s="899">
        <f t="shared" si="427"/>
        <v>0.62149679502324584</v>
      </c>
      <c r="BX128" s="1102"/>
      <c r="BY128" s="897">
        <f>BY127/BY125</f>
        <v>0.54068387718700406</v>
      </c>
      <c r="BZ128" s="898">
        <f>BZ127/BZ125</f>
        <v>0.54588279037839993</v>
      </c>
      <c r="CA128" s="898">
        <f>CA127/CA125</f>
        <v>0.57144223412394801</v>
      </c>
      <c r="CB128" s="898">
        <f t="shared" ref="CB128:CL128" si="428">CB127/CB125</f>
        <v>0.59368590990556025</v>
      </c>
      <c r="CC128" s="898">
        <f t="shared" si="428"/>
        <v>0.60404781897350224</v>
      </c>
      <c r="CD128" s="898">
        <f t="shared" si="428"/>
        <v>0.60935256730231713</v>
      </c>
      <c r="CE128" s="898">
        <f t="shared" si="428"/>
        <v>0.578873836622949</v>
      </c>
      <c r="CF128" s="898">
        <f t="shared" si="428"/>
        <v>0.5738275393071226</v>
      </c>
      <c r="CG128" s="898">
        <f t="shared" si="428"/>
        <v>0.60122713412071638</v>
      </c>
      <c r="CH128" s="898">
        <f t="shared" si="428"/>
        <v>0.57948084697825863</v>
      </c>
      <c r="CI128" s="898">
        <f t="shared" si="428"/>
        <v>0.58188329330061594</v>
      </c>
      <c r="CJ128" s="898">
        <f t="shared" si="428"/>
        <v>0.58846054068496711</v>
      </c>
      <c r="CK128" s="898">
        <f t="shared" si="428"/>
        <v>0.59204130717882697</v>
      </c>
      <c r="CL128" s="898">
        <f t="shared" si="428"/>
        <v>0.59206768365153795</v>
      </c>
      <c r="CM128" s="898">
        <f>CM127/CM125</f>
        <v>0.5755651756475928</v>
      </c>
      <c r="CN128" s="898">
        <f>CN127/CN125</f>
        <v>0.61117881329376667</v>
      </c>
      <c r="CO128" s="898">
        <f>CO127/CO125</f>
        <v>0.61908856395241585</v>
      </c>
      <c r="CP128" s="899">
        <f>CP127/CP125</f>
        <v>0.62107139996437422</v>
      </c>
      <c r="CQ128" s="1102"/>
      <c r="CR128" s="897">
        <f>CR127/CR125</f>
        <v>0.54264596150446076</v>
      </c>
      <c r="CS128" s="898">
        <f>CS127/CS125</f>
        <v>0.5670303970365268</v>
      </c>
      <c r="CT128" s="898">
        <f>CT127/CT125</f>
        <v>0.58694830356299021</v>
      </c>
      <c r="CU128" s="898">
        <f t="shared" ref="CU128:DD128" si="429">CU127/CU125</f>
        <v>0.60300952592043877</v>
      </c>
      <c r="CV128" s="898">
        <f t="shared" si="429"/>
        <v>0.60687569847943135</v>
      </c>
      <c r="CW128" s="898">
        <f t="shared" si="429"/>
        <v>0.60343253956234555</v>
      </c>
      <c r="CX128" s="898">
        <f t="shared" si="429"/>
        <v>0.54319055900503233</v>
      </c>
      <c r="CY128" s="898">
        <f t="shared" si="429"/>
        <v>0.60396465594409643</v>
      </c>
      <c r="CZ128" s="898">
        <f t="shared" si="429"/>
        <v>0.58759698086712309</v>
      </c>
      <c r="DA128" s="898">
        <f t="shared" si="429"/>
        <v>0.5834070276907386</v>
      </c>
      <c r="DB128" s="898">
        <f t="shared" si="429"/>
        <v>0.58254946393879592</v>
      </c>
      <c r="DC128" s="898">
        <f t="shared" si="429"/>
        <v>0.59352388145600865</v>
      </c>
      <c r="DD128" s="898">
        <f t="shared" si="429"/>
        <v>0.59003267413777616</v>
      </c>
      <c r="DE128" s="898">
        <f>DE127/DE125</f>
        <v>0.59182510045740078</v>
      </c>
      <c r="DF128" s="898">
        <f>DF127/DF125</f>
        <v>0.6055530949452882</v>
      </c>
      <c r="DG128" s="898">
        <f>DG127/DG125</f>
        <v>0.61848043249588425</v>
      </c>
      <c r="DH128" s="898">
        <f>DH127/DH125</f>
        <v>0.62038879762920651</v>
      </c>
      <c r="DI128" s="515"/>
    </row>
    <row r="129" spans="1:113" ht="14.25" customHeight="1">
      <c r="A129" s="894"/>
      <c r="B129" s="895"/>
      <c r="C129" s="896"/>
      <c r="D129" s="897"/>
      <c r="E129" s="898"/>
      <c r="F129" s="898"/>
      <c r="G129" s="899"/>
      <c r="H129" s="897"/>
      <c r="I129" s="898"/>
      <c r="J129" s="898"/>
      <c r="K129" s="899"/>
      <c r="L129" s="897"/>
      <c r="M129" s="898"/>
      <c r="N129" s="898"/>
      <c r="O129" s="899"/>
      <c r="P129" s="897"/>
      <c r="Q129" s="898"/>
      <c r="R129" s="898"/>
      <c r="S129" s="899"/>
      <c r="T129" s="897"/>
      <c r="U129" s="898"/>
      <c r="V129" s="898"/>
      <c r="W129" s="899"/>
      <c r="X129" s="897"/>
      <c r="Y129" s="898"/>
      <c r="Z129" s="898"/>
      <c r="AA129" s="899"/>
      <c r="AB129" s="897"/>
      <c r="AC129" s="898"/>
      <c r="AD129" s="898"/>
      <c r="AE129" s="899"/>
      <c r="AF129" s="897"/>
      <c r="AG129" s="898"/>
      <c r="AH129" s="898"/>
      <c r="AI129" s="899"/>
      <c r="AJ129" s="897"/>
      <c r="AK129" s="898"/>
      <c r="AL129" s="898"/>
      <c r="AM129" s="899"/>
      <c r="AN129" s="897"/>
      <c r="AO129" s="898"/>
      <c r="AP129" s="898"/>
      <c r="AQ129" s="899"/>
      <c r="AR129" s="897"/>
      <c r="AS129" s="898"/>
      <c r="AT129" s="898"/>
      <c r="AU129" s="899"/>
      <c r="AV129" s="897"/>
      <c r="AW129" s="898"/>
      <c r="AX129" s="898"/>
      <c r="AY129" s="899"/>
      <c r="AZ129" s="897"/>
      <c r="BA129" s="898"/>
      <c r="BB129" s="898"/>
      <c r="BC129" s="899"/>
      <c r="BD129" s="897"/>
      <c r="BE129" s="1268"/>
      <c r="BF129" s="898"/>
      <c r="BG129" s="1267"/>
      <c r="BH129" s="897"/>
      <c r="BI129" s="1268"/>
      <c r="BJ129" s="898"/>
      <c r="BK129" s="1267"/>
      <c r="BL129" s="1268"/>
      <c r="BM129" s="1268"/>
      <c r="BN129" s="1268"/>
      <c r="BO129" s="1267"/>
      <c r="BP129" s="1535"/>
      <c r="BQ129" s="1268"/>
      <c r="BR129" s="1268"/>
      <c r="BS129" s="1267"/>
      <c r="BT129" s="1268"/>
      <c r="BU129" s="1268"/>
      <c r="BV129" s="1268"/>
      <c r="BW129" s="1267"/>
      <c r="BX129" s="1102"/>
      <c r="BY129" s="897"/>
      <c r="BZ129" s="898"/>
      <c r="CA129" s="898"/>
      <c r="CB129" s="898"/>
      <c r="CC129" s="898"/>
      <c r="CD129" s="898"/>
      <c r="CE129" s="898"/>
      <c r="CF129" s="898"/>
      <c r="CG129" s="898"/>
      <c r="CH129" s="898"/>
      <c r="CI129" s="898"/>
      <c r="CJ129" s="898"/>
      <c r="CK129" s="898"/>
      <c r="CL129" s="898"/>
      <c r="CM129" s="898"/>
      <c r="CN129" s="898"/>
      <c r="CO129" s="898"/>
      <c r="CP129" s="899"/>
      <c r="CQ129" s="1102"/>
      <c r="CR129" s="897"/>
      <c r="CS129" s="898"/>
      <c r="CT129" s="898"/>
      <c r="CU129" s="898"/>
      <c r="CV129" s="898"/>
      <c r="CW129" s="898"/>
      <c r="CX129" s="898"/>
      <c r="CY129" s="898"/>
      <c r="CZ129" s="898"/>
      <c r="DA129" s="898"/>
      <c r="DB129" s="898"/>
      <c r="DC129" s="898"/>
      <c r="DD129" s="898"/>
      <c r="DE129" s="898"/>
      <c r="DF129" s="898"/>
      <c r="DG129" s="898"/>
      <c r="DH129" s="898"/>
      <c r="DI129" s="515"/>
    </row>
    <row r="130" spans="1:113" ht="14.25" customHeight="1">
      <c r="A130" s="227"/>
      <c r="B130" s="736" t="s">
        <v>488</v>
      </c>
      <c r="C130" s="247"/>
      <c r="D130" s="591">
        <f t="shared" ref="D130:AI130" si="430">D58-D117-D118</f>
        <v>43.500999999999998</v>
      </c>
      <c r="E130" s="592">
        <f t="shared" si="430"/>
        <v>45.463999999999999</v>
      </c>
      <c r="F130" s="592">
        <f t="shared" si="430"/>
        <v>44.753</v>
      </c>
      <c r="G130" s="593">
        <f t="shared" si="430"/>
        <v>43.6</v>
      </c>
      <c r="H130" s="591">
        <f t="shared" si="430"/>
        <v>43.396999999999998</v>
      </c>
      <c r="I130" s="592">
        <f t="shared" si="430"/>
        <v>43.6</v>
      </c>
      <c r="J130" s="592">
        <f t="shared" si="430"/>
        <v>43.914000000000001</v>
      </c>
      <c r="K130" s="593">
        <f t="shared" si="430"/>
        <v>46.889000000000003</v>
      </c>
      <c r="L130" s="591">
        <f t="shared" si="430"/>
        <v>50.504999999999995</v>
      </c>
      <c r="M130" s="592">
        <f t="shared" si="430"/>
        <v>51.326000000000001</v>
      </c>
      <c r="N130" s="592">
        <f t="shared" si="430"/>
        <v>51.165999999999997</v>
      </c>
      <c r="O130" s="593">
        <f t="shared" si="430"/>
        <v>51.231000000000023</v>
      </c>
      <c r="P130" s="591">
        <f t="shared" si="430"/>
        <v>54.475999999999999</v>
      </c>
      <c r="Q130" s="592">
        <f t="shared" si="430"/>
        <v>55.260999999999996</v>
      </c>
      <c r="R130" s="592">
        <f t="shared" si="430"/>
        <v>55.682000000000002</v>
      </c>
      <c r="S130" s="593">
        <f t="shared" si="430"/>
        <v>59.093999999999994</v>
      </c>
      <c r="T130" s="591">
        <f t="shared" si="430"/>
        <v>62.997999999999998</v>
      </c>
      <c r="U130" s="592">
        <f t="shared" si="430"/>
        <v>64.433999999999997</v>
      </c>
      <c r="V130" s="592">
        <f t="shared" si="430"/>
        <v>62.083000000000013</v>
      </c>
      <c r="W130" s="593">
        <f t="shared" si="430"/>
        <v>63.30599999999999</v>
      </c>
      <c r="X130" s="591">
        <f t="shared" si="430"/>
        <v>67.082999999999998</v>
      </c>
      <c r="Y130" s="592">
        <f t="shared" si="430"/>
        <v>65.997</v>
      </c>
      <c r="Z130" s="592">
        <f t="shared" si="430"/>
        <v>67.004999999999995</v>
      </c>
      <c r="AA130" s="593">
        <f t="shared" si="430"/>
        <v>69.77000000000001</v>
      </c>
      <c r="AB130" s="591">
        <f t="shared" si="430"/>
        <v>70.891000000000005</v>
      </c>
      <c r="AC130" s="592">
        <f t="shared" si="430"/>
        <v>70.531999999999996</v>
      </c>
      <c r="AD130" s="592">
        <f t="shared" si="430"/>
        <v>56.487000000000002</v>
      </c>
      <c r="AE130" s="593">
        <f t="shared" si="430"/>
        <v>51.911000000000001</v>
      </c>
      <c r="AF130" s="591">
        <f t="shared" si="430"/>
        <v>56.423000000000002</v>
      </c>
      <c r="AG130" s="592">
        <f t="shared" si="430"/>
        <v>62.727999999999994</v>
      </c>
      <c r="AH130" s="592">
        <f t="shared" si="430"/>
        <v>65.56</v>
      </c>
      <c r="AI130" s="593">
        <f t="shared" si="430"/>
        <v>71.744</v>
      </c>
      <c r="AJ130" s="591">
        <f t="shared" ref="AJ130:BS130" si="431">AJ58-AJ117-AJ118</f>
        <v>87.596000000000004</v>
      </c>
      <c r="AK130" s="592">
        <f t="shared" si="431"/>
        <v>91.911000000000001</v>
      </c>
      <c r="AL130" s="592">
        <f t="shared" si="431"/>
        <v>88.736000000000018</v>
      </c>
      <c r="AM130" s="593">
        <f t="shared" si="431"/>
        <v>91.564999999999984</v>
      </c>
      <c r="AN130" s="591">
        <f t="shared" si="431"/>
        <v>93.713000000000008</v>
      </c>
      <c r="AO130" s="592">
        <f t="shared" si="431"/>
        <v>88.36099999999999</v>
      </c>
      <c r="AP130" s="592">
        <f t="shared" si="431"/>
        <v>86.509</v>
      </c>
      <c r="AQ130" s="593">
        <f t="shared" si="431"/>
        <v>85.518999999999977</v>
      </c>
      <c r="AR130" s="591">
        <f t="shared" si="431"/>
        <v>92.554999999999993</v>
      </c>
      <c r="AS130" s="592">
        <f t="shared" si="431"/>
        <v>116.06099999999999</v>
      </c>
      <c r="AT130" s="592">
        <f t="shared" si="431"/>
        <v>127.42399999999998</v>
      </c>
      <c r="AU130" s="593">
        <f t="shared" si="431"/>
        <v>120.72600000000003</v>
      </c>
      <c r="AV130" s="591">
        <f t="shared" si="431"/>
        <v>127.21999999999998</v>
      </c>
      <c r="AW130" s="592">
        <f t="shared" si="431"/>
        <v>134.10299999999998</v>
      </c>
      <c r="AX130" s="592">
        <f t="shared" si="431"/>
        <v>130.816</v>
      </c>
      <c r="AY130" s="593">
        <f t="shared" si="431"/>
        <v>131.08100000000005</v>
      </c>
      <c r="AZ130" s="591">
        <f t="shared" si="431"/>
        <v>141.423</v>
      </c>
      <c r="BA130" s="592">
        <f t="shared" si="431"/>
        <v>145.49400000000003</v>
      </c>
      <c r="BB130" s="592">
        <f t="shared" si="431"/>
        <v>142.31300000000002</v>
      </c>
      <c r="BC130" s="593">
        <f t="shared" si="431"/>
        <v>141.541</v>
      </c>
      <c r="BD130" s="591">
        <f t="shared" si="431"/>
        <v>136.9</v>
      </c>
      <c r="BE130" s="592">
        <f t="shared" si="431"/>
        <v>153.82300000000001</v>
      </c>
      <c r="BF130" s="592">
        <f t="shared" si="431"/>
        <v>157.13600000000002</v>
      </c>
      <c r="BG130" s="593">
        <f t="shared" si="431"/>
        <v>153.50100000000003</v>
      </c>
      <c r="BH130" s="591">
        <f>BH58-BH117-BH118</f>
        <v>239.96100000000004</v>
      </c>
      <c r="BI130" s="592">
        <f t="shared" ref="BI130:BO130" si="432">BI58-BI117-BI118</f>
        <v>233.57899999999998</v>
      </c>
      <c r="BJ130" s="592">
        <f t="shared" si="432"/>
        <v>220.63099999999997</v>
      </c>
      <c r="BK130" s="593">
        <f t="shared" si="432"/>
        <v>213.55199999999999</v>
      </c>
      <c r="BL130" s="592">
        <f t="shared" si="432"/>
        <v>222.87800000000001</v>
      </c>
      <c r="BM130" s="592">
        <f>BM58-BM117-BM118</f>
        <v>227.28200000000001</v>
      </c>
      <c r="BN130" s="592">
        <f t="shared" si="432"/>
        <v>218.88400000000001</v>
      </c>
      <c r="BO130" s="593">
        <f t="shared" si="432"/>
        <v>218.41364723843432</v>
      </c>
      <c r="BP130" s="1536">
        <f t="shared" si="431"/>
        <v>225.35228127127181</v>
      </c>
      <c r="BQ130" s="1537">
        <f t="shared" si="431"/>
        <v>230.01015870498011</v>
      </c>
      <c r="BR130" s="1537">
        <f t="shared" si="431"/>
        <v>226.15196210226142</v>
      </c>
      <c r="BS130" s="1538">
        <f t="shared" si="431"/>
        <v>224.02168337142623</v>
      </c>
      <c r="BT130" s="1406">
        <f t="shared" ref="BT130:BW130" si="433">BT58-BT117-BT118</f>
        <v>230.63149737846723</v>
      </c>
      <c r="BU130" s="1406">
        <f t="shared" si="433"/>
        <v>234.99775336006107</v>
      </c>
      <c r="BV130" s="1406">
        <f t="shared" si="433"/>
        <v>232.91335389844087</v>
      </c>
      <c r="BW130" s="593">
        <f t="shared" si="433"/>
        <v>231.36558139900353</v>
      </c>
      <c r="BX130" s="1100"/>
      <c r="BY130" s="591">
        <f t="shared" ref="BY130:CO130" si="434">BY58-BY117-BY118</f>
        <v>177.31799999999998</v>
      </c>
      <c r="BZ130" s="592">
        <f t="shared" si="434"/>
        <v>177.8</v>
      </c>
      <c r="CA130" s="592">
        <f t="shared" si="434"/>
        <v>204.22800000000001</v>
      </c>
      <c r="CB130" s="592">
        <f t="shared" si="434"/>
        <v>224.51299999999998</v>
      </c>
      <c r="CC130" s="592">
        <f t="shared" si="434"/>
        <v>252.82100000000005</v>
      </c>
      <c r="CD130" s="592">
        <f t="shared" si="434"/>
        <v>269.85500000000002</v>
      </c>
      <c r="CE130" s="592">
        <f t="shared" si="434"/>
        <v>249.821</v>
      </c>
      <c r="CF130" s="592">
        <f t="shared" si="434"/>
        <v>256.45499999999993</v>
      </c>
      <c r="CG130" s="592">
        <f t="shared" si="434"/>
        <v>359.80799999999999</v>
      </c>
      <c r="CH130" s="1406">
        <f t="shared" si="434"/>
        <v>354.10199999999992</v>
      </c>
      <c r="CI130" s="1406">
        <f t="shared" si="434"/>
        <v>456.76600000000002</v>
      </c>
      <c r="CJ130" s="1406">
        <f t="shared" si="434"/>
        <v>523.22</v>
      </c>
      <c r="CK130" s="592">
        <f t="shared" si="434"/>
        <v>570.77099999999996</v>
      </c>
      <c r="CL130" s="592">
        <f t="shared" si="434"/>
        <v>601.36</v>
      </c>
      <c r="CM130" s="592">
        <f t="shared" si="434"/>
        <v>907.72300000000007</v>
      </c>
      <c r="CN130" s="592">
        <f t="shared" si="434"/>
        <v>887.45764723843422</v>
      </c>
      <c r="CO130" s="1406">
        <f t="shared" si="434"/>
        <v>905.53608544993961</v>
      </c>
      <c r="CP130" s="593">
        <f t="shared" ref="CP130" si="435">CP58-CP117-CP118</f>
        <v>929.90818603597279</v>
      </c>
      <c r="CQ130" s="1100"/>
      <c r="CR130" s="591">
        <f t="shared" ref="CR130:DG130" si="436">CR58-CR117-CR118</f>
        <v>174.51100000000002</v>
      </c>
      <c r="CS130" s="592">
        <f t="shared" si="436"/>
        <v>199.886</v>
      </c>
      <c r="CT130" s="592">
        <f t="shared" si="436"/>
        <v>216.65</v>
      </c>
      <c r="CU130" s="592">
        <f t="shared" si="436"/>
        <v>248.60899999999995</v>
      </c>
      <c r="CV130" s="592">
        <f t="shared" si="436"/>
        <v>263.39100000000002</v>
      </c>
      <c r="CW130" s="592">
        <f t="shared" si="436"/>
        <v>267.68</v>
      </c>
      <c r="CX130" s="592">
        <f t="shared" si="436"/>
        <v>236.62200000000001</v>
      </c>
      <c r="CY130" s="592">
        <f t="shared" si="436"/>
        <v>339.98700000000002</v>
      </c>
      <c r="CZ130" s="592">
        <f t="shared" si="436"/>
        <v>360.14800000000002</v>
      </c>
      <c r="DA130" s="592">
        <f t="shared" si="436"/>
        <v>421.55899999999991</v>
      </c>
      <c r="DB130" s="592">
        <f t="shared" si="436"/>
        <v>512.86500000000001</v>
      </c>
      <c r="DC130" s="592">
        <f t="shared" si="436"/>
        <v>560.31100000000015</v>
      </c>
      <c r="DD130" s="592">
        <f t="shared" si="436"/>
        <v>589.4</v>
      </c>
      <c r="DE130" s="592">
        <f t="shared" si="436"/>
        <v>847.67200000000003</v>
      </c>
      <c r="DF130" s="592">
        <f t="shared" si="436"/>
        <v>882.596</v>
      </c>
      <c r="DG130" s="1406">
        <f t="shared" si="436"/>
        <v>899.92804931694752</v>
      </c>
      <c r="DH130" s="1406">
        <f t="shared" ref="DH130" si="437">DH58-DH117-DH118</f>
        <v>922.56428800839524</v>
      </c>
      <c r="DI130" s="248"/>
    </row>
    <row r="131" spans="1:113" ht="14.25" customHeight="1">
      <c r="A131" s="894"/>
      <c r="B131" s="895" t="s">
        <v>397</v>
      </c>
      <c r="C131" s="896"/>
      <c r="D131" s="897">
        <f t="shared" ref="D131:BD131" si="438">D130/D125</f>
        <v>0.27611968719849689</v>
      </c>
      <c r="E131" s="898">
        <f t="shared" si="438"/>
        <v>0.27260190192951111</v>
      </c>
      <c r="F131" s="898">
        <f t="shared" si="438"/>
        <v>0.26722356903161087</v>
      </c>
      <c r="G131" s="899">
        <f t="shared" si="438"/>
        <v>0.273070033695339</v>
      </c>
      <c r="H131" s="897">
        <f t="shared" si="438"/>
        <v>0.26907361594216378</v>
      </c>
      <c r="I131" s="898">
        <f t="shared" si="438"/>
        <v>0.25877520980971713</v>
      </c>
      <c r="J131" s="898">
        <f t="shared" si="438"/>
        <v>0.24675361162462703</v>
      </c>
      <c r="K131" s="899">
        <f t="shared" si="438"/>
        <v>0.24482049247091747</v>
      </c>
      <c r="L131" s="897">
        <f t="shared" si="438"/>
        <v>0.23736341205498765</v>
      </c>
      <c r="M131" s="898">
        <f t="shared" si="438"/>
        <v>0.23256635884981017</v>
      </c>
      <c r="N131" s="898">
        <f t="shared" si="438"/>
        <v>0.24912359287967903</v>
      </c>
      <c r="O131" s="899">
        <f t="shared" si="438"/>
        <v>0.24620463949481702</v>
      </c>
      <c r="P131" s="897">
        <f t="shared" si="438"/>
        <v>0.24928727342616702</v>
      </c>
      <c r="Q131" s="898">
        <f t="shared" si="438"/>
        <v>0.24312136490422262</v>
      </c>
      <c r="R131" s="898">
        <f t="shared" si="438"/>
        <v>0.23704958790273145</v>
      </c>
      <c r="S131" s="899">
        <f t="shared" si="438"/>
        <v>0.23908047837133653</v>
      </c>
      <c r="T131" s="897">
        <f t="shared" si="438"/>
        <v>0.23994027963451744</v>
      </c>
      <c r="U131" s="898">
        <f t="shared" si="438"/>
        <v>0.24048459695298094</v>
      </c>
      <c r="V131" s="898">
        <f t="shared" si="438"/>
        <v>0.24733868782967608</v>
      </c>
      <c r="W131" s="899">
        <f t="shared" si="438"/>
        <v>0.2452048215171046</v>
      </c>
      <c r="X131" s="897">
        <f t="shared" si="438"/>
        <v>0.25403299100245386</v>
      </c>
      <c r="Y131" s="898">
        <f t="shared" si="438"/>
        <v>0.25516244147428735</v>
      </c>
      <c r="Z131" s="898">
        <f t="shared" si="438"/>
        <v>0.26526128266033255</v>
      </c>
      <c r="AA131" s="899">
        <f t="shared" si="438"/>
        <v>0.26791542827300729</v>
      </c>
      <c r="AB131" s="897">
        <f t="shared" si="438"/>
        <v>0.26434899989558941</v>
      </c>
      <c r="AC131" s="898">
        <f t="shared" si="438"/>
        <v>0.2615143897429052</v>
      </c>
      <c r="AD131" s="898">
        <f t="shared" si="438"/>
        <v>0.29394898160965</v>
      </c>
      <c r="AE131" s="899">
        <f t="shared" si="438"/>
        <v>0.29962540331191961</v>
      </c>
      <c r="AF131" s="897">
        <f t="shared" si="438"/>
        <v>0.29242442303406596</v>
      </c>
      <c r="AG131" s="898">
        <f t="shared" si="438"/>
        <v>0.27674809517296756</v>
      </c>
      <c r="AH131" s="898">
        <f t="shared" si="438"/>
        <v>0.26213619406714944</v>
      </c>
      <c r="AI131" s="899">
        <f t="shared" si="438"/>
        <v>0.25805337745485929</v>
      </c>
      <c r="AJ131" s="897">
        <f t="shared" si="438"/>
        <v>0.24528106405320266</v>
      </c>
      <c r="AK131" s="898">
        <f t="shared" si="438"/>
        <v>0.2404341422707974</v>
      </c>
      <c r="AL131" s="898">
        <f t="shared" si="438"/>
        <v>0.24124581321501593</v>
      </c>
      <c r="AM131" s="899">
        <f t="shared" si="438"/>
        <v>0.24097003829098518</v>
      </c>
      <c r="AN131" s="897">
        <f t="shared" si="438"/>
        <v>0.25023030277137681</v>
      </c>
      <c r="AO131" s="898">
        <f t="shared" si="438"/>
        <v>0.25942595756924502</v>
      </c>
      <c r="AP131" s="898">
        <f t="shared" si="438"/>
        <v>0.262820668619135</v>
      </c>
      <c r="AQ131" s="899">
        <f t="shared" si="438"/>
        <v>0.25233468373702822</v>
      </c>
      <c r="AR131" s="897">
        <f t="shared" si="438"/>
        <v>0.26284028239249829</v>
      </c>
      <c r="AS131" s="898">
        <f t="shared" si="438"/>
        <v>0.30279573595479231</v>
      </c>
      <c r="AT131" s="898">
        <f t="shared" si="438"/>
        <v>0.30627308933846409</v>
      </c>
      <c r="AU131" s="899">
        <f t="shared" si="438"/>
        <v>0.28066414968010717</v>
      </c>
      <c r="AV131" s="897">
        <f t="shared" si="438"/>
        <v>0.27489671385849362</v>
      </c>
      <c r="AW131" s="898">
        <f t="shared" si="438"/>
        <v>0.27219695170591207</v>
      </c>
      <c r="AX131" s="898">
        <f t="shared" si="438"/>
        <v>0.27119318700090389</v>
      </c>
      <c r="AY131" s="899">
        <f t="shared" si="438"/>
        <v>0.26567744393819015</v>
      </c>
      <c r="AZ131" s="897">
        <f>AZ130/AZ125</f>
        <v>0.26616040425712106</v>
      </c>
      <c r="BA131" s="898">
        <f t="shared" si="438"/>
        <v>0.26635398531422833</v>
      </c>
      <c r="BB131" s="898">
        <f t="shared" si="438"/>
        <v>0.26560843598357603</v>
      </c>
      <c r="BC131" s="899">
        <f t="shared" si="438"/>
        <v>0.25866883532228296</v>
      </c>
      <c r="BD131" s="897">
        <f t="shared" si="438"/>
        <v>0.25639008749850173</v>
      </c>
      <c r="BE131" s="898">
        <f t="shared" ref="BE131:BJ131" si="439">BE130/BE125</f>
        <v>0.27497854844476227</v>
      </c>
      <c r="BF131" s="898">
        <f t="shared" si="439"/>
        <v>0.28465996271826932</v>
      </c>
      <c r="BG131" s="899">
        <f t="shared" si="439"/>
        <v>0.27005805770584101</v>
      </c>
      <c r="BH131" s="897">
        <f t="shared" si="439"/>
        <v>0.28431465477406348</v>
      </c>
      <c r="BI131" s="898">
        <f t="shared" si="439"/>
        <v>0.26730332385404565</v>
      </c>
      <c r="BJ131" s="898">
        <f t="shared" si="439"/>
        <v>0.25037562414888781</v>
      </c>
      <c r="BK131" s="899">
        <f t="shared" ref="BK131" si="440">BK130/BK125</f>
        <v>0.23657919983692749</v>
      </c>
      <c r="BL131" s="898">
        <f t="shared" ref="BL131:BW131" si="441">BL130/BL125</f>
        <v>0.22926509631833245</v>
      </c>
      <c r="BM131" s="898">
        <f t="shared" si="441"/>
        <v>0.22455611334016376</v>
      </c>
      <c r="BN131" s="898">
        <f t="shared" si="441"/>
        <v>0.22015982619278721</v>
      </c>
      <c r="BO131" s="899">
        <f t="shared" si="441"/>
        <v>0.22162000873590393</v>
      </c>
      <c r="BP131" s="897">
        <f t="shared" si="441"/>
        <v>0.21897957033388138</v>
      </c>
      <c r="BQ131" s="898">
        <f t="shared" si="441"/>
        <v>0.21671949894186496</v>
      </c>
      <c r="BR131" s="898">
        <f t="shared" si="441"/>
        <v>0.21750872648325276</v>
      </c>
      <c r="BS131" s="899">
        <f t="shared" si="441"/>
        <v>0.21742029910517915</v>
      </c>
      <c r="BT131" s="898">
        <f t="shared" si="441"/>
        <v>0.21525987149146081</v>
      </c>
      <c r="BU131" s="898">
        <f t="shared" si="441"/>
        <v>0.21383916049978186</v>
      </c>
      <c r="BV131" s="898">
        <f t="shared" si="441"/>
        <v>0.21506077965234857</v>
      </c>
      <c r="BW131" s="899">
        <f t="shared" si="441"/>
        <v>0.21558003477047635</v>
      </c>
      <c r="BX131" s="1102"/>
      <c r="BY131" s="897">
        <f>BY130/BY125</f>
        <v>0.27218471683689915</v>
      </c>
      <c r="BZ131" s="898">
        <f>BZ130/BZ125</f>
        <v>0.25426879844406947</v>
      </c>
      <c r="CA131" s="898">
        <f>CA130/CA125</f>
        <v>0.2411374649324152</v>
      </c>
      <c r="CB131" s="898">
        <f t="shared" ref="CB131:CL131" si="442">CB130/CB125</f>
        <v>0.24196001047534571</v>
      </c>
      <c r="CC131" s="898">
        <f t="shared" si="442"/>
        <v>0.24317404255769379</v>
      </c>
      <c r="CD131" s="898">
        <f t="shared" si="442"/>
        <v>0.26054394117425561</v>
      </c>
      <c r="CE131" s="898">
        <f t="shared" si="442"/>
        <v>0.27656573640784815</v>
      </c>
      <c r="CF131" s="898">
        <f t="shared" si="442"/>
        <v>0.27059950682104261</v>
      </c>
      <c r="CG131" s="898">
        <f t="shared" si="442"/>
        <v>0.24193571162011962</v>
      </c>
      <c r="CH131" s="898">
        <f t="shared" si="442"/>
        <v>0.25600646627761031</v>
      </c>
      <c r="CI131" s="898">
        <f t="shared" si="442"/>
        <v>0.28879574968244648</v>
      </c>
      <c r="CJ131" s="898">
        <f t="shared" si="442"/>
        <v>0.27092760678887973</v>
      </c>
      <c r="CK131" s="898">
        <f t="shared" si="442"/>
        <v>0.26584137387542639</v>
      </c>
      <c r="CL131" s="898">
        <f t="shared" si="442"/>
        <v>0.27670528558814372</v>
      </c>
      <c r="CM131" s="898">
        <f>CM130/CM125</f>
        <v>0.25922359403249678</v>
      </c>
      <c r="CN131" s="898">
        <f>CN130/CN125</f>
        <v>0.22387835624181912</v>
      </c>
      <c r="CO131" s="898">
        <f>CO130/CO125</f>
        <v>0.21764931145851327</v>
      </c>
      <c r="CP131" s="899">
        <f>CP130/CP125</f>
        <v>0.21492859520377028</v>
      </c>
      <c r="CQ131" s="1102"/>
      <c r="CR131" s="897">
        <f>CR130/CR125</f>
        <v>0.26147808966709724</v>
      </c>
      <c r="CS131" s="898">
        <f>CS130/CS125</f>
        <v>0.24071716822599853</v>
      </c>
      <c r="CT131" s="898">
        <f>CT130/CT125</f>
        <v>0.24375452855747726</v>
      </c>
      <c r="CU131" s="898">
        <f t="shared" ref="CU131:DD131" si="443">CU130/CU125</f>
        <v>0.2416807382758463</v>
      </c>
      <c r="CV131" s="898">
        <f t="shared" si="443"/>
        <v>0.25485464370896815</v>
      </c>
      <c r="CW131" s="898">
        <f t="shared" si="443"/>
        <v>0.27025771811538457</v>
      </c>
      <c r="CX131" s="898">
        <f t="shared" si="443"/>
        <v>0.2807030447398578</v>
      </c>
      <c r="CY131" s="898">
        <f t="shared" si="443"/>
        <v>0.24543544800900924</v>
      </c>
      <c r="CZ131" s="898">
        <f t="shared" si="443"/>
        <v>0.25286852729506759</v>
      </c>
      <c r="DA131" s="898">
        <f t="shared" si="443"/>
        <v>0.28285146840759795</v>
      </c>
      <c r="DB131" s="898">
        <f t="shared" si="443"/>
        <v>0.27455637837082575</v>
      </c>
      <c r="DC131" s="898">
        <f t="shared" si="443"/>
        <v>0.26716933377773266</v>
      </c>
      <c r="DD131" s="898">
        <f t="shared" si="443"/>
        <v>0.27301016168464032</v>
      </c>
      <c r="DE131" s="898">
        <f>DE130/DE125</f>
        <v>0.27676907711099308</v>
      </c>
      <c r="DF131" s="898">
        <f>DF130/DF125</f>
        <v>0.22740573608189943</v>
      </c>
      <c r="DG131" s="898">
        <f>DG130/DG125</f>
        <v>0.21865745530130132</v>
      </c>
      <c r="DH131" s="898">
        <f>DH130/DH125</f>
        <v>0.21536471454153758</v>
      </c>
      <c r="DI131" s="515"/>
    </row>
    <row r="132" spans="1:113" ht="14.25" customHeight="1">
      <c r="A132" s="894"/>
      <c r="B132" s="895"/>
      <c r="C132" s="896"/>
      <c r="D132" s="897"/>
      <c r="E132" s="898"/>
      <c r="F132" s="898"/>
      <c r="G132" s="899"/>
      <c r="H132" s="897"/>
      <c r="I132" s="898"/>
      <c r="J132" s="898"/>
      <c r="K132" s="899"/>
      <c r="L132" s="897"/>
      <c r="M132" s="898"/>
      <c r="N132" s="898"/>
      <c r="O132" s="899"/>
      <c r="P132" s="897"/>
      <c r="Q132" s="898"/>
      <c r="R132" s="898"/>
      <c r="S132" s="899"/>
      <c r="T132" s="897"/>
      <c r="U132" s="898"/>
      <c r="V132" s="898"/>
      <c r="W132" s="899"/>
      <c r="X132" s="897"/>
      <c r="Y132" s="898"/>
      <c r="Z132" s="898"/>
      <c r="AA132" s="899"/>
      <c r="AB132" s="897"/>
      <c r="AC132" s="898"/>
      <c r="AD132" s="898"/>
      <c r="AE132" s="899"/>
      <c r="AF132" s="897"/>
      <c r="AG132" s="898"/>
      <c r="AH132" s="898"/>
      <c r="AI132" s="899"/>
      <c r="AJ132" s="897"/>
      <c r="AK132" s="898"/>
      <c r="AL132" s="898"/>
      <c r="AM132" s="899"/>
      <c r="AN132" s="897"/>
      <c r="AO132" s="898"/>
      <c r="AP132" s="898"/>
      <c r="AQ132" s="899"/>
      <c r="AR132" s="897"/>
      <c r="AS132" s="898"/>
      <c r="AT132" s="898"/>
      <c r="AU132" s="899"/>
      <c r="AV132" s="897"/>
      <c r="AW132" s="898"/>
      <c r="AX132" s="898"/>
      <c r="AY132" s="899"/>
      <c r="AZ132" s="897"/>
      <c r="BA132" s="898"/>
      <c r="BB132" s="898"/>
      <c r="BC132" s="899"/>
      <c r="BD132" s="897"/>
      <c r="BE132" s="898"/>
      <c r="BF132" s="898"/>
      <c r="BG132" s="899"/>
      <c r="BH132" s="897"/>
      <c r="BI132" s="898"/>
      <c r="BJ132" s="898"/>
      <c r="BK132" s="899"/>
      <c r="BL132" s="898"/>
      <c r="BM132" s="898"/>
      <c r="BN132" s="898"/>
      <c r="BO132" s="899"/>
      <c r="BP132" s="897"/>
      <c r="BQ132" s="898"/>
      <c r="BR132" s="898"/>
      <c r="BS132" s="899"/>
      <c r="BT132" s="898"/>
      <c r="BU132" s="898"/>
      <c r="BV132" s="898"/>
      <c r="BW132" s="899"/>
      <c r="BX132" s="1102"/>
      <c r="BY132" s="897"/>
      <c r="BZ132" s="898"/>
      <c r="CA132" s="898"/>
      <c r="CB132" s="898"/>
      <c r="CC132" s="898"/>
      <c r="CD132" s="898"/>
      <c r="CE132" s="898"/>
      <c r="CF132" s="898"/>
      <c r="CG132" s="898"/>
      <c r="CH132" s="898"/>
      <c r="CI132" s="898"/>
      <c r="CJ132" s="898"/>
      <c r="CK132" s="898"/>
      <c r="CL132" s="898"/>
      <c r="CM132" s="898"/>
      <c r="CN132" s="898"/>
      <c r="CO132" s="898"/>
      <c r="CP132" s="899"/>
      <c r="CQ132" s="1102"/>
      <c r="CR132" s="897"/>
      <c r="CS132" s="898"/>
      <c r="CT132" s="898"/>
      <c r="CU132" s="898"/>
      <c r="CV132" s="898"/>
      <c r="CW132" s="898"/>
      <c r="CX132" s="898"/>
      <c r="CY132" s="898"/>
      <c r="CZ132" s="898"/>
      <c r="DA132" s="898"/>
      <c r="DB132" s="898"/>
      <c r="DC132" s="898"/>
      <c r="DD132" s="898"/>
      <c r="DE132" s="898"/>
      <c r="DF132" s="898"/>
      <c r="DG132" s="898"/>
      <c r="DH132" s="898"/>
      <c r="DI132" s="515"/>
    </row>
    <row r="133" spans="1:113" ht="14.25" customHeight="1">
      <c r="A133" s="227"/>
      <c r="B133" s="736" t="s">
        <v>489</v>
      </c>
      <c r="C133" s="247"/>
      <c r="D133" s="591">
        <f t="shared" ref="D133:O133" si="444">D127-D130</f>
        <v>38.866000000000007</v>
      </c>
      <c r="E133" s="592">
        <f t="shared" si="444"/>
        <v>44.835999999999999</v>
      </c>
      <c r="F133" s="592">
        <f t="shared" si="444"/>
        <v>48.140999999999991</v>
      </c>
      <c r="G133" s="593">
        <f t="shared" si="444"/>
        <v>43.074000000000048</v>
      </c>
      <c r="H133" s="591">
        <f t="shared" si="444"/>
        <v>43.878999999999984</v>
      </c>
      <c r="I133" s="592">
        <f t="shared" si="444"/>
        <v>47.593999999999987</v>
      </c>
      <c r="J133" s="592">
        <f t="shared" si="444"/>
        <v>53.105000000000018</v>
      </c>
      <c r="K133" s="593">
        <f t="shared" si="444"/>
        <v>59.33600000000002</v>
      </c>
      <c r="L133" s="591">
        <f t="shared" si="444"/>
        <v>70.954000000000008</v>
      </c>
      <c r="M133" s="592">
        <f t="shared" si="444"/>
        <v>75.050999999999988</v>
      </c>
      <c r="N133" s="592">
        <f t="shared" si="444"/>
        <v>65.621999999999986</v>
      </c>
      <c r="O133" s="593">
        <f t="shared" si="444"/>
        <v>68.120000000000033</v>
      </c>
      <c r="P133" s="591">
        <f>P127-P130</f>
        <v>73.028999999999982</v>
      </c>
      <c r="Q133" s="592">
        <f t="shared" ref="Q133:BD133" si="445">Q127-Q130</f>
        <v>79.294999999999987</v>
      </c>
      <c r="R133" s="592">
        <f t="shared" si="445"/>
        <v>84.58799999999998</v>
      </c>
      <c r="S133" s="593">
        <f t="shared" si="445"/>
        <v>89.451999999999998</v>
      </c>
      <c r="T133" s="591">
        <f t="shared" si="445"/>
        <v>95.486000000000047</v>
      </c>
      <c r="U133" s="592">
        <f t="shared" si="445"/>
        <v>97.527000000000015</v>
      </c>
      <c r="V133" s="592">
        <f t="shared" si="445"/>
        <v>89.221999999999966</v>
      </c>
      <c r="W133" s="593">
        <f t="shared" si="445"/>
        <v>92.955000000000013</v>
      </c>
      <c r="X133" s="591">
        <f t="shared" si="445"/>
        <v>93.052000000000021</v>
      </c>
      <c r="Y133" s="592">
        <f t="shared" si="445"/>
        <v>90.207999999999984</v>
      </c>
      <c r="Z133" s="592">
        <f t="shared" si="445"/>
        <v>87.597000000000008</v>
      </c>
      <c r="AA133" s="593">
        <f t="shared" si="445"/>
        <v>90.417000000000002</v>
      </c>
      <c r="AB133" s="591">
        <f t="shared" si="445"/>
        <v>94.331000000000031</v>
      </c>
      <c r="AC133" s="592">
        <f t="shared" si="445"/>
        <v>95.674000000000021</v>
      </c>
      <c r="AD133" s="592">
        <f t="shared" si="445"/>
        <v>49.574999999999996</v>
      </c>
      <c r="AE133" s="593">
        <f t="shared" si="445"/>
        <v>33.493999999999986</v>
      </c>
      <c r="AF133" s="591">
        <f t="shared" si="445"/>
        <v>42.689000000000007</v>
      </c>
      <c r="AG133" s="592">
        <f t="shared" si="445"/>
        <v>63.061000000000007</v>
      </c>
      <c r="AH133" s="592">
        <f t="shared" si="445"/>
        <v>82.022999999999996</v>
      </c>
      <c r="AI133" s="593">
        <f t="shared" si="445"/>
        <v>99.605000000000075</v>
      </c>
      <c r="AJ133" s="591">
        <f t="shared" si="445"/>
        <v>127.72200000000001</v>
      </c>
      <c r="AK133" s="592">
        <f t="shared" si="445"/>
        <v>138.20600000000002</v>
      </c>
      <c r="AL133" s="592">
        <f t="shared" si="445"/>
        <v>131.11600000000001</v>
      </c>
      <c r="AM133" s="593">
        <f t="shared" si="445"/>
        <v>137.29599999999988</v>
      </c>
      <c r="AN133" s="591">
        <f t="shared" si="445"/>
        <v>129.14300000000003</v>
      </c>
      <c r="AO133" s="592">
        <f t="shared" si="445"/>
        <v>109.94999999999999</v>
      </c>
      <c r="AP133" s="592">
        <f t="shared" si="445"/>
        <v>100.348</v>
      </c>
      <c r="AQ133" s="593">
        <f t="shared" si="445"/>
        <v>107.98099999999997</v>
      </c>
      <c r="AR133" s="591">
        <f t="shared" si="445"/>
        <v>115.18300000000001</v>
      </c>
      <c r="AS133" s="592">
        <f t="shared" si="445"/>
        <v>119.13500000000001</v>
      </c>
      <c r="AT133" s="592">
        <f t="shared" si="445"/>
        <v>105.64600000000004</v>
      </c>
      <c r="AU133" s="593">
        <f>AU127-AU130</f>
        <v>123.59000000000006</v>
      </c>
      <c r="AV133" s="591">
        <f t="shared" si="445"/>
        <v>141.32299999999998</v>
      </c>
      <c r="AW133" s="592">
        <f t="shared" si="445"/>
        <v>156.62399999999994</v>
      </c>
      <c r="AX133" s="592">
        <f t="shared" si="445"/>
        <v>153.78700000000006</v>
      </c>
      <c r="AY133" s="593">
        <f t="shared" si="445"/>
        <v>161.49100000000007</v>
      </c>
      <c r="AZ133" s="591">
        <f>AZ127-AZ130</f>
        <v>176.32400000000001</v>
      </c>
      <c r="BA133" s="592">
        <f t="shared" si="445"/>
        <v>177.29000000000002</v>
      </c>
      <c r="BB133" s="592">
        <f t="shared" si="445"/>
        <v>169.33000000000007</v>
      </c>
      <c r="BC133" s="593">
        <f t="shared" si="445"/>
        <v>177.41899999999998</v>
      </c>
      <c r="BD133" s="591">
        <f t="shared" si="445"/>
        <v>174.31699999999998</v>
      </c>
      <c r="BE133" s="592">
        <f t="shared" ref="BE133:BJ133" si="446">BE127-BE130</f>
        <v>170.07699999999997</v>
      </c>
      <c r="BF133" s="592">
        <f t="shared" si="446"/>
        <v>162.60500000000002</v>
      </c>
      <c r="BG133" s="593">
        <f t="shared" si="446"/>
        <v>178.37400000000002</v>
      </c>
      <c r="BH133" s="591">
        <f t="shared" si="446"/>
        <v>231.12999999999991</v>
      </c>
      <c r="BI133" s="592">
        <f t="shared" si="446"/>
        <v>266.3420000000001</v>
      </c>
      <c r="BJ133" s="1406">
        <f t="shared" si="446"/>
        <v>289.089</v>
      </c>
      <c r="BK133" s="593">
        <f t="shared" ref="BK133" si="447">BK127-BK130</f>
        <v>321.17200000000003</v>
      </c>
      <c r="BL133" s="592">
        <f t="shared" ref="BL133:BW133" si="448">BL127-BL130</f>
        <v>364.29499999999996</v>
      </c>
      <c r="BM133" s="592">
        <f t="shared" si="448"/>
        <v>390.51099999999997</v>
      </c>
      <c r="BN133" s="592">
        <f t="shared" si="448"/>
        <v>391.66899999999998</v>
      </c>
      <c r="BO133" s="593">
        <f t="shared" si="448"/>
        <v>388.79066015356568</v>
      </c>
      <c r="BP133" s="1536">
        <f t="shared" si="448"/>
        <v>411.29105588282818</v>
      </c>
      <c r="BQ133" s="1537">
        <f t="shared" si="448"/>
        <v>428.23130740371437</v>
      </c>
      <c r="BR133" s="1537">
        <f t="shared" si="448"/>
        <v>417.23760021920793</v>
      </c>
      <c r="BS133" s="1538">
        <f t="shared" si="448"/>
        <v>413.43934387211584</v>
      </c>
      <c r="BT133" s="1406">
        <f t="shared" si="448"/>
        <v>434.01141088618715</v>
      </c>
      <c r="BU133" s="1406">
        <f t="shared" si="448"/>
        <v>448.47531236467637</v>
      </c>
      <c r="BV133" s="1406">
        <f t="shared" si="448"/>
        <v>439.08774716626976</v>
      </c>
      <c r="BW133" s="593">
        <f t="shared" si="448"/>
        <v>435.63944748163487</v>
      </c>
      <c r="BX133" s="1100"/>
      <c r="BY133" s="591">
        <f>BY127-BY130</f>
        <v>174.91700000000003</v>
      </c>
      <c r="BZ133" s="592">
        <f>BZ127-BZ130</f>
        <v>203.91399999999993</v>
      </c>
      <c r="CA133" s="592">
        <f>CA127-CA130</f>
        <v>279.74700000000001</v>
      </c>
      <c r="CB133" s="592">
        <f t="shared" ref="CB133:CL133" si="449">CB127-CB130</f>
        <v>326.36400000000009</v>
      </c>
      <c r="CC133" s="592">
        <f t="shared" si="449"/>
        <v>375.19000000000005</v>
      </c>
      <c r="CD133" s="592">
        <f t="shared" si="449"/>
        <v>361.27400000000011</v>
      </c>
      <c r="CE133" s="592">
        <f t="shared" si="449"/>
        <v>273.07399999999996</v>
      </c>
      <c r="CF133" s="592">
        <f t="shared" si="449"/>
        <v>287.37800000000016</v>
      </c>
      <c r="CG133" s="592">
        <f t="shared" si="449"/>
        <v>534.33999999999992</v>
      </c>
      <c r="CH133" s="1406">
        <f t="shared" si="449"/>
        <v>447.42199999999997</v>
      </c>
      <c r="CI133" s="1406">
        <f t="shared" si="449"/>
        <v>463.55400000000003</v>
      </c>
      <c r="CJ133" s="1406">
        <f t="shared" si="449"/>
        <v>613.22500000000036</v>
      </c>
      <c r="CK133" s="592">
        <f t="shared" si="449"/>
        <v>700.36300000000006</v>
      </c>
      <c r="CL133" s="592">
        <f t="shared" si="449"/>
        <v>685.37299999999971</v>
      </c>
      <c r="CM133" s="592">
        <f>CM127-CM130</f>
        <v>1107.7330000000002</v>
      </c>
      <c r="CN133" s="592">
        <f>CN127-CN130</f>
        <v>1535.2656601535659</v>
      </c>
      <c r="CO133" s="1406">
        <f>CO127-CO130</f>
        <v>1670.1993073778667</v>
      </c>
      <c r="CP133" s="593">
        <f>CP127-CP130</f>
        <v>1757.2139178987677</v>
      </c>
      <c r="CQ133" s="1100"/>
      <c r="CR133" s="591">
        <f>CR127-CR130</f>
        <v>187.6520000000001</v>
      </c>
      <c r="CS133" s="592">
        <f>CS127-CS130</f>
        <v>270.96300000000008</v>
      </c>
      <c r="CT133" s="592">
        <f>CT127-CT130</f>
        <v>305.03199999999993</v>
      </c>
      <c r="CU133" s="592">
        <f t="shared" ref="CU133:DC133" si="450">CU127-CU130</f>
        <v>371.68700000000001</v>
      </c>
      <c r="CV133" s="592">
        <f t="shared" si="450"/>
        <v>363.81199999999984</v>
      </c>
      <c r="CW133" s="592">
        <f t="shared" si="450"/>
        <v>329.9969999999999</v>
      </c>
      <c r="CX133" s="592">
        <f t="shared" si="450"/>
        <v>221.267</v>
      </c>
      <c r="CY133" s="592">
        <f t="shared" si="450"/>
        <v>496.64900000000029</v>
      </c>
      <c r="CZ133" s="592">
        <f t="shared" si="450"/>
        <v>476.73699999999997</v>
      </c>
      <c r="DA133" s="592">
        <f t="shared" si="450"/>
        <v>447.94500000000011</v>
      </c>
      <c r="DB133" s="592">
        <f t="shared" si="450"/>
        <v>575.3240000000003</v>
      </c>
      <c r="DC133" s="592">
        <f t="shared" si="450"/>
        <v>684.43500000000017</v>
      </c>
      <c r="DD133" s="592">
        <f>DD127-DD130</f>
        <v>684.41800000000023</v>
      </c>
      <c r="DE133" s="592">
        <f>DE127-DE130</f>
        <v>964.93500000000017</v>
      </c>
      <c r="DF133" s="592">
        <f>DF127-DF130</f>
        <v>1467.6469999999999</v>
      </c>
      <c r="DG133" s="1406">
        <f>DG127-DG130</f>
        <v>1645.550623659316</v>
      </c>
      <c r="DH133" s="1406">
        <f>DH127-DH130</f>
        <v>1735.0138142892492</v>
      </c>
      <c r="DI133" s="248"/>
    </row>
    <row r="134" spans="1:113" ht="14.25" customHeight="1">
      <c r="A134" s="894"/>
      <c r="B134" s="895" t="s">
        <v>397</v>
      </c>
      <c r="C134" s="896"/>
      <c r="D134" s="1115"/>
      <c r="E134" s="1116"/>
      <c r="F134" s="1116"/>
      <c r="G134" s="1117"/>
      <c r="H134" s="1115"/>
      <c r="I134" s="1116"/>
      <c r="J134" s="1116"/>
      <c r="K134" s="1117"/>
      <c r="L134" s="1115"/>
      <c r="M134" s="1116"/>
      <c r="N134" s="1116"/>
      <c r="O134" s="1117"/>
      <c r="P134" s="1115"/>
      <c r="Q134" s="1116"/>
      <c r="R134" s="1116"/>
      <c r="S134" s="1117"/>
      <c r="T134" s="1115"/>
      <c r="U134" s="1116"/>
      <c r="V134" s="1116"/>
      <c r="W134" s="1117"/>
      <c r="X134" s="1115"/>
      <c r="Y134" s="1116"/>
      <c r="Z134" s="1116"/>
      <c r="AA134" s="1117"/>
      <c r="AB134" s="1115"/>
      <c r="AC134" s="1116"/>
      <c r="AD134" s="1116"/>
      <c r="AE134" s="1117"/>
      <c r="AF134" s="1115"/>
      <c r="AG134" s="1116"/>
      <c r="AH134" s="1116"/>
      <c r="AI134" s="1117"/>
      <c r="AJ134" s="1115"/>
      <c r="AK134" s="1116"/>
      <c r="AL134" s="1116"/>
      <c r="AM134" s="1117"/>
      <c r="AN134" s="1115"/>
      <c r="AO134" s="1116"/>
      <c r="AP134" s="1116"/>
      <c r="AQ134" s="1117"/>
      <c r="AR134" s="897">
        <f>AR133/AR125</f>
        <v>0.32709991082940015</v>
      </c>
      <c r="AS134" s="898">
        <f>AS133/AS125</f>
        <v>0.31081560561234339</v>
      </c>
      <c r="AT134" s="898">
        <f t="shared" ref="AT134:CL134" si="451">AT133/AT125</f>
        <v>0.25392804178374084</v>
      </c>
      <c r="AU134" s="899">
        <f t="shared" si="451"/>
        <v>0.2873223850617469</v>
      </c>
      <c r="AV134" s="898">
        <f t="shared" si="451"/>
        <v>0.30537044719874151</v>
      </c>
      <c r="AW134" s="898">
        <f t="shared" si="451"/>
        <v>0.31790918446259037</v>
      </c>
      <c r="AX134" s="898">
        <f t="shared" si="451"/>
        <v>0.31881411027174061</v>
      </c>
      <c r="AY134" s="899">
        <f t="shared" si="451"/>
        <v>0.32731300569130739</v>
      </c>
      <c r="AZ134" s="898">
        <f>AZ133/AZ125</f>
        <v>0.33184465836697441</v>
      </c>
      <c r="BA134" s="898">
        <f t="shared" si="451"/>
        <v>0.32456251155621219</v>
      </c>
      <c r="BB134" s="898">
        <f t="shared" si="451"/>
        <v>0.31603210153042194</v>
      </c>
      <c r="BC134" s="899">
        <f t="shared" si="451"/>
        <v>0.32423655403059265</v>
      </c>
      <c r="BD134" s="897">
        <f t="shared" si="451"/>
        <v>0.326465674817212</v>
      </c>
      <c r="BE134" s="898">
        <f t="shared" ref="BE134:BJ134" si="452">BE133/BE125</f>
        <v>0.30403468001430101</v>
      </c>
      <c r="BF134" s="898">
        <f t="shared" si="452"/>
        <v>0.2945673380880523</v>
      </c>
      <c r="BG134" s="899">
        <f t="shared" si="452"/>
        <v>0.31381773399014784</v>
      </c>
      <c r="BH134" s="897">
        <f t="shared" si="452"/>
        <v>0.27385135983734549</v>
      </c>
      <c r="BI134" s="898">
        <f t="shared" si="452"/>
        <v>0.30479667214062162</v>
      </c>
      <c r="BJ134" s="898">
        <f t="shared" si="452"/>
        <v>0.32806286881525193</v>
      </c>
      <c r="BK134" s="899">
        <f t="shared" ref="BK134" si="453">BK133/BK125</f>
        <v>0.35580380783146814</v>
      </c>
      <c r="BL134" s="898">
        <f t="shared" ref="BL134:BW134" si="454">BL133/BL125</f>
        <v>0.37473473498185961</v>
      </c>
      <c r="BM134" s="898">
        <f t="shared" si="454"/>
        <v>0.38582744069737451</v>
      </c>
      <c r="BN134" s="898">
        <f t="shared" si="454"/>
        <v>0.39395195155928603</v>
      </c>
      <c r="BO134" s="899">
        <f t="shared" si="454"/>
        <v>0.39449819454555041</v>
      </c>
      <c r="BP134" s="897">
        <f t="shared" si="454"/>
        <v>0.39966020397625157</v>
      </c>
      <c r="BQ134" s="898">
        <f t="shared" si="454"/>
        <v>0.40348684986035493</v>
      </c>
      <c r="BR134" s="898">
        <f t="shared" si="454"/>
        <v>0.40129131854965666</v>
      </c>
      <c r="BS134" s="899">
        <f t="shared" si="454"/>
        <v>0.40125627329336389</v>
      </c>
      <c r="BT134" s="898">
        <f t="shared" si="454"/>
        <v>0.40508448150027415</v>
      </c>
      <c r="BU134" s="898">
        <f t="shared" si="454"/>
        <v>0.40809574955382844</v>
      </c>
      <c r="BV134" s="898">
        <f t="shared" si="454"/>
        <v>0.40543211310480126</v>
      </c>
      <c r="BW134" s="898">
        <f t="shared" si="454"/>
        <v>0.40591676025276952</v>
      </c>
      <c r="BX134" s="1118"/>
      <c r="BY134" s="898">
        <f t="shared" si="451"/>
        <v>0.2684991603501049</v>
      </c>
      <c r="BZ134" s="898">
        <f t="shared" si="451"/>
        <v>0.29161399193433046</v>
      </c>
      <c r="CA134" s="898">
        <f t="shared" si="451"/>
        <v>0.33030476919153279</v>
      </c>
      <c r="CB134" s="898">
        <f t="shared" si="451"/>
        <v>0.35172589943021454</v>
      </c>
      <c r="CC134" s="898">
        <f t="shared" si="451"/>
        <v>0.36087377641580848</v>
      </c>
      <c r="CD134" s="898">
        <f t="shared" si="451"/>
        <v>0.34880862612806157</v>
      </c>
      <c r="CE134" s="898">
        <f t="shared" si="451"/>
        <v>0.30230810021510085</v>
      </c>
      <c r="CF134" s="898">
        <f t="shared" si="451"/>
        <v>0.30322803248607999</v>
      </c>
      <c r="CG134" s="898">
        <f t="shared" si="451"/>
        <v>0.3592914225005967</v>
      </c>
      <c r="CH134" s="898">
        <f t="shared" si="451"/>
        <v>0.32347438070064838</v>
      </c>
      <c r="CI134" s="898">
        <f t="shared" si="451"/>
        <v>0.29308754361816947</v>
      </c>
      <c r="CJ134" s="898">
        <f t="shared" si="451"/>
        <v>0.31753293389608744</v>
      </c>
      <c r="CK134" s="898">
        <f t="shared" si="451"/>
        <v>0.32619993330340064</v>
      </c>
      <c r="CL134" s="898">
        <f t="shared" si="451"/>
        <v>0.31536239806339417</v>
      </c>
      <c r="CM134" s="898">
        <f>CM133/CM125</f>
        <v>0.31634158161509601</v>
      </c>
      <c r="CN134" s="898">
        <f>CN133/CN125</f>
        <v>0.38730045705194754</v>
      </c>
      <c r="CO134" s="898">
        <f>CO133/CO125</f>
        <v>0.40143925249390261</v>
      </c>
      <c r="CP134" s="899">
        <f>CP133/CP125</f>
        <v>0.40614280476060394</v>
      </c>
      <c r="CQ134" s="1118"/>
      <c r="CR134" s="1115"/>
      <c r="CS134" s="1116"/>
      <c r="CT134" s="1116"/>
      <c r="CU134" s="1116"/>
      <c r="CV134" s="1116"/>
      <c r="CW134" s="1116"/>
      <c r="CX134" s="1116"/>
      <c r="CY134" s="1116"/>
      <c r="CZ134" s="1116"/>
      <c r="DA134" s="1116"/>
      <c r="DB134" s="898">
        <f t="shared" ref="DB134:DG134" si="455">DB133/DB125</f>
        <v>0.30799308556797023</v>
      </c>
      <c r="DC134" s="898">
        <f t="shared" si="455"/>
        <v>0.32635454767827593</v>
      </c>
      <c r="DD134" s="898">
        <f t="shared" si="455"/>
        <v>0.31702251245313579</v>
      </c>
      <c r="DE134" s="898">
        <f t="shared" si="455"/>
        <v>0.31505602334640775</v>
      </c>
      <c r="DF134" s="898">
        <f t="shared" si="455"/>
        <v>0.37814735886338874</v>
      </c>
      <c r="DG134" s="898">
        <f t="shared" si="455"/>
        <v>0.39982297719458293</v>
      </c>
      <c r="DH134" s="898">
        <f t="shared" ref="DH134" si="456">DH133/DH125</f>
        <v>0.40502408308766896</v>
      </c>
      <c r="DI134" s="1119"/>
    </row>
    <row r="135" spans="1:113" ht="14.25" customHeight="1">
      <c r="A135" s="894"/>
      <c r="B135" s="895"/>
      <c r="C135" s="896"/>
      <c r="D135" s="897"/>
      <c r="E135" s="898"/>
      <c r="F135" s="898"/>
      <c r="G135" s="899"/>
      <c r="H135" s="897"/>
      <c r="I135" s="898"/>
      <c r="J135" s="898"/>
      <c r="K135" s="899"/>
      <c r="L135" s="897"/>
      <c r="M135" s="898"/>
      <c r="N135" s="898"/>
      <c r="O135" s="899"/>
      <c r="P135" s="897"/>
      <c r="Q135" s="898"/>
      <c r="R135" s="898"/>
      <c r="S135" s="899"/>
      <c r="T135" s="897"/>
      <c r="U135" s="898"/>
      <c r="V135" s="898"/>
      <c r="W135" s="899"/>
      <c r="X135" s="897"/>
      <c r="Y135" s="898"/>
      <c r="Z135" s="898"/>
      <c r="AA135" s="899"/>
      <c r="AB135" s="897"/>
      <c r="AC135" s="898"/>
      <c r="AD135" s="898"/>
      <c r="AE135" s="899"/>
      <c r="AF135" s="897"/>
      <c r="AG135" s="898"/>
      <c r="AH135" s="898"/>
      <c r="AI135" s="899"/>
      <c r="AJ135" s="897"/>
      <c r="AK135" s="898"/>
      <c r="AL135" s="898"/>
      <c r="AM135" s="899"/>
      <c r="AN135" s="897"/>
      <c r="AO135" s="898"/>
      <c r="AP135" s="898"/>
      <c r="AQ135" s="899"/>
      <c r="AR135" s="897"/>
      <c r="AS135" s="898"/>
      <c r="AT135" s="898"/>
      <c r="AU135" s="899"/>
      <c r="AV135" s="897"/>
      <c r="AW135" s="898"/>
      <c r="AX135" s="898"/>
      <c r="AY135" s="899"/>
      <c r="AZ135" s="897"/>
      <c r="BA135" s="898"/>
      <c r="BB135" s="898"/>
      <c r="BC135" s="899"/>
      <c r="BD135" s="897"/>
      <c r="BE135" s="898"/>
      <c r="BF135" s="898"/>
      <c r="BG135" s="899"/>
      <c r="BH135" s="897"/>
      <c r="BI135" s="898"/>
      <c r="BJ135" s="898"/>
      <c r="BK135" s="899"/>
      <c r="BL135" s="898"/>
      <c r="BM135" s="898"/>
      <c r="BN135" s="898"/>
      <c r="BO135" s="899"/>
      <c r="BP135" s="897"/>
      <c r="BQ135" s="898"/>
      <c r="BR135" s="898"/>
      <c r="BS135" s="899"/>
      <c r="BT135" s="898"/>
      <c r="BU135" s="898"/>
      <c r="BV135" s="898"/>
      <c r="BW135" s="899"/>
      <c r="BX135" s="1102"/>
      <c r="BY135" s="897"/>
      <c r="BZ135" s="898"/>
      <c r="CA135" s="898"/>
      <c r="CB135" s="898"/>
      <c r="CC135" s="898"/>
      <c r="CD135" s="898"/>
      <c r="CE135" s="898"/>
      <c r="CF135" s="898"/>
      <c r="CG135" s="898"/>
      <c r="CH135" s="898"/>
      <c r="CI135" s="898"/>
      <c r="CJ135" s="898"/>
      <c r="CK135" s="898"/>
      <c r="CL135" s="898"/>
      <c r="CM135" s="898"/>
      <c r="CN135" s="898"/>
      <c r="CO135" s="898"/>
      <c r="CP135" s="899"/>
      <c r="CQ135" s="1102"/>
      <c r="CR135" s="897"/>
      <c r="CS135" s="898"/>
      <c r="CT135" s="898"/>
      <c r="CU135" s="898"/>
      <c r="CV135" s="898"/>
      <c r="CW135" s="898"/>
      <c r="CX135" s="898"/>
      <c r="CY135" s="898"/>
      <c r="CZ135" s="898"/>
      <c r="DA135" s="898"/>
      <c r="DB135" s="898"/>
      <c r="DC135" s="898"/>
      <c r="DD135" s="898"/>
      <c r="DE135" s="898"/>
      <c r="DF135" s="898"/>
      <c r="DG135" s="898"/>
      <c r="DH135" s="898"/>
      <c r="DI135" s="515"/>
    </row>
    <row r="136" spans="1:113" ht="14.25" customHeight="1">
      <c r="A136" s="227"/>
      <c r="B136" s="736" t="s">
        <v>394</v>
      </c>
      <c r="C136" s="247"/>
      <c r="D136" s="591">
        <f t="shared" ref="D136:AI136" si="457">D72</f>
        <v>12.693</v>
      </c>
      <c r="E136" s="592">
        <f t="shared" si="457"/>
        <v>1.153</v>
      </c>
      <c r="F136" s="592">
        <f t="shared" si="457"/>
        <v>0.54</v>
      </c>
      <c r="G136" s="593">
        <f t="shared" si="457"/>
        <v>1.2720000000000002</v>
      </c>
      <c r="H136" s="591">
        <f t="shared" si="457"/>
        <v>1.0740000000000001</v>
      </c>
      <c r="I136" s="592">
        <f t="shared" si="457"/>
        <v>0.86699999999999999</v>
      </c>
      <c r="J136" s="592">
        <f t="shared" si="457"/>
        <v>1.117</v>
      </c>
      <c r="K136" s="593">
        <f t="shared" si="457"/>
        <v>3.5439999999999996</v>
      </c>
      <c r="L136" s="591">
        <f t="shared" si="457"/>
        <v>3.7489999999999997</v>
      </c>
      <c r="M136" s="592">
        <f t="shared" si="457"/>
        <v>4.4790000000000001</v>
      </c>
      <c r="N136" s="592">
        <f t="shared" si="457"/>
        <v>4.2990000000000004</v>
      </c>
      <c r="O136" s="593">
        <f t="shared" si="457"/>
        <v>6.0939999999999994</v>
      </c>
      <c r="P136" s="591">
        <f t="shared" si="457"/>
        <v>7.2679999999999998</v>
      </c>
      <c r="Q136" s="592">
        <f t="shared" si="457"/>
        <v>7.09</v>
      </c>
      <c r="R136" s="592">
        <f t="shared" si="457"/>
        <v>8.4830000000000005</v>
      </c>
      <c r="S136" s="593">
        <f t="shared" si="457"/>
        <v>9.98</v>
      </c>
      <c r="T136" s="591">
        <f t="shared" si="457"/>
        <v>11.613999999999999</v>
      </c>
      <c r="U136" s="592">
        <f t="shared" si="457"/>
        <v>13.23</v>
      </c>
      <c r="V136" s="592">
        <f t="shared" si="457"/>
        <v>14.372</v>
      </c>
      <c r="W136" s="593">
        <f t="shared" si="457"/>
        <v>14.063000000000001</v>
      </c>
      <c r="X136" s="591">
        <f t="shared" si="457"/>
        <v>15.723999999999998</v>
      </c>
      <c r="Y136" s="592">
        <f t="shared" si="457"/>
        <v>14.469999999999999</v>
      </c>
      <c r="Z136" s="592">
        <f t="shared" si="457"/>
        <v>12.037000000000001</v>
      </c>
      <c r="AA136" s="593">
        <f t="shared" si="457"/>
        <v>5.5600000000000023</v>
      </c>
      <c r="AB136" s="591">
        <f t="shared" si="457"/>
        <v>6.5429999999999993</v>
      </c>
      <c r="AC136" s="592">
        <f t="shared" si="457"/>
        <v>6.2409999999999997</v>
      </c>
      <c r="AD136" s="592">
        <f t="shared" si="457"/>
        <v>0.52899999999999991</v>
      </c>
      <c r="AE136" s="593">
        <f t="shared" si="457"/>
        <v>-2.1379999999999981</v>
      </c>
      <c r="AF136" s="591">
        <f t="shared" si="457"/>
        <v>-2.4620000000000006</v>
      </c>
      <c r="AG136" s="592">
        <f t="shared" si="457"/>
        <v>-1.9559999999999993</v>
      </c>
      <c r="AH136" s="592">
        <f t="shared" si="457"/>
        <v>-1.0940000000000001</v>
      </c>
      <c r="AI136" s="593">
        <f t="shared" si="457"/>
        <v>-2.8940000000000019</v>
      </c>
      <c r="AJ136" s="591">
        <f t="shared" ref="AJ136:BS136" si="458">AJ72</f>
        <v>-2.2969999999999997</v>
      </c>
      <c r="AK136" s="592">
        <f t="shared" si="458"/>
        <v>-0.43900000000000006</v>
      </c>
      <c r="AL136" s="592">
        <f t="shared" si="458"/>
        <v>-1.3169999999999993</v>
      </c>
      <c r="AM136" s="593">
        <f t="shared" si="458"/>
        <v>-2.5860000000000039</v>
      </c>
      <c r="AN136" s="591">
        <f t="shared" si="458"/>
        <v>-1.2290000000000003</v>
      </c>
      <c r="AO136" s="592">
        <f t="shared" si="458"/>
        <v>-3.6059999999999999</v>
      </c>
      <c r="AP136" s="592">
        <f t="shared" si="458"/>
        <v>-2.5410000000000004</v>
      </c>
      <c r="AQ136" s="593">
        <f t="shared" si="458"/>
        <v>-5.4999999999993054E-2</v>
      </c>
      <c r="AR136" s="591">
        <f t="shared" si="458"/>
        <v>-3.4939999999999993</v>
      </c>
      <c r="AS136" s="592">
        <f t="shared" si="458"/>
        <v>-3.9329999999999998</v>
      </c>
      <c r="AT136" s="592">
        <f t="shared" si="458"/>
        <v>-5.6319999999999997</v>
      </c>
      <c r="AU136" s="593">
        <f t="shared" si="458"/>
        <v>-5.1199999999999983</v>
      </c>
      <c r="AV136" s="591">
        <f t="shared" si="458"/>
        <v>-5.9039999999999999</v>
      </c>
      <c r="AW136" s="592">
        <f t="shared" si="458"/>
        <v>-4.0670000000000002</v>
      </c>
      <c r="AX136" s="592">
        <f t="shared" si="458"/>
        <v>-4.4820000000000002</v>
      </c>
      <c r="AY136" s="593">
        <f t="shared" si="458"/>
        <v>-4.7790000000000017</v>
      </c>
      <c r="AZ136" s="591">
        <f t="shared" si="458"/>
        <v>-6.5579999999999998</v>
      </c>
      <c r="BA136" s="592">
        <f t="shared" si="458"/>
        <v>-8.1340000000000003</v>
      </c>
      <c r="BB136" s="592">
        <f t="shared" si="458"/>
        <v>-9.2550000000000008</v>
      </c>
      <c r="BC136" s="593">
        <f t="shared" si="458"/>
        <v>-8.9339999999999975</v>
      </c>
      <c r="BD136" s="591">
        <f t="shared" si="458"/>
        <v>-5.8290000000000006</v>
      </c>
      <c r="BE136" s="592">
        <f t="shared" si="458"/>
        <v>-8.4749999999999979</v>
      </c>
      <c r="BF136" s="592">
        <f t="shared" si="458"/>
        <v>-8.6089999999999982</v>
      </c>
      <c r="BG136" s="593">
        <f t="shared" si="458"/>
        <v>-6.3570000000000011</v>
      </c>
      <c r="BH136" s="591">
        <f>BH72</f>
        <v>-19.518000000000001</v>
      </c>
      <c r="BI136" s="592">
        <f t="shared" ref="BI136:BO136" si="459">BI72</f>
        <v>-24.717999999999996</v>
      </c>
      <c r="BJ136" s="1406">
        <f t="shared" si="459"/>
        <v>-20.133000000000003</v>
      </c>
      <c r="BK136" s="593">
        <f t="shared" si="459"/>
        <v>-18.710000000000008</v>
      </c>
      <c r="BL136" s="591">
        <f t="shared" si="459"/>
        <v>-14.676000000000002</v>
      </c>
      <c r="BM136" s="592">
        <f t="shared" si="459"/>
        <v>-11.875999999999998</v>
      </c>
      <c r="BN136" s="592">
        <f t="shared" si="459"/>
        <v>-18.600999999999999</v>
      </c>
      <c r="BO136" s="593">
        <f t="shared" si="459"/>
        <v>-15.755999999999998</v>
      </c>
      <c r="BP136" s="1536">
        <f t="shared" si="458"/>
        <v>-15.505999999999998</v>
      </c>
      <c r="BQ136" s="1537">
        <f t="shared" si="458"/>
        <v>-15.255999999999998</v>
      </c>
      <c r="BR136" s="1537">
        <f t="shared" si="458"/>
        <v>-15.005999999999998</v>
      </c>
      <c r="BS136" s="1538">
        <f t="shared" si="458"/>
        <v>-14.755999999999998</v>
      </c>
      <c r="BT136" s="1406">
        <f t="shared" ref="BT136:BW136" si="460">BT72</f>
        <v>-14.505999999999998</v>
      </c>
      <c r="BU136" s="1406">
        <f t="shared" si="460"/>
        <v>-14.255999999999998</v>
      </c>
      <c r="BV136" s="1406">
        <f t="shared" si="460"/>
        <v>-14.005999999999998</v>
      </c>
      <c r="BW136" s="593">
        <f t="shared" si="460"/>
        <v>-13.755999999999998</v>
      </c>
      <c r="BX136" s="1100"/>
      <c r="BY136" s="591">
        <f t="shared" ref="BY136:CO136" si="461">BY72</f>
        <v>15.658000000000001</v>
      </c>
      <c r="BZ136" s="592">
        <f t="shared" si="461"/>
        <v>6.6020000000000003</v>
      </c>
      <c r="CA136" s="592">
        <f t="shared" si="461"/>
        <v>18.620999999999995</v>
      </c>
      <c r="CB136" s="592">
        <f t="shared" si="461"/>
        <v>32.820999999999998</v>
      </c>
      <c r="CC136" s="592">
        <f t="shared" si="461"/>
        <v>53.279000000000003</v>
      </c>
      <c r="CD136" s="592">
        <f t="shared" si="461"/>
        <v>47.791000000000004</v>
      </c>
      <c r="CE136" s="592">
        <f t="shared" si="461"/>
        <v>11.175000000000001</v>
      </c>
      <c r="CF136" s="592">
        <f t="shared" si="461"/>
        <v>-8.4059999999999988</v>
      </c>
      <c r="CG136" s="592">
        <f t="shared" si="461"/>
        <v>-6.6389999999999993</v>
      </c>
      <c r="CH136" s="1406">
        <f t="shared" si="461"/>
        <v>-7.4309999999999992</v>
      </c>
      <c r="CI136" s="1406">
        <f t="shared" si="461"/>
        <v>-18.178999999999998</v>
      </c>
      <c r="CJ136" s="1406">
        <f t="shared" si="461"/>
        <v>-19.23200000000001</v>
      </c>
      <c r="CK136" s="592">
        <f t="shared" si="461"/>
        <v>-33.197999999999993</v>
      </c>
      <c r="CL136" s="592">
        <f t="shared" si="461"/>
        <v>-29.697999999999986</v>
      </c>
      <c r="CM136" s="592">
        <f t="shared" si="461"/>
        <v>-83.301000000000002</v>
      </c>
      <c r="CN136" s="592">
        <f t="shared" si="461"/>
        <v>-61.075999999999993</v>
      </c>
      <c r="CO136" s="1406">
        <f t="shared" si="461"/>
        <v>-60.523999999999994</v>
      </c>
      <c r="CP136" s="593">
        <f t="shared" ref="CP136" si="462">CP72</f>
        <v>-56.523999999999994</v>
      </c>
      <c r="CQ136" s="1100"/>
      <c r="CR136" s="591">
        <f t="shared" ref="CR136:DG136" si="463">CR72</f>
        <v>4.33</v>
      </c>
      <c r="CS136" s="592">
        <f t="shared" si="463"/>
        <v>16.070999999999998</v>
      </c>
      <c r="CT136" s="592">
        <f t="shared" si="463"/>
        <v>28.934999999999999</v>
      </c>
      <c r="CU136" s="592">
        <f t="shared" si="463"/>
        <v>49.196000000000005</v>
      </c>
      <c r="CV136" s="592">
        <f t="shared" si="463"/>
        <v>56.293999999999997</v>
      </c>
      <c r="CW136" s="592">
        <f t="shared" si="463"/>
        <v>18.873000000000005</v>
      </c>
      <c r="CX136" s="592">
        <f t="shared" si="463"/>
        <v>-7.6499999999999968</v>
      </c>
      <c r="CY136" s="592">
        <f t="shared" si="463"/>
        <v>-6.9469999999999992</v>
      </c>
      <c r="CZ136" s="592">
        <f t="shared" si="463"/>
        <v>-9.9619999999999997</v>
      </c>
      <c r="DA136" s="592">
        <f t="shared" si="463"/>
        <v>-13.11399999999999</v>
      </c>
      <c r="DB136" s="592">
        <f t="shared" si="463"/>
        <v>-19.572999999999993</v>
      </c>
      <c r="DC136" s="592">
        <f t="shared" si="463"/>
        <v>-28.855000000000004</v>
      </c>
      <c r="DD136" s="592">
        <f t="shared" si="463"/>
        <v>-32.406999999999982</v>
      </c>
      <c r="DE136" s="592">
        <f t="shared" si="463"/>
        <v>-70.949000000000012</v>
      </c>
      <c r="DF136" s="592">
        <f t="shared" si="463"/>
        <v>-64.085000000000036</v>
      </c>
      <c r="DG136" s="1406">
        <f t="shared" si="463"/>
        <v>-61.523999999999994</v>
      </c>
      <c r="DH136" s="1406">
        <f t="shared" ref="DH136" si="464">DH72</f>
        <v>-57.523999999999994</v>
      </c>
      <c r="DI136" s="248"/>
    </row>
    <row r="137" spans="1:113" ht="14.25" customHeight="1">
      <c r="A137" s="227"/>
      <c r="B137" s="736" t="s">
        <v>395</v>
      </c>
      <c r="C137" s="247"/>
      <c r="D137" s="591">
        <f t="shared" ref="D137:AI137" si="465">D81-D120</f>
        <v>21.5</v>
      </c>
      <c r="E137" s="592">
        <f t="shared" si="465"/>
        <v>11.593000000000002</v>
      </c>
      <c r="F137" s="592">
        <f t="shared" si="465"/>
        <v>12.298999999999999</v>
      </c>
      <c r="G137" s="593">
        <f t="shared" si="465"/>
        <v>11.308</v>
      </c>
      <c r="H137" s="591">
        <f t="shared" si="465"/>
        <v>11.462999999999999</v>
      </c>
      <c r="I137" s="592">
        <f t="shared" si="465"/>
        <v>12.356999999999999</v>
      </c>
      <c r="J137" s="592">
        <f t="shared" si="465"/>
        <v>13.827</v>
      </c>
      <c r="K137" s="593">
        <f t="shared" si="465"/>
        <v>16.035000000000004</v>
      </c>
      <c r="L137" s="591">
        <f t="shared" si="465"/>
        <v>17.928000000000001</v>
      </c>
      <c r="M137" s="592">
        <f t="shared" si="465"/>
        <v>19.087</v>
      </c>
      <c r="N137" s="592">
        <f t="shared" si="465"/>
        <v>16.780999999999999</v>
      </c>
      <c r="O137" s="593">
        <f t="shared" si="465"/>
        <v>17.811</v>
      </c>
      <c r="P137" s="591">
        <f t="shared" si="465"/>
        <v>19.273</v>
      </c>
      <c r="Q137" s="592">
        <f t="shared" si="465"/>
        <v>20.731999999999999</v>
      </c>
      <c r="R137" s="592">
        <f t="shared" si="465"/>
        <v>52.947000000000003</v>
      </c>
      <c r="S137" s="593">
        <f t="shared" si="465"/>
        <v>23.864000000000001</v>
      </c>
      <c r="T137" s="591">
        <f t="shared" si="465"/>
        <v>25.704000000000001</v>
      </c>
      <c r="U137" s="592">
        <f t="shared" si="465"/>
        <v>26.581</v>
      </c>
      <c r="V137" s="592">
        <f t="shared" si="465"/>
        <v>24.861999999999998</v>
      </c>
      <c r="W137" s="593">
        <f t="shared" si="465"/>
        <v>25.684000000000001</v>
      </c>
      <c r="X137" s="591">
        <f t="shared" si="465"/>
        <v>22.081000000000003</v>
      </c>
      <c r="Y137" s="592">
        <f t="shared" si="465"/>
        <v>21.355000000000004</v>
      </c>
      <c r="Z137" s="592">
        <f t="shared" si="465"/>
        <v>18.431999999999999</v>
      </c>
      <c r="AA137" s="593">
        <f t="shared" si="465"/>
        <v>17.756</v>
      </c>
      <c r="AB137" s="591">
        <f t="shared" si="465"/>
        <v>18.258000000000003</v>
      </c>
      <c r="AC137" s="592">
        <f t="shared" si="465"/>
        <v>18.446999999999999</v>
      </c>
      <c r="AD137" s="592">
        <f t="shared" si="465"/>
        <v>8.9200000000000088</v>
      </c>
      <c r="AE137" s="593">
        <f t="shared" si="465"/>
        <v>3.5000000000000009</v>
      </c>
      <c r="AF137" s="591">
        <f t="shared" si="465"/>
        <v>5.23</v>
      </c>
      <c r="AG137" s="592">
        <f t="shared" si="465"/>
        <v>7.944</v>
      </c>
      <c r="AH137" s="592">
        <f t="shared" si="465"/>
        <v>10.805</v>
      </c>
      <c r="AI137" s="593">
        <f t="shared" si="465"/>
        <v>10.013</v>
      </c>
      <c r="AJ137" s="591">
        <f t="shared" ref="AJ137:BS137" si="466">AJ81-AJ120</f>
        <v>15.478999999999999</v>
      </c>
      <c r="AK137" s="592">
        <f t="shared" si="466"/>
        <v>18.182000000000002</v>
      </c>
      <c r="AL137" s="592">
        <f t="shared" si="466"/>
        <v>16.041</v>
      </c>
      <c r="AM137" s="593">
        <f t="shared" si="466"/>
        <v>15.690999999999999</v>
      </c>
      <c r="AN137" s="591">
        <f t="shared" si="466"/>
        <v>16.562000000000001</v>
      </c>
      <c r="AO137" s="592">
        <f t="shared" si="466"/>
        <v>13.75</v>
      </c>
      <c r="AP137" s="592">
        <f t="shared" si="466"/>
        <v>12.382999999999999</v>
      </c>
      <c r="AQ137" s="593">
        <f t="shared" si="466"/>
        <v>13.581999999999999</v>
      </c>
      <c r="AR137" s="591">
        <f t="shared" si="466"/>
        <v>14.803000000000001</v>
      </c>
      <c r="AS137" s="592">
        <f t="shared" si="466"/>
        <v>17.453000000000003</v>
      </c>
      <c r="AT137" s="592">
        <f t="shared" si="466"/>
        <v>15.486000000000001</v>
      </c>
      <c r="AU137" s="593">
        <f t="shared" si="466"/>
        <v>5.1119999999999983</v>
      </c>
      <c r="AV137" s="591">
        <f t="shared" si="466"/>
        <v>15.027999999999999</v>
      </c>
      <c r="AW137" s="592">
        <f t="shared" si="466"/>
        <v>16.173999999999999</v>
      </c>
      <c r="AX137" s="592">
        <f t="shared" si="466"/>
        <v>16.417000000000002</v>
      </c>
      <c r="AY137" s="593">
        <f t="shared" si="466"/>
        <v>15.413000000000002</v>
      </c>
      <c r="AZ137" s="591">
        <f t="shared" si="466"/>
        <v>18.100000000000001</v>
      </c>
      <c r="BA137" s="592">
        <f t="shared" si="466"/>
        <v>18.395999999999997</v>
      </c>
      <c r="BB137" s="592">
        <f t="shared" si="466"/>
        <v>16.471000000000004</v>
      </c>
      <c r="BC137" s="593">
        <f t="shared" si="466"/>
        <v>20.324000000000002</v>
      </c>
      <c r="BD137" s="591">
        <f t="shared" si="466"/>
        <v>19.201000000000001</v>
      </c>
      <c r="BE137" s="592">
        <f t="shared" si="466"/>
        <v>18.639999999999993</v>
      </c>
      <c r="BF137" s="1406">
        <f t="shared" si="466"/>
        <v>15.421000000000006</v>
      </c>
      <c r="BG137" s="593">
        <f t="shared" si="466"/>
        <v>18.979999999999997</v>
      </c>
      <c r="BH137" s="591">
        <f>BH81-BH120</f>
        <v>17.575999999999997</v>
      </c>
      <c r="BI137" s="592">
        <f>BI81-BI120</f>
        <v>21.957000000000001</v>
      </c>
      <c r="BJ137" s="1406">
        <f>BJ81-BJ120</f>
        <v>22.353000000000002</v>
      </c>
      <c r="BK137" s="593">
        <f t="shared" ref="BK137:BO137" si="467">BK81-BK120</f>
        <v>25.496000000000009</v>
      </c>
      <c r="BL137" s="591">
        <f t="shared" si="467"/>
        <v>30.510999999999999</v>
      </c>
      <c r="BM137" s="592">
        <f t="shared" si="467"/>
        <v>34.477999999999994</v>
      </c>
      <c r="BN137" s="592">
        <f t="shared" si="467"/>
        <v>31.861000000000004</v>
      </c>
      <c r="BO137" s="593">
        <f t="shared" si="467"/>
        <v>31.827961113053089</v>
      </c>
      <c r="BP137" s="1536">
        <f t="shared" si="466"/>
        <v>33.7617447500404</v>
      </c>
      <c r="BQ137" s="1537">
        <f t="shared" si="466"/>
        <v>35.22291612931572</v>
      </c>
      <c r="BR137" s="1537">
        <f t="shared" si="466"/>
        <v>34.30970101863268</v>
      </c>
      <c r="BS137" s="1538">
        <f t="shared" si="466"/>
        <v>34.008099229129847</v>
      </c>
      <c r="BT137" s="1406">
        <f t="shared" ref="BT137:BW137" si="468">BT81-BT120</f>
        <v>35.777974925325907</v>
      </c>
      <c r="BU137" s="1406">
        <f t="shared" si="468"/>
        <v>37.028656550997496</v>
      </c>
      <c r="BV137" s="1406">
        <f t="shared" si="468"/>
        <v>36.251963509132928</v>
      </c>
      <c r="BW137" s="593">
        <f t="shared" si="468"/>
        <v>35.980108035938962</v>
      </c>
      <c r="BX137" s="1100"/>
      <c r="BY137" s="591">
        <f t="shared" ref="BY137:CO137" si="469">BY81-BY120</f>
        <v>56.7</v>
      </c>
      <c r="BZ137" s="592">
        <f t="shared" si="469"/>
        <v>53.682000000000002</v>
      </c>
      <c r="CA137" s="592">
        <f t="shared" si="469"/>
        <v>71.606999999999999</v>
      </c>
      <c r="CB137" s="592">
        <f t="shared" si="469"/>
        <v>116.816</v>
      </c>
      <c r="CC137" s="592">
        <f t="shared" si="469"/>
        <v>102.83099999999999</v>
      </c>
      <c r="CD137" s="592">
        <f t="shared" si="469"/>
        <v>79.623999999999995</v>
      </c>
      <c r="CE137" s="592">
        <f t="shared" si="469"/>
        <v>49.125000000000007</v>
      </c>
      <c r="CF137" s="592">
        <f t="shared" si="469"/>
        <v>33.991999999999997</v>
      </c>
      <c r="CG137" s="592">
        <f t="shared" si="469"/>
        <v>65.393000000000001</v>
      </c>
      <c r="CH137" s="1406">
        <f t="shared" si="469"/>
        <v>56.276999999999994</v>
      </c>
      <c r="CI137" s="1406">
        <f t="shared" si="469"/>
        <v>52.853999999999999</v>
      </c>
      <c r="CJ137" s="1406">
        <f t="shared" si="469"/>
        <v>63.032000000000004</v>
      </c>
      <c r="CK137" s="592">
        <f t="shared" si="469"/>
        <v>73.291000000000011</v>
      </c>
      <c r="CL137" s="592">
        <f t="shared" si="469"/>
        <v>72.24199999999999</v>
      </c>
      <c r="CM137" s="592">
        <f t="shared" si="469"/>
        <v>80.006</v>
      </c>
      <c r="CN137" s="592">
        <f t="shared" si="469"/>
        <v>128.67796111305307</v>
      </c>
      <c r="CO137" s="1406">
        <f t="shared" si="469"/>
        <v>137.30246112711865</v>
      </c>
      <c r="CP137" s="593">
        <f t="shared" ref="CP137" si="470">CP81-CP120</f>
        <v>145.03870302139529</v>
      </c>
      <c r="CQ137" s="1100"/>
      <c r="CR137" s="591">
        <f t="shared" ref="CR137:DG137" si="471">CR81-CR120</f>
        <v>48.954999999999998</v>
      </c>
      <c r="CS137" s="592">
        <f t="shared" si="471"/>
        <v>69.831000000000003</v>
      </c>
      <c r="CT137" s="592">
        <f t="shared" si="471"/>
        <v>110.76300000000001</v>
      </c>
      <c r="CU137" s="592">
        <f t="shared" si="471"/>
        <v>101.011</v>
      </c>
      <c r="CV137" s="592">
        <f t="shared" si="471"/>
        <v>87.552000000000021</v>
      </c>
      <c r="CW137" s="592">
        <f t="shared" si="471"/>
        <v>63.381000000000007</v>
      </c>
      <c r="CX137" s="592">
        <f t="shared" si="471"/>
        <v>27.478999999999999</v>
      </c>
      <c r="CY137" s="592">
        <f t="shared" si="471"/>
        <v>59.715000000000003</v>
      </c>
      <c r="CZ137" s="592">
        <f t="shared" si="471"/>
        <v>58.385999999999996</v>
      </c>
      <c r="DA137" s="592">
        <f t="shared" si="471"/>
        <v>61.323999999999998</v>
      </c>
      <c r="DB137" s="592">
        <f t="shared" si="471"/>
        <v>52.730999999999995</v>
      </c>
      <c r="DC137" s="592">
        <f t="shared" si="471"/>
        <v>68.38</v>
      </c>
      <c r="DD137" s="592">
        <f t="shared" si="471"/>
        <v>73.586000000000013</v>
      </c>
      <c r="DE137" s="592">
        <f t="shared" si="471"/>
        <v>73.490000000000009</v>
      </c>
      <c r="DF137" s="592">
        <f t="shared" si="471"/>
        <v>122.34599999999998</v>
      </c>
      <c r="DG137" s="1406">
        <f t="shared" si="471"/>
        <v>135.12232301104189</v>
      </c>
      <c r="DH137" s="1406">
        <f t="shared" ref="DH137" si="472">DH81-DH120</f>
        <v>143.06669421458616</v>
      </c>
      <c r="DI137" s="248"/>
    </row>
    <row r="138" spans="1:113" ht="14.25" customHeight="1">
      <c r="A138" s="227"/>
      <c r="B138" s="736"/>
      <c r="C138" s="247"/>
      <c r="D138" s="591"/>
      <c r="E138" s="592"/>
      <c r="F138" s="592"/>
      <c r="G138" s="593"/>
      <c r="H138" s="591"/>
      <c r="I138" s="592"/>
      <c r="J138" s="592"/>
      <c r="K138" s="593"/>
      <c r="L138" s="591"/>
      <c r="M138" s="592"/>
      <c r="N138" s="592"/>
      <c r="O138" s="593"/>
      <c r="P138" s="591"/>
      <c r="Q138" s="592"/>
      <c r="R138" s="592"/>
      <c r="S138" s="593"/>
      <c r="T138" s="591"/>
      <c r="U138" s="592"/>
      <c r="V138" s="592"/>
      <c r="W138" s="593"/>
      <c r="X138" s="591"/>
      <c r="Y138" s="592"/>
      <c r="Z138" s="592"/>
      <c r="AA138" s="593"/>
      <c r="AB138" s="591"/>
      <c r="AC138" s="592"/>
      <c r="AD138" s="592"/>
      <c r="AE138" s="593"/>
      <c r="AF138" s="591"/>
      <c r="AG138" s="592"/>
      <c r="AH138" s="592"/>
      <c r="AI138" s="593"/>
      <c r="AJ138" s="591"/>
      <c r="AK138" s="592"/>
      <c r="AL138" s="592"/>
      <c r="AM138" s="593"/>
      <c r="AN138" s="591"/>
      <c r="AO138" s="592"/>
      <c r="AP138" s="592"/>
      <c r="AQ138" s="593"/>
      <c r="AR138" s="591"/>
      <c r="AS138" s="592"/>
      <c r="AT138" s="592"/>
      <c r="AU138" s="593"/>
      <c r="AV138" s="1085"/>
      <c r="AW138" s="592"/>
      <c r="AX138" s="592"/>
      <c r="AY138" s="593"/>
      <c r="AZ138" s="591"/>
      <c r="BA138" s="592"/>
      <c r="BB138" s="592"/>
      <c r="BC138" s="593"/>
      <c r="BD138" s="591"/>
      <c r="BE138" s="592"/>
      <c r="BF138" s="592"/>
      <c r="BG138" s="593"/>
      <c r="BH138" s="591"/>
      <c r="BI138" s="592"/>
      <c r="BJ138" s="592"/>
      <c r="BK138" s="593"/>
      <c r="BL138" s="591"/>
      <c r="BM138" s="592"/>
      <c r="BN138" s="592"/>
      <c r="BO138" s="593"/>
      <c r="BP138" s="1536"/>
      <c r="BQ138" s="1537"/>
      <c r="BR138" s="1537"/>
      <c r="BS138" s="1538"/>
      <c r="BT138" s="1537"/>
      <c r="BU138" s="1406"/>
      <c r="BV138" s="1406"/>
      <c r="BW138" s="593"/>
      <c r="BX138" s="1100"/>
      <c r="BY138" s="591"/>
      <c r="BZ138" s="592"/>
      <c r="CA138" s="592"/>
      <c r="CB138" s="592"/>
      <c r="CC138" s="592"/>
      <c r="CD138" s="592"/>
      <c r="CE138" s="592"/>
      <c r="CF138" s="592"/>
      <c r="CG138" s="592"/>
      <c r="CH138" s="1406"/>
      <c r="CI138" s="1406"/>
      <c r="CJ138" s="1406"/>
      <c r="CK138" s="592"/>
      <c r="CL138" s="592"/>
      <c r="CM138" s="592"/>
      <c r="CN138" s="592"/>
      <c r="CO138" s="1406"/>
      <c r="CP138" s="593"/>
      <c r="CQ138" s="1100"/>
      <c r="CR138" s="591"/>
      <c r="CS138" s="592"/>
      <c r="CT138" s="592"/>
      <c r="CU138" s="592"/>
      <c r="CV138" s="592"/>
      <c r="CW138" s="592"/>
      <c r="CX138" s="592"/>
      <c r="CY138" s="592"/>
      <c r="CZ138" s="592"/>
      <c r="DA138" s="592"/>
      <c r="DB138" s="592"/>
      <c r="DC138" s="592"/>
      <c r="DD138" s="592"/>
      <c r="DE138" s="592"/>
      <c r="DF138" s="592"/>
      <c r="DG138" s="1406"/>
      <c r="DH138" s="1406"/>
      <c r="DI138" s="248"/>
    </row>
    <row r="139" spans="1:113" ht="14.25" customHeight="1">
      <c r="A139" s="227"/>
      <c r="B139" s="736" t="s">
        <v>490</v>
      </c>
      <c r="C139" s="247"/>
      <c r="D139" s="591">
        <f t="shared" ref="D139:BG139" si="473">D127-D130+D136-D137</f>
        <v>30.059000000000005</v>
      </c>
      <c r="E139" s="592">
        <f t="shared" si="473"/>
        <v>34.395999999999994</v>
      </c>
      <c r="F139" s="592">
        <f t="shared" si="473"/>
        <v>36.381999999999991</v>
      </c>
      <c r="G139" s="593">
        <f t="shared" si="473"/>
        <v>33.038000000000046</v>
      </c>
      <c r="H139" s="591">
        <f t="shared" si="473"/>
        <v>33.489999999999981</v>
      </c>
      <c r="I139" s="592">
        <f t="shared" si="473"/>
        <v>36.103999999999985</v>
      </c>
      <c r="J139" s="592">
        <f t="shared" si="473"/>
        <v>40.395000000000017</v>
      </c>
      <c r="K139" s="593">
        <f t="shared" si="473"/>
        <v>46.845000000000013</v>
      </c>
      <c r="L139" s="591">
        <f t="shared" si="473"/>
        <v>56.775000000000006</v>
      </c>
      <c r="M139" s="592">
        <f t="shared" si="473"/>
        <v>60.442999999999984</v>
      </c>
      <c r="N139" s="592">
        <f t="shared" si="473"/>
        <v>53.139999999999993</v>
      </c>
      <c r="O139" s="593">
        <f t="shared" si="473"/>
        <v>56.403000000000027</v>
      </c>
      <c r="P139" s="591">
        <f t="shared" si="473"/>
        <v>61.023999999999987</v>
      </c>
      <c r="Q139" s="592">
        <f t="shared" si="473"/>
        <v>65.652999999999992</v>
      </c>
      <c r="R139" s="592">
        <f t="shared" si="473"/>
        <v>40.123999999999981</v>
      </c>
      <c r="S139" s="593">
        <f t="shared" si="473"/>
        <v>75.567999999999998</v>
      </c>
      <c r="T139" s="591">
        <f t="shared" si="473"/>
        <v>81.396000000000043</v>
      </c>
      <c r="U139" s="592">
        <f t="shared" si="473"/>
        <v>84.176000000000016</v>
      </c>
      <c r="V139" s="592">
        <f t="shared" si="473"/>
        <v>78.731999999999971</v>
      </c>
      <c r="W139" s="593">
        <f t="shared" si="473"/>
        <v>81.334000000000017</v>
      </c>
      <c r="X139" s="591">
        <f t="shared" si="473"/>
        <v>86.695000000000022</v>
      </c>
      <c r="Y139" s="592">
        <f t="shared" si="473"/>
        <v>83.322999999999979</v>
      </c>
      <c r="Z139" s="592">
        <f t="shared" si="473"/>
        <v>81.202000000000012</v>
      </c>
      <c r="AA139" s="593">
        <f t="shared" si="473"/>
        <v>78.221000000000004</v>
      </c>
      <c r="AB139" s="591">
        <f t="shared" si="473"/>
        <v>82.616000000000014</v>
      </c>
      <c r="AC139" s="592">
        <f t="shared" si="473"/>
        <v>83.468000000000018</v>
      </c>
      <c r="AD139" s="592">
        <f t="shared" si="473"/>
        <v>41.18399999999999</v>
      </c>
      <c r="AE139" s="593">
        <f t="shared" si="473"/>
        <v>27.855999999999987</v>
      </c>
      <c r="AF139" s="591">
        <f t="shared" si="473"/>
        <v>34.997</v>
      </c>
      <c r="AG139" s="592">
        <f t="shared" si="473"/>
        <v>53.161000000000008</v>
      </c>
      <c r="AH139" s="592">
        <f t="shared" si="473"/>
        <v>70.123999999999995</v>
      </c>
      <c r="AI139" s="593">
        <f t="shared" si="473"/>
        <v>86.698000000000064</v>
      </c>
      <c r="AJ139" s="591">
        <f t="shared" si="473"/>
        <v>109.94600000000001</v>
      </c>
      <c r="AK139" s="592">
        <f t="shared" si="473"/>
        <v>119.58500000000002</v>
      </c>
      <c r="AL139" s="592">
        <f t="shared" si="473"/>
        <v>113.75800000000001</v>
      </c>
      <c r="AM139" s="593">
        <f t="shared" si="473"/>
        <v>119.01899999999986</v>
      </c>
      <c r="AN139" s="591">
        <f t="shared" si="473"/>
        <v>111.35200000000003</v>
      </c>
      <c r="AO139" s="592">
        <f t="shared" si="473"/>
        <v>92.593999999999994</v>
      </c>
      <c r="AP139" s="592">
        <f t="shared" si="473"/>
        <v>85.424000000000007</v>
      </c>
      <c r="AQ139" s="593">
        <f t="shared" si="473"/>
        <v>94.34399999999998</v>
      </c>
      <c r="AR139" s="591">
        <f t="shared" si="473"/>
        <v>96.88600000000001</v>
      </c>
      <c r="AS139" s="592">
        <f t="shared" si="473"/>
        <v>97.748999999999995</v>
      </c>
      <c r="AT139" s="592">
        <f t="shared" si="473"/>
        <v>84.528000000000034</v>
      </c>
      <c r="AU139" s="593">
        <f>AU127-AU130+AU136-AU137</f>
        <v>113.35800000000006</v>
      </c>
      <c r="AV139" s="591">
        <f t="shared" si="473"/>
        <v>120.39099999999999</v>
      </c>
      <c r="AW139" s="592">
        <f t="shared" si="473"/>
        <v>136.38299999999992</v>
      </c>
      <c r="AX139" s="592">
        <f t="shared" si="473"/>
        <v>132.88800000000006</v>
      </c>
      <c r="AY139" s="593">
        <f t="shared" si="473"/>
        <v>141.29900000000006</v>
      </c>
      <c r="AZ139" s="591">
        <f>AZ127-AZ130+AZ136-AZ137</f>
        <v>151.66600000000003</v>
      </c>
      <c r="BA139" s="592">
        <f t="shared" si="473"/>
        <v>150.76000000000002</v>
      </c>
      <c r="BB139" s="592">
        <f t="shared" si="473"/>
        <v>143.60400000000007</v>
      </c>
      <c r="BC139" s="593">
        <f>BC127-BC130+BC136-BC137+BC84</f>
        <v>148.98299999999998</v>
      </c>
      <c r="BD139" s="591">
        <f t="shared" si="473"/>
        <v>149.28699999999998</v>
      </c>
      <c r="BE139" s="592">
        <f>BE127-BE130+BE136-BE137</f>
        <v>142.96199999999999</v>
      </c>
      <c r="BF139" s="592">
        <f>BF127-BF130+BF136-BF137</f>
        <v>138.57499999999999</v>
      </c>
      <c r="BG139" s="593">
        <f t="shared" si="473"/>
        <v>153.03700000000003</v>
      </c>
      <c r="BH139" s="591">
        <f>BH127-BH130+BH136-BH137</f>
        <v>194.03599999999992</v>
      </c>
      <c r="BI139" s="592">
        <f>BI127-BI130+BI136-BI137</f>
        <v>219.66700000000012</v>
      </c>
      <c r="BJ139" s="592">
        <f>BJ127-BJ130+BJ136-BJ137</f>
        <v>246.60300000000001</v>
      </c>
      <c r="BK139" s="593">
        <f t="shared" ref="BK139" si="474">BK127-BK130+BK136-BK137</f>
        <v>276.96600000000001</v>
      </c>
      <c r="BL139" s="591">
        <f t="shared" ref="BL139:BW139" si="475">BL127-BL130+BL136-BL137</f>
        <v>319.10799999999995</v>
      </c>
      <c r="BM139" s="592">
        <f t="shared" si="475"/>
        <v>344.15699999999998</v>
      </c>
      <c r="BN139" s="592">
        <f t="shared" si="475"/>
        <v>341.20699999999999</v>
      </c>
      <c r="BO139" s="593">
        <f t="shared" si="475"/>
        <v>341.2066990405126</v>
      </c>
      <c r="BP139" s="1536">
        <f t="shared" si="475"/>
        <v>362.0233111327878</v>
      </c>
      <c r="BQ139" s="1537">
        <f t="shared" si="475"/>
        <v>377.75239127439869</v>
      </c>
      <c r="BR139" s="1537">
        <f t="shared" si="475"/>
        <v>367.9218992005753</v>
      </c>
      <c r="BS139" s="1538">
        <f t="shared" si="475"/>
        <v>364.675244642986</v>
      </c>
      <c r="BT139" s="1537">
        <f t="shared" si="475"/>
        <v>383.72743596086127</v>
      </c>
      <c r="BU139" s="1406">
        <f t="shared" si="475"/>
        <v>397.19065581367892</v>
      </c>
      <c r="BV139" s="1406">
        <f t="shared" si="475"/>
        <v>388.82978365713689</v>
      </c>
      <c r="BW139" s="593">
        <f t="shared" si="475"/>
        <v>385.90333944569596</v>
      </c>
      <c r="BX139" s="1100"/>
      <c r="BY139" s="591">
        <f>BY127-BY130+BY136-BY137</f>
        <v>133.87500000000006</v>
      </c>
      <c r="BZ139" s="592">
        <f>BZ127-BZ130+BZ136-BZ137</f>
        <v>156.83399999999995</v>
      </c>
      <c r="CA139" s="592">
        <f>CA127-CA130+CA136-CA137</f>
        <v>226.761</v>
      </c>
      <c r="CB139" s="592">
        <f t="shared" ref="CB139:CL139" si="476">CB127-CB130+CB136-CB137</f>
        <v>242.36900000000006</v>
      </c>
      <c r="CC139" s="592">
        <f t="shared" si="476"/>
        <v>325.63800000000003</v>
      </c>
      <c r="CD139" s="592">
        <f t="shared" si="476"/>
        <v>329.44100000000014</v>
      </c>
      <c r="CE139" s="592">
        <f t="shared" si="476"/>
        <v>235.12399999999997</v>
      </c>
      <c r="CF139" s="592">
        <f t="shared" si="476"/>
        <v>244.98000000000016</v>
      </c>
      <c r="CG139" s="592">
        <f t="shared" si="476"/>
        <v>462.30799999999988</v>
      </c>
      <c r="CH139" s="1406">
        <f t="shared" si="476"/>
        <v>383.714</v>
      </c>
      <c r="CI139" s="1406">
        <f t="shared" si="476"/>
        <v>392.52100000000007</v>
      </c>
      <c r="CJ139" s="1406">
        <f t="shared" si="476"/>
        <v>530.96100000000035</v>
      </c>
      <c r="CK139" s="592">
        <f t="shared" si="476"/>
        <v>593.87400000000002</v>
      </c>
      <c r="CL139" s="592">
        <f t="shared" si="476"/>
        <v>583.43299999999977</v>
      </c>
      <c r="CM139" s="1334">
        <f>CM127-CM130+CM136-CM137</f>
        <v>944.42600000000027</v>
      </c>
      <c r="CN139" s="592">
        <f>CN127-CN130+CN136-CN137</f>
        <v>1345.5116990405129</v>
      </c>
      <c r="CO139" s="1406">
        <f>CO127-CO130+CO136-CO137</f>
        <v>1472.3728462507481</v>
      </c>
      <c r="CP139" s="593">
        <f>CP127-CP130+CP136-CP137</f>
        <v>1555.6512148773725</v>
      </c>
      <c r="CQ139" s="1100"/>
      <c r="CR139" s="591">
        <f>CR127-CR130+CR136-CR137</f>
        <v>143.0270000000001</v>
      </c>
      <c r="CS139" s="592">
        <f>CS127-CS130+CS136-CS137</f>
        <v>217.20300000000009</v>
      </c>
      <c r="CT139" s="592">
        <f>CT127-CT130+CT136-CT137</f>
        <v>223.20399999999992</v>
      </c>
      <c r="CU139" s="592">
        <f t="shared" ref="CU139:DC139" si="477">CU127-CU130+CU136-CU137</f>
        <v>319.87200000000007</v>
      </c>
      <c r="CV139" s="592">
        <f t="shared" si="477"/>
        <v>332.5539999999998</v>
      </c>
      <c r="CW139" s="592">
        <f t="shared" si="477"/>
        <v>285.48899999999986</v>
      </c>
      <c r="CX139" s="592">
        <f t="shared" si="477"/>
        <v>186.13799999999998</v>
      </c>
      <c r="CY139" s="592">
        <f t="shared" si="477"/>
        <v>429.98700000000031</v>
      </c>
      <c r="CZ139" s="592">
        <f t="shared" si="477"/>
        <v>408.38900000000001</v>
      </c>
      <c r="DA139" s="592">
        <f t="shared" si="477"/>
        <v>373.50700000000012</v>
      </c>
      <c r="DB139" s="592">
        <f t="shared" si="477"/>
        <v>503.02000000000032</v>
      </c>
      <c r="DC139" s="592">
        <f t="shared" si="477"/>
        <v>587.20000000000016</v>
      </c>
      <c r="DD139" s="592">
        <f>DD127-DD130+DD136-DD137</f>
        <v>578.42500000000018</v>
      </c>
      <c r="DE139" s="592">
        <f>DE127-DE130+DE136-DE137</f>
        <v>820.49600000000009</v>
      </c>
      <c r="DF139" s="592">
        <f>DF127-DF130+DF136-DF137</f>
        <v>1281.2159999999999</v>
      </c>
      <c r="DG139" s="1406">
        <f>DG127-DG130+DG136-DG137</f>
        <v>1448.9043006482743</v>
      </c>
      <c r="DH139" s="1406">
        <f>DH127-DH130+DH136-DH137</f>
        <v>1534.4231200746631</v>
      </c>
      <c r="DI139" s="248"/>
    </row>
    <row r="140" spans="1:113" ht="14.25" customHeight="1">
      <c r="A140" s="900"/>
      <c r="B140" s="929" t="s">
        <v>396</v>
      </c>
      <c r="C140" s="901"/>
      <c r="D140" s="902">
        <f t="shared" ref="D140:AX140" si="478">D139/D104</f>
        <v>0.14210479040500743</v>
      </c>
      <c r="E140" s="903">
        <f t="shared" si="478"/>
        <v>0.16407017677755409</v>
      </c>
      <c r="F140" s="903">
        <f t="shared" si="478"/>
        <v>0.17248458011937662</v>
      </c>
      <c r="G140" s="904">
        <f t="shared" si="478"/>
        <v>0.15669479185934582</v>
      </c>
      <c r="H140" s="902">
        <f t="shared" si="478"/>
        <v>0.15935705210866152</v>
      </c>
      <c r="I140" s="903">
        <f t="shared" si="478"/>
        <v>0.16983883562739316</v>
      </c>
      <c r="J140" s="903">
        <f t="shared" si="478"/>
        <v>0.18758358719072749</v>
      </c>
      <c r="K140" s="904">
        <f t="shared" si="478"/>
        <v>0.21820951280749404</v>
      </c>
      <c r="L140" s="902">
        <f t="shared" si="478"/>
        <v>0.26659435397531978</v>
      </c>
      <c r="M140" s="903">
        <f t="shared" si="478"/>
        <v>0.28591363414899496</v>
      </c>
      <c r="N140" s="903">
        <f t="shared" si="478"/>
        <v>0.25098357790928882</v>
      </c>
      <c r="O140" s="904">
        <f t="shared" si="478"/>
        <v>0.26633078034545621</v>
      </c>
      <c r="P140" s="902">
        <f t="shared" si="478"/>
        <v>0.28635649093170029</v>
      </c>
      <c r="Q140" s="903">
        <f t="shared" si="478"/>
        <v>0.30580656580712473</v>
      </c>
      <c r="R140" s="903">
        <f t="shared" si="478"/>
        <v>0.18604608029972125</v>
      </c>
      <c r="S140" s="904">
        <f t="shared" si="478"/>
        <v>0.34806159061493891</v>
      </c>
      <c r="T140" s="902">
        <f t="shared" si="478"/>
        <v>0.37033363513519685</v>
      </c>
      <c r="U140" s="903">
        <f t="shared" si="478"/>
        <v>0.38395679482559658</v>
      </c>
      <c r="V140" s="903">
        <f t="shared" si="478"/>
        <v>0.35638240086909279</v>
      </c>
      <c r="W140" s="904">
        <f t="shared" si="478"/>
        <v>0.36559207450825276</v>
      </c>
      <c r="X140" s="902">
        <f t="shared" si="478"/>
        <v>0.38773748613546111</v>
      </c>
      <c r="Y140" s="903">
        <f t="shared" si="478"/>
        <v>0.37532206626907616</v>
      </c>
      <c r="Z140" s="903">
        <f t="shared" si="478"/>
        <v>0.38422992661010619</v>
      </c>
      <c r="AA140" s="904">
        <f t="shared" si="478"/>
        <v>0.40897517005557854</v>
      </c>
      <c r="AB140" s="902">
        <f t="shared" si="478"/>
        <v>0.43243356416416734</v>
      </c>
      <c r="AC140" s="903">
        <f t="shared" si="478"/>
        <v>0.44412991656734213</v>
      </c>
      <c r="AD140" s="903">
        <f t="shared" si="478"/>
        <v>0.22382730340925761</v>
      </c>
      <c r="AE140" s="904">
        <f t="shared" si="478"/>
        <v>0.15125320359671596</v>
      </c>
      <c r="AF140" s="902">
        <f t="shared" si="478"/>
        <v>0.18863663314036846</v>
      </c>
      <c r="AG140" s="903">
        <f t="shared" si="478"/>
        <v>0.28440205005296332</v>
      </c>
      <c r="AH140" s="903">
        <f t="shared" si="478"/>
        <v>0.37327598596834893</v>
      </c>
      <c r="AI140" s="904">
        <f t="shared" si="478"/>
        <v>0.45860310608945909</v>
      </c>
      <c r="AJ140" s="902">
        <f t="shared" si="478"/>
        <v>0.57844395807904381</v>
      </c>
      <c r="AK140" s="903">
        <f t="shared" si="478"/>
        <v>0.62707127275778174</v>
      </c>
      <c r="AL140" s="903">
        <f t="shared" si="478"/>
        <v>0.57964383073042736</v>
      </c>
      <c r="AM140" s="904">
        <f t="shared" si="478"/>
        <v>0.5897021736222241</v>
      </c>
      <c r="AN140" s="902">
        <f t="shared" si="478"/>
        <v>0.54433021943910809</v>
      </c>
      <c r="AO140" s="903">
        <f t="shared" si="478"/>
        <v>0.46250980274626741</v>
      </c>
      <c r="AP140" s="903">
        <f t="shared" si="478"/>
        <v>0.42020551819805113</v>
      </c>
      <c r="AQ140" s="904">
        <f t="shared" si="478"/>
        <v>0.45794279112888736</v>
      </c>
      <c r="AR140" s="902">
        <f t="shared" si="478"/>
        <v>0.47563082965144826</v>
      </c>
      <c r="AS140" s="903">
        <f t="shared" si="478"/>
        <v>0.50370503967844993</v>
      </c>
      <c r="AT140" s="903">
        <f t="shared" si="478"/>
        <v>0.4135319586115801</v>
      </c>
      <c r="AU140" s="904">
        <f t="shared" si="478"/>
        <v>0.54122781050963042</v>
      </c>
      <c r="AV140" s="902">
        <f t="shared" si="478"/>
        <v>0.56717043709308135</v>
      </c>
      <c r="AW140" s="903">
        <f t="shared" si="478"/>
        <v>0.63001732301651425</v>
      </c>
      <c r="AX140" s="903">
        <f t="shared" si="478"/>
        <v>0.60654802386244888</v>
      </c>
      <c r="AY140" s="904">
        <f>AY139/AY105</f>
        <v>0.63663397117329845</v>
      </c>
      <c r="AZ140" s="902">
        <f>AZ139/AZ104</f>
        <v>0.67549114360411011</v>
      </c>
      <c r="BA140" s="903">
        <f t="shared" ref="BA140:BF140" si="479">BA139/BA105</f>
        <v>0.67099278090812808</v>
      </c>
      <c r="BB140" s="903">
        <f t="shared" si="479"/>
        <v>0.64394391207450918</v>
      </c>
      <c r="BC140" s="904">
        <f t="shared" si="479"/>
        <v>0.67590509028218848</v>
      </c>
      <c r="BD140" s="902">
        <f t="shared" si="479"/>
        <v>0.6903349317697326</v>
      </c>
      <c r="BE140" s="903">
        <f t="shared" si="479"/>
        <v>0.65851063339766647</v>
      </c>
      <c r="BF140" s="903">
        <f t="shared" si="479"/>
        <v>0.63573804335359552</v>
      </c>
      <c r="BG140" s="904">
        <f>BG139/BG105</f>
        <v>0.70293646163951307</v>
      </c>
      <c r="BH140" s="902">
        <f>BH139/BH105</f>
        <v>0.84118437594832418</v>
      </c>
      <c r="BI140" s="903">
        <f t="shared" ref="BI140:BJ140" si="480">BI139/BI105</f>
        <v>0.93890836040348824</v>
      </c>
      <c r="BJ140" s="903">
        <f t="shared" si="480"/>
        <v>1.0474845385347289</v>
      </c>
      <c r="BK140" s="904">
        <f t="shared" ref="BK140:BW140" si="481">BK139/BK105</f>
        <v>1.1580250113935218</v>
      </c>
      <c r="BL140" s="902">
        <f t="shared" si="481"/>
        <v>1.3137314637178779</v>
      </c>
      <c r="BM140" s="903">
        <f t="shared" si="481"/>
        <v>1.4060596403926999</v>
      </c>
      <c r="BN140" s="903">
        <f t="shared" si="481"/>
        <v>1.3603388816904216</v>
      </c>
      <c r="BO140" s="904">
        <f t="shared" si="481"/>
        <v>1.3513136595663866</v>
      </c>
      <c r="BP140" s="902">
        <f t="shared" si="481"/>
        <v>1.4309221783904655</v>
      </c>
      <c r="BQ140" s="903">
        <f t="shared" si="481"/>
        <v>1.4901475000962472</v>
      </c>
      <c r="BR140" s="903">
        <f t="shared" si="481"/>
        <v>1.4485114141754933</v>
      </c>
      <c r="BS140" s="904">
        <f t="shared" si="481"/>
        <v>1.4329086233516148</v>
      </c>
      <c r="BT140" s="903">
        <f t="shared" si="481"/>
        <v>1.5048134743563186</v>
      </c>
      <c r="BU140" s="903">
        <f t="shared" si="481"/>
        <v>1.5545622536738901</v>
      </c>
      <c r="BV140" s="903">
        <f t="shared" si="481"/>
        <v>1.518866342410691</v>
      </c>
      <c r="BW140" s="904">
        <f t="shared" si="481"/>
        <v>1.5044964500806861</v>
      </c>
      <c r="BX140" s="1103"/>
      <c r="BY140" s="902">
        <f t="shared" ref="BY140:CI140" si="482">BY139/BY104</f>
        <v>0.63527577849458061</v>
      </c>
      <c r="BZ140" s="903">
        <f t="shared" si="482"/>
        <v>0.73565536764240247</v>
      </c>
      <c r="CA140" s="903">
        <f t="shared" si="482"/>
        <v>1.0697888360507246</v>
      </c>
      <c r="CB140" s="903">
        <f t="shared" si="482"/>
        <v>1.1265496978169147</v>
      </c>
      <c r="CC140" s="903">
        <f t="shared" si="482"/>
        <v>1.4761201066163807</v>
      </c>
      <c r="CD140" s="903">
        <f t="shared" si="482"/>
        <v>1.5536115558468944</v>
      </c>
      <c r="CE140" s="903">
        <f t="shared" si="482"/>
        <v>1.2587746536180051</v>
      </c>
      <c r="CF140" s="903">
        <f t="shared" si="482"/>
        <v>1.3076811186123578</v>
      </c>
      <c r="CG140" s="903">
        <f t="shared" si="482"/>
        <v>2.3742803584726393</v>
      </c>
      <c r="CH140" s="903">
        <f t="shared" si="482"/>
        <v>1.8854010814741655</v>
      </c>
      <c r="CI140" s="903">
        <f t="shared" si="482"/>
        <v>1.9345277478989322</v>
      </c>
      <c r="CJ140" s="903">
        <f t="shared" ref="CJ140:CO140" si="483">CJ139/CJ105</f>
        <v>2.4418258933036876</v>
      </c>
      <c r="CK140" s="903">
        <f t="shared" si="483"/>
        <v>2.6631180787400872</v>
      </c>
      <c r="CL140" s="903">
        <f t="shared" si="483"/>
        <v>2.6854199701278874</v>
      </c>
      <c r="CM140" s="903">
        <f>CM139/CM105</f>
        <v>4.0221501770076404</v>
      </c>
      <c r="CN140" s="903">
        <f t="shared" si="483"/>
        <v>5.4309580039455856</v>
      </c>
      <c r="CO140" s="903">
        <f t="shared" si="483"/>
        <v>5.8024545665054115</v>
      </c>
      <c r="CP140" s="903">
        <f t="shared" ref="CP140" si="484">CP139/CP105</f>
        <v>6.0827026974677318</v>
      </c>
      <c r="CQ140" s="1103"/>
      <c r="CR140" s="902">
        <f t="shared" ref="CR140:DB140" si="485">CR139/CR104</f>
        <v>0.67392292813709664</v>
      </c>
      <c r="CS140" s="903">
        <f t="shared" si="485"/>
        <v>1.0212030706193078</v>
      </c>
      <c r="CT140" s="903">
        <f t="shared" si="485"/>
        <v>1.0439386463183344</v>
      </c>
      <c r="CU140" s="903">
        <f t="shared" si="485"/>
        <v>1.4588457964437811</v>
      </c>
      <c r="CV140" s="903">
        <f t="shared" si="485"/>
        <v>1.5126318362984055</v>
      </c>
      <c r="CW140" s="903">
        <f t="shared" si="485"/>
        <v>1.5140385418531106</v>
      </c>
      <c r="CX140" s="903">
        <f t="shared" si="485"/>
        <v>1.0001007418630796</v>
      </c>
      <c r="CY140" s="903">
        <f t="shared" si="485"/>
        <v>2.2451313767901238</v>
      </c>
      <c r="CZ140" s="903">
        <f t="shared" si="485"/>
        <v>2.0170196793128912</v>
      </c>
      <c r="DA140" s="903">
        <f t="shared" si="485"/>
        <v>1.8486281555392232</v>
      </c>
      <c r="DB140" s="903">
        <f t="shared" si="485"/>
        <v>2.3470620896887362</v>
      </c>
      <c r="DC140" s="903">
        <f t="shared" ref="DC140:DH140" si="486">DC139/DC105</f>
        <v>2.6286897400744249</v>
      </c>
      <c r="DD140" s="903">
        <f t="shared" si="486"/>
        <v>2.6540957410808419</v>
      </c>
      <c r="DE140" s="903">
        <f t="shared" si="486"/>
        <v>3.5760614100559516</v>
      </c>
      <c r="DF140" s="903">
        <f t="shared" si="486"/>
        <v>5.2419427922652444</v>
      </c>
      <c r="DG140" s="903">
        <f t="shared" si="486"/>
        <v>5.7212410686999977</v>
      </c>
      <c r="DH140" s="903">
        <f t="shared" si="486"/>
        <v>6.0114519885393261</v>
      </c>
      <c r="DI140" s="930"/>
    </row>
    <row r="141" spans="1:113" ht="14.25" customHeight="1">
      <c r="A141" s="8"/>
      <c r="B141" s="621"/>
      <c r="C141" s="8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323"/>
      <c r="BB141" s="8"/>
      <c r="BC141" s="323"/>
      <c r="BD141" s="8"/>
      <c r="BE141" s="323"/>
      <c r="BF141" s="8"/>
      <c r="BG141" s="323"/>
      <c r="BH141" s="8"/>
      <c r="BI141" s="323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11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14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14"/>
      <c r="CZ141" s="8"/>
      <c r="DA141" s="8"/>
      <c r="DB141" s="8"/>
      <c r="DC141" s="8"/>
      <c r="DD141" s="14"/>
      <c r="DE141" s="14"/>
      <c r="DF141" s="14"/>
      <c r="DG141" s="14"/>
      <c r="DH141" s="14"/>
      <c r="DI141" s="8"/>
    </row>
    <row r="142" spans="1:113" ht="14.25" customHeight="1">
      <c r="A142" s="8"/>
      <c r="B142" s="621"/>
      <c r="C142" s="8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1250"/>
      <c r="BE142" s="8"/>
      <c r="BF142" s="8"/>
      <c r="BG142" s="8"/>
      <c r="BH142" s="1250"/>
      <c r="BI142" s="8"/>
      <c r="BJ142" s="8"/>
      <c r="BK142" s="8"/>
      <c r="BL142" s="8"/>
      <c r="BM142" s="679">
        <f>BM140/BI140-1</f>
        <v>0.49754725774138087</v>
      </c>
      <c r="BN142" s="679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14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14"/>
      <c r="CZ142" s="8"/>
      <c r="DA142" s="8"/>
      <c r="DB142" s="8"/>
      <c r="DC142" s="8"/>
      <c r="DD142" s="14"/>
      <c r="DE142" s="14"/>
      <c r="DF142" s="14"/>
      <c r="DG142" s="14"/>
      <c r="DH142" s="14"/>
      <c r="DI142" s="8"/>
    </row>
    <row r="143" spans="1:113" ht="14.25" customHeight="1">
      <c r="A143" s="8"/>
      <c r="B143" s="621"/>
      <c r="C143" s="8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14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14"/>
      <c r="CZ143" s="8"/>
      <c r="DA143" s="8"/>
      <c r="DB143" s="8"/>
      <c r="DC143" s="8"/>
      <c r="DD143" s="14"/>
      <c r="DE143" s="14"/>
      <c r="DF143" s="14"/>
      <c r="DG143" s="14"/>
      <c r="DH143" s="14"/>
      <c r="DI143" s="8"/>
    </row>
    <row r="144" spans="1:113" ht="14.25" customHeight="1">
      <c r="A144" s="8"/>
      <c r="B144" s="622" t="s">
        <v>412</v>
      </c>
      <c r="C144" s="598"/>
      <c r="D144" s="599" t="str">
        <f>D$7</f>
        <v>F1Q03A</v>
      </c>
      <c r="E144" s="600" t="str">
        <f t="shared" ref="E144:BP144" si="487">E$7</f>
        <v>F2Q03A</v>
      </c>
      <c r="F144" s="600" t="str">
        <f t="shared" si="487"/>
        <v>F3Q03A</v>
      </c>
      <c r="G144" s="601" t="str">
        <f t="shared" si="487"/>
        <v>F4Q03A</v>
      </c>
      <c r="H144" s="599" t="str">
        <f t="shared" si="487"/>
        <v>F1Q04A</v>
      </c>
      <c r="I144" s="600" t="str">
        <f t="shared" si="487"/>
        <v>F2Q04A</v>
      </c>
      <c r="J144" s="600" t="str">
        <f t="shared" si="487"/>
        <v>F3Q04A</v>
      </c>
      <c r="K144" s="601" t="str">
        <f t="shared" si="487"/>
        <v>F4Q04A</v>
      </c>
      <c r="L144" s="599" t="str">
        <f t="shared" si="487"/>
        <v>F1Q05A</v>
      </c>
      <c r="M144" s="600" t="str">
        <f t="shared" si="487"/>
        <v>F2Q05A</v>
      </c>
      <c r="N144" s="600" t="str">
        <f t="shared" si="487"/>
        <v>F3Q05A</v>
      </c>
      <c r="O144" s="601" t="str">
        <f t="shared" si="487"/>
        <v>F4Q05A</v>
      </c>
      <c r="P144" s="599" t="str">
        <f t="shared" si="487"/>
        <v>F1Q06A</v>
      </c>
      <c r="Q144" s="600" t="str">
        <f t="shared" si="487"/>
        <v>F2Q06A</v>
      </c>
      <c r="R144" s="600" t="str">
        <f t="shared" si="487"/>
        <v>F3Q06A</v>
      </c>
      <c r="S144" s="601" t="str">
        <f t="shared" si="487"/>
        <v>F4Q06A</v>
      </c>
      <c r="T144" s="600" t="str">
        <f t="shared" si="487"/>
        <v>F1Q07A</v>
      </c>
      <c r="U144" s="600" t="str">
        <f t="shared" si="487"/>
        <v>F2Q07A</v>
      </c>
      <c r="V144" s="600" t="str">
        <f t="shared" si="487"/>
        <v>F3Q07A</v>
      </c>
      <c r="W144" s="600" t="str">
        <f t="shared" si="487"/>
        <v>F4Q07A</v>
      </c>
      <c r="X144" s="599" t="str">
        <f t="shared" si="487"/>
        <v>F1Q08A</v>
      </c>
      <c r="Y144" s="600" t="str">
        <f t="shared" si="487"/>
        <v>F2Q08A</v>
      </c>
      <c r="Z144" s="600" t="str">
        <f t="shared" si="487"/>
        <v>F3Q08A</v>
      </c>
      <c r="AA144" s="601" t="str">
        <f t="shared" si="487"/>
        <v>F4Q08A</v>
      </c>
      <c r="AB144" s="600" t="str">
        <f t="shared" si="487"/>
        <v>F1Q09A</v>
      </c>
      <c r="AC144" s="600" t="str">
        <f t="shared" si="487"/>
        <v>F2Q09A</v>
      </c>
      <c r="AD144" s="600" t="str">
        <f t="shared" si="487"/>
        <v>F3Q09A</v>
      </c>
      <c r="AE144" s="600" t="str">
        <f t="shared" si="487"/>
        <v>F4Q09A</v>
      </c>
      <c r="AF144" s="599" t="str">
        <f t="shared" si="487"/>
        <v>F1Q10A</v>
      </c>
      <c r="AG144" s="600" t="str">
        <f t="shared" si="487"/>
        <v>F2Q10A</v>
      </c>
      <c r="AH144" s="600" t="str">
        <f t="shared" si="487"/>
        <v>F3Q10A</v>
      </c>
      <c r="AI144" s="601" t="str">
        <f t="shared" si="487"/>
        <v>F4Q10A</v>
      </c>
      <c r="AJ144" s="600" t="str">
        <f t="shared" si="487"/>
        <v>F1Q11A</v>
      </c>
      <c r="AK144" s="600" t="str">
        <f t="shared" si="487"/>
        <v>F2Q11A</v>
      </c>
      <c r="AL144" s="600" t="str">
        <f t="shared" si="487"/>
        <v>F3Q11A</v>
      </c>
      <c r="AM144" s="600" t="str">
        <f t="shared" si="487"/>
        <v>F4Q11A</v>
      </c>
      <c r="AN144" s="599" t="str">
        <f t="shared" si="487"/>
        <v>F1Q12A</v>
      </c>
      <c r="AO144" s="600" t="str">
        <f t="shared" si="487"/>
        <v>F2Q12A</v>
      </c>
      <c r="AP144" s="600" t="str">
        <f t="shared" si="487"/>
        <v>F3Q12A</v>
      </c>
      <c r="AQ144" s="601" t="str">
        <f t="shared" si="487"/>
        <v>F4Q12A</v>
      </c>
      <c r="AR144" s="599" t="str">
        <f t="shared" si="487"/>
        <v>F1Q13A</v>
      </c>
      <c r="AS144" s="600" t="str">
        <f t="shared" si="487"/>
        <v>F2Q13A</v>
      </c>
      <c r="AT144" s="600" t="str">
        <f t="shared" si="487"/>
        <v>F3Q13A</v>
      </c>
      <c r="AU144" s="601" t="str">
        <f t="shared" si="487"/>
        <v>F4Q13A</v>
      </c>
      <c r="AV144" s="599" t="str">
        <f t="shared" si="487"/>
        <v>F1Q14A</v>
      </c>
      <c r="AW144" s="600" t="str">
        <f t="shared" si="487"/>
        <v>F2Q14A</v>
      </c>
      <c r="AX144" s="600" t="str">
        <f t="shared" si="487"/>
        <v>F3Q14A</v>
      </c>
      <c r="AY144" s="601" t="str">
        <f t="shared" si="487"/>
        <v>F4Q14A</v>
      </c>
      <c r="AZ144" s="600" t="str">
        <f t="shared" si="487"/>
        <v>F1Q15A</v>
      </c>
      <c r="BA144" s="600" t="str">
        <f t="shared" si="487"/>
        <v>F2Q15A</v>
      </c>
      <c r="BB144" s="600" t="str">
        <f t="shared" si="487"/>
        <v>F3Q15A</v>
      </c>
      <c r="BC144" s="601" t="str">
        <f t="shared" si="487"/>
        <v>F4Q15A</v>
      </c>
      <c r="BD144" s="600" t="str">
        <f t="shared" si="487"/>
        <v>F1Q16A</v>
      </c>
      <c r="BE144" s="600" t="str">
        <f t="shared" si="487"/>
        <v>F2Q16A</v>
      </c>
      <c r="BF144" s="600" t="str">
        <f t="shared" si="487"/>
        <v>F3Q16A</v>
      </c>
      <c r="BG144" s="601" t="str">
        <f t="shared" si="487"/>
        <v>F4Q16A</v>
      </c>
      <c r="BH144" s="600" t="str">
        <f t="shared" si="487"/>
        <v>F1Q17A</v>
      </c>
      <c r="BI144" s="600" t="str">
        <f t="shared" si="487"/>
        <v>F2Q17A</v>
      </c>
      <c r="BJ144" s="600" t="str">
        <f t="shared" si="487"/>
        <v>F3Q17A</v>
      </c>
      <c r="BK144" s="601" t="str">
        <f t="shared" si="487"/>
        <v>F4Q17A</v>
      </c>
      <c r="BL144" s="600" t="str">
        <f t="shared" si="487"/>
        <v>F1Q18A</v>
      </c>
      <c r="BM144" s="600" t="str">
        <f t="shared" si="487"/>
        <v>F2Q18A</v>
      </c>
      <c r="BN144" s="600" t="str">
        <f t="shared" si="487"/>
        <v>F3Q18A</v>
      </c>
      <c r="BO144" s="601" t="str">
        <f t="shared" si="487"/>
        <v>F4Q18E</v>
      </c>
      <c r="BP144" s="600" t="str">
        <f t="shared" si="487"/>
        <v>F1Q19E</v>
      </c>
      <c r="BQ144" s="600" t="str">
        <f>BQ$7</f>
        <v>F2Q19E</v>
      </c>
      <c r="BR144" s="600" t="str">
        <f>BR$7</f>
        <v>F3Q19E</v>
      </c>
      <c r="BS144" s="601" t="str">
        <f>BS$7</f>
        <v>F4Q19E</v>
      </c>
      <c r="BT144" s="600" t="str">
        <f t="shared" ref="BT144" si="488">BT$7</f>
        <v>F1Q20E</v>
      </c>
      <c r="BU144" s="600" t="str">
        <f>BU$7</f>
        <v>F2Q20E</v>
      </c>
      <c r="BV144" s="600" t="str">
        <f>BV$7</f>
        <v>F3Q20E</v>
      </c>
      <c r="BW144" s="601" t="str">
        <f>BW$7</f>
        <v>F4Q20E</v>
      </c>
      <c r="BX144" s="473"/>
      <c r="BY144" s="599" t="str">
        <f t="shared" ref="BY144:CK144" si="489">BY$7</f>
        <v>FY2003A</v>
      </c>
      <c r="BZ144" s="600" t="str">
        <f t="shared" si="489"/>
        <v>FY2004A</v>
      </c>
      <c r="CA144" s="600" t="str">
        <f t="shared" si="489"/>
        <v>FY2005A</v>
      </c>
      <c r="CB144" s="600" t="str">
        <f t="shared" si="489"/>
        <v>FY2006A</v>
      </c>
      <c r="CC144" s="600" t="str">
        <f t="shared" si="489"/>
        <v>FY2007A</v>
      </c>
      <c r="CD144" s="600" t="str">
        <f t="shared" si="489"/>
        <v>FY2008A</v>
      </c>
      <c r="CE144" s="600" t="str">
        <f t="shared" si="489"/>
        <v>FY2009A</v>
      </c>
      <c r="CF144" s="600" t="str">
        <f t="shared" si="489"/>
        <v>FY2010A</v>
      </c>
      <c r="CG144" s="600" t="str">
        <f t="shared" si="489"/>
        <v>FY2011A</v>
      </c>
      <c r="CH144" s="600" t="str">
        <f t="shared" si="489"/>
        <v>FY2012A</v>
      </c>
      <c r="CI144" s="600" t="str">
        <f t="shared" si="489"/>
        <v>FY2013A</v>
      </c>
      <c r="CJ144" s="600" t="str">
        <f t="shared" si="489"/>
        <v>FY2014A</v>
      </c>
      <c r="CK144" s="600" t="str">
        <f t="shared" si="489"/>
        <v>FY2015A</v>
      </c>
      <c r="CL144" s="600" t="str">
        <f>CL7</f>
        <v>FY2016A</v>
      </c>
      <c r="CM144" s="600" t="str">
        <f>CM7</f>
        <v>FY2017A</v>
      </c>
      <c r="CN144" s="600" t="str">
        <f>CN7</f>
        <v>FY2018E</v>
      </c>
      <c r="CO144" s="600" t="str">
        <f>CO7</f>
        <v>FY2019E</v>
      </c>
      <c r="CP144" s="601" t="str">
        <f>CP7</f>
        <v>FY2020E</v>
      </c>
      <c r="CQ144" s="473"/>
      <c r="CR144" s="599" t="str">
        <f>CR$5</f>
        <v>CY2003</v>
      </c>
      <c r="CS144" s="600" t="str">
        <f t="shared" ref="CS144:DH144" si="490">CS$5</f>
        <v>CY2004</v>
      </c>
      <c r="CT144" s="600" t="str">
        <f t="shared" si="490"/>
        <v>CY2005</v>
      </c>
      <c r="CU144" s="600" t="str">
        <f t="shared" si="490"/>
        <v>CY2006</v>
      </c>
      <c r="CV144" s="600" t="str">
        <f t="shared" si="490"/>
        <v>CY2007</v>
      </c>
      <c r="CW144" s="600" t="str">
        <f t="shared" si="490"/>
        <v>CY2008</v>
      </c>
      <c r="CX144" s="600" t="str">
        <f t="shared" si="490"/>
        <v>CY2009</v>
      </c>
      <c r="CY144" s="600" t="str">
        <f t="shared" si="490"/>
        <v>CY2010</v>
      </c>
      <c r="CZ144" s="600" t="str">
        <f t="shared" si="490"/>
        <v>CY2011</v>
      </c>
      <c r="DA144" s="600" t="str">
        <f t="shared" si="490"/>
        <v>CY2012</v>
      </c>
      <c r="DB144" s="600" t="str">
        <f t="shared" si="490"/>
        <v>CY2013</v>
      </c>
      <c r="DC144" s="600" t="str">
        <f t="shared" si="490"/>
        <v>CY2014</v>
      </c>
      <c r="DD144" s="600" t="str">
        <f t="shared" si="490"/>
        <v>CY2015</v>
      </c>
      <c r="DE144" s="600" t="str">
        <f t="shared" si="490"/>
        <v>CY2016</v>
      </c>
      <c r="DF144" s="600" t="str">
        <f t="shared" si="490"/>
        <v>CY2017</v>
      </c>
      <c r="DG144" s="600" t="str">
        <f t="shared" si="490"/>
        <v>CY2018</v>
      </c>
      <c r="DH144" s="601" t="str">
        <f t="shared" si="490"/>
        <v>CY2019</v>
      </c>
      <c r="DI144" s="8"/>
    </row>
    <row r="145" spans="1:113" ht="14.25" customHeight="1">
      <c r="A145" s="8"/>
      <c r="B145" s="612"/>
      <c r="C145" s="68"/>
      <c r="D145" s="23"/>
      <c r="E145" s="68"/>
      <c r="F145" s="68"/>
      <c r="G145" s="24"/>
      <c r="H145" s="23"/>
      <c r="I145" s="68"/>
      <c r="J145" s="68"/>
      <c r="K145" s="24"/>
      <c r="L145" s="23"/>
      <c r="M145" s="68"/>
      <c r="N145" s="68"/>
      <c r="O145" s="24"/>
      <c r="P145" s="23"/>
      <c r="Q145" s="68"/>
      <c r="R145" s="68"/>
      <c r="S145" s="24"/>
      <c r="T145" s="68"/>
      <c r="U145" s="68"/>
      <c r="V145" s="68"/>
      <c r="W145" s="68"/>
      <c r="X145" s="23"/>
      <c r="Y145" s="68"/>
      <c r="Z145" s="68"/>
      <c r="AA145" s="24"/>
      <c r="AB145" s="68"/>
      <c r="AC145" s="68"/>
      <c r="AD145" s="68"/>
      <c r="AE145" s="68"/>
      <c r="AF145" s="23"/>
      <c r="AG145" s="68"/>
      <c r="AH145" s="68"/>
      <c r="AI145" s="24"/>
      <c r="AJ145" s="968"/>
      <c r="AK145" s="968"/>
      <c r="AL145" s="968"/>
      <c r="AM145" s="968"/>
      <c r="AN145" s="969"/>
      <c r="AO145" s="968"/>
      <c r="AP145" s="968"/>
      <c r="AQ145" s="970"/>
      <c r="AR145" s="969"/>
      <c r="AS145" s="968"/>
      <c r="AT145" s="968"/>
      <c r="AU145" s="970"/>
      <c r="AV145" s="23"/>
      <c r="AW145" s="68"/>
      <c r="AX145" s="68"/>
      <c r="AY145" s="970"/>
      <c r="AZ145" s="68"/>
      <c r="BA145" s="68"/>
      <c r="BB145" s="68"/>
      <c r="BC145" s="24"/>
      <c r="BD145" s="68"/>
      <c r="BE145" s="68"/>
      <c r="BF145" s="68"/>
      <c r="BG145" s="24"/>
      <c r="BH145" s="68"/>
      <c r="BI145" s="68"/>
      <c r="BJ145" s="68"/>
      <c r="BK145" s="24"/>
      <c r="BL145" s="68"/>
      <c r="BM145" s="68"/>
      <c r="BN145" s="68"/>
      <c r="BO145" s="24"/>
      <c r="BP145" s="68"/>
      <c r="BQ145" s="68"/>
      <c r="BR145" s="68"/>
      <c r="BS145" s="24"/>
      <c r="BT145" s="68"/>
      <c r="BU145" s="68"/>
      <c r="BV145" s="68"/>
      <c r="BW145" s="24"/>
      <c r="BX145" s="20"/>
      <c r="BY145" s="23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24"/>
      <c r="CQ145" s="20"/>
      <c r="CR145" s="23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  <c r="DG145" s="68"/>
      <c r="DH145" s="24"/>
      <c r="DI145" s="8"/>
    </row>
    <row r="146" spans="1:113" ht="14.25" customHeight="1">
      <c r="A146" s="8"/>
      <c r="B146" s="971" t="s">
        <v>413</v>
      </c>
      <c r="C146" s="14"/>
      <c r="D146" s="23"/>
      <c r="E146" s="68"/>
      <c r="F146" s="68"/>
      <c r="G146" s="24"/>
      <c r="H146" s="23"/>
      <c r="I146" s="68"/>
      <c r="J146" s="68"/>
      <c r="K146" s="24"/>
      <c r="L146" s="23"/>
      <c r="M146" s="68"/>
      <c r="N146" s="68"/>
      <c r="O146" s="24"/>
      <c r="P146" s="23"/>
      <c r="Q146" s="68"/>
      <c r="R146" s="68"/>
      <c r="S146" s="24"/>
      <c r="T146" s="68"/>
      <c r="U146" s="68"/>
      <c r="V146" s="68"/>
      <c r="W146" s="68"/>
      <c r="X146" s="23"/>
      <c r="Y146" s="68"/>
      <c r="Z146" s="68"/>
      <c r="AA146" s="24"/>
      <c r="AB146" s="68"/>
      <c r="AC146" s="68"/>
      <c r="AD146" s="68"/>
      <c r="AE146" s="68"/>
      <c r="AF146" s="23"/>
      <c r="AG146" s="68"/>
      <c r="AH146" s="68"/>
      <c r="AI146" s="24"/>
      <c r="AJ146" s="968"/>
      <c r="AK146" s="968"/>
      <c r="AL146" s="968"/>
      <c r="AM146" s="968"/>
      <c r="AN146" s="969"/>
      <c r="AO146" s="968"/>
      <c r="AP146" s="968"/>
      <c r="AQ146" s="970"/>
      <c r="AR146" s="969"/>
      <c r="AS146" s="968"/>
      <c r="AT146" s="968"/>
      <c r="AU146" s="970"/>
      <c r="AV146" s="22"/>
      <c r="AW146" s="14"/>
      <c r="AX146" s="14"/>
      <c r="AY146" s="970"/>
      <c r="AZ146" s="14"/>
      <c r="BA146" s="14"/>
      <c r="BB146" s="14"/>
      <c r="BC146" s="232"/>
      <c r="BD146" s="14"/>
      <c r="BE146" s="14"/>
      <c r="BF146" s="14"/>
      <c r="BG146" s="232"/>
      <c r="BH146" s="14"/>
      <c r="BI146" s="14"/>
      <c r="BJ146" s="14"/>
      <c r="BK146" s="232"/>
      <c r="BL146" s="14"/>
      <c r="BM146" s="14"/>
      <c r="BN146" s="14"/>
      <c r="BO146" s="232"/>
      <c r="BP146" s="14"/>
      <c r="BQ146" s="14"/>
      <c r="BR146" s="14"/>
      <c r="BS146" s="232"/>
      <c r="BT146" s="14"/>
      <c r="BU146" s="14"/>
      <c r="BV146" s="14"/>
      <c r="BW146" s="232"/>
      <c r="BX146" s="20"/>
      <c r="BY146" s="22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232"/>
      <c r="CQ146" s="20"/>
      <c r="CR146" s="22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232"/>
      <c r="DI146" s="8"/>
    </row>
    <row r="147" spans="1:113" ht="14.25" customHeight="1">
      <c r="A147" s="8"/>
      <c r="B147" s="972" t="s">
        <v>94</v>
      </c>
      <c r="C147" s="229"/>
      <c r="D147" s="248">
        <f t="shared" ref="D147:AI147" si="491">D86</f>
        <v>9.3160000000000025</v>
      </c>
      <c r="E147" s="247">
        <f t="shared" si="491"/>
        <v>9.4959999999999987</v>
      </c>
      <c r="F147" s="247">
        <f t="shared" si="491"/>
        <v>36.381999999999991</v>
      </c>
      <c r="G147" s="228">
        <f t="shared" si="491"/>
        <v>33.038000000000046</v>
      </c>
      <c r="H147" s="248">
        <f t="shared" si="491"/>
        <v>13.469999999999986</v>
      </c>
      <c r="I147" s="247">
        <f t="shared" si="491"/>
        <v>36.103999999999985</v>
      </c>
      <c r="J147" s="247">
        <f t="shared" si="491"/>
        <v>40.843000000000018</v>
      </c>
      <c r="K147" s="228">
        <f t="shared" si="491"/>
        <v>46.845000000000013</v>
      </c>
      <c r="L147" s="248">
        <f t="shared" si="491"/>
        <v>43.799000000000014</v>
      </c>
      <c r="M147" s="247">
        <f t="shared" si="491"/>
        <v>60.442999999999984</v>
      </c>
      <c r="N147" s="247">
        <f t="shared" si="491"/>
        <v>53.139999999999993</v>
      </c>
      <c r="O147" s="228">
        <f t="shared" si="491"/>
        <v>56.403000000000027</v>
      </c>
      <c r="P147" s="248">
        <f t="shared" si="491"/>
        <v>61.023999999999987</v>
      </c>
      <c r="Q147" s="247">
        <f t="shared" si="491"/>
        <v>65.652999999999992</v>
      </c>
      <c r="R147" s="247">
        <f t="shared" si="491"/>
        <v>40.123999999999981</v>
      </c>
      <c r="S147" s="228">
        <f t="shared" si="491"/>
        <v>75.567999999999998</v>
      </c>
      <c r="T147" s="247">
        <f t="shared" si="491"/>
        <v>76.984000000000037</v>
      </c>
      <c r="U147" s="247">
        <f t="shared" si="491"/>
        <v>79.488000000000014</v>
      </c>
      <c r="V147" s="247">
        <f t="shared" si="491"/>
        <v>72.848999999999975</v>
      </c>
      <c r="W147" s="247">
        <f t="shared" si="491"/>
        <v>127.708</v>
      </c>
      <c r="X147" s="248">
        <f t="shared" si="491"/>
        <v>80.293000000000021</v>
      </c>
      <c r="Y147" s="247">
        <f t="shared" si="491"/>
        <v>60.678999999999974</v>
      </c>
      <c r="Z147" s="247">
        <f t="shared" si="491"/>
        <v>80.123999999999995</v>
      </c>
      <c r="AA147" s="228">
        <f t="shared" si="491"/>
        <v>75.697000000000017</v>
      </c>
      <c r="AB147" s="247">
        <f t="shared" si="491"/>
        <v>75.547000000000025</v>
      </c>
      <c r="AC147" s="247">
        <f t="shared" si="491"/>
        <v>75.720000000000027</v>
      </c>
      <c r="AD147" s="247">
        <f t="shared" si="491"/>
        <v>72.355999999999995</v>
      </c>
      <c r="AE147" s="247">
        <f t="shared" si="491"/>
        <v>21.963999999999984</v>
      </c>
      <c r="AF147" s="248">
        <f t="shared" si="491"/>
        <v>27.368000000000009</v>
      </c>
      <c r="AG147" s="247">
        <f t="shared" si="491"/>
        <v>44.484999999999999</v>
      </c>
      <c r="AH147" s="247">
        <f t="shared" si="491"/>
        <v>69.402999999999992</v>
      </c>
      <c r="AI147" s="228">
        <f t="shared" si="491"/>
        <v>75.749000000000038</v>
      </c>
      <c r="AJ147" s="247">
        <f t="shared" ref="AJ147:BS147" si="492">AJ86</f>
        <v>89.566000000000003</v>
      </c>
      <c r="AK147" s="247">
        <f t="shared" si="492"/>
        <v>103.08000000000001</v>
      </c>
      <c r="AL147" s="247">
        <f t="shared" si="492"/>
        <v>100.77600000000002</v>
      </c>
      <c r="AM147" s="247">
        <f t="shared" si="492"/>
        <v>125.52799999999988</v>
      </c>
      <c r="AN147" s="248">
        <f t="shared" si="492"/>
        <v>99.293000000000006</v>
      </c>
      <c r="AO147" s="247">
        <f t="shared" si="492"/>
        <v>79.286999999999978</v>
      </c>
      <c r="AP147" s="247">
        <f t="shared" si="492"/>
        <v>77.48899999999999</v>
      </c>
      <c r="AQ147" s="228">
        <f t="shared" si="492"/>
        <v>80.635999999999996</v>
      </c>
      <c r="AR147" s="248">
        <f t="shared" si="492"/>
        <v>78.710000000000008</v>
      </c>
      <c r="AS147" s="247">
        <f t="shared" si="492"/>
        <v>-21.184000000000005</v>
      </c>
      <c r="AT147" s="247">
        <f t="shared" si="492"/>
        <v>10.173000000000039</v>
      </c>
      <c r="AU147" s="228">
        <f t="shared" si="492"/>
        <v>59.690000000000055</v>
      </c>
      <c r="AV147" s="248">
        <f t="shared" si="492"/>
        <v>78.578999999999951</v>
      </c>
      <c r="AW147" s="247">
        <f t="shared" si="492"/>
        <v>99.805999999999912</v>
      </c>
      <c r="AX147" s="247">
        <f t="shared" si="492"/>
        <v>105.40100000000004</v>
      </c>
      <c r="AY147" s="228">
        <f t="shared" si="492"/>
        <v>111.49500000000006</v>
      </c>
      <c r="AZ147" s="247">
        <f t="shared" si="492"/>
        <v>89.908999999999992</v>
      </c>
      <c r="BA147" s="247">
        <f t="shared" si="492"/>
        <v>93.641000000000062</v>
      </c>
      <c r="BB147" s="247">
        <f t="shared" si="492"/>
        <v>86.057000000000045</v>
      </c>
      <c r="BC147" s="228">
        <f t="shared" si="492"/>
        <v>99.402000000000015</v>
      </c>
      <c r="BD147" s="247">
        <f t="shared" si="492"/>
        <v>130.66699999999997</v>
      </c>
      <c r="BE147" s="247">
        <f t="shared" si="492"/>
        <v>64.898999999999916</v>
      </c>
      <c r="BF147" s="247">
        <f t="shared" si="492"/>
        <v>61.128000000000057</v>
      </c>
      <c r="BG147" s="228">
        <f t="shared" si="492"/>
        <v>67.308000000000007</v>
      </c>
      <c r="BH147" s="247">
        <f>BH86</f>
        <v>-113.3630000000001</v>
      </c>
      <c r="BI147" s="247">
        <f t="shared" ref="BI147:BK147" si="493">BI86</f>
        <v>33.919000000000054</v>
      </c>
      <c r="BJ147" s="247">
        <f t="shared" si="493"/>
        <v>107.17499999999997</v>
      </c>
      <c r="BK147" s="228">
        <f t="shared" si="493"/>
        <v>136.90800000000002</v>
      </c>
      <c r="BL147" s="247">
        <f t="shared" si="492"/>
        <v>170.58699999999996</v>
      </c>
      <c r="BM147" s="247">
        <f t="shared" si="492"/>
        <v>189.15599999999998</v>
      </c>
      <c r="BN147" s="247">
        <f t="shared" si="492"/>
        <v>-251.08600000000001</v>
      </c>
      <c r="BO147" s="228">
        <f t="shared" si="492"/>
        <v>319.36396904051264</v>
      </c>
      <c r="BP147" s="247">
        <f t="shared" si="492"/>
        <v>340.18058113278784</v>
      </c>
      <c r="BQ147" s="247">
        <f t="shared" si="492"/>
        <v>355.90966127439862</v>
      </c>
      <c r="BR147" s="247">
        <f t="shared" si="492"/>
        <v>346.07916920057528</v>
      </c>
      <c r="BS147" s="228">
        <f t="shared" si="492"/>
        <v>342.83251464298598</v>
      </c>
      <c r="BT147" s="1391">
        <f t="shared" ref="BT147:BW147" si="494">BT86</f>
        <v>361.8847059608612</v>
      </c>
      <c r="BU147" s="1391">
        <f t="shared" si="494"/>
        <v>375.3479258136789</v>
      </c>
      <c r="BV147" s="1391">
        <f t="shared" si="494"/>
        <v>366.98705365713681</v>
      </c>
      <c r="BW147" s="1384">
        <f t="shared" si="494"/>
        <v>364.06060944569589</v>
      </c>
      <c r="BX147" s="20"/>
      <c r="BY147" s="248">
        <f>SUM(D147:G147)</f>
        <v>88.232000000000028</v>
      </c>
      <c r="BZ147" s="247">
        <f>SUM(H147:K147)</f>
        <v>137.262</v>
      </c>
      <c r="CA147" s="247">
        <f>SUM(L147:O147)</f>
        <v>213.785</v>
      </c>
      <c r="CB147" s="247">
        <f>SUM(P147:S147)</f>
        <v>242.36899999999997</v>
      </c>
      <c r="CC147" s="247">
        <f>SUM(T147:W147)</f>
        <v>357.029</v>
      </c>
      <c r="CD147" s="247">
        <f>SUM(X147:AA147)</f>
        <v>296.79300000000001</v>
      </c>
      <c r="CE147" s="247">
        <f>SUM(AB147:AE147)</f>
        <v>245.58700000000005</v>
      </c>
      <c r="CF147" s="247">
        <f>SUM(AF147:AI147)</f>
        <v>217.00500000000005</v>
      </c>
      <c r="CG147" s="247">
        <f>SUM(AJ147:AM147)</f>
        <v>418.94999999999993</v>
      </c>
      <c r="CH147" s="1391">
        <f>SUM(AN147:AQ147)</f>
        <v>336.70499999999993</v>
      </c>
      <c r="CI147" s="1391">
        <f>SUM(AR147:AU147)</f>
        <v>127.3890000000001</v>
      </c>
      <c r="CJ147" s="1391">
        <f>SUM(AV147:AY147)</f>
        <v>395.28100000000001</v>
      </c>
      <c r="CK147" s="247">
        <f>SUM(AZ147:BC147)</f>
        <v>369.00900000000013</v>
      </c>
      <c r="CL147" s="247">
        <f>SUM(BD147:BG147)</f>
        <v>324.00199999999995</v>
      </c>
      <c r="CM147" s="247">
        <f>SUM(BH147:BK147)</f>
        <v>164.63899999999995</v>
      </c>
      <c r="CN147" s="247">
        <f>SUM(BL147:BO147)</f>
        <v>428.02096904051257</v>
      </c>
      <c r="CO147" s="1391">
        <f>SUM(BP147:BS147)</f>
        <v>1385.0019262507476</v>
      </c>
      <c r="CP147" s="1384">
        <f>SUM(BT147:BW147)</f>
        <v>1468.2802948773729</v>
      </c>
      <c r="CQ147" s="20"/>
      <c r="CR147" s="248">
        <f>SUM(G147:J147)</f>
        <v>123.45500000000004</v>
      </c>
      <c r="CS147" s="247">
        <f>SUM(K147:N147)</f>
        <v>204.227</v>
      </c>
      <c r="CT147" s="247">
        <f>SUM(O147:R147)</f>
        <v>223.20400000000001</v>
      </c>
      <c r="CU147" s="247">
        <f>SUM(S147:V147)</f>
        <v>304.88900000000001</v>
      </c>
      <c r="CV147" s="247">
        <f>SUM(W147:Z147)</f>
        <v>348.80399999999997</v>
      </c>
      <c r="CW147" s="247">
        <f>SUM(AA147:AD147)</f>
        <v>299.32000000000005</v>
      </c>
      <c r="CX147" s="247">
        <f>SUM(AE147:AH147)</f>
        <v>163.21999999999997</v>
      </c>
      <c r="CY147" s="247">
        <f>SUM(AI147:AL147)</f>
        <v>369.17100000000011</v>
      </c>
      <c r="CZ147" s="247">
        <f>SUM(AM147:AP147)</f>
        <v>381.59699999999981</v>
      </c>
      <c r="DA147" s="247">
        <f>SUM(AQ147:AT147)</f>
        <v>148.33500000000004</v>
      </c>
      <c r="DB147" s="247">
        <f>SUM(AU147:AX147)</f>
        <v>343.476</v>
      </c>
      <c r="DC147" s="247">
        <f>SUM(AY147:BB147)</f>
        <v>381.1020000000002</v>
      </c>
      <c r="DD147" s="247">
        <f>SUM(BC147:BF147)</f>
        <v>356.09599999999995</v>
      </c>
      <c r="DE147" s="247">
        <f>SUM(BG147:BJ147)</f>
        <v>95.03899999999993</v>
      </c>
      <c r="DF147" s="247">
        <f>SUM(BK147:BN147)</f>
        <v>245.56499999999994</v>
      </c>
      <c r="DG147" s="1391">
        <f>SUM(BO147:BR147)</f>
        <v>1361.5333806482743</v>
      </c>
      <c r="DH147" s="1384">
        <f>SUM(BS147:BV147)</f>
        <v>1447.052200074663</v>
      </c>
      <c r="DI147" s="8"/>
    </row>
    <row r="148" spans="1:113" ht="14.25" customHeight="1">
      <c r="A148" s="8"/>
      <c r="B148" s="973" t="s">
        <v>414</v>
      </c>
      <c r="C148" s="229"/>
      <c r="D148" s="248">
        <f t="shared" ref="D148:O148" si="495">+D165</f>
        <v>0</v>
      </c>
      <c r="E148" s="247">
        <f t="shared" si="495"/>
        <v>0</v>
      </c>
      <c r="F148" s="247">
        <f t="shared" si="495"/>
        <v>0</v>
      </c>
      <c r="G148" s="228">
        <f t="shared" si="495"/>
        <v>0</v>
      </c>
      <c r="H148" s="248">
        <f t="shared" si="495"/>
        <v>0</v>
      </c>
      <c r="I148" s="247">
        <f t="shared" si="495"/>
        <v>0</v>
      </c>
      <c r="J148" s="247">
        <f t="shared" si="495"/>
        <v>0</v>
      </c>
      <c r="K148" s="228">
        <f t="shared" si="495"/>
        <v>0</v>
      </c>
      <c r="L148" s="248">
        <f t="shared" si="495"/>
        <v>0</v>
      </c>
      <c r="M148" s="247">
        <f t="shared" si="495"/>
        <v>0</v>
      </c>
      <c r="N148" s="247">
        <f t="shared" si="495"/>
        <v>0</v>
      </c>
      <c r="O148" s="228">
        <f t="shared" si="495"/>
        <v>0</v>
      </c>
      <c r="P148" s="248">
        <f>+P165</f>
        <v>0</v>
      </c>
      <c r="Q148" s="247">
        <f t="shared" ref="Q148:AT148" si="496">+Q165</f>
        <v>0</v>
      </c>
      <c r="R148" s="247">
        <f t="shared" si="496"/>
        <v>0</v>
      </c>
      <c r="S148" s="228">
        <f t="shared" si="496"/>
        <v>0</v>
      </c>
      <c r="T148" s="247">
        <f t="shared" si="496"/>
        <v>0</v>
      </c>
      <c r="U148" s="247">
        <f t="shared" si="496"/>
        <v>0</v>
      </c>
      <c r="V148" s="247">
        <f t="shared" si="496"/>
        <v>0</v>
      </c>
      <c r="W148" s="247">
        <f t="shared" si="496"/>
        <v>0</v>
      </c>
      <c r="X148" s="248">
        <f t="shared" si="496"/>
        <v>0</v>
      </c>
      <c r="Y148" s="247">
        <f t="shared" si="496"/>
        <v>0</v>
      </c>
      <c r="Z148" s="247">
        <f t="shared" si="496"/>
        <v>0</v>
      </c>
      <c r="AA148" s="228">
        <f t="shared" si="496"/>
        <v>0</v>
      </c>
      <c r="AB148" s="247">
        <f t="shared" si="496"/>
        <v>0</v>
      </c>
      <c r="AC148" s="247">
        <f t="shared" si="496"/>
        <v>0</v>
      </c>
      <c r="AD148" s="247">
        <f t="shared" si="496"/>
        <v>0</v>
      </c>
      <c r="AE148" s="247">
        <f t="shared" si="496"/>
        <v>0</v>
      </c>
      <c r="AF148" s="248">
        <f t="shared" si="496"/>
        <v>0</v>
      </c>
      <c r="AG148" s="247">
        <f t="shared" si="496"/>
        <v>0</v>
      </c>
      <c r="AH148" s="247">
        <f t="shared" si="496"/>
        <v>0</v>
      </c>
      <c r="AI148" s="228">
        <f t="shared" si="496"/>
        <v>0</v>
      </c>
      <c r="AJ148" s="247">
        <f t="shared" si="496"/>
        <v>0</v>
      </c>
      <c r="AK148" s="247">
        <f t="shared" si="496"/>
        <v>0</v>
      </c>
      <c r="AL148" s="247">
        <f t="shared" si="496"/>
        <v>0</v>
      </c>
      <c r="AM148" s="247">
        <f t="shared" si="496"/>
        <v>0</v>
      </c>
      <c r="AN148" s="248">
        <f t="shared" si="496"/>
        <v>0</v>
      </c>
      <c r="AO148" s="247">
        <f t="shared" si="496"/>
        <v>2.7029999999999998</v>
      </c>
      <c r="AP148" s="247">
        <f t="shared" si="496"/>
        <v>2.6779999999999999</v>
      </c>
      <c r="AQ148" s="228">
        <f t="shared" si="496"/>
        <v>-5.3810000000000002</v>
      </c>
      <c r="AR148" s="248">
        <f t="shared" si="496"/>
        <v>0</v>
      </c>
      <c r="AS148" s="247">
        <f t="shared" si="496"/>
        <v>27.858000000000001</v>
      </c>
      <c r="AT148" s="247">
        <f t="shared" si="496"/>
        <v>39.710999999999999</v>
      </c>
      <c r="AU148" s="228">
        <f>+AU165</f>
        <v>43.968000000000004</v>
      </c>
      <c r="AV148" s="248">
        <f t="shared" ref="AV148:BO148" si="497">+AV165</f>
        <v>28.565000000000001</v>
      </c>
      <c r="AW148" s="247">
        <f t="shared" si="497"/>
        <v>24.126999999999999</v>
      </c>
      <c r="AX148" s="247">
        <f t="shared" si="497"/>
        <v>22.306999999999999</v>
      </c>
      <c r="AY148" s="228">
        <f t="shared" si="497"/>
        <v>22.189</v>
      </c>
      <c r="AZ148" s="247">
        <f>+AZ165</f>
        <v>37.58</v>
      </c>
      <c r="BA148" s="247">
        <f t="shared" si="497"/>
        <v>47.234000000000002</v>
      </c>
      <c r="BB148" s="247">
        <f t="shared" si="497"/>
        <v>48.105000000000004</v>
      </c>
      <c r="BC148" s="228">
        <f t="shared" si="497"/>
        <v>47.828000000000003</v>
      </c>
      <c r="BD148" s="247">
        <f t="shared" si="497"/>
        <v>36.786000000000001</v>
      </c>
      <c r="BE148" s="247">
        <f>+BE165</f>
        <v>44.903000000000006</v>
      </c>
      <c r="BF148" s="247">
        <f>+BF165</f>
        <v>49.772999999999996</v>
      </c>
      <c r="BG148" s="228">
        <f t="shared" si="497"/>
        <v>53.171999999999997</v>
      </c>
      <c r="BH148" s="247">
        <f>+BH165</f>
        <v>95.117000000000004</v>
      </c>
      <c r="BI148" s="247">
        <f>+BI165</f>
        <v>83.996000000000009</v>
      </c>
      <c r="BJ148" s="247">
        <f>+BJ165</f>
        <v>86.234999999999999</v>
      </c>
      <c r="BK148" s="228">
        <f t="shared" ref="BK148" si="498">+BK165</f>
        <v>99.45</v>
      </c>
      <c r="BL148" s="247">
        <f t="shared" si="497"/>
        <v>123.705</v>
      </c>
      <c r="BM148" s="247">
        <f t="shared" si="497"/>
        <v>121.63</v>
      </c>
      <c r="BN148" s="247">
        <f t="shared" si="497"/>
        <v>122.224</v>
      </c>
      <c r="BO148" s="228">
        <f t="shared" si="497"/>
        <v>0</v>
      </c>
      <c r="BP148" s="247">
        <f t="shared" ref="BP148:BW148" si="499">+BP165</f>
        <v>0</v>
      </c>
      <c r="BQ148" s="247">
        <f t="shared" si="499"/>
        <v>0</v>
      </c>
      <c r="BR148" s="247">
        <f t="shared" si="499"/>
        <v>0</v>
      </c>
      <c r="BS148" s="228">
        <f t="shared" si="499"/>
        <v>0</v>
      </c>
      <c r="BT148" s="1391">
        <f t="shared" si="499"/>
        <v>0</v>
      </c>
      <c r="BU148" s="1391">
        <f t="shared" si="499"/>
        <v>0</v>
      </c>
      <c r="BV148" s="1391">
        <f t="shared" si="499"/>
        <v>0</v>
      </c>
      <c r="BW148" s="1384">
        <f t="shared" si="499"/>
        <v>0</v>
      </c>
      <c r="BX148" s="20"/>
      <c r="BY148" s="248">
        <f>SUM(D148:G148)</f>
        <v>0</v>
      </c>
      <c r="BZ148" s="247">
        <f>SUM(H148:K148)</f>
        <v>0</v>
      </c>
      <c r="CA148" s="247">
        <f>SUM(L148:O148)</f>
        <v>0</v>
      </c>
      <c r="CB148" s="247">
        <f>SUM(P148:S148)</f>
        <v>0</v>
      </c>
      <c r="CC148" s="247">
        <f>SUM(T148:W148)</f>
        <v>0</v>
      </c>
      <c r="CD148" s="247">
        <f>SUM(X148:AA148)</f>
        <v>0</v>
      </c>
      <c r="CE148" s="247">
        <f>SUM(AB148:AE148)</f>
        <v>0</v>
      </c>
      <c r="CF148" s="247">
        <f>SUM(AF148:AI148)</f>
        <v>0</v>
      </c>
      <c r="CG148" s="247">
        <f>SUM(AJ148:AM148)</f>
        <v>0</v>
      </c>
      <c r="CH148" s="1391">
        <f>SUM(AN148:AQ148)</f>
        <v>0</v>
      </c>
      <c r="CI148" s="1391">
        <f>SUM(AR148:AU148)</f>
        <v>111.53700000000001</v>
      </c>
      <c r="CJ148" s="1391">
        <f>SUM(AV148:AY148)</f>
        <v>97.187999999999988</v>
      </c>
      <c r="CK148" s="247">
        <f>SUM(AZ148:BC148)</f>
        <v>180.74699999999999</v>
      </c>
      <c r="CL148" s="247">
        <f>SUM(BD148:BG148)</f>
        <v>184.63399999999999</v>
      </c>
      <c r="CM148" s="247">
        <f>SUM(BH148:BK148)</f>
        <v>364.798</v>
      </c>
      <c r="CN148" s="247">
        <f>SUM(BL148:BO148)</f>
        <v>367.55899999999997</v>
      </c>
      <c r="CO148" s="1391">
        <f>SUM(BP148:BS148)</f>
        <v>0</v>
      </c>
      <c r="CP148" s="1384">
        <f t="shared" ref="CP148:CP150" si="500">SUM(BT148:BW148)</f>
        <v>0</v>
      </c>
      <c r="CQ148" s="20"/>
      <c r="CR148" s="248">
        <f>SUM(G148:J148)</f>
        <v>0</v>
      </c>
      <c r="CS148" s="247">
        <f>SUM(K148:N148)</f>
        <v>0</v>
      </c>
      <c r="CT148" s="247">
        <f>SUM(O148:R148)</f>
        <v>0</v>
      </c>
      <c r="CU148" s="247">
        <f>SUM(S148:V148)</f>
        <v>0</v>
      </c>
      <c r="CV148" s="247">
        <f>SUM(W148:Z148)</f>
        <v>0</v>
      </c>
      <c r="CW148" s="247">
        <f>SUM(AA148:AD148)</f>
        <v>0</v>
      </c>
      <c r="CX148" s="247">
        <f>SUM(AE148:AH148)</f>
        <v>0</v>
      </c>
      <c r="CY148" s="247">
        <f>SUM(AI148:AL148)</f>
        <v>0</v>
      </c>
      <c r="CZ148" s="247">
        <f>SUM(AM148:AP148)</f>
        <v>5.3810000000000002</v>
      </c>
      <c r="DA148" s="247">
        <f>SUM(AQ148:AT148)</f>
        <v>62.188000000000002</v>
      </c>
      <c r="DB148" s="247">
        <f>SUM(AU148:AX148)</f>
        <v>118.967</v>
      </c>
      <c r="DC148" s="247">
        <f>SUM(AY148:BB148)</f>
        <v>155.108</v>
      </c>
      <c r="DD148" s="247">
        <f>SUM(BC148:BF148)</f>
        <v>179.29</v>
      </c>
      <c r="DE148" s="247">
        <f>SUM(BG148:BJ148)</f>
        <v>318.52</v>
      </c>
      <c r="DF148" s="247">
        <f>SUM(BK148:BN148)</f>
        <v>467.00899999999996</v>
      </c>
      <c r="DG148" s="1391">
        <f>SUM(BO148:BR148)</f>
        <v>0</v>
      </c>
      <c r="DH148" s="1384">
        <f t="shared" ref="DH148:DH150" si="501">SUM(BS148:BV148)</f>
        <v>0</v>
      </c>
      <c r="DI148" s="8"/>
    </row>
    <row r="149" spans="1:113" ht="14.25" customHeight="1">
      <c r="A149" s="8"/>
      <c r="B149" s="973" t="s">
        <v>415</v>
      </c>
      <c r="C149" s="229"/>
      <c r="D149" s="248">
        <f t="shared" ref="D149:AI149" si="502">D17+D34+D47+D51-D55+D71-D148</f>
        <v>20.743000000000002</v>
      </c>
      <c r="E149" s="247">
        <f t="shared" si="502"/>
        <v>41.5</v>
      </c>
      <c r="F149" s="247">
        <f t="shared" si="502"/>
        <v>0</v>
      </c>
      <c r="G149" s="228">
        <f t="shared" si="502"/>
        <v>0</v>
      </c>
      <c r="H149" s="248">
        <f t="shared" si="502"/>
        <v>33.366999999999997</v>
      </c>
      <c r="I149" s="247">
        <f t="shared" si="502"/>
        <v>0</v>
      </c>
      <c r="J149" s="247">
        <f t="shared" si="502"/>
        <v>-0.747</v>
      </c>
      <c r="K149" s="228">
        <f t="shared" si="502"/>
        <v>0</v>
      </c>
      <c r="L149" s="248">
        <f t="shared" si="502"/>
        <v>21.1</v>
      </c>
      <c r="M149" s="247">
        <f t="shared" si="502"/>
        <v>0</v>
      </c>
      <c r="N149" s="247">
        <f t="shared" si="502"/>
        <v>0</v>
      </c>
      <c r="O149" s="228">
        <f t="shared" si="502"/>
        <v>0</v>
      </c>
      <c r="P149" s="248">
        <f t="shared" si="502"/>
        <v>0</v>
      </c>
      <c r="Q149" s="247">
        <f t="shared" si="502"/>
        <v>0</v>
      </c>
      <c r="R149" s="247">
        <f t="shared" si="502"/>
        <v>0</v>
      </c>
      <c r="S149" s="228">
        <f t="shared" si="502"/>
        <v>0</v>
      </c>
      <c r="T149" s="247">
        <f t="shared" si="502"/>
        <v>0</v>
      </c>
      <c r="U149" s="247">
        <f t="shared" si="502"/>
        <v>0</v>
      </c>
      <c r="V149" s="247">
        <f t="shared" si="502"/>
        <v>0</v>
      </c>
      <c r="W149" s="247">
        <f t="shared" si="502"/>
        <v>0</v>
      </c>
      <c r="X149" s="248">
        <f t="shared" si="502"/>
        <v>0</v>
      </c>
      <c r="Y149" s="247">
        <f t="shared" si="502"/>
        <v>26.763000000000002</v>
      </c>
      <c r="Z149" s="247">
        <f t="shared" si="502"/>
        <v>0</v>
      </c>
      <c r="AA149" s="228">
        <f t="shared" si="502"/>
        <v>0</v>
      </c>
      <c r="AB149" s="247">
        <f t="shared" si="502"/>
        <v>1.2410000000000001</v>
      </c>
      <c r="AC149" s="247">
        <f t="shared" si="502"/>
        <v>1.288</v>
      </c>
      <c r="AD149" s="247">
        <f t="shared" si="502"/>
        <v>21.529</v>
      </c>
      <c r="AE149" s="247">
        <f t="shared" si="502"/>
        <v>-4.3689999999999998</v>
      </c>
      <c r="AF149" s="248">
        <f t="shared" si="502"/>
        <v>-1.4260000000000002</v>
      </c>
      <c r="AG149" s="247">
        <f t="shared" si="502"/>
        <v>0.32299999999999973</v>
      </c>
      <c r="AH149" s="247">
        <f t="shared" si="502"/>
        <v>2.2130000000000001</v>
      </c>
      <c r="AI149" s="228">
        <f t="shared" si="502"/>
        <v>3.2709999999999999</v>
      </c>
      <c r="AJ149" s="247">
        <f t="shared" ref="AJ149:BO149" si="503">AJ17+AJ34+AJ47+AJ51-AJ55+AJ71-AJ148</f>
        <v>13.004999999999999</v>
      </c>
      <c r="AK149" s="247">
        <f t="shared" si="503"/>
        <v>9.5120000000000005</v>
      </c>
      <c r="AL149" s="247">
        <f t="shared" si="503"/>
        <v>7.1530000000000005</v>
      </c>
      <c r="AM149" s="247">
        <f t="shared" si="503"/>
        <v>10.738</v>
      </c>
      <c r="AN149" s="248">
        <f t="shared" si="503"/>
        <v>5.0640000000000001</v>
      </c>
      <c r="AO149" s="247">
        <f t="shared" si="503"/>
        <v>3.887</v>
      </c>
      <c r="AP149" s="247">
        <f t="shared" si="503"/>
        <v>1.4900000000000002</v>
      </c>
      <c r="AQ149" s="228">
        <f t="shared" si="503"/>
        <v>11.566000000000001</v>
      </c>
      <c r="AR149" s="248">
        <f t="shared" si="503"/>
        <v>10.839</v>
      </c>
      <c r="AS149" s="247">
        <f t="shared" si="503"/>
        <v>64.671999999999997</v>
      </c>
      <c r="AT149" s="247">
        <f t="shared" si="503"/>
        <v>36.491</v>
      </c>
      <c r="AU149" s="228">
        <f t="shared" si="503"/>
        <v>11.644000000000005</v>
      </c>
      <c r="AV149" s="248">
        <f t="shared" si="503"/>
        <v>3.8619999999999983</v>
      </c>
      <c r="AW149" s="247">
        <f t="shared" si="503"/>
        <v>2.2240000000000002</v>
      </c>
      <c r="AX149" s="247">
        <f t="shared" si="503"/>
        <v>0.69099999999999895</v>
      </c>
      <c r="AY149" s="228">
        <f t="shared" si="503"/>
        <v>3.8870000000000005</v>
      </c>
      <c r="AZ149" s="247">
        <f t="shared" si="503"/>
        <v>11.842000000000006</v>
      </c>
      <c r="BA149" s="247">
        <f t="shared" si="503"/>
        <v>15.909999999999997</v>
      </c>
      <c r="BB149" s="247">
        <f t="shared" si="503"/>
        <v>10.897999999999996</v>
      </c>
      <c r="BC149" s="228">
        <f t="shared" si="503"/>
        <v>43.265000000000001</v>
      </c>
      <c r="BD149" s="247">
        <f t="shared" si="503"/>
        <v>-2.152000000000001</v>
      </c>
      <c r="BE149" s="247">
        <f t="shared" si="503"/>
        <v>39.659999999999982</v>
      </c>
      <c r="BF149" s="247">
        <f t="shared" si="503"/>
        <v>37.043999999999997</v>
      </c>
      <c r="BG149" s="228">
        <f t="shared" si="503"/>
        <v>43.906000000000006</v>
      </c>
      <c r="BH149" s="247">
        <f>BH17+BH34+BH47+BH51-BH55+BH71-BH148</f>
        <v>147.60700000000003</v>
      </c>
      <c r="BI149" s="247">
        <f t="shared" ref="BI149:BK149" si="504">BI17+BI34+BI47+BI51-BI55+BI71-BI148</f>
        <v>107.94800000000001</v>
      </c>
      <c r="BJ149" s="247">
        <f t="shared" si="504"/>
        <v>77.047999999999988</v>
      </c>
      <c r="BK149" s="228">
        <f t="shared" si="504"/>
        <v>109.08899999999998</v>
      </c>
      <c r="BL149" s="247">
        <f t="shared" si="503"/>
        <v>37.245999999999995</v>
      </c>
      <c r="BM149" s="247">
        <f t="shared" si="503"/>
        <v>47.103000000000009</v>
      </c>
      <c r="BN149" s="247">
        <f t="shared" si="503"/>
        <v>30.135000000000005</v>
      </c>
      <c r="BO149" s="228">
        <f t="shared" si="503"/>
        <v>0</v>
      </c>
      <c r="BP149" s="247">
        <f t="shared" ref="BP149:BW149" si="505">BP17+BP34+BP47+BP51-BP55+BP71-BP148</f>
        <v>0</v>
      </c>
      <c r="BQ149" s="247">
        <f t="shared" si="505"/>
        <v>0</v>
      </c>
      <c r="BR149" s="247">
        <f t="shared" si="505"/>
        <v>0</v>
      </c>
      <c r="BS149" s="228">
        <f t="shared" si="505"/>
        <v>0</v>
      </c>
      <c r="BT149" s="1391">
        <f t="shared" si="505"/>
        <v>0</v>
      </c>
      <c r="BU149" s="1391">
        <f t="shared" si="505"/>
        <v>0</v>
      </c>
      <c r="BV149" s="1391">
        <f t="shared" si="505"/>
        <v>0</v>
      </c>
      <c r="BW149" s="1384">
        <f t="shared" si="505"/>
        <v>0</v>
      </c>
      <c r="BX149" s="20"/>
      <c r="BY149" s="248">
        <f>SUM(D149:G149)</f>
        <v>62.243000000000002</v>
      </c>
      <c r="BZ149" s="247">
        <f>SUM(H149:K149)</f>
        <v>32.619999999999997</v>
      </c>
      <c r="CA149" s="247">
        <f>SUM(L149:O149)</f>
        <v>21.1</v>
      </c>
      <c r="CB149" s="247">
        <f>SUM(P149:S149)</f>
        <v>0</v>
      </c>
      <c r="CC149" s="247">
        <f>SUM(T149:W149)</f>
        <v>0</v>
      </c>
      <c r="CD149" s="247">
        <f>SUM(X149:AA149)</f>
        <v>26.763000000000002</v>
      </c>
      <c r="CE149" s="247">
        <f>SUM(AB149:AE149)</f>
        <v>19.689</v>
      </c>
      <c r="CF149" s="247">
        <f>SUM(AF149:AI149)</f>
        <v>4.3809999999999993</v>
      </c>
      <c r="CG149" s="247">
        <f>SUM(AJ149:AM149)</f>
        <v>40.408000000000001</v>
      </c>
      <c r="CH149" s="1391">
        <f>SUM(AN149:AQ149)</f>
        <v>22.007000000000001</v>
      </c>
      <c r="CI149" s="1391">
        <f>SUM(AR149:AU149)</f>
        <v>123.646</v>
      </c>
      <c r="CJ149" s="1391">
        <f>SUM(AV149:AY149)</f>
        <v>10.663999999999998</v>
      </c>
      <c r="CK149" s="247">
        <f>SUM(AZ149:BC149)</f>
        <v>81.914999999999992</v>
      </c>
      <c r="CL149" s="247">
        <f>SUM(BD149:BG149)</f>
        <v>118.45799999999998</v>
      </c>
      <c r="CM149" s="247">
        <f>SUM(BH149:BK149)</f>
        <v>441.69200000000001</v>
      </c>
      <c r="CN149" s="247">
        <f>SUM(BL149:BO149)</f>
        <v>114.48400000000001</v>
      </c>
      <c r="CO149" s="1391">
        <f>SUM(BP149:BS149)</f>
        <v>0</v>
      </c>
      <c r="CP149" s="1384">
        <f t="shared" si="500"/>
        <v>0</v>
      </c>
      <c r="CQ149" s="20"/>
      <c r="CR149" s="248">
        <f>SUM(G149:J149)</f>
        <v>32.619999999999997</v>
      </c>
      <c r="CS149" s="247">
        <f>SUM(K149:N149)</f>
        <v>21.1</v>
      </c>
      <c r="CT149" s="247">
        <f>SUM(O149:R149)</f>
        <v>0</v>
      </c>
      <c r="CU149" s="247">
        <f>SUM(S149:V149)</f>
        <v>0</v>
      </c>
      <c r="CV149" s="247">
        <f>SUM(W149:Z149)</f>
        <v>26.763000000000002</v>
      </c>
      <c r="CW149" s="247">
        <f>SUM(AA149:AD149)</f>
        <v>24.058</v>
      </c>
      <c r="CX149" s="247">
        <f>SUM(AE149:AH149)</f>
        <v>-3.2590000000000003</v>
      </c>
      <c r="CY149" s="247">
        <f>SUM(AI149:AL149)</f>
        <v>32.941000000000003</v>
      </c>
      <c r="CZ149" s="247">
        <f>SUM(AM149:AP149)</f>
        <v>21.179000000000002</v>
      </c>
      <c r="DA149" s="247">
        <f>SUM(AQ149:AT149)</f>
        <v>123.568</v>
      </c>
      <c r="DB149" s="247">
        <f>SUM(AU149:AX149)</f>
        <v>18.421000000000003</v>
      </c>
      <c r="DC149" s="247">
        <f>SUM(AY149:BB149)</f>
        <v>42.536999999999999</v>
      </c>
      <c r="DD149" s="247">
        <f>SUM(BC149:BF149)</f>
        <v>117.81699999999998</v>
      </c>
      <c r="DE149" s="247">
        <f>SUM(BG149:BJ149)</f>
        <v>376.50900000000001</v>
      </c>
      <c r="DF149" s="247">
        <f>SUM(BK149:BN149)</f>
        <v>223.57299999999998</v>
      </c>
      <c r="DG149" s="1391">
        <f>SUM(BO149:BR149)</f>
        <v>0</v>
      </c>
      <c r="DH149" s="1384">
        <f t="shared" si="501"/>
        <v>0</v>
      </c>
      <c r="DI149" s="8"/>
    </row>
    <row r="150" spans="1:113" ht="14.25" customHeight="1">
      <c r="A150" s="8"/>
      <c r="B150" s="974" t="s">
        <v>416</v>
      </c>
      <c r="C150" s="626"/>
      <c r="D150" s="931">
        <f t="shared" ref="D150:AI150" si="506">D80</f>
        <v>0</v>
      </c>
      <c r="E150" s="738">
        <f t="shared" si="506"/>
        <v>-16.600000000000001</v>
      </c>
      <c r="F150" s="738">
        <f t="shared" si="506"/>
        <v>0</v>
      </c>
      <c r="G150" s="644">
        <f t="shared" si="506"/>
        <v>0</v>
      </c>
      <c r="H150" s="931">
        <f t="shared" si="506"/>
        <v>-13.347</v>
      </c>
      <c r="I150" s="738">
        <f t="shared" si="506"/>
        <v>0</v>
      </c>
      <c r="J150" s="738">
        <f t="shared" si="506"/>
        <v>0.29899999999999999</v>
      </c>
      <c r="K150" s="644">
        <f t="shared" si="506"/>
        <v>0</v>
      </c>
      <c r="L150" s="931">
        <f t="shared" si="506"/>
        <v>-8.1240000000000006</v>
      </c>
      <c r="M150" s="738">
        <f t="shared" si="506"/>
        <v>0</v>
      </c>
      <c r="N150" s="738">
        <f t="shared" si="506"/>
        <v>0</v>
      </c>
      <c r="O150" s="644">
        <f t="shared" si="506"/>
        <v>0</v>
      </c>
      <c r="P150" s="931">
        <f t="shared" si="506"/>
        <v>0</v>
      </c>
      <c r="Q150" s="738">
        <f t="shared" si="506"/>
        <v>0</v>
      </c>
      <c r="R150" s="738">
        <f t="shared" si="506"/>
        <v>0</v>
      </c>
      <c r="S150" s="644">
        <f t="shared" si="506"/>
        <v>0</v>
      </c>
      <c r="T150" s="738">
        <f t="shared" si="506"/>
        <v>0</v>
      </c>
      <c r="U150" s="738">
        <f t="shared" si="506"/>
        <v>0</v>
      </c>
      <c r="V150" s="738">
        <f t="shared" si="506"/>
        <v>0</v>
      </c>
      <c r="W150" s="738">
        <f t="shared" si="506"/>
        <v>-52.2</v>
      </c>
      <c r="X150" s="931">
        <f t="shared" si="506"/>
        <v>0</v>
      </c>
      <c r="Y150" s="738">
        <f t="shared" si="506"/>
        <v>-10.304000000000002</v>
      </c>
      <c r="Z150" s="738">
        <f t="shared" si="506"/>
        <v>-5.7329999999999997</v>
      </c>
      <c r="AA150" s="644">
        <f t="shared" si="506"/>
        <v>-4.5289999999999999</v>
      </c>
      <c r="AB150" s="738">
        <f t="shared" si="506"/>
        <v>-0.47799999999999998</v>
      </c>
      <c r="AC150" s="738">
        <f t="shared" si="506"/>
        <v>-0.496</v>
      </c>
      <c r="AD150" s="738">
        <f t="shared" si="506"/>
        <v>-59.412000000000006</v>
      </c>
      <c r="AE150" s="738">
        <f t="shared" si="506"/>
        <v>3.03</v>
      </c>
      <c r="AF150" s="931">
        <f t="shared" si="506"/>
        <v>1.2269999999999999</v>
      </c>
      <c r="AG150" s="738">
        <f t="shared" si="506"/>
        <v>8.8000000000000078E-2</v>
      </c>
      <c r="AH150" s="738">
        <f t="shared" si="506"/>
        <v>-9.1489999999999991</v>
      </c>
      <c r="AI150" s="644">
        <f t="shared" si="506"/>
        <v>-0.78699999999999992</v>
      </c>
      <c r="AJ150" s="738">
        <f t="shared" ref="AJ150:BS150" si="507">AJ80</f>
        <v>-0.91400000000000003</v>
      </c>
      <c r="AK150" s="738">
        <f t="shared" si="507"/>
        <v>-0.81800000000000006</v>
      </c>
      <c r="AL150" s="738">
        <f t="shared" si="507"/>
        <v>-2.4140000000000001</v>
      </c>
      <c r="AM150" s="738">
        <f t="shared" si="507"/>
        <v>-25.222999999999999</v>
      </c>
      <c r="AN150" s="931">
        <f t="shared" si="507"/>
        <v>-0.86099999999999999</v>
      </c>
      <c r="AO150" s="738">
        <f t="shared" si="507"/>
        <v>-1.5409999999999999</v>
      </c>
      <c r="AP150" s="738">
        <f t="shared" si="507"/>
        <v>-4.9340000000000002</v>
      </c>
      <c r="AQ150" s="644">
        <f t="shared" si="507"/>
        <v>-1.0619999999999998</v>
      </c>
      <c r="AR150" s="931">
        <f t="shared" si="507"/>
        <v>-1.327</v>
      </c>
      <c r="AS150" s="738">
        <f t="shared" si="507"/>
        <v>9.2689999999999984</v>
      </c>
      <c r="AT150" s="738">
        <f t="shared" si="507"/>
        <v>-13.212000000000002</v>
      </c>
      <c r="AU150" s="644">
        <f t="shared" si="507"/>
        <v>-13.757999999999999</v>
      </c>
      <c r="AV150" s="931">
        <f t="shared" si="507"/>
        <v>-1.869</v>
      </c>
      <c r="AW150" s="738">
        <f t="shared" si="507"/>
        <v>-3.1850000000000001</v>
      </c>
      <c r="AX150" s="738">
        <f t="shared" si="507"/>
        <v>-7.72</v>
      </c>
      <c r="AY150" s="644">
        <f t="shared" si="507"/>
        <v>-7.4630000000000001</v>
      </c>
      <c r="AZ150" s="738">
        <f t="shared" si="507"/>
        <v>0.40199999999999925</v>
      </c>
      <c r="BA150" s="738">
        <f t="shared" si="507"/>
        <v>-17.896999999999998</v>
      </c>
      <c r="BB150" s="738">
        <f t="shared" si="507"/>
        <v>-11.446000000000002</v>
      </c>
      <c r="BC150" s="644">
        <f t="shared" si="507"/>
        <v>-53.128</v>
      </c>
      <c r="BD150" s="738">
        <f t="shared" si="507"/>
        <v>-26.564</v>
      </c>
      <c r="BE150" s="738">
        <f t="shared" si="507"/>
        <v>-21.007999999999996</v>
      </c>
      <c r="BF150" s="738">
        <f t="shared" si="507"/>
        <v>-21.014000000000006</v>
      </c>
      <c r="BG150" s="644">
        <f t="shared" si="507"/>
        <v>-23.276</v>
      </c>
      <c r="BH150" s="738">
        <f>BH80</f>
        <v>25.928000000000004</v>
      </c>
      <c r="BI150" s="738">
        <f t="shared" ref="BI150:BK150" si="508">BI80</f>
        <v>-23.939</v>
      </c>
      <c r="BJ150" s="738">
        <f t="shared" si="508"/>
        <v>-29.973000000000003</v>
      </c>
      <c r="BK150" s="644">
        <f t="shared" si="508"/>
        <v>-83.01</v>
      </c>
      <c r="BL150" s="738">
        <f t="shared" si="507"/>
        <v>-27.465</v>
      </c>
      <c r="BM150" s="738">
        <f t="shared" si="507"/>
        <v>-29.552</v>
      </c>
      <c r="BN150" s="738">
        <f t="shared" si="507"/>
        <v>422.47899999999998</v>
      </c>
      <c r="BO150" s="644">
        <f t="shared" si="507"/>
        <v>0</v>
      </c>
      <c r="BP150" s="738">
        <f t="shared" si="507"/>
        <v>0</v>
      </c>
      <c r="BQ150" s="738">
        <f t="shared" si="507"/>
        <v>0</v>
      </c>
      <c r="BR150" s="738">
        <f t="shared" si="507"/>
        <v>0</v>
      </c>
      <c r="BS150" s="644">
        <f t="shared" si="507"/>
        <v>0</v>
      </c>
      <c r="BT150" s="738">
        <f t="shared" ref="BT150:BW150" si="509">BT80</f>
        <v>0</v>
      </c>
      <c r="BU150" s="738">
        <f t="shared" si="509"/>
        <v>0</v>
      </c>
      <c r="BV150" s="738">
        <f t="shared" si="509"/>
        <v>0</v>
      </c>
      <c r="BW150" s="1427">
        <f t="shared" si="509"/>
        <v>0</v>
      </c>
      <c r="BX150" s="20"/>
      <c r="BY150" s="931">
        <f>SUM(D150:G150)</f>
        <v>-16.600000000000001</v>
      </c>
      <c r="BZ150" s="738">
        <f>SUM(H150:K150)</f>
        <v>-13.048</v>
      </c>
      <c r="CA150" s="738">
        <f>SUM(L150:O150)</f>
        <v>-8.1240000000000006</v>
      </c>
      <c r="CB150" s="738">
        <f>SUM(P150:S150)</f>
        <v>0</v>
      </c>
      <c r="CC150" s="738">
        <f>SUM(T150:W150)</f>
        <v>-52.2</v>
      </c>
      <c r="CD150" s="738">
        <f>SUM(X150:AA150)</f>
        <v>-20.566000000000003</v>
      </c>
      <c r="CE150" s="738">
        <f>SUM(AB150:AE150)</f>
        <v>-57.356000000000002</v>
      </c>
      <c r="CF150" s="738">
        <f>SUM(AF150:AI150)</f>
        <v>-8.6209999999999987</v>
      </c>
      <c r="CG150" s="738">
        <f>SUM(AJ150:AM150)</f>
        <v>-29.369</v>
      </c>
      <c r="CH150" s="738">
        <f>SUM(AN150:AQ150)</f>
        <v>-8.3979999999999997</v>
      </c>
      <c r="CI150" s="738">
        <f>SUM(AR150:AU150)</f>
        <v>-19.028000000000002</v>
      </c>
      <c r="CJ150" s="738">
        <f>SUM(AV150:AY150)</f>
        <v>-20.237000000000002</v>
      </c>
      <c r="CK150" s="738">
        <f>SUM(AZ150:BC150)</f>
        <v>-82.069000000000003</v>
      </c>
      <c r="CL150" s="738">
        <f>SUM(BD150:BG150)</f>
        <v>-91.861999999999995</v>
      </c>
      <c r="CM150" s="738">
        <f>SUM(BH150:BK150)</f>
        <v>-110.994</v>
      </c>
      <c r="CN150" s="738">
        <f>SUM(BL150:BO150)</f>
        <v>365.46199999999999</v>
      </c>
      <c r="CO150" s="738">
        <f>SUM(BP150:BS150)</f>
        <v>0</v>
      </c>
      <c r="CP150" s="1427">
        <f t="shared" si="500"/>
        <v>0</v>
      </c>
      <c r="CQ150" s="20"/>
      <c r="CR150" s="931">
        <f>SUM(G150:J150)</f>
        <v>-13.048</v>
      </c>
      <c r="CS150" s="738">
        <f>SUM(K150:N150)</f>
        <v>-8.1240000000000006</v>
      </c>
      <c r="CT150" s="738">
        <f>SUM(O150:R150)</f>
        <v>0</v>
      </c>
      <c r="CU150" s="738">
        <f>SUM(S150:V150)</f>
        <v>0</v>
      </c>
      <c r="CV150" s="738">
        <f>SUM(W150:Z150)</f>
        <v>-68.237000000000009</v>
      </c>
      <c r="CW150" s="738">
        <f>SUM(AA150:AD150)</f>
        <v>-64.915000000000006</v>
      </c>
      <c r="CX150" s="738">
        <f>SUM(AE150:AH150)</f>
        <v>-4.8039999999999994</v>
      </c>
      <c r="CY150" s="738">
        <f>SUM(AI150:AL150)</f>
        <v>-4.9329999999999998</v>
      </c>
      <c r="CZ150" s="738">
        <f>SUM(AM150:AP150)</f>
        <v>-32.558999999999997</v>
      </c>
      <c r="DA150" s="738">
        <f>SUM(AQ150:AT150)</f>
        <v>-6.3320000000000025</v>
      </c>
      <c r="DB150" s="738">
        <f>SUM(AU150:AX150)</f>
        <v>-26.531999999999996</v>
      </c>
      <c r="DC150" s="738">
        <f>SUM(AY150:BB150)</f>
        <v>-36.403999999999996</v>
      </c>
      <c r="DD150" s="738">
        <f>SUM(BC150:BF150)</f>
        <v>-121.71400000000001</v>
      </c>
      <c r="DE150" s="738">
        <f>SUM(BG150:BJ150)</f>
        <v>-51.26</v>
      </c>
      <c r="DF150" s="738">
        <f>SUM(BK150:BN150)</f>
        <v>282.452</v>
      </c>
      <c r="DG150" s="738">
        <f>SUM(BO150:BR150)</f>
        <v>0</v>
      </c>
      <c r="DH150" s="1427">
        <f t="shared" si="501"/>
        <v>0</v>
      </c>
      <c r="DI150" s="8"/>
    </row>
    <row r="151" spans="1:113" ht="14.25" customHeight="1">
      <c r="A151" s="8"/>
      <c r="B151" s="975" t="s">
        <v>417</v>
      </c>
      <c r="C151" s="539"/>
      <c r="D151" s="999">
        <f t="shared" ref="D151:BO151" si="510">+SUM(D147:D150)</f>
        <v>30.059000000000005</v>
      </c>
      <c r="E151" s="1000">
        <f t="shared" si="510"/>
        <v>34.395999999999994</v>
      </c>
      <c r="F151" s="1000">
        <f t="shared" si="510"/>
        <v>36.381999999999991</v>
      </c>
      <c r="G151" s="1001">
        <f t="shared" si="510"/>
        <v>33.038000000000046</v>
      </c>
      <c r="H151" s="999">
        <f t="shared" si="510"/>
        <v>33.489999999999981</v>
      </c>
      <c r="I151" s="1000">
        <f t="shared" si="510"/>
        <v>36.103999999999985</v>
      </c>
      <c r="J151" s="1000">
        <f t="shared" si="510"/>
        <v>40.395000000000017</v>
      </c>
      <c r="K151" s="1001">
        <f t="shared" si="510"/>
        <v>46.845000000000013</v>
      </c>
      <c r="L151" s="999">
        <f t="shared" si="510"/>
        <v>56.775000000000013</v>
      </c>
      <c r="M151" s="1000">
        <f t="shared" si="510"/>
        <v>60.442999999999984</v>
      </c>
      <c r="N151" s="1000">
        <f t="shared" si="510"/>
        <v>53.139999999999993</v>
      </c>
      <c r="O151" s="1001">
        <f t="shared" si="510"/>
        <v>56.403000000000027</v>
      </c>
      <c r="P151" s="999">
        <f t="shared" si="510"/>
        <v>61.023999999999987</v>
      </c>
      <c r="Q151" s="1000">
        <f t="shared" si="510"/>
        <v>65.652999999999992</v>
      </c>
      <c r="R151" s="1000">
        <f t="shared" si="510"/>
        <v>40.123999999999981</v>
      </c>
      <c r="S151" s="1001">
        <f t="shared" si="510"/>
        <v>75.567999999999998</v>
      </c>
      <c r="T151" s="1000">
        <f t="shared" si="510"/>
        <v>76.984000000000037</v>
      </c>
      <c r="U151" s="1000">
        <f t="shared" si="510"/>
        <v>79.488000000000014</v>
      </c>
      <c r="V151" s="1000">
        <f t="shared" si="510"/>
        <v>72.848999999999975</v>
      </c>
      <c r="W151" s="1000">
        <f t="shared" si="510"/>
        <v>75.507999999999996</v>
      </c>
      <c r="X151" s="999">
        <f t="shared" si="510"/>
        <v>80.293000000000021</v>
      </c>
      <c r="Y151" s="1000">
        <f t="shared" si="510"/>
        <v>77.137999999999977</v>
      </c>
      <c r="Z151" s="1000">
        <f t="shared" si="510"/>
        <v>74.390999999999991</v>
      </c>
      <c r="AA151" s="1001">
        <f t="shared" si="510"/>
        <v>71.168000000000021</v>
      </c>
      <c r="AB151" s="1000">
        <f t="shared" si="510"/>
        <v>76.310000000000031</v>
      </c>
      <c r="AC151" s="1000">
        <f t="shared" si="510"/>
        <v>76.512000000000029</v>
      </c>
      <c r="AD151" s="1000">
        <f t="shared" si="510"/>
        <v>34.472999999999985</v>
      </c>
      <c r="AE151" s="1000">
        <f t="shared" si="510"/>
        <v>20.624999999999986</v>
      </c>
      <c r="AF151" s="999">
        <f t="shared" si="510"/>
        <v>27.169000000000008</v>
      </c>
      <c r="AG151" s="1000">
        <f t="shared" si="510"/>
        <v>44.896000000000001</v>
      </c>
      <c r="AH151" s="1000">
        <f t="shared" si="510"/>
        <v>62.466999999999985</v>
      </c>
      <c r="AI151" s="1001">
        <f t="shared" si="510"/>
        <v>78.233000000000033</v>
      </c>
      <c r="AJ151" s="1000">
        <f t="shared" si="510"/>
        <v>101.657</v>
      </c>
      <c r="AK151" s="1000">
        <f t="shared" si="510"/>
        <v>111.77400000000002</v>
      </c>
      <c r="AL151" s="1000">
        <f t="shared" si="510"/>
        <v>105.51500000000003</v>
      </c>
      <c r="AM151" s="1000">
        <f t="shared" si="510"/>
        <v>111.04299999999988</v>
      </c>
      <c r="AN151" s="999">
        <f t="shared" si="510"/>
        <v>103.496</v>
      </c>
      <c r="AO151" s="1000">
        <f t="shared" si="510"/>
        <v>84.335999999999984</v>
      </c>
      <c r="AP151" s="1000">
        <f t="shared" si="510"/>
        <v>76.722999999999985</v>
      </c>
      <c r="AQ151" s="1001">
        <f t="shared" si="510"/>
        <v>85.759</v>
      </c>
      <c r="AR151" s="999">
        <f t="shared" si="510"/>
        <v>88.222000000000008</v>
      </c>
      <c r="AS151" s="1000">
        <f t="shared" si="510"/>
        <v>80.614999999999981</v>
      </c>
      <c r="AT151" s="1000">
        <f t="shared" si="510"/>
        <v>73.163000000000025</v>
      </c>
      <c r="AU151" s="1001">
        <f t="shared" si="510"/>
        <v>101.54400000000007</v>
      </c>
      <c r="AV151" s="930">
        <f t="shared" si="510"/>
        <v>109.13699999999994</v>
      </c>
      <c r="AW151" s="976">
        <f t="shared" si="510"/>
        <v>122.97199999999991</v>
      </c>
      <c r="AX151" s="976">
        <f t="shared" si="510"/>
        <v>120.67900000000003</v>
      </c>
      <c r="AY151" s="1001">
        <f t="shared" si="510"/>
        <v>130.10800000000006</v>
      </c>
      <c r="AZ151" s="976">
        <f>+SUM(AZ147:AZ150)</f>
        <v>139.73299999999998</v>
      </c>
      <c r="BA151" s="976">
        <f t="shared" si="510"/>
        <v>138.88800000000006</v>
      </c>
      <c r="BB151" s="976">
        <f t="shared" si="510"/>
        <v>133.61400000000003</v>
      </c>
      <c r="BC151" s="541">
        <f t="shared" si="510"/>
        <v>137.36700000000002</v>
      </c>
      <c r="BD151" s="976">
        <f t="shared" si="510"/>
        <v>138.73699999999999</v>
      </c>
      <c r="BE151" s="976">
        <f>+SUM(BE147:BE150)</f>
        <v>128.45399999999989</v>
      </c>
      <c r="BF151" s="976">
        <f>+SUM(BF147:BF150)</f>
        <v>126.93100000000004</v>
      </c>
      <c r="BG151" s="541">
        <f t="shared" si="510"/>
        <v>141.11000000000001</v>
      </c>
      <c r="BH151" s="976">
        <f>+SUM(BH147:BH150)</f>
        <v>155.28899999999993</v>
      </c>
      <c r="BI151" s="976">
        <f>+SUM(BI147:BI150)</f>
        <v>201.92400000000006</v>
      </c>
      <c r="BJ151" s="976">
        <f>+SUM(BJ147:BJ150)</f>
        <v>240.48499999999996</v>
      </c>
      <c r="BK151" s="541">
        <f t="shared" ref="BK151" si="511">+SUM(BK147:BK150)</f>
        <v>262.43700000000001</v>
      </c>
      <c r="BL151" s="976">
        <f t="shared" si="510"/>
        <v>304.07299999999998</v>
      </c>
      <c r="BM151" s="976">
        <f t="shared" si="510"/>
        <v>328.33699999999993</v>
      </c>
      <c r="BN151" s="976">
        <f t="shared" si="510"/>
        <v>323.75199999999995</v>
      </c>
      <c r="BO151" s="541">
        <f t="shared" si="510"/>
        <v>319.36396904051264</v>
      </c>
      <c r="BP151" s="976">
        <f t="shared" ref="BP151:BW151" si="512">+SUM(BP147:BP150)</f>
        <v>340.18058113278784</v>
      </c>
      <c r="BQ151" s="976">
        <f t="shared" si="512"/>
        <v>355.90966127439862</v>
      </c>
      <c r="BR151" s="976">
        <f t="shared" si="512"/>
        <v>346.07916920057528</v>
      </c>
      <c r="BS151" s="541">
        <f t="shared" si="512"/>
        <v>342.83251464298598</v>
      </c>
      <c r="BT151" s="976">
        <f t="shared" si="512"/>
        <v>361.8847059608612</v>
      </c>
      <c r="BU151" s="976">
        <f t="shared" si="512"/>
        <v>375.3479258136789</v>
      </c>
      <c r="BV151" s="976">
        <f t="shared" si="512"/>
        <v>366.98705365713681</v>
      </c>
      <c r="BW151" s="541">
        <f t="shared" si="512"/>
        <v>364.06060944569589</v>
      </c>
      <c r="BX151" s="20"/>
      <c r="BY151" s="930">
        <f>+SUM(BY147:BY150)</f>
        <v>133.87500000000003</v>
      </c>
      <c r="BZ151" s="976">
        <f>+SUM(BZ147:BZ150)</f>
        <v>156.834</v>
      </c>
      <c r="CA151" s="976">
        <f>+SUM(CA147:CA150)</f>
        <v>226.761</v>
      </c>
      <c r="CB151" s="976">
        <f t="shared" ref="CB151:CL151" si="513">+SUM(CB147:CB150)</f>
        <v>242.36899999999997</v>
      </c>
      <c r="CC151" s="976">
        <f t="shared" si="513"/>
        <v>304.82900000000001</v>
      </c>
      <c r="CD151" s="976">
        <f t="shared" si="513"/>
        <v>302.99</v>
      </c>
      <c r="CE151" s="976">
        <f t="shared" si="513"/>
        <v>207.92000000000007</v>
      </c>
      <c r="CF151" s="976">
        <f t="shared" si="513"/>
        <v>212.76500000000004</v>
      </c>
      <c r="CG151" s="976">
        <f t="shared" si="513"/>
        <v>429.98899999999992</v>
      </c>
      <c r="CH151" s="976">
        <f t="shared" si="513"/>
        <v>350.31399999999991</v>
      </c>
      <c r="CI151" s="976">
        <f t="shared" si="513"/>
        <v>343.5440000000001</v>
      </c>
      <c r="CJ151" s="976">
        <f t="shared" si="513"/>
        <v>482.89599999999996</v>
      </c>
      <c r="CK151" s="976">
        <f t="shared" si="513"/>
        <v>549.60200000000009</v>
      </c>
      <c r="CL151" s="976">
        <f t="shared" si="513"/>
        <v>535.23199999999997</v>
      </c>
      <c r="CM151" s="976">
        <f>+SUM(CM147:CM150)</f>
        <v>860.13499999999988</v>
      </c>
      <c r="CN151" s="976">
        <f>+SUM(CN147:CN150)</f>
        <v>1275.5259690405126</v>
      </c>
      <c r="CO151" s="976">
        <f>+SUM(CO147:CO150)</f>
        <v>1385.0019262507476</v>
      </c>
      <c r="CP151" s="541">
        <f>+SUM(CP147:CP150)</f>
        <v>1468.2802948773729</v>
      </c>
      <c r="CQ151" s="20"/>
      <c r="CR151" s="999">
        <f>+SUM(CR147:CR150)</f>
        <v>143.02700000000004</v>
      </c>
      <c r="CS151" s="1000">
        <f>+SUM(CS147:CS150)</f>
        <v>217.203</v>
      </c>
      <c r="CT151" s="1000">
        <f>+SUM(CT147:CT150)</f>
        <v>223.20400000000001</v>
      </c>
      <c r="CU151" s="1000">
        <f t="shared" ref="CU151:DD151" si="514">+SUM(CU147:CU150)</f>
        <v>304.88900000000001</v>
      </c>
      <c r="CV151" s="1000">
        <f t="shared" si="514"/>
        <v>307.32999999999993</v>
      </c>
      <c r="CW151" s="1000">
        <f t="shared" si="514"/>
        <v>258.46300000000002</v>
      </c>
      <c r="CX151" s="1000">
        <f t="shared" si="514"/>
        <v>155.15699999999995</v>
      </c>
      <c r="CY151" s="1000">
        <f t="shared" si="514"/>
        <v>397.17900000000009</v>
      </c>
      <c r="CZ151" s="1000">
        <f t="shared" si="514"/>
        <v>375.59799999999984</v>
      </c>
      <c r="DA151" s="1000">
        <f t="shared" si="514"/>
        <v>327.75900000000001</v>
      </c>
      <c r="DB151" s="1000">
        <f t="shared" si="514"/>
        <v>454.33199999999999</v>
      </c>
      <c r="DC151" s="1000">
        <f t="shared" si="514"/>
        <v>542.3430000000003</v>
      </c>
      <c r="DD151" s="1000">
        <f t="shared" si="514"/>
        <v>531.48899999999992</v>
      </c>
      <c r="DE151" s="1000">
        <f>+SUM(DE147:DE150)</f>
        <v>738.80799999999999</v>
      </c>
      <c r="DF151" s="1000">
        <f>+SUM(DF147:DF150)</f>
        <v>1218.5989999999997</v>
      </c>
      <c r="DG151" s="1000">
        <f>+SUM(DG147:DG150)</f>
        <v>1361.5333806482743</v>
      </c>
      <c r="DH151" s="1001">
        <f>+SUM(DH147:DH150)</f>
        <v>1447.052200074663</v>
      </c>
      <c r="DI151" s="8"/>
    </row>
    <row r="152" spans="1:113" ht="14.25" customHeight="1" outlineLevel="1">
      <c r="A152" s="8"/>
      <c r="B152" s="977" t="s">
        <v>106</v>
      </c>
      <c r="C152" s="537"/>
      <c r="D152" s="248">
        <f t="shared" ref="D152:BO152" si="515">+D151-D147</f>
        <v>20.743000000000002</v>
      </c>
      <c r="E152" s="247">
        <f t="shared" si="515"/>
        <v>24.899999999999995</v>
      </c>
      <c r="F152" s="247">
        <f t="shared" si="515"/>
        <v>0</v>
      </c>
      <c r="G152" s="228">
        <f t="shared" si="515"/>
        <v>0</v>
      </c>
      <c r="H152" s="248">
        <f t="shared" si="515"/>
        <v>20.019999999999996</v>
      </c>
      <c r="I152" s="247">
        <f t="shared" si="515"/>
        <v>0</v>
      </c>
      <c r="J152" s="247">
        <f t="shared" si="515"/>
        <v>-0.4480000000000004</v>
      </c>
      <c r="K152" s="228">
        <f t="shared" si="515"/>
        <v>0</v>
      </c>
      <c r="L152" s="248">
        <f t="shared" si="515"/>
        <v>12.975999999999999</v>
      </c>
      <c r="M152" s="247">
        <f t="shared" si="515"/>
        <v>0</v>
      </c>
      <c r="N152" s="247">
        <f t="shared" si="515"/>
        <v>0</v>
      </c>
      <c r="O152" s="228">
        <f t="shared" si="515"/>
        <v>0</v>
      </c>
      <c r="P152" s="248">
        <f t="shared" si="515"/>
        <v>0</v>
      </c>
      <c r="Q152" s="247">
        <f t="shared" si="515"/>
        <v>0</v>
      </c>
      <c r="R152" s="247">
        <f t="shared" si="515"/>
        <v>0</v>
      </c>
      <c r="S152" s="228">
        <f t="shared" si="515"/>
        <v>0</v>
      </c>
      <c r="T152" s="247">
        <f t="shared" si="515"/>
        <v>0</v>
      </c>
      <c r="U152" s="247">
        <f t="shared" si="515"/>
        <v>0</v>
      </c>
      <c r="V152" s="247">
        <f t="shared" si="515"/>
        <v>0</v>
      </c>
      <c r="W152" s="247">
        <f t="shared" si="515"/>
        <v>-52.2</v>
      </c>
      <c r="X152" s="248">
        <f t="shared" si="515"/>
        <v>0</v>
      </c>
      <c r="Y152" s="247">
        <f t="shared" si="515"/>
        <v>16.459000000000003</v>
      </c>
      <c r="Z152" s="247">
        <f t="shared" si="515"/>
        <v>-5.7330000000000041</v>
      </c>
      <c r="AA152" s="228">
        <f t="shared" si="515"/>
        <v>-4.5289999999999964</v>
      </c>
      <c r="AB152" s="247">
        <f t="shared" si="515"/>
        <v>0.76300000000000523</v>
      </c>
      <c r="AC152" s="247">
        <f t="shared" si="515"/>
        <v>0.79200000000000159</v>
      </c>
      <c r="AD152" s="247">
        <f t="shared" si="515"/>
        <v>-37.88300000000001</v>
      </c>
      <c r="AE152" s="247">
        <f t="shared" si="515"/>
        <v>-1.3389999999999986</v>
      </c>
      <c r="AF152" s="248">
        <f t="shared" si="515"/>
        <v>-0.19900000000000162</v>
      </c>
      <c r="AG152" s="247">
        <f t="shared" si="515"/>
        <v>0.41100000000000136</v>
      </c>
      <c r="AH152" s="247">
        <f t="shared" si="515"/>
        <v>-6.936000000000007</v>
      </c>
      <c r="AI152" s="228">
        <f t="shared" si="515"/>
        <v>2.4839999999999947</v>
      </c>
      <c r="AJ152" s="247">
        <f t="shared" si="515"/>
        <v>12.090999999999994</v>
      </c>
      <c r="AK152" s="247">
        <f t="shared" si="515"/>
        <v>8.6940000000000026</v>
      </c>
      <c r="AL152" s="247">
        <f t="shared" si="515"/>
        <v>4.7390000000000043</v>
      </c>
      <c r="AM152" s="247">
        <f t="shared" si="515"/>
        <v>-14.484999999999999</v>
      </c>
      <c r="AN152" s="248">
        <f t="shared" si="515"/>
        <v>4.2029999999999887</v>
      </c>
      <c r="AO152" s="247">
        <f t="shared" si="515"/>
        <v>5.0490000000000066</v>
      </c>
      <c r="AP152" s="247">
        <f t="shared" si="515"/>
        <v>-0.76600000000000534</v>
      </c>
      <c r="AQ152" s="228">
        <f t="shared" si="515"/>
        <v>5.1230000000000047</v>
      </c>
      <c r="AR152" s="248">
        <f t="shared" si="515"/>
        <v>9.5120000000000005</v>
      </c>
      <c r="AS152" s="247">
        <f t="shared" si="515"/>
        <v>101.79899999999998</v>
      </c>
      <c r="AT152" s="247">
        <f t="shared" si="515"/>
        <v>62.989999999999988</v>
      </c>
      <c r="AU152" s="228">
        <f t="shared" si="515"/>
        <v>41.854000000000013</v>
      </c>
      <c r="AV152" s="864">
        <f t="shared" si="515"/>
        <v>30.557999999999993</v>
      </c>
      <c r="AW152" s="534">
        <f t="shared" si="515"/>
        <v>23.165999999999997</v>
      </c>
      <c r="AX152" s="534">
        <f t="shared" si="515"/>
        <v>15.277999999999992</v>
      </c>
      <c r="AY152" s="228">
        <f t="shared" si="515"/>
        <v>18.613</v>
      </c>
      <c r="AZ152" s="534">
        <f>+AZ151-AZ147</f>
        <v>49.823999999999984</v>
      </c>
      <c r="BA152" s="534">
        <f t="shared" si="515"/>
        <v>45.247</v>
      </c>
      <c r="BB152" s="534">
        <f t="shared" si="515"/>
        <v>47.556999999999988</v>
      </c>
      <c r="BC152" s="542">
        <f t="shared" si="515"/>
        <v>37.965000000000003</v>
      </c>
      <c r="BD152" s="534">
        <f t="shared" si="515"/>
        <v>8.0700000000000216</v>
      </c>
      <c r="BE152" s="534">
        <f>+BE151-BE147</f>
        <v>63.554999999999978</v>
      </c>
      <c r="BF152" s="534">
        <f>+BF151-BF147</f>
        <v>65.802999999999983</v>
      </c>
      <c r="BG152" s="542">
        <f t="shared" si="515"/>
        <v>73.802000000000007</v>
      </c>
      <c r="BH152" s="534">
        <f>+BH151-BH147</f>
        <v>268.65200000000004</v>
      </c>
      <c r="BI152" s="534">
        <f>+BI151-BI147</f>
        <v>168.005</v>
      </c>
      <c r="BJ152" s="534">
        <f>+BJ151-BJ147</f>
        <v>133.31</v>
      </c>
      <c r="BK152" s="542">
        <f t="shared" ref="BK152" si="516">+BK151-BK147</f>
        <v>125.529</v>
      </c>
      <c r="BL152" s="534">
        <f t="shared" si="515"/>
        <v>133.48600000000002</v>
      </c>
      <c r="BM152" s="534">
        <f t="shared" si="515"/>
        <v>139.18099999999995</v>
      </c>
      <c r="BN152" s="534">
        <f t="shared" si="515"/>
        <v>574.83799999999997</v>
      </c>
      <c r="BO152" s="542">
        <f t="shared" si="515"/>
        <v>0</v>
      </c>
      <c r="BP152" s="534">
        <f t="shared" ref="BP152:BW152" si="517">+BP151-BP147</f>
        <v>0</v>
      </c>
      <c r="BQ152" s="534">
        <f t="shared" si="517"/>
        <v>0</v>
      </c>
      <c r="BR152" s="534">
        <f t="shared" si="517"/>
        <v>0</v>
      </c>
      <c r="BS152" s="542">
        <f t="shared" si="517"/>
        <v>0</v>
      </c>
      <c r="BT152" s="534">
        <f t="shared" si="517"/>
        <v>0</v>
      </c>
      <c r="BU152" s="534">
        <f t="shared" si="517"/>
        <v>0</v>
      </c>
      <c r="BV152" s="534">
        <f t="shared" si="517"/>
        <v>0</v>
      </c>
      <c r="BW152" s="542">
        <f t="shared" si="517"/>
        <v>0</v>
      </c>
      <c r="BX152" s="20"/>
      <c r="BY152" s="248">
        <f>SUM(D152:G152)</f>
        <v>45.643000000000001</v>
      </c>
      <c r="BZ152" s="247">
        <f>SUM(H152:K152)</f>
        <v>19.571999999999996</v>
      </c>
      <c r="CA152" s="247">
        <f>SUM(L152:O152)</f>
        <v>12.975999999999999</v>
      </c>
      <c r="CB152" s="247">
        <f>SUM(P152:S152)</f>
        <v>0</v>
      </c>
      <c r="CC152" s="247">
        <f>SUM(T152:W152)</f>
        <v>-52.2</v>
      </c>
      <c r="CD152" s="247">
        <f>SUM(X152:AA152)</f>
        <v>6.1970000000000027</v>
      </c>
      <c r="CE152" s="247">
        <f>SUM(AB152:AE152)</f>
        <v>-37.667000000000002</v>
      </c>
      <c r="CF152" s="247">
        <f>SUM(AF152:AI152)</f>
        <v>-4.2400000000000126</v>
      </c>
      <c r="CG152" s="247">
        <f>SUM(AJ152:AM152)</f>
        <v>11.039000000000001</v>
      </c>
      <c r="CH152" s="1391">
        <f>SUM(AN152:AQ152)</f>
        <v>13.608999999999995</v>
      </c>
      <c r="CI152" s="1391">
        <f>SUM(AR152:AU152)</f>
        <v>216.15499999999997</v>
      </c>
      <c r="CJ152" s="1391">
        <f>SUM(AV152:AY152)</f>
        <v>87.614999999999981</v>
      </c>
      <c r="CK152" s="247">
        <f>SUM(AZ152:BC152)</f>
        <v>180.59299999999999</v>
      </c>
      <c r="CL152" s="247">
        <f>SUM(BD152:BG152)</f>
        <v>211.23000000000002</v>
      </c>
      <c r="CM152" s="247">
        <f>SUM(BH152:BK152)</f>
        <v>695.49600000000009</v>
      </c>
      <c r="CN152" s="247">
        <f>SUM(BL152:BO152)</f>
        <v>847.50499999999988</v>
      </c>
      <c r="CO152" s="1391">
        <f>SUM(BP152:BS152)</f>
        <v>0</v>
      </c>
      <c r="CP152" s="1384">
        <f>SUM(BT152:BW152)</f>
        <v>0</v>
      </c>
      <c r="CQ152" s="20"/>
      <c r="CR152" s="248">
        <f>SUM(G152:J152)</f>
        <v>19.571999999999996</v>
      </c>
      <c r="CS152" s="247">
        <f>SUM(K152:N152)</f>
        <v>12.975999999999999</v>
      </c>
      <c r="CT152" s="247">
        <f>SUM(O152:R152)</f>
        <v>0</v>
      </c>
      <c r="CU152" s="247">
        <f>SUM(S152:V152)</f>
        <v>0</v>
      </c>
      <c r="CV152" s="247">
        <f>SUM(W152:Z152)</f>
        <v>-41.474000000000004</v>
      </c>
      <c r="CW152" s="247">
        <f>SUM(AA152:AD152)</f>
        <v>-40.856999999999999</v>
      </c>
      <c r="CX152" s="247">
        <f>SUM(AE152:AH152)</f>
        <v>-8.0630000000000059</v>
      </c>
      <c r="CY152" s="247">
        <f>SUM(AI152:AL152)</f>
        <v>28.007999999999996</v>
      </c>
      <c r="CZ152" s="247">
        <f>SUM(AM152:AP152)</f>
        <v>-5.9990000000000094</v>
      </c>
      <c r="DA152" s="247">
        <f>SUM(AQ152:AT152)</f>
        <v>179.42399999999998</v>
      </c>
      <c r="DB152" s="247">
        <f>SUM(AU152:AX152)</f>
        <v>110.85599999999999</v>
      </c>
      <c r="DC152" s="247">
        <f>SUM(AY152:BB152)</f>
        <v>161.24099999999999</v>
      </c>
      <c r="DD152" s="247">
        <f>SUM(BC152:BF152)</f>
        <v>175.39299999999997</v>
      </c>
      <c r="DE152" s="247">
        <f>SUM(BG152:BJ152)</f>
        <v>643.76900000000001</v>
      </c>
      <c r="DF152" s="247">
        <f>SUM(BK152:BN152)</f>
        <v>973.03399999999988</v>
      </c>
      <c r="DG152" s="1391">
        <f>SUM(BO152:BR152)</f>
        <v>0</v>
      </c>
      <c r="DH152" s="1384">
        <f>SUM(BS152:BV152)</f>
        <v>0</v>
      </c>
      <c r="DI152" s="8"/>
    </row>
    <row r="153" spans="1:113" ht="14.25" customHeight="1">
      <c r="A153" s="8"/>
      <c r="B153" s="978"/>
      <c r="C153" s="14"/>
      <c r="D153" s="979"/>
      <c r="E153" s="980"/>
      <c r="F153" s="980"/>
      <c r="G153" s="981"/>
      <c r="H153" s="979"/>
      <c r="I153" s="980"/>
      <c r="J153" s="980"/>
      <c r="K153" s="981"/>
      <c r="L153" s="979"/>
      <c r="M153" s="980"/>
      <c r="N153" s="980"/>
      <c r="O153" s="981"/>
      <c r="P153" s="979"/>
      <c r="Q153" s="980"/>
      <c r="R153" s="980"/>
      <c r="S153" s="981"/>
      <c r="T153" s="980"/>
      <c r="U153" s="980"/>
      <c r="V153" s="980"/>
      <c r="W153" s="980"/>
      <c r="X153" s="979"/>
      <c r="Y153" s="980"/>
      <c r="Z153" s="980"/>
      <c r="AA153" s="981"/>
      <c r="AB153" s="980"/>
      <c r="AC153" s="980"/>
      <c r="AD153" s="980"/>
      <c r="AE153" s="980"/>
      <c r="AF153" s="979"/>
      <c r="AG153" s="980"/>
      <c r="AH153" s="980"/>
      <c r="AI153" s="981"/>
      <c r="AJ153" s="982"/>
      <c r="AK153" s="982"/>
      <c r="AL153" s="982"/>
      <c r="AM153" s="982"/>
      <c r="AN153" s="983"/>
      <c r="AO153" s="982"/>
      <c r="AP153" s="982"/>
      <c r="AQ153" s="984"/>
      <c r="AR153" s="983"/>
      <c r="AS153" s="982"/>
      <c r="AT153" s="982"/>
      <c r="AU153" s="984"/>
      <c r="AV153" s="985"/>
      <c r="AW153" s="986"/>
      <c r="AX153" s="986"/>
      <c r="AY153" s="984"/>
      <c r="AZ153" s="986"/>
      <c r="BA153" s="986"/>
      <c r="BB153" s="986"/>
      <c r="BC153" s="987"/>
      <c r="BD153" s="986"/>
      <c r="BE153" s="986"/>
      <c r="BF153" s="986"/>
      <c r="BG153" s="987"/>
      <c r="BH153" s="986"/>
      <c r="BI153" s="986"/>
      <c r="BJ153" s="986"/>
      <c r="BK153" s="987"/>
      <c r="BL153" s="986"/>
      <c r="BM153" s="986"/>
      <c r="BN153" s="986"/>
      <c r="BO153" s="987"/>
      <c r="BP153" s="986"/>
      <c r="BQ153" s="986"/>
      <c r="BR153" s="986"/>
      <c r="BS153" s="987"/>
      <c r="BT153" s="986"/>
      <c r="BU153" s="986"/>
      <c r="BV153" s="986"/>
      <c r="BW153" s="987"/>
      <c r="BX153" s="20"/>
      <c r="BY153" s="985"/>
      <c r="BZ153" s="986"/>
      <c r="CA153" s="986"/>
      <c r="CB153" s="986"/>
      <c r="CC153" s="986"/>
      <c r="CD153" s="986"/>
      <c r="CE153" s="986"/>
      <c r="CF153" s="986"/>
      <c r="CG153" s="986"/>
      <c r="CH153" s="986"/>
      <c r="CI153" s="986"/>
      <c r="CJ153" s="986"/>
      <c r="CK153" s="986"/>
      <c r="CL153" s="986"/>
      <c r="CM153" s="986"/>
      <c r="CN153" s="986"/>
      <c r="CO153" s="986"/>
      <c r="CP153" s="987"/>
      <c r="CQ153" s="20"/>
      <c r="CR153" s="985"/>
      <c r="CS153" s="986"/>
      <c r="CT153" s="986"/>
      <c r="CU153" s="986"/>
      <c r="CV153" s="986"/>
      <c r="CW153" s="986"/>
      <c r="CX153" s="986"/>
      <c r="CY153" s="986"/>
      <c r="CZ153" s="986"/>
      <c r="DA153" s="986"/>
      <c r="DB153" s="986"/>
      <c r="DC153" s="986"/>
      <c r="DD153" s="986"/>
      <c r="DE153" s="986"/>
      <c r="DF153" s="986"/>
      <c r="DG153" s="986"/>
      <c r="DH153" s="987"/>
      <c r="DI153" s="8"/>
    </row>
    <row r="154" spans="1:113" ht="14.25" customHeight="1">
      <c r="A154" s="8"/>
      <c r="B154" s="971" t="s">
        <v>421</v>
      </c>
      <c r="C154" s="14"/>
      <c r="D154" s="979"/>
      <c r="E154" s="980"/>
      <c r="F154" s="980"/>
      <c r="G154" s="981"/>
      <c r="H154" s="979"/>
      <c r="I154" s="980"/>
      <c r="J154" s="980"/>
      <c r="K154" s="981"/>
      <c r="L154" s="979"/>
      <c r="M154" s="980"/>
      <c r="N154" s="980"/>
      <c r="O154" s="981"/>
      <c r="P154" s="979"/>
      <c r="Q154" s="980"/>
      <c r="R154" s="980"/>
      <c r="S154" s="981"/>
      <c r="T154" s="980"/>
      <c r="U154" s="980"/>
      <c r="V154" s="980"/>
      <c r="W154" s="980"/>
      <c r="X154" s="979"/>
      <c r="Y154" s="980"/>
      <c r="Z154" s="980"/>
      <c r="AA154" s="981"/>
      <c r="AB154" s="980"/>
      <c r="AC154" s="980"/>
      <c r="AD154" s="980"/>
      <c r="AE154" s="980"/>
      <c r="AF154" s="979"/>
      <c r="AG154" s="980"/>
      <c r="AH154" s="980"/>
      <c r="AI154" s="981"/>
      <c r="AJ154" s="982"/>
      <c r="AK154" s="982"/>
      <c r="AL154" s="982"/>
      <c r="AM154" s="982"/>
      <c r="AN154" s="983"/>
      <c r="AO154" s="982"/>
      <c r="AP154" s="982"/>
      <c r="AQ154" s="984"/>
      <c r="AR154" s="983"/>
      <c r="AS154" s="982"/>
      <c r="AT154" s="982"/>
      <c r="AU154" s="984"/>
      <c r="AV154" s="985"/>
      <c r="AW154" s="986"/>
      <c r="AX154" s="986"/>
      <c r="AY154" s="984"/>
      <c r="AZ154" s="986"/>
      <c r="BA154" s="986"/>
      <c r="BB154" s="986"/>
      <c r="BC154" s="987"/>
      <c r="BD154" s="986"/>
      <c r="BE154" s="986"/>
      <c r="BF154" s="986"/>
      <c r="BG154" s="987"/>
      <c r="BH154" s="986"/>
      <c r="BI154" s="986"/>
      <c r="BJ154" s="986"/>
      <c r="BK154" s="987"/>
      <c r="BL154" s="986"/>
      <c r="BM154" s="986"/>
      <c r="BN154" s="986"/>
      <c r="BO154" s="987"/>
      <c r="BP154" s="986"/>
      <c r="BQ154" s="986"/>
      <c r="BR154" s="986"/>
      <c r="BS154" s="987"/>
      <c r="BT154" s="986"/>
      <c r="BU154" s="986"/>
      <c r="BV154" s="986"/>
      <c r="BW154" s="987"/>
      <c r="BX154" s="20"/>
      <c r="BY154" s="985"/>
      <c r="BZ154" s="986"/>
      <c r="CA154" s="986"/>
      <c r="CB154" s="986"/>
      <c r="CC154" s="986"/>
      <c r="CD154" s="986"/>
      <c r="CE154" s="986"/>
      <c r="CF154" s="986"/>
      <c r="CG154" s="986"/>
      <c r="CH154" s="986"/>
      <c r="CI154" s="986"/>
      <c r="CJ154" s="986"/>
      <c r="CK154" s="986"/>
      <c r="CL154" s="986"/>
      <c r="CM154" s="986"/>
      <c r="CN154" s="986"/>
      <c r="CO154" s="986"/>
      <c r="CP154" s="987"/>
      <c r="CQ154" s="20"/>
      <c r="CR154" s="985"/>
      <c r="CS154" s="986"/>
      <c r="CT154" s="986"/>
      <c r="CU154" s="986"/>
      <c r="CV154" s="986"/>
      <c r="CW154" s="986"/>
      <c r="CX154" s="986"/>
      <c r="CY154" s="986"/>
      <c r="CZ154" s="986"/>
      <c r="DA154" s="986"/>
      <c r="DB154" s="986"/>
      <c r="DC154" s="986"/>
      <c r="DD154" s="986"/>
      <c r="DE154" s="986"/>
      <c r="DF154" s="986"/>
      <c r="DG154" s="986"/>
      <c r="DH154" s="987"/>
      <c r="DI154" s="8"/>
    </row>
    <row r="155" spans="1:113" ht="14.25" customHeight="1">
      <c r="A155" s="8"/>
      <c r="B155" s="973" t="s">
        <v>94</v>
      </c>
      <c r="C155" s="229"/>
      <c r="D155" s="248">
        <f t="shared" ref="D155:AI155" si="518">D86</f>
        <v>9.3160000000000025</v>
      </c>
      <c r="E155" s="247">
        <f t="shared" si="518"/>
        <v>9.4959999999999987</v>
      </c>
      <c r="F155" s="247">
        <f t="shared" si="518"/>
        <v>36.381999999999991</v>
      </c>
      <c r="G155" s="228">
        <f t="shared" si="518"/>
        <v>33.038000000000046</v>
      </c>
      <c r="H155" s="248">
        <f t="shared" si="518"/>
        <v>13.469999999999986</v>
      </c>
      <c r="I155" s="247">
        <f t="shared" si="518"/>
        <v>36.103999999999985</v>
      </c>
      <c r="J155" s="247">
        <f t="shared" si="518"/>
        <v>40.843000000000018</v>
      </c>
      <c r="K155" s="228">
        <f t="shared" si="518"/>
        <v>46.845000000000013</v>
      </c>
      <c r="L155" s="248">
        <f t="shared" si="518"/>
        <v>43.799000000000014</v>
      </c>
      <c r="M155" s="247">
        <f t="shared" si="518"/>
        <v>60.442999999999984</v>
      </c>
      <c r="N155" s="247">
        <f t="shared" si="518"/>
        <v>53.139999999999993</v>
      </c>
      <c r="O155" s="228">
        <f t="shared" si="518"/>
        <v>56.403000000000027</v>
      </c>
      <c r="P155" s="248">
        <f t="shared" si="518"/>
        <v>61.023999999999987</v>
      </c>
      <c r="Q155" s="247">
        <f t="shared" si="518"/>
        <v>65.652999999999992</v>
      </c>
      <c r="R155" s="247">
        <f t="shared" si="518"/>
        <v>40.123999999999981</v>
      </c>
      <c r="S155" s="228">
        <f t="shared" si="518"/>
        <v>75.567999999999998</v>
      </c>
      <c r="T155" s="247">
        <f t="shared" si="518"/>
        <v>76.984000000000037</v>
      </c>
      <c r="U155" s="247">
        <f t="shared" si="518"/>
        <v>79.488000000000014</v>
      </c>
      <c r="V155" s="247">
        <f t="shared" si="518"/>
        <v>72.848999999999975</v>
      </c>
      <c r="W155" s="247">
        <f t="shared" si="518"/>
        <v>127.708</v>
      </c>
      <c r="X155" s="248">
        <f t="shared" si="518"/>
        <v>80.293000000000021</v>
      </c>
      <c r="Y155" s="247">
        <f t="shared" si="518"/>
        <v>60.678999999999974</v>
      </c>
      <c r="Z155" s="247">
        <f t="shared" si="518"/>
        <v>80.123999999999995</v>
      </c>
      <c r="AA155" s="228">
        <f t="shared" si="518"/>
        <v>75.697000000000017</v>
      </c>
      <c r="AB155" s="247">
        <f t="shared" si="518"/>
        <v>75.547000000000025</v>
      </c>
      <c r="AC155" s="247">
        <f t="shared" si="518"/>
        <v>75.720000000000027</v>
      </c>
      <c r="AD155" s="247">
        <f t="shared" si="518"/>
        <v>72.355999999999995</v>
      </c>
      <c r="AE155" s="247">
        <f t="shared" si="518"/>
        <v>21.963999999999984</v>
      </c>
      <c r="AF155" s="248">
        <f t="shared" si="518"/>
        <v>27.368000000000009</v>
      </c>
      <c r="AG155" s="247">
        <f t="shared" si="518"/>
        <v>44.484999999999999</v>
      </c>
      <c r="AH155" s="247">
        <f t="shared" si="518"/>
        <v>69.402999999999992</v>
      </c>
      <c r="AI155" s="228">
        <f t="shared" si="518"/>
        <v>75.749000000000038</v>
      </c>
      <c r="AJ155" s="247">
        <f t="shared" ref="AJ155:BS155" si="519">AJ86</f>
        <v>89.566000000000003</v>
      </c>
      <c r="AK155" s="247">
        <f t="shared" si="519"/>
        <v>103.08000000000001</v>
      </c>
      <c r="AL155" s="247">
        <f t="shared" si="519"/>
        <v>100.77600000000002</v>
      </c>
      <c r="AM155" s="247">
        <f t="shared" si="519"/>
        <v>125.52799999999988</v>
      </c>
      <c r="AN155" s="248">
        <f t="shared" si="519"/>
        <v>99.293000000000006</v>
      </c>
      <c r="AO155" s="247">
        <f t="shared" si="519"/>
        <v>79.286999999999978</v>
      </c>
      <c r="AP155" s="247">
        <f t="shared" si="519"/>
        <v>77.48899999999999</v>
      </c>
      <c r="AQ155" s="228">
        <f t="shared" si="519"/>
        <v>80.635999999999996</v>
      </c>
      <c r="AR155" s="248">
        <f t="shared" si="519"/>
        <v>78.710000000000008</v>
      </c>
      <c r="AS155" s="247">
        <f t="shared" si="519"/>
        <v>-21.184000000000005</v>
      </c>
      <c r="AT155" s="247">
        <f t="shared" si="519"/>
        <v>10.173000000000039</v>
      </c>
      <c r="AU155" s="228">
        <f t="shared" si="519"/>
        <v>59.690000000000055</v>
      </c>
      <c r="AV155" s="248">
        <f t="shared" si="519"/>
        <v>78.578999999999951</v>
      </c>
      <c r="AW155" s="247">
        <f t="shared" si="519"/>
        <v>99.805999999999912</v>
      </c>
      <c r="AX155" s="247">
        <f t="shared" si="519"/>
        <v>105.40100000000004</v>
      </c>
      <c r="AY155" s="228">
        <f t="shared" si="519"/>
        <v>111.49500000000006</v>
      </c>
      <c r="AZ155" s="247">
        <f t="shared" si="519"/>
        <v>89.908999999999992</v>
      </c>
      <c r="BA155" s="247">
        <f t="shared" si="519"/>
        <v>93.641000000000062</v>
      </c>
      <c r="BB155" s="247">
        <f t="shared" si="519"/>
        <v>86.057000000000045</v>
      </c>
      <c r="BC155" s="228">
        <f t="shared" si="519"/>
        <v>99.402000000000015</v>
      </c>
      <c r="BD155" s="247">
        <f t="shared" si="519"/>
        <v>130.66699999999997</v>
      </c>
      <c r="BE155" s="247">
        <f t="shared" si="519"/>
        <v>64.898999999999916</v>
      </c>
      <c r="BF155" s="247">
        <f t="shared" si="519"/>
        <v>61.128000000000057</v>
      </c>
      <c r="BG155" s="228">
        <f t="shared" si="519"/>
        <v>67.308000000000007</v>
      </c>
      <c r="BH155" s="247">
        <f>BH86</f>
        <v>-113.3630000000001</v>
      </c>
      <c r="BI155" s="247">
        <f t="shared" ref="BI155:BK155" si="520">BI86</f>
        <v>33.919000000000054</v>
      </c>
      <c r="BJ155" s="247">
        <f t="shared" si="520"/>
        <v>107.17499999999997</v>
      </c>
      <c r="BK155" s="228">
        <f t="shared" si="520"/>
        <v>136.90800000000002</v>
      </c>
      <c r="BL155" s="247">
        <f t="shared" si="519"/>
        <v>170.58699999999996</v>
      </c>
      <c r="BM155" s="247">
        <f t="shared" si="519"/>
        <v>189.15599999999998</v>
      </c>
      <c r="BN155" s="247">
        <f t="shared" si="519"/>
        <v>-251.08600000000001</v>
      </c>
      <c r="BO155" s="228">
        <f t="shared" si="519"/>
        <v>319.36396904051264</v>
      </c>
      <c r="BP155" s="247">
        <f t="shared" si="519"/>
        <v>340.18058113278784</v>
      </c>
      <c r="BQ155" s="247">
        <f t="shared" si="519"/>
        <v>355.90966127439862</v>
      </c>
      <c r="BR155" s="247">
        <f t="shared" si="519"/>
        <v>346.07916920057528</v>
      </c>
      <c r="BS155" s="228">
        <f t="shared" si="519"/>
        <v>342.83251464298598</v>
      </c>
      <c r="BT155" s="1391">
        <f t="shared" ref="BT155:BW155" si="521">BT86</f>
        <v>361.8847059608612</v>
      </c>
      <c r="BU155" s="1391">
        <f t="shared" si="521"/>
        <v>375.3479258136789</v>
      </c>
      <c r="BV155" s="1391">
        <f t="shared" si="521"/>
        <v>366.98705365713681</v>
      </c>
      <c r="BW155" s="1384">
        <f t="shared" si="521"/>
        <v>364.06060944569589</v>
      </c>
      <c r="BX155" s="20"/>
      <c r="BY155" s="248">
        <f>SUM(D155:G155)</f>
        <v>88.232000000000028</v>
      </c>
      <c r="BZ155" s="247">
        <f>SUM(H155:K155)</f>
        <v>137.262</v>
      </c>
      <c r="CA155" s="247">
        <f>SUM(L155:O155)</f>
        <v>213.785</v>
      </c>
      <c r="CB155" s="247">
        <f>SUM(P155:S155)</f>
        <v>242.36899999999997</v>
      </c>
      <c r="CC155" s="247">
        <f>SUM(T155:W155)</f>
        <v>357.029</v>
      </c>
      <c r="CD155" s="247">
        <f>SUM(X155:AA155)</f>
        <v>296.79300000000001</v>
      </c>
      <c r="CE155" s="247">
        <f>SUM(AB155:AE155)</f>
        <v>245.58700000000005</v>
      </c>
      <c r="CF155" s="247">
        <f>SUM(AF155:AI155)</f>
        <v>217.00500000000005</v>
      </c>
      <c r="CG155" s="247">
        <f>SUM(AJ155:AM155)</f>
        <v>418.94999999999993</v>
      </c>
      <c r="CH155" s="1391">
        <f>SUM(AN155:AQ155)</f>
        <v>336.70499999999993</v>
      </c>
      <c r="CI155" s="1391">
        <f>SUM(AR155:AU155)</f>
        <v>127.3890000000001</v>
      </c>
      <c r="CJ155" s="1391">
        <f>SUM(AV155:AY155)</f>
        <v>395.28100000000001</v>
      </c>
      <c r="CK155" s="247">
        <f>SUM(AZ155:BC155)</f>
        <v>369.00900000000013</v>
      </c>
      <c r="CL155" s="247">
        <f>SUM(BD155:BG155)</f>
        <v>324.00199999999995</v>
      </c>
      <c r="CM155" s="247">
        <f>SUM(BH155:BK155)</f>
        <v>164.63899999999995</v>
      </c>
      <c r="CN155" s="247">
        <f>SUM(BL155:BO155)</f>
        <v>428.02096904051257</v>
      </c>
      <c r="CO155" s="1391">
        <f>SUM(BP155:BS155)</f>
        <v>1385.0019262507476</v>
      </c>
      <c r="CP155" s="1384">
        <f t="shared" ref="CP155:CP159" si="522">SUM(BT155:BW155)</f>
        <v>1468.2802948773729</v>
      </c>
      <c r="CQ155" s="20"/>
      <c r="CR155" s="248">
        <f>SUM(G155:J155)</f>
        <v>123.45500000000004</v>
      </c>
      <c r="CS155" s="247">
        <f>SUM(K155:N155)</f>
        <v>204.227</v>
      </c>
      <c r="CT155" s="247">
        <f>SUM(O155:R155)</f>
        <v>223.20400000000001</v>
      </c>
      <c r="CU155" s="247">
        <f>SUM(S155:V155)</f>
        <v>304.88900000000001</v>
      </c>
      <c r="CV155" s="247">
        <f>SUM(W155:Z155)</f>
        <v>348.80399999999997</v>
      </c>
      <c r="CW155" s="247">
        <f>SUM(AA155:AD155)</f>
        <v>299.32000000000005</v>
      </c>
      <c r="CX155" s="247">
        <f>SUM(AE155:AH155)</f>
        <v>163.21999999999997</v>
      </c>
      <c r="CY155" s="247">
        <f>SUM(AI155:AL155)</f>
        <v>369.17100000000011</v>
      </c>
      <c r="CZ155" s="247">
        <f>SUM(AM155:AP155)</f>
        <v>381.59699999999981</v>
      </c>
      <c r="DA155" s="247">
        <f>SUM(AQ155:AT155)</f>
        <v>148.33500000000004</v>
      </c>
      <c r="DB155" s="247">
        <f>SUM(AU155:AX155)</f>
        <v>343.476</v>
      </c>
      <c r="DC155" s="247">
        <f>SUM(AY155:BB155)</f>
        <v>381.1020000000002</v>
      </c>
      <c r="DD155" s="247">
        <f>SUM(BC155:BF155)</f>
        <v>356.09599999999995</v>
      </c>
      <c r="DE155" s="247">
        <f>SUM(BG155:BJ155)</f>
        <v>95.03899999999993</v>
      </c>
      <c r="DF155" s="247">
        <f>SUM(BK155:BN155)</f>
        <v>245.56499999999994</v>
      </c>
      <c r="DG155" s="1391">
        <f>SUM(BO155:BR155)</f>
        <v>1361.5333806482743</v>
      </c>
      <c r="DH155" s="1384">
        <f>SUM(BS155:BV155)</f>
        <v>1447.052200074663</v>
      </c>
      <c r="DI155" s="8"/>
    </row>
    <row r="156" spans="1:113" ht="14.25" customHeight="1">
      <c r="A156" s="8"/>
      <c r="B156" s="973" t="s">
        <v>295</v>
      </c>
      <c r="C156" s="229"/>
      <c r="D156" s="248">
        <f t="shared" ref="D156:O156" si="523">D119</f>
        <v>0</v>
      </c>
      <c r="E156" s="247">
        <f t="shared" si="523"/>
        <v>0</v>
      </c>
      <c r="F156" s="247">
        <f t="shared" si="523"/>
        <v>0</v>
      </c>
      <c r="G156" s="228">
        <f t="shared" si="523"/>
        <v>0</v>
      </c>
      <c r="H156" s="248">
        <f t="shared" si="523"/>
        <v>0</v>
      </c>
      <c r="I156" s="247">
        <f t="shared" si="523"/>
        <v>0</v>
      </c>
      <c r="J156" s="247">
        <f t="shared" si="523"/>
        <v>0</v>
      </c>
      <c r="K156" s="228">
        <f t="shared" si="523"/>
        <v>0</v>
      </c>
      <c r="L156" s="248">
        <f t="shared" si="523"/>
        <v>0</v>
      </c>
      <c r="M156" s="247">
        <f t="shared" si="523"/>
        <v>0</v>
      </c>
      <c r="N156" s="247">
        <f t="shared" si="523"/>
        <v>0</v>
      </c>
      <c r="O156" s="228">
        <f t="shared" si="523"/>
        <v>0</v>
      </c>
      <c r="P156" s="248">
        <f>P119</f>
        <v>0</v>
      </c>
      <c r="Q156" s="247">
        <f t="shared" ref="Q156:BO156" si="524">Q119</f>
        <v>0</v>
      </c>
      <c r="R156" s="247">
        <f t="shared" si="524"/>
        <v>0</v>
      </c>
      <c r="S156" s="228">
        <f t="shared" si="524"/>
        <v>0</v>
      </c>
      <c r="T156" s="247">
        <f t="shared" si="524"/>
        <v>5.8049999999999997</v>
      </c>
      <c r="U156" s="247">
        <f t="shared" si="524"/>
        <v>6.1679999999999993</v>
      </c>
      <c r="V156" s="247">
        <f t="shared" si="524"/>
        <v>7.74</v>
      </c>
      <c r="W156" s="247">
        <f t="shared" si="524"/>
        <v>7.6659999999999995</v>
      </c>
      <c r="X156" s="248">
        <f t="shared" si="524"/>
        <v>8.0330000000000013</v>
      </c>
      <c r="Y156" s="247">
        <f t="shared" si="524"/>
        <v>7.7709999999999999</v>
      </c>
      <c r="Z156" s="247">
        <f t="shared" si="524"/>
        <v>8.3569999999999993</v>
      </c>
      <c r="AA156" s="228">
        <f t="shared" si="524"/>
        <v>8.6849999999999987</v>
      </c>
      <c r="AB156" s="247">
        <f t="shared" si="524"/>
        <v>7.6989999999999998</v>
      </c>
      <c r="AC156" s="247">
        <f t="shared" si="524"/>
        <v>8.4929999999999986</v>
      </c>
      <c r="AD156" s="247">
        <f t="shared" si="524"/>
        <v>8.1649999999999991</v>
      </c>
      <c r="AE156" s="247">
        <f t="shared" si="524"/>
        <v>8.1240000000000006</v>
      </c>
      <c r="AF156" s="248">
        <f t="shared" si="524"/>
        <v>8.9980000000000011</v>
      </c>
      <c r="AG156" s="247">
        <f t="shared" si="524"/>
        <v>9.5</v>
      </c>
      <c r="AH156" s="247">
        <f t="shared" si="524"/>
        <v>8.8369999999999997</v>
      </c>
      <c r="AI156" s="228">
        <f t="shared" si="524"/>
        <v>9.4430000000000014</v>
      </c>
      <c r="AJ156" s="247">
        <f t="shared" si="524"/>
        <v>9.4510000000000005</v>
      </c>
      <c r="AK156" s="247">
        <f t="shared" si="524"/>
        <v>8.9250000000000007</v>
      </c>
      <c r="AL156" s="247">
        <f t="shared" si="524"/>
        <v>9.4089999999999989</v>
      </c>
      <c r="AM156" s="247">
        <f t="shared" si="524"/>
        <v>9.027000000000001</v>
      </c>
      <c r="AN156" s="248">
        <f t="shared" si="524"/>
        <v>9.0239999999999991</v>
      </c>
      <c r="AO156" s="247">
        <f t="shared" si="524"/>
        <v>9.484</v>
      </c>
      <c r="AP156" s="247">
        <f t="shared" si="524"/>
        <v>9.9619999999999997</v>
      </c>
      <c r="AQ156" s="228">
        <f t="shared" si="524"/>
        <v>9.8189999999999991</v>
      </c>
      <c r="AR156" s="248">
        <f t="shared" si="524"/>
        <v>9.9860000000000007</v>
      </c>
      <c r="AS156" s="247">
        <f t="shared" si="524"/>
        <v>20.552999999999997</v>
      </c>
      <c r="AT156" s="247">
        <f t="shared" si="524"/>
        <v>14.120000000000001</v>
      </c>
      <c r="AU156" s="228">
        <f t="shared" si="524"/>
        <v>13.355999999999998</v>
      </c>
      <c r="AV156" s="248">
        <f t="shared" si="524"/>
        <v>12.656000000000001</v>
      </c>
      <c r="AW156" s="247">
        <f t="shared" si="524"/>
        <v>15</v>
      </c>
      <c r="AX156" s="247">
        <f t="shared" si="524"/>
        <v>13.719000000000001</v>
      </c>
      <c r="AY156" s="228">
        <f t="shared" si="524"/>
        <v>12.411999999999999</v>
      </c>
      <c r="AZ156" s="247">
        <f>AZ119</f>
        <v>13.321000000000002</v>
      </c>
      <c r="BA156" s="247">
        <f t="shared" si="524"/>
        <v>15.273</v>
      </c>
      <c r="BB156" s="247">
        <f t="shared" si="524"/>
        <v>14.818999999999999</v>
      </c>
      <c r="BC156" s="228">
        <f t="shared" si="524"/>
        <v>15.183</v>
      </c>
      <c r="BD156" s="247">
        <f t="shared" si="524"/>
        <v>14.111999999999998</v>
      </c>
      <c r="BE156" s="247">
        <f>BE119</f>
        <v>23.026</v>
      </c>
      <c r="BF156" s="247">
        <f>BF119</f>
        <v>16.965</v>
      </c>
      <c r="BG156" s="228">
        <f t="shared" si="524"/>
        <v>17.317</v>
      </c>
      <c r="BH156" s="247">
        <f>BH119</f>
        <v>59.579000000000001</v>
      </c>
      <c r="BI156" s="247">
        <f>BI119</f>
        <v>24.39</v>
      </c>
      <c r="BJ156" s="247">
        <f>BJ119</f>
        <v>22.12</v>
      </c>
      <c r="BK156" s="228">
        <f t="shared" ref="BK156" si="525">BK119</f>
        <v>22.066000000000003</v>
      </c>
      <c r="BL156" s="247">
        <f t="shared" si="524"/>
        <v>22.408000000000001</v>
      </c>
      <c r="BM156" s="247">
        <f t="shared" si="524"/>
        <v>23.61</v>
      </c>
      <c r="BN156" s="247">
        <f t="shared" si="524"/>
        <v>24.003</v>
      </c>
      <c r="BO156" s="228">
        <f t="shared" si="524"/>
        <v>24.003</v>
      </c>
      <c r="BP156" s="247">
        <f t="shared" ref="BP156:BW156" si="526">BP119</f>
        <v>24.003</v>
      </c>
      <c r="BQ156" s="247">
        <f t="shared" si="526"/>
        <v>24.003</v>
      </c>
      <c r="BR156" s="247">
        <f t="shared" si="526"/>
        <v>24.003</v>
      </c>
      <c r="BS156" s="228">
        <f t="shared" si="526"/>
        <v>24.003</v>
      </c>
      <c r="BT156" s="1391">
        <f t="shared" si="526"/>
        <v>24.003</v>
      </c>
      <c r="BU156" s="1391">
        <f t="shared" si="526"/>
        <v>24.003</v>
      </c>
      <c r="BV156" s="1391">
        <f t="shared" si="526"/>
        <v>24.003</v>
      </c>
      <c r="BW156" s="1384">
        <f t="shared" si="526"/>
        <v>24.003</v>
      </c>
      <c r="BX156" s="20"/>
      <c r="BY156" s="248">
        <f>SUM(D156:G156)</f>
        <v>0</v>
      </c>
      <c r="BZ156" s="247">
        <f>SUM(H156:K156)</f>
        <v>0</v>
      </c>
      <c r="CA156" s="247">
        <f>SUM(L156:O156)</f>
        <v>0</v>
      </c>
      <c r="CB156" s="247">
        <f>SUM(P156:S156)</f>
        <v>0</v>
      </c>
      <c r="CC156" s="247">
        <f>SUM(T156:W156)</f>
        <v>27.379000000000001</v>
      </c>
      <c r="CD156" s="247">
        <f>SUM(X156:AA156)</f>
        <v>32.846000000000004</v>
      </c>
      <c r="CE156" s="247">
        <f>SUM(AB156:AE156)</f>
        <v>32.481000000000002</v>
      </c>
      <c r="CF156" s="247">
        <f>SUM(AF156:AI156)</f>
        <v>36.778000000000006</v>
      </c>
      <c r="CG156" s="247">
        <f>SUM(AJ156:AM156)</f>
        <v>36.811999999999998</v>
      </c>
      <c r="CH156" s="1391">
        <f>SUM(AN156:AQ156)</f>
        <v>38.289000000000001</v>
      </c>
      <c r="CI156" s="1391">
        <f>SUM(AR156:AU156)</f>
        <v>58.015000000000001</v>
      </c>
      <c r="CJ156" s="1391">
        <f>SUM(AV156:AY156)</f>
        <v>53.786999999999999</v>
      </c>
      <c r="CK156" s="247">
        <f>SUM(AZ156:BC156)</f>
        <v>58.595999999999997</v>
      </c>
      <c r="CL156" s="247">
        <f>SUM(BD156:BG156)</f>
        <v>71.419999999999987</v>
      </c>
      <c r="CM156" s="247">
        <f>SUM(BH156:BK156)</f>
        <v>128.155</v>
      </c>
      <c r="CN156" s="247">
        <f>SUM(BL156:BO156)</f>
        <v>94.024000000000001</v>
      </c>
      <c r="CO156" s="1391">
        <f>SUM(BP156:BS156)</f>
        <v>96.012</v>
      </c>
      <c r="CP156" s="1384">
        <f t="shared" si="522"/>
        <v>96.012</v>
      </c>
      <c r="CQ156" s="20"/>
      <c r="CR156" s="248">
        <f>SUM(G156:J156)</f>
        <v>0</v>
      </c>
      <c r="CS156" s="247">
        <f>SUM(K156:N156)</f>
        <v>0</v>
      </c>
      <c r="CT156" s="247">
        <f>SUM(O156:R156)</f>
        <v>0</v>
      </c>
      <c r="CU156" s="247">
        <f>SUM(S156:V156)</f>
        <v>19.713000000000001</v>
      </c>
      <c r="CV156" s="247">
        <f>SUM(W156:Z156)</f>
        <v>31.827000000000002</v>
      </c>
      <c r="CW156" s="247">
        <f>SUM(AA156:AD156)</f>
        <v>33.042000000000002</v>
      </c>
      <c r="CX156" s="247">
        <f>SUM(AE156:AH156)</f>
        <v>35.459000000000003</v>
      </c>
      <c r="CY156" s="247">
        <f>SUM(AI156:AL156)</f>
        <v>37.228000000000002</v>
      </c>
      <c r="CZ156" s="247">
        <f>SUM(AM156:AP156)</f>
        <v>37.497</v>
      </c>
      <c r="DA156" s="247">
        <f>SUM(AQ156:AT156)</f>
        <v>54.477999999999994</v>
      </c>
      <c r="DB156" s="247">
        <f>SUM(AU156:AX156)</f>
        <v>54.731000000000002</v>
      </c>
      <c r="DC156" s="247">
        <f>SUM(AY156:BB156)</f>
        <v>55.825000000000003</v>
      </c>
      <c r="DD156" s="247">
        <f>SUM(BC156:BF156)</f>
        <v>69.286000000000001</v>
      </c>
      <c r="DE156" s="247">
        <f>SUM(BG156:BJ156)</f>
        <v>123.40600000000001</v>
      </c>
      <c r="DF156" s="247">
        <f>SUM(BK156:BN156)</f>
        <v>92.087000000000003</v>
      </c>
      <c r="DG156" s="1391">
        <f>SUM(BO156:BR156)</f>
        <v>96.012</v>
      </c>
      <c r="DH156" s="1384">
        <f>SUM(BS156:BV156)</f>
        <v>96.012</v>
      </c>
      <c r="DI156" s="8"/>
    </row>
    <row r="157" spans="1:113" ht="14.25" customHeight="1">
      <c r="A157" s="8"/>
      <c r="B157" s="973" t="s">
        <v>414</v>
      </c>
      <c r="C157" s="229"/>
      <c r="D157" s="248">
        <f t="shared" ref="D157:O157" si="527">+D165</f>
        <v>0</v>
      </c>
      <c r="E157" s="247">
        <f t="shared" si="527"/>
        <v>0</v>
      </c>
      <c r="F157" s="247">
        <f t="shared" si="527"/>
        <v>0</v>
      </c>
      <c r="G157" s="228">
        <f t="shared" si="527"/>
        <v>0</v>
      </c>
      <c r="H157" s="248">
        <f t="shared" si="527"/>
        <v>0</v>
      </c>
      <c r="I157" s="247">
        <f t="shared" si="527"/>
        <v>0</v>
      </c>
      <c r="J157" s="247">
        <f t="shared" si="527"/>
        <v>0</v>
      </c>
      <c r="K157" s="228">
        <f t="shared" si="527"/>
        <v>0</v>
      </c>
      <c r="L157" s="248">
        <f t="shared" si="527"/>
        <v>0</v>
      </c>
      <c r="M157" s="247">
        <f t="shared" si="527"/>
        <v>0</v>
      </c>
      <c r="N157" s="247">
        <f t="shared" si="527"/>
        <v>0</v>
      </c>
      <c r="O157" s="228">
        <f t="shared" si="527"/>
        <v>0</v>
      </c>
      <c r="P157" s="248">
        <f>+P165</f>
        <v>0</v>
      </c>
      <c r="Q157" s="247">
        <f t="shared" ref="Q157:BO157" si="528">+Q165</f>
        <v>0</v>
      </c>
      <c r="R157" s="247">
        <f t="shared" si="528"/>
        <v>0</v>
      </c>
      <c r="S157" s="228">
        <f t="shared" si="528"/>
        <v>0</v>
      </c>
      <c r="T157" s="247">
        <f t="shared" si="528"/>
        <v>0</v>
      </c>
      <c r="U157" s="247">
        <f t="shared" si="528"/>
        <v>0</v>
      </c>
      <c r="V157" s="247">
        <f t="shared" si="528"/>
        <v>0</v>
      </c>
      <c r="W157" s="247">
        <f t="shared" si="528"/>
        <v>0</v>
      </c>
      <c r="X157" s="248">
        <f t="shared" si="528"/>
        <v>0</v>
      </c>
      <c r="Y157" s="247">
        <f t="shared" si="528"/>
        <v>0</v>
      </c>
      <c r="Z157" s="247">
        <f t="shared" si="528"/>
        <v>0</v>
      </c>
      <c r="AA157" s="228">
        <f t="shared" si="528"/>
        <v>0</v>
      </c>
      <c r="AB157" s="247">
        <f t="shared" si="528"/>
        <v>0</v>
      </c>
      <c r="AC157" s="247">
        <f t="shared" si="528"/>
        <v>0</v>
      </c>
      <c r="AD157" s="247">
        <f t="shared" si="528"/>
        <v>0</v>
      </c>
      <c r="AE157" s="247">
        <f t="shared" si="528"/>
        <v>0</v>
      </c>
      <c r="AF157" s="248">
        <f t="shared" si="528"/>
        <v>0</v>
      </c>
      <c r="AG157" s="247">
        <f t="shared" si="528"/>
        <v>0</v>
      </c>
      <c r="AH157" s="247">
        <f t="shared" si="528"/>
        <v>0</v>
      </c>
      <c r="AI157" s="228">
        <f t="shared" si="528"/>
        <v>0</v>
      </c>
      <c r="AJ157" s="247">
        <f t="shared" si="528"/>
        <v>0</v>
      </c>
      <c r="AK157" s="247">
        <f t="shared" si="528"/>
        <v>0</v>
      </c>
      <c r="AL157" s="247">
        <f t="shared" si="528"/>
        <v>0</v>
      </c>
      <c r="AM157" s="247">
        <f t="shared" si="528"/>
        <v>0</v>
      </c>
      <c r="AN157" s="248">
        <f t="shared" si="528"/>
        <v>0</v>
      </c>
      <c r="AO157" s="247">
        <f t="shared" si="528"/>
        <v>2.7029999999999998</v>
      </c>
      <c r="AP157" s="247">
        <f t="shared" si="528"/>
        <v>2.6779999999999999</v>
      </c>
      <c r="AQ157" s="228">
        <f t="shared" si="528"/>
        <v>-5.3810000000000002</v>
      </c>
      <c r="AR157" s="248">
        <f t="shared" si="528"/>
        <v>0</v>
      </c>
      <c r="AS157" s="247">
        <f t="shared" si="528"/>
        <v>27.858000000000001</v>
      </c>
      <c r="AT157" s="247">
        <f t="shared" si="528"/>
        <v>39.710999999999999</v>
      </c>
      <c r="AU157" s="228">
        <f t="shared" si="528"/>
        <v>43.968000000000004</v>
      </c>
      <c r="AV157" s="248">
        <f t="shared" si="528"/>
        <v>28.565000000000001</v>
      </c>
      <c r="AW157" s="247">
        <f t="shared" si="528"/>
        <v>24.126999999999999</v>
      </c>
      <c r="AX157" s="247">
        <f t="shared" si="528"/>
        <v>22.306999999999999</v>
      </c>
      <c r="AY157" s="228">
        <f t="shared" si="528"/>
        <v>22.189</v>
      </c>
      <c r="AZ157" s="247">
        <f>+AZ165</f>
        <v>37.58</v>
      </c>
      <c r="BA157" s="247">
        <f t="shared" si="528"/>
        <v>47.234000000000002</v>
      </c>
      <c r="BB157" s="247">
        <f t="shared" si="528"/>
        <v>48.105000000000004</v>
      </c>
      <c r="BC157" s="228">
        <f t="shared" si="528"/>
        <v>47.828000000000003</v>
      </c>
      <c r="BD157" s="247">
        <f t="shared" si="528"/>
        <v>36.786000000000001</v>
      </c>
      <c r="BE157" s="247">
        <f>+BE165</f>
        <v>44.903000000000006</v>
      </c>
      <c r="BF157" s="247">
        <f>+BF165</f>
        <v>49.772999999999996</v>
      </c>
      <c r="BG157" s="228">
        <f t="shared" si="528"/>
        <v>53.171999999999997</v>
      </c>
      <c r="BH157" s="247">
        <f>+BH165</f>
        <v>95.117000000000004</v>
      </c>
      <c r="BI157" s="247">
        <f>+BI165</f>
        <v>83.996000000000009</v>
      </c>
      <c r="BJ157" s="247">
        <f>+BJ165</f>
        <v>86.234999999999999</v>
      </c>
      <c r="BK157" s="228">
        <f t="shared" ref="BK157" si="529">+BK165</f>
        <v>99.45</v>
      </c>
      <c r="BL157" s="247">
        <f t="shared" si="528"/>
        <v>123.705</v>
      </c>
      <c r="BM157" s="247">
        <f t="shared" si="528"/>
        <v>121.63</v>
      </c>
      <c r="BN157" s="247">
        <f t="shared" si="528"/>
        <v>122.224</v>
      </c>
      <c r="BO157" s="228">
        <f t="shared" si="528"/>
        <v>0</v>
      </c>
      <c r="BP157" s="247">
        <f t="shared" ref="BP157:BW157" si="530">+BP165</f>
        <v>0</v>
      </c>
      <c r="BQ157" s="247">
        <f t="shared" si="530"/>
        <v>0</v>
      </c>
      <c r="BR157" s="247">
        <f t="shared" si="530"/>
        <v>0</v>
      </c>
      <c r="BS157" s="228">
        <f t="shared" si="530"/>
        <v>0</v>
      </c>
      <c r="BT157" s="1391">
        <f t="shared" si="530"/>
        <v>0</v>
      </c>
      <c r="BU157" s="1391">
        <f t="shared" si="530"/>
        <v>0</v>
      </c>
      <c r="BV157" s="1391">
        <f t="shared" si="530"/>
        <v>0</v>
      </c>
      <c r="BW157" s="1384">
        <f t="shared" si="530"/>
        <v>0</v>
      </c>
      <c r="BX157" s="20"/>
      <c r="BY157" s="248">
        <f>SUM(D157:G157)</f>
        <v>0</v>
      </c>
      <c r="BZ157" s="247">
        <f>SUM(H157:K157)</f>
        <v>0</v>
      </c>
      <c r="CA157" s="247">
        <f>SUM(L157:O157)</f>
        <v>0</v>
      </c>
      <c r="CB157" s="247">
        <f>SUM(P157:S157)</f>
        <v>0</v>
      </c>
      <c r="CC157" s="247">
        <f>SUM(T157:W157)</f>
        <v>0</v>
      </c>
      <c r="CD157" s="247">
        <f>SUM(X157:AA157)</f>
        <v>0</v>
      </c>
      <c r="CE157" s="247">
        <f>SUM(AB157:AE157)</f>
        <v>0</v>
      </c>
      <c r="CF157" s="247">
        <f>SUM(AF157:AI157)</f>
        <v>0</v>
      </c>
      <c r="CG157" s="247">
        <f>SUM(AJ157:AM157)</f>
        <v>0</v>
      </c>
      <c r="CH157" s="1391">
        <f>SUM(AN157:AQ157)</f>
        <v>0</v>
      </c>
      <c r="CI157" s="1391">
        <f>SUM(AR157:AU157)</f>
        <v>111.53700000000001</v>
      </c>
      <c r="CJ157" s="1391">
        <f>SUM(AV157:AY157)</f>
        <v>97.187999999999988</v>
      </c>
      <c r="CK157" s="247">
        <f>SUM(AZ157:BC157)</f>
        <v>180.74699999999999</v>
      </c>
      <c r="CL157" s="247">
        <f>SUM(BD157:BG157)</f>
        <v>184.63399999999999</v>
      </c>
      <c r="CM157" s="247">
        <f>SUM(BH157:BK157)</f>
        <v>364.798</v>
      </c>
      <c r="CN157" s="247">
        <f>SUM(BL157:BO157)</f>
        <v>367.55899999999997</v>
      </c>
      <c r="CO157" s="1391">
        <f>SUM(BP157:BS157)</f>
        <v>0</v>
      </c>
      <c r="CP157" s="1384">
        <f t="shared" si="522"/>
        <v>0</v>
      </c>
      <c r="CQ157" s="20"/>
      <c r="CR157" s="248">
        <f>SUM(G157:J157)</f>
        <v>0</v>
      </c>
      <c r="CS157" s="247">
        <f>SUM(K157:N157)</f>
        <v>0</v>
      </c>
      <c r="CT157" s="247">
        <f>SUM(O157:R157)</f>
        <v>0</v>
      </c>
      <c r="CU157" s="247">
        <f>SUM(S157:V157)</f>
        <v>0</v>
      </c>
      <c r="CV157" s="247">
        <f>SUM(W157:Z157)</f>
        <v>0</v>
      </c>
      <c r="CW157" s="247">
        <f>SUM(AA157:AD157)</f>
        <v>0</v>
      </c>
      <c r="CX157" s="247">
        <f>SUM(AE157:AH157)</f>
        <v>0</v>
      </c>
      <c r="CY157" s="247">
        <f>SUM(AI157:AL157)</f>
        <v>0</v>
      </c>
      <c r="CZ157" s="247">
        <f>SUM(AM157:AP157)</f>
        <v>5.3810000000000002</v>
      </c>
      <c r="DA157" s="247">
        <f>SUM(AQ157:AT157)</f>
        <v>62.188000000000002</v>
      </c>
      <c r="DB157" s="247">
        <f>SUM(AU157:AX157)</f>
        <v>118.967</v>
      </c>
      <c r="DC157" s="247">
        <f>SUM(AY157:BB157)</f>
        <v>155.108</v>
      </c>
      <c r="DD157" s="247">
        <f>SUM(BC157:BF157)</f>
        <v>179.29</v>
      </c>
      <c r="DE157" s="247">
        <f>SUM(BG157:BJ157)</f>
        <v>318.52</v>
      </c>
      <c r="DF157" s="247">
        <f>SUM(BK157:BN157)</f>
        <v>467.00899999999996</v>
      </c>
      <c r="DG157" s="1391">
        <f>SUM(BO157:BR157)</f>
        <v>0</v>
      </c>
      <c r="DH157" s="1384">
        <f>SUM(BS157:BV157)</f>
        <v>0</v>
      </c>
      <c r="DI157" s="8"/>
    </row>
    <row r="158" spans="1:113" ht="14.25" customHeight="1">
      <c r="A158" s="8"/>
      <c r="B158" s="973" t="s">
        <v>415</v>
      </c>
      <c r="C158" s="229"/>
      <c r="D158" s="591">
        <f t="shared" ref="D158:O158" si="531">D149</f>
        <v>20.743000000000002</v>
      </c>
      <c r="E158" s="592">
        <f t="shared" si="531"/>
        <v>41.5</v>
      </c>
      <c r="F158" s="592">
        <f t="shared" si="531"/>
        <v>0</v>
      </c>
      <c r="G158" s="593">
        <f t="shared" si="531"/>
        <v>0</v>
      </c>
      <c r="H158" s="591">
        <f t="shared" si="531"/>
        <v>33.366999999999997</v>
      </c>
      <c r="I158" s="592">
        <f t="shared" si="531"/>
        <v>0</v>
      </c>
      <c r="J158" s="592">
        <f t="shared" si="531"/>
        <v>-0.747</v>
      </c>
      <c r="K158" s="593">
        <f t="shared" si="531"/>
        <v>0</v>
      </c>
      <c r="L158" s="591">
        <f t="shared" si="531"/>
        <v>21.1</v>
      </c>
      <c r="M158" s="592">
        <f t="shared" si="531"/>
        <v>0</v>
      </c>
      <c r="N158" s="592">
        <f t="shared" si="531"/>
        <v>0</v>
      </c>
      <c r="O158" s="593">
        <f t="shared" si="531"/>
        <v>0</v>
      </c>
      <c r="P158" s="591">
        <f>P149</f>
        <v>0</v>
      </c>
      <c r="Q158" s="592">
        <f t="shared" ref="Q158:BO158" si="532">Q149</f>
        <v>0</v>
      </c>
      <c r="R158" s="592">
        <f t="shared" si="532"/>
        <v>0</v>
      </c>
      <c r="S158" s="593">
        <f t="shared" si="532"/>
        <v>0</v>
      </c>
      <c r="T158" s="592">
        <f t="shared" si="532"/>
        <v>0</v>
      </c>
      <c r="U158" s="592">
        <f t="shared" si="532"/>
        <v>0</v>
      </c>
      <c r="V158" s="592">
        <f t="shared" si="532"/>
        <v>0</v>
      </c>
      <c r="W158" s="592">
        <f t="shared" si="532"/>
        <v>0</v>
      </c>
      <c r="X158" s="591">
        <f t="shared" si="532"/>
        <v>0</v>
      </c>
      <c r="Y158" s="592">
        <f t="shared" si="532"/>
        <v>26.763000000000002</v>
      </c>
      <c r="Z158" s="592">
        <f t="shared" si="532"/>
        <v>0</v>
      </c>
      <c r="AA158" s="593">
        <f t="shared" si="532"/>
        <v>0</v>
      </c>
      <c r="AB158" s="592">
        <f t="shared" si="532"/>
        <v>1.2410000000000001</v>
      </c>
      <c r="AC158" s="592">
        <f t="shared" si="532"/>
        <v>1.288</v>
      </c>
      <c r="AD158" s="592">
        <f t="shared" si="532"/>
        <v>21.529</v>
      </c>
      <c r="AE158" s="592">
        <f t="shared" si="532"/>
        <v>-4.3689999999999998</v>
      </c>
      <c r="AF158" s="591">
        <f t="shared" si="532"/>
        <v>-1.4260000000000002</v>
      </c>
      <c r="AG158" s="592">
        <f t="shared" si="532"/>
        <v>0.32299999999999973</v>
      </c>
      <c r="AH158" s="592">
        <f t="shared" si="532"/>
        <v>2.2130000000000001</v>
      </c>
      <c r="AI158" s="593">
        <f t="shared" si="532"/>
        <v>3.2709999999999999</v>
      </c>
      <c r="AJ158" s="592">
        <f t="shared" si="532"/>
        <v>13.004999999999999</v>
      </c>
      <c r="AK158" s="592">
        <f t="shared" si="532"/>
        <v>9.5120000000000005</v>
      </c>
      <c r="AL158" s="592">
        <f t="shared" si="532"/>
        <v>7.1530000000000005</v>
      </c>
      <c r="AM158" s="592">
        <f t="shared" si="532"/>
        <v>10.738</v>
      </c>
      <c r="AN158" s="591">
        <f t="shared" si="532"/>
        <v>5.0640000000000001</v>
      </c>
      <c r="AO158" s="592">
        <f t="shared" si="532"/>
        <v>3.887</v>
      </c>
      <c r="AP158" s="592">
        <f t="shared" si="532"/>
        <v>1.4900000000000002</v>
      </c>
      <c r="AQ158" s="593">
        <f t="shared" si="532"/>
        <v>11.566000000000001</v>
      </c>
      <c r="AR158" s="591">
        <f t="shared" si="532"/>
        <v>10.839</v>
      </c>
      <c r="AS158" s="592">
        <f t="shared" si="532"/>
        <v>64.671999999999997</v>
      </c>
      <c r="AT158" s="592">
        <f t="shared" si="532"/>
        <v>36.491</v>
      </c>
      <c r="AU158" s="593">
        <f t="shared" si="532"/>
        <v>11.644000000000005</v>
      </c>
      <c r="AV158" s="591">
        <f t="shared" si="532"/>
        <v>3.8619999999999983</v>
      </c>
      <c r="AW158" s="592">
        <f t="shared" si="532"/>
        <v>2.2240000000000002</v>
      </c>
      <c r="AX158" s="592">
        <f t="shared" si="532"/>
        <v>0.69099999999999895</v>
      </c>
      <c r="AY158" s="593">
        <f t="shared" si="532"/>
        <v>3.8870000000000005</v>
      </c>
      <c r="AZ158" s="592">
        <f>AZ149</f>
        <v>11.842000000000006</v>
      </c>
      <c r="BA158" s="592">
        <f t="shared" si="532"/>
        <v>15.909999999999997</v>
      </c>
      <c r="BB158" s="592">
        <f t="shared" si="532"/>
        <v>10.897999999999996</v>
      </c>
      <c r="BC158" s="593">
        <f t="shared" si="532"/>
        <v>43.265000000000001</v>
      </c>
      <c r="BD158" s="592">
        <f t="shared" si="532"/>
        <v>-2.152000000000001</v>
      </c>
      <c r="BE158" s="592">
        <f>BE149</f>
        <v>39.659999999999982</v>
      </c>
      <c r="BF158" s="592">
        <f>BF149</f>
        <v>37.043999999999997</v>
      </c>
      <c r="BG158" s="593">
        <f t="shared" si="532"/>
        <v>43.906000000000006</v>
      </c>
      <c r="BH158" s="592">
        <f>BH149</f>
        <v>147.60700000000003</v>
      </c>
      <c r="BI158" s="592">
        <f>BI149</f>
        <v>107.94800000000001</v>
      </c>
      <c r="BJ158" s="592">
        <f>BJ149</f>
        <v>77.047999999999988</v>
      </c>
      <c r="BK158" s="593">
        <f t="shared" ref="BK158" si="533">BK149</f>
        <v>109.08899999999998</v>
      </c>
      <c r="BL158" s="592">
        <f t="shared" si="532"/>
        <v>37.245999999999995</v>
      </c>
      <c r="BM158" s="592">
        <f t="shared" si="532"/>
        <v>47.103000000000009</v>
      </c>
      <c r="BN158" s="592">
        <f t="shared" si="532"/>
        <v>30.135000000000005</v>
      </c>
      <c r="BO158" s="593">
        <f t="shared" si="532"/>
        <v>0</v>
      </c>
      <c r="BP158" s="592">
        <f t="shared" ref="BP158:BW158" si="534">BP149</f>
        <v>0</v>
      </c>
      <c r="BQ158" s="592">
        <f t="shared" si="534"/>
        <v>0</v>
      </c>
      <c r="BR158" s="592">
        <f t="shared" si="534"/>
        <v>0</v>
      </c>
      <c r="BS158" s="593">
        <f t="shared" si="534"/>
        <v>0</v>
      </c>
      <c r="BT158" s="1406">
        <f t="shared" si="534"/>
        <v>0</v>
      </c>
      <c r="BU158" s="1406">
        <f t="shared" si="534"/>
        <v>0</v>
      </c>
      <c r="BV158" s="1406">
        <f t="shared" si="534"/>
        <v>0</v>
      </c>
      <c r="BW158" s="593">
        <f t="shared" si="534"/>
        <v>0</v>
      </c>
      <c r="BX158" s="20"/>
      <c r="BY158" s="591">
        <f>SUM(D158:G158)</f>
        <v>62.243000000000002</v>
      </c>
      <c r="BZ158" s="592">
        <f>SUM(H158:K158)</f>
        <v>32.619999999999997</v>
      </c>
      <c r="CA158" s="592">
        <f>SUM(L158:O158)</f>
        <v>21.1</v>
      </c>
      <c r="CB158" s="592">
        <f>SUM(P158:S158)</f>
        <v>0</v>
      </c>
      <c r="CC158" s="592">
        <f>SUM(T158:W158)</f>
        <v>0</v>
      </c>
      <c r="CD158" s="592">
        <f>SUM(X158:AA158)</f>
        <v>26.763000000000002</v>
      </c>
      <c r="CE158" s="592">
        <f>SUM(AB158:AE158)</f>
        <v>19.689</v>
      </c>
      <c r="CF158" s="592">
        <f>SUM(AF158:AI158)</f>
        <v>4.3809999999999993</v>
      </c>
      <c r="CG158" s="592">
        <f>SUM(AJ158:AM158)</f>
        <v>40.408000000000001</v>
      </c>
      <c r="CH158" s="1406">
        <f>SUM(AN158:AQ158)</f>
        <v>22.007000000000001</v>
      </c>
      <c r="CI158" s="1406">
        <f>SUM(AR158:AU158)</f>
        <v>123.646</v>
      </c>
      <c r="CJ158" s="1406">
        <f>SUM(AV158:AY158)</f>
        <v>10.663999999999998</v>
      </c>
      <c r="CK158" s="592">
        <f>SUM(AZ158:BC158)</f>
        <v>81.914999999999992</v>
      </c>
      <c r="CL158" s="592">
        <f>SUM(BD158:BG158)</f>
        <v>118.45799999999998</v>
      </c>
      <c r="CM158" s="592">
        <f>SUM(BH158:BK158)</f>
        <v>441.69200000000001</v>
      </c>
      <c r="CN158" s="592">
        <f>SUM(BL158:BO158)</f>
        <v>114.48400000000001</v>
      </c>
      <c r="CO158" s="1406">
        <f>SUM(BP158:BS158)</f>
        <v>0</v>
      </c>
      <c r="CP158" s="593">
        <f t="shared" si="522"/>
        <v>0</v>
      </c>
      <c r="CQ158" s="20"/>
      <c r="CR158" s="591">
        <f>SUM(G158:J158)</f>
        <v>32.619999999999997</v>
      </c>
      <c r="CS158" s="592">
        <f>SUM(K158:N158)</f>
        <v>21.1</v>
      </c>
      <c r="CT158" s="592">
        <f>SUM(O158:R158)</f>
        <v>0</v>
      </c>
      <c r="CU158" s="592">
        <f>SUM(S158:V158)</f>
        <v>0</v>
      </c>
      <c r="CV158" s="592">
        <f>SUM(W158:Z158)</f>
        <v>26.763000000000002</v>
      </c>
      <c r="CW158" s="592">
        <f>SUM(AA158:AD158)</f>
        <v>24.058</v>
      </c>
      <c r="CX158" s="592">
        <f>SUM(AE158:AH158)</f>
        <v>-3.2590000000000003</v>
      </c>
      <c r="CY158" s="592">
        <f>SUM(AI158:AL158)</f>
        <v>32.941000000000003</v>
      </c>
      <c r="CZ158" s="592">
        <f>SUM(AM158:AP158)</f>
        <v>21.179000000000002</v>
      </c>
      <c r="DA158" s="592">
        <f>SUM(AQ158:AT158)</f>
        <v>123.568</v>
      </c>
      <c r="DB158" s="592">
        <f>SUM(AU158:AX158)</f>
        <v>18.421000000000003</v>
      </c>
      <c r="DC158" s="592">
        <f>SUM(AY158:BB158)</f>
        <v>42.536999999999999</v>
      </c>
      <c r="DD158" s="592">
        <f>SUM(BC158:BF158)</f>
        <v>117.81699999999998</v>
      </c>
      <c r="DE158" s="592">
        <f>SUM(BG158:BJ158)</f>
        <v>376.50900000000001</v>
      </c>
      <c r="DF158" s="592">
        <f>SUM(BK158:BN158)</f>
        <v>223.57299999999998</v>
      </c>
      <c r="DG158" s="1406">
        <f>SUM(BO158:BR158)</f>
        <v>0</v>
      </c>
      <c r="DH158" s="593">
        <f>SUM(BS158:BV158)</f>
        <v>0</v>
      </c>
      <c r="DI158" s="8"/>
    </row>
    <row r="159" spans="1:113" ht="14.25" customHeight="1">
      <c r="A159" s="8"/>
      <c r="B159" s="988" t="s">
        <v>13</v>
      </c>
      <c r="C159" s="989"/>
      <c r="D159" s="627">
        <f t="shared" ref="D159:O159" si="535">D150+D120</f>
        <v>0</v>
      </c>
      <c r="E159" s="628">
        <f t="shared" si="535"/>
        <v>-16.600000000000001</v>
      </c>
      <c r="F159" s="628">
        <f t="shared" si="535"/>
        <v>0</v>
      </c>
      <c r="G159" s="629">
        <f t="shared" si="535"/>
        <v>0</v>
      </c>
      <c r="H159" s="627">
        <f t="shared" si="535"/>
        <v>-13.347</v>
      </c>
      <c r="I159" s="628">
        <f t="shared" si="535"/>
        <v>0</v>
      </c>
      <c r="J159" s="628">
        <f t="shared" si="535"/>
        <v>0.29899999999999999</v>
      </c>
      <c r="K159" s="629">
        <f t="shared" si="535"/>
        <v>0</v>
      </c>
      <c r="L159" s="627">
        <f t="shared" si="535"/>
        <v>-8.1240000000000006</v>
      </c>
      <c r="M159" s="628">
        <f t="shared" si="535"/>
        <v>0</v>
      </c>
      <c r="N159" s="628">
        <f t="shared" si="535"/>
        <v>0</v>
      </c>
      <c r="O159" s="629">
        <f t="shared" si="535"/>
        <v>0</v>
      </c>
      <c r="P159" s="627">
        <f>P150+P120</f>
        <v>0</v>
      </c>
      <c r="Q159" s="628">
        <f t="shared" ref="Q159:BO159" si="536">Q150+Q120</f>
        <v>0</v>
      </c>
      <c r="R159" s="628">
        <f t="shared" si="536"/>
        <v>0</v>
      </c>
      <c r="S159" s="629">
        <f t="shared" si="536"/>
        <v>0</v>
      </c>
      <c r="T159" s="628">
        <f t="shared" si="536"/>
        <v>-1.3929999999999998</v>
      </c>
      <c r="U159" s="628">
        <f t="shared" si="536"/>
        <v>-1.4799999999999995</v>
      </c>
      <c r="V159" s="628">
        <f t="shared" si="536"/>
        <v>-1.8570000000000002</v>
      </c>
      <c r="W159" s="628">
        <f t="shared" si="536"/>
        <v>-54.040000000000006</v>
      </c>
      <c r="X159" s="627">
        <f t="shared" si="536"/>
        <v>-1.631000000000002</v>
      </c>
      <c r="Y159" s="628">
        <f t="shared" si="536"/>
        <v>-11.890000000000002</v>
      </c>
      <c r="Z159" s="628">
        <f t="shared" si="536"/>
        <v>-7.2789999999999999</v>
      </c>
      <c r="AA159" s="629">
        <f t="shared" si="536"/>
        <v>-6.1609999999999987</v>
      </c>
      <c r="AB159" s="628">
        <f t="shared" si="536"/>
        <v>-1.871</v>
      </c>
      <c r="AC159" s="628">
        <f t="shared" si="536"/>
        <v>-2.0329999999999999</v>
      </c>
      <c r="AD159" s="628">
        <f>AD150+AD120</f>
        <v>-60.866000000000007</v>
      </c>
      <c r="AE159" s="628">
        <f t="shared" si="536"/>
        <v>2.1369999999999996</v>
      </c>
      <c r="AF159" s="627">
        <f t="shared" si="536"/>
        <v>5.699999999999994E-2</v>
      </c>
      <c r="AG159" s="628">
        <f t="shared" si="536"/>
        <v>-1.147</v>
      </c>
      <c r="AH159" s="628">
        <f t="shared" si="536"/>
        <v>-10.328999999999999</v>
      </c>
      <c r="AI159" s="629">
        <f t="shared" si="536"/>
        <v>-1.7649999999999999</v>
      </c>
      <c r="AJ159" s="628">
        <f t="shared" si="536"/>
        <v>-2.0760000000000001</v>
      </c>
      <c r="AK159" s="628">
        <f t="shared" si="536"/>
        <v>-1.9320000000000002</v>
      </c>
      <c r="AL159" s="628">
        <f t="shared" si="536"/>
        <v>-3.58</v>
      </c>
      <c r="AM159" s="628">
        <f t="shared" si="536"/>
        <v>-26.273999999999997</v>
      </c>
      <c r="AN159" s="627">
        <f t="shared" si="536"/>
        <v>-2.0289999999999999</v>
      </c>
      <c r="AO159" s="628">
        <f t="shared" si="536"/>
        <v>-2.7669999999999999</v>
      </c>
      <c r="AP159" s="628">
        <f t="shared" si="536"/>
        <v>-6.1950000000000003</v>
      </c>
      <c r="AQ159" s="629">
        <f t="shared" si="536"/>
        <v>-2.2959999999999998</v>
      </c>
      <c r="AR159" s="627">
        <f t="shared" si="536"/>
        <v>-2.649</v>
      </c>
      <c r="AS159" s="628">
        <f t="shared" si="536"/>
        <v>5.8499999999999979</v>
      </c>
      <c r="AT159" s="628">
        <f t="shared" si="536"/>
        <v>-15.967000000000002</v>
      </c>
      <c r="AU159" s="629">
        <f t="shared" si="536"/>
        <v>-15.299999999999999</v>
      </c>
      <c r="AV159" s="627">
        <f t="shared" si="536"/>
        <v>-3.2709999999999999</v>
      </c>
      <c r="AW159" s="628">
        <f t="shared" si="536"/>
        <v>-4.774</v>
      </c>
      <c r="AX159" s="628">
        <f t="shared" si="536"/>
        <v>-9.23</v>
      </c>
      <c r="AY159" s="629">
        <f t="shared" si="536"/>
        <v>-8.6840000000000011</v>
      </c>
      <c r="AZ159" s="628">
        <f>AZ150+AZ120</f>
        <v>-1.0180000000000007</v>
      </c>
      <c r="BA159" s="628">
        <f t="shared" si="536"/>
        <v>-19.729999999999997</v>
      </c>
      <c r="BB159" s="628">
        <f t="shared" si="536"/>
        <v>-15.078000000000001</v>
      </c>
      <c r="BC159" s="629">
        <f t="shared" si="536"/>
        <v>-56.883000000000003</v>
      </c>
      <c r="BD159" s="628">
        <f t="shared" si="536"/>
        <v>-30.096</v>
      </c>
      <c r="BE159" s="628">
        <f>BE150+BE120</f>
        <v>-29.581999999999994</v>
      </c>
      <c r="BF159" s="628">
        <f>BF150+BF120</f>
        <v>-26.474000000000007</v>
      </c>
      <c r="BG159" s="629">
        <f t="shared" si="536"/>
        <v>-28.722000000000001</v>
      </c>
      <c r="BH159" s="628">
        <f>BH150+BH120</f>
        <v>5.0400000000000027</v>
      </c>
      <c r="BI159" s="628">
        <f>BI150+BI120</f>
        <v>-32.296999999999997</v>
      </c>
      <c r="BJ159" s="628">
        <f>BJ150+BJ120</f>
        <v>-38.814</v>
      </c>
      <c r="BK159" s="629">
        <f t="shared" ref="BK159" si="537">BK150+BK120</f>
        <v>-90.602000000000004</v>
      </c>
      <c r="BL159" s="628">
        <f t="shared" si="536"/>
        <v>-34.893000000000001</v>
      </c>
      <c r="BM159" s="628">
        <f t="shared" si="536"/>
        <v>-37.397999999999996</v>
      </c>
      <c r="BN159" s="628">
        <f t="shared" si="536"/>
        <v>415.875</v>
      </c>
      <c r="BO159" s="629">
        <f t="shared" si="536"/>
        <v>-2.1602700000000001</v>
      </c>
      <c r="BP159" s="628">
        <f t="shared" ref="BP159:BW159" si="538">BP150+BP120</f>
        <v>-2.1602700000000001</v>
      </c>
      <c r="BQ159" s="628">
        <f t="shared" si="538"/>
        <v>-2.1602700000000001</v>
      </c>
      <c r="BR159" s="628">
        <f t="shared" si="538"/>
        <v>-2.1602700000000001</v>
      </c>
      <c r="BS159" s="629">
        <f t="shared" si="538"/>
        <v>-2.1602700000000001</v>
      </c>
      <c r="BT159" s="1407">
        <f t="shared" si="538"/>
        <v>-2.1602700000000001</v>
      </c>
      <c r="BU159" s="1407">
        <f t="shared" si="538"/>
        <v>-2.1602700000000001</v>
      </c>
      <c r="BV159" s="1407">
        <f t="shared" si="538"/>
        <v>-2.1602700000000001</v>
      </c>
      <c r="BW159" s="629">
        <f t="shared" si="538"/>
        <v>-2.1602700000000001</v>
      </c>
      <c r="BX159" s="20"/>
      <c r="BY159" s="627">
        <f>SUM(D159:G159)</f>
        <v>-16.600000000000001</v>
      </c>
      <c r="BZ159" s="628">
        <f>SUM(H159:K159)</f>
        <v>-13.048</v>
      </c>
      <c r="CA159" s="628">
        <f>SUM(L159:O159)</f>
        <v>-8.1240000000000006</v>
      </c>
      <c r="CB159" s="628">
        <f>SUM(P159:S159)</f>
        <v>0</v>
      </c>
      <c r="CC159" s="628">
        <f>SUM(T159:W159)</f>
        <v>-58.77</v>
      </c>
      <c r="CD159" s="628">
        <f>SUM(X159:AA159)</f>
        <v>-26.961000000000002</v>
      </c>
      <c r="CE159" s="628">
        <f>SUM(AB159:AE159)</f>
        <v>-62.63300000000001</v>
      </c>
      <c r="CF159" s="628">
        <f>SUM(AF159:AI159)</f>
        <v>-13.183999999999999</v>
      </c>
      <c r="CG159" s="628">
        <f>SUM(AJ159:AM159)</f>
        <v>-33.861999999999995</v>
      </c>
      <c r="CH159" s="1407">
        <f>SUM(AN159:AQ159)</f>
        <v>-13.286999999999999</v>
      </c>
      <c r="CI159" s="1407">
        <f>SUM(AR159:AU159)</f>
        <v>-28.066000000000003</v>
      </c>
      <c r="CJ159" s="1407">
        <f>SUM(AV159:AY159)</f>
        <v>-25.959</v>
      </c>
      <c r="CK159" s="628">
        <f>SUM(AZ159:BC159)</f>
        <v>-92.709000000000003</v>
      </c>
      <c r="CL159" s="628">
        <f>SUM(BD159:BG159)</f>
        <v>-114.874</v>
      </c>
      <c r="CM159" s="628">
        <f>SUM(BH159:BK159)</f>
        <v>-156.673</v>
      </c>
      <c r="CN159" s="628">
        <f>SUM(BL159:BO159)</f>
        <v>341.42372999999998</v>
      </c>
      <c r="CO159" s="1407">
        <f>SUM(BP159:BS159)</f>
        <v>-8.6410800000000005</v>
      </c>
      <c r="CP159" s="629">
        <f t="shared" si="522"/>
        <v>-8.6410800000000005</v>
      </c>
      <c r="CQ159" s="20"/>
      <c r="CR159" s="627">
        <f>SUM(G159:J159)</f>
        <v>-13.048</v>
      </c>
      <c r="CS159" s="628">
        <f>SUM(K159:N159)</f>
        <v>-8.1240000000000006</v>
      </c>
      <c r="CT159" s="628">
        <f>SUM(O159:R159)</f>
        <v>0</v>
      </c>
      <c r="CU159" s="628">
        <f>SUM(S159:V159)</f>
        <v>-4.7299999999999995</v>
      </c>
      <c r="CV159" s="628">
        <f>SUM(W159:Z159)</f>
        <v>-74.84</v>
      </c>
      <c r="CW159" s="628">
        <f>SUM(AA159:AD159)</f>
        <v>-70.931000000000012</v>
      </c>
      <c r="CX159" s="628">
        <f>SUM(AE159:AH159)</f>
        <v>-9.282</v>
      </c>
      <c r="CY159" s="628">
        <f>SUM(AI159:AL159)</f>
        <v>-9.3530000000000015</v>
      </c>
      <c r="CZ159" s="628">
        <f>SUM(AM159:AP159)</f>
        <v>-37.265000000000001</v>
      </c>
      <c r="DA159" s="628">
        <f>SUM(AQ159:AT159)</f>
        <v>-15.062000000000005</v>
      </c>
      <c r="DB159" s="628">
        <f>SUM(AU159:AX159)</f>
        <v>-32.575000000000003</v>
      </c>
      <c r="DC159" s="628">
        <f>SUM(AY159:BB159)</f>
        <v>-44.51</v>
      </c>
      <c r="DD159" s="628">
        <f>SUM(BC159:BF159)</f>
        <v>-143.035</v>
      </c>
      <c r="DE159" s="628">
        <f>SUM(BG159:BJ159)</f>
        <v>-94.793000000000006</v>
      </c>
      <c r="DF159" s="628">
        <f>SUM(BK159:BN159)</f>
        <v>252.982</v>
      </c>
      <c r="DG159" s="1407">
        <f>SUM(BO159:BR159)</f>
        <v>-8.6410800000000005</v>
      </c>
      <c r="DH159" s="629">
        <f>SUM(BS159:BV159)</f>
        <v>-8.6410800000000005</v>
      </c>
      <c r="DI159" s="8"/>
    </row>
    <row r="160" spans="1:113" ht="14.25" customHeight="1">
      <c r="A160" s="8"/>
      <c r="B160" s="975" t="s">
        <v>418</v>
      </c>
      <c r="C160" s="539"/>
      <c r="D160" s="999">
        <f t="shared" ref="D160:BO160" si="539">+SUM(D155:D159)</f>
        <v>30.059000000000005</v>
      </c>
      <c r="E160" s="1000">
        <f t="shared" si="539"/>
        <v>34.395999999999994</v>
      </c>
      <c r="F160" s="1000">
        <f t="shared" si="539"/>
        <v>36.381999999999991</v>
      </c>
      <c r="G160" s="1001">
        <f t="shared" si="539"/>
        <v>33.038000000000046</v>
      </c>
      <c r="H160" s="999">
        <f t="shared" si="539"/>
        <v>33.489999999999981</v>
      </c>
      <c r="I160" s="1000">
        <f t="shared" si="539"/>
        <v>36.103999999999985</v>
      </c>
      <c r="J160" s="1000">
        <f>+SUM(J155:J159)</f>
        <v>40.395000000000017</v>
      </c>
      <c r="K160" s="1001">
        <f t="shared" si="539"/>
        <v>46.845000000000013</v>
      </c>
      <c r="L160" s="999">
        <f t="shared" si="539"/>
        <v>56.775000000000013</v>
      </c>
      <c r="M160" s="1000">
        <f t="shared" si="539"/>
        <v>60.442999999999984</v>
      </c>
      <c r="N160" s="1000">
        <f t="shared" si="539"/>
        <v>53.139999999999993</v>
      </c>
      <c r="O160" s="1001">
        <f t="shared" si="539"/>
        <v>56.403000000000027</v>
      </c>
      <c r="P160" s="999">
        <f t="shared" si="539"/>
        <v>61.023999999999987</v>
      </c>
      <c r="Q160" s="1000">
        <f t="shared" si="539"/>
        <v>65.652999999999992</v>
      </c>
      <c r="R160" s="1000">
        <f t="shared" si="539"/>
        <v>40.123999999999981</v>
      </c>
      <c r="S160" s="1001">
        <f t="shared" si="539"/>
        <v>75.567999999999998</v>
      </c>
      <c r="T160" s="1000">
        <f t="shared" si="539"/>
        <v>81.396000000000043</v>
      </c>
      <c r="U160" s="1000">
        <f t="shared" si="539"/>
        <v>84.176000000000002</v>
      </c>
      <c r="V160" s="1000">
        <f t="shared" si="539"/>
        <v>78.731999999999971</v>
      </c>
      <c r="W160" s="1000">
        <f t="shared" si="539"/>
        <v>81.333999999999989</v>
      </c>
      <c r="X160" s="999">
        <f t="shared" si="539"/>
        <v>86.695000000000022</v>
      </c>
      <c r="Y160" s="1000">
        <f t="shared" si="539"/>
        <v>83.322999999999979</v>
      </c>
      <c r="Z160" s="1000">
        <f t="shared" si="539"/>
        <v>81.201999999999998</v>
      </c>
      <c r="AA160" s="1001">
        <f t="shared" si="539"/>
        <v>78.221000000000018</v>
      </c>
      <c r="AB160" s="1000">
        <f t="shared" si="539"/>
        <v>82.616000000000028</v>
      </c>
      <c r="AC160" s="1000">
        <f t="shared" si="539"/>
        <v>83.468000000000018</v>
      </c>
      <c r="AD160" s="1000">
        <f t="shared" si="539"/>
        <v>41.183999999999976</v>
      </c>
      <c r="AE160" s="1000">
        <f t="shared" si="539"/>
        <v>27.855999999999987</v>
      </c>
      <c r="AF160" s="999">
        <f t="shared" si="539"/>
        <v>34.997000000000014</v>
      </c>
      <c r="AG160" s="1000">
        <f t="shared" si="539"/>
        <v>53.161000000000001</v>
      </c>
      <c r="AH160" s="1000">
        <f t="shared" si="539"/>
        <v>70.123999999999995</v>
      </c>
      <c r="AI160" s="1001">
        <f t="shared" si="539"/>
        <v>86.698000000000036</v>
      </c>
      <c r="AJ160" s="1002">
        <f t="shared" si="539"/>
        <v>109.946</v>
      </c>
      <c r="AK160" s="1002">
        <f t="shared" si="539"/>
        <v>119.58500000000001</v>
      </c>
      <c r="AL160" s="1002">
        <f t="shared" si="539"/>
        <v>113.75800000000004</v>
      </c>
      <c r="AM160" s="1002">
        <f t="shared" si="539"/>
        <v>119.01899999999989</v>
      </c>
      <c r="AN160" s="1003">
        <f t="shared" si="539"/>
        <v>111.352</v>
      </c>
      <c r="AO160" s="1002">
        <f t="shared" si="539"/>
        <v>92.59399999999998</v>
      </c>
      <c r="AP160" s="1002">
        <f t="shared" si="539"/>
        <v>85.423999999999978</v>
      </c>
      <c r="AQ160" s="1004">
        <f t="shared" si="539"/>
        <v>94.343999999999994</v>
      </c>
      <c r="AR160" s="1003">
        <f t="shared" si="539"/>
        <v>96.88600000000001</v>
      </c>
      <c r="AS160" s="1002">
        <f t="shared" si="539"/>
        <v>97.748999999999981</v>
      </c>
      <c r="AT160" s="1002">
        <f t="shared" si="539"/>
        <v>84.528000000000048</v>
      </c>
      <c r="AU160" s="1004">
        <f t="shared" si="539"/>
        <v>113.35800000000008</v>
      </c>
      <c r="AV160" s="658">
        <f t="shared" si="539"/>
        <v>120.39099999999995</v>
      </c>
      <c r="AW160" s="539">
        <f t="shared" si="539"/>
        <v>136.3829999999999</v>
      </c>
      <c r="AX160" s="539">
        <f t="shared" si="539"/>
        <v>132.88800000000003</v>
      </c>
      <c r="AY160" s="1004">
        <f t="shared" si="539"/>
        <v>141.29900000000006</v>
      </c>
      <c r="AZ160" s="539">
        <f>+SUM(AZ155:AZ159)</f>
        <v>151.63400000000001</v>
      </c>
      <c r="BA160" s="539">
        <f t="shared" si="539"/>
        <v>152.32800000000006</v>
      </c>
      <c r="BB160" s="539">
        <f t="shared" si="539"/>
        <v>144.80100000000004</v>
      </c>
      <c r="BC160" s="538">
        <f t="shared" si="539"/>
        <v>148.79499999999999</v>
      </c>
      <c r="BD160" s="539">
        <f t="shared" si="539"/>
        <v>149.31699999999995</v>
      </c>
      <c r="BE160" s="539">
        <f>+SUM(BE155:BE159)</f>
        <v>142.90599999999989</v>
      </c>
      <c r="BF160" s="539">
        <f>+SUM(BF155:BF159)</f>
        <v>138.43600000000004</v>
      </c>
      <c r="BG160" s="538">
        <f t="shared" si="539"/>
        <v>152.98099999999999</v>
      </c>
      <c r="BH160" s="539">
        <f>+SUM(BH155:BH159)</f>
        <v>193.97999999999993</v>
      </c>
      <c r="BI160" s="539">
        <f>+SUM(BI155:BI159)</f>
        <v>217.95600000000007</v>
      </c>
      <c r="BJ160" s="539">
        <f>+SUM(BJ155:BJ159)</f>
        <v>253.76399999999998</v>
      </c>
      <c r="BK160" s="538">
        <f t="shared" ref="BK160" si="540">+SUM(BK155:BK159)</f>
        <v>276.91100000000006</v>
      </c>
      <c r="BL160" s="539">
        <f t="shared" si="539"/>
        <v>319.05299999999988</v>
      </c>
      <c r="BM160" s="539">
        <f t="shared" si="539"/>
        <v>344.101</v>
      </c>
      <c r="BN160" s="539">
        <f t="shared" si="539"/>
        <v>341.15099999999995</v>
      </c>
      <c r="BO160" s="538">
        <f t="shared" si="539"/>
        <v>341.2066990405126</v>
      </c>
      <c r="BP160" s="539">
        <f t="shared" ref="BP160:BW160" si="541">+SUM(BP155:BP159)</f>
        <v>362.0233111327878</v>
      </c>
      <c r="BQ160" s="539">
        <f t="shared" si="541"/>
        <v>377.75239127439858</v>
      </c>
      <c r="BR160" s="539">
        <f t="shared" si="541"/>
        <v>367.92189920057524</v>
      </c>
      <c r="BS160" s="538">
        <f t="shared" si="541"/>
        <v>364.67524464298594</v>
      </c>
      <c r="BT160" s="539">
        <f t="shared" si="541"/>
        <v>383.72743596086116</v>
      </c>
      <c r="BU160" s="539">
        <f t="shared" si="541"/>
        <v>397.19065581367886</v>
      </c>
      <c r="BV160" s="539">
        <f t="shared" si="541"/>
        <v>388.82978365713677</v>
      </c>
      <c r="BW160" s="538">
        <f t="shared" si="541"/>
        <v>385.90333944569585</v>
      </c>
      <c r="BX160" s="20"/>
      <c r="BY160" s="658">
        <f>+SUM(BY155:BY159)</f>
        <v>133.87500000000003</v>
      </c>
      <c r="BZ160" s="539">
        <f>+SUM(BZ155:BZ159)</f>
        <v>156.834</v>
      </c>
      <c r="CA160" s="539">
        <f>+SUM(CA155:CA159)</f>
        <v>226.761</v>
      </c>
      <c r="CB160" s="539">
        <f t="shared" ref="CB160:CL160" si="542">+SUM(CB155:CB159)</f>
        <v>242.36899999999997</v>
      </c>
      <c r="CC160" s="539">
        <f t="shared" si="542"/>
        <v>325.63800000000003</v>
      </c>
      <c r="CD160" s="539">
        <f t="shared" si="542"/>
        <v>329.44099999999997</v>
      </c>
      <c r="CE160" s="539">
        <f t="shared" si="542"/>
        <v>235.12400000000005</v>
      </c>
      <c r="CF160" s="539">
        <f t="shared" si="542"/>
        <v>244.98000000000005</v>
      </c>
      <c r="CG160" s="539">
        <f t="shared" si="542"/>
        <v>462.30799999999999</v>
      </c>
      <c r="CH160" s="539">
        <f t="shared" si="542"/>
        <v>383.71399999999994</v>
      </c>
      <c r="CI160" s="539">
        <f t="shared" si="542"/>
        <v>392.52100000000019</v>
      </c>
      <c r="CJ160" s="539">
        <f t="shared" si="542"/>
        <v>530.96100000000001</v>
      </c>
      <c r="CK160" s="539">
        <f t="shared" si="542"/>
        <v>597.55799999999999</v>
      </c>
      <c r="CL160" s="539">
        <f t="shared" si="542"/>
        <v>583.63999999999987</v>
      </c>
      <c r="CM160" s="539">
        <f>+SUM(CM155:CM159)</f>
        <v>942.6110000000001</v>
      </c>
      <c r="CN160" s="539">
        <f>+SUM(CN155:CN159)</f>
        <v>1345.5116990405127</v>
      </c>
      <c r="CO160" s="539">
        <f>+SUM(CO155:CO159)</f>
        <v>1472.3728462507474</v>
      </c>
      <c r="CP160" s="538">
        <f>+SUM(CP155:CP159)</f>
        <v>1555.6512148773727</v>
      </c>
      <c r="CQ160" s="20"/>
      <c r="CR160" s="1005">
        <f>+SUM(CR155:CR159)</f>
        <v>143.02700000000004</v>
      </c>
      <c r="CS160" s="1006">
        <f>+SUM(CS155:CS159)</f>
        <v>217.203</v>
      </c>
      <c r="CT160" s="1006">
        <f>+SUM(CT155:CT159)</f>
        <v>223.20400000000001</v>
      </c>
      <c r="CU160" s="1006">
        <f t="shared" ref="CU160:DD160" si="543">+SUM(CU155:CU159)</f>
        <v>319.87200000000001</v>
      </c>
      <c r="CV160" s="1006">
        <f t="shared" si="543"/>
        <v>332.55399999999997</v>
      </c>
      <c r="CW160" s="1006">
        <f t="shared" si="543"/>
        <v>285.48900000000003</v>
      </c>
      <c r="CX160" s="1006">
        <f t="shared" si="543"/>
        <v>186.13799999999995</v>
      </c>
      <c r="CY160" s="1006">
        <f t="shared" si="543"/>
        <v>429.98700000000014</v>
      </c>
      <c r="CZ160" s="1006">
        <f t="shared" si="543"/>
        <v>408.38899999999978</v>
      </c>
      <c r="DA160" s="1006">
        <f t="shared" si="543"/>
        <v>373.50700000000001</v>
      </c>
      <c r="DB160" s="1006">
        <f t="shared" si="543"/>
        <v>503.02000000000004</v>
      </c>
      <c r="DC160" s="1006">
        <f t="shared" si="543"/>
        <v>590.06200000000024</v>
      </c>
      <c r="DD160" s="1006">
        <f t="shared" si="543"/>
        <v>579.45399999999995</v>
      </c>
      <c r="DE160" s="1006">
        <f>+SUM(DE155:DE159)</f>
        <v>818.68099999999993</v>
      </c>
      <c r="DF160" s="1006">
        <f>+SUM(DF155:DF159)</f>
        <v>1281.2159999999999</v>
      </c>
      <c r="DG160" s="1006">
        <f>+SUM(DG155:DG159)</f>
        <v>1448.9043006482741</v>
      </c>
      <c r="DH160" s="1007">
        <f>+SUM(DH155:DH159)</f>
        <v>1534.4231200746628</v>
      </c>
      <c r="DI160" s="8"/>
    </row>
    <row r="161" spans="1:113" ht="14.25" customHeight="1">
      <c r="A161" s="8"/>
      <c r="B161" s="990"/>
      <c r="C161" s="14"/>
      <c r="D161" s="979"/>
      <c r="E161" s="980"/>
      <c r="F161" s="980"/>
      <c r="G161" s="981"/>
      <c r="H161" s="979"/>
      <c r="I161" s="980"/>
      <c r="J161" s="980"/>
      <c r="K161" s="981"/>
      <c r="L161" s="979"/>
      <c r="M161" s="980"/>
      <c r="N161" s="980"/>
      <c r="O161" s="981"/>
      <c r="P161" s="979"/>
      <c r="Q161" s="980"/>
      <c r="R161" s="980"/>
      <c r="S161" s="981"/>
      <c r="T161" s="980"/>
      <c r="U161" s="980"/>
      <c r="V161" s="980"/>
      <c r="W161" s="980"/>
      <c r="X161" s="979"/>
      <c r="Y161" s="980"/>
      <c r="Z161" s="980"/>
      <c r="AA161" s="981"/>
      <c r="AB161" s="980"/>
      <c r="AC161" s="980"/>
      <c r="AD161" s="980"/>
      <c r="AE161" s="980"/>
      <c r="AF161" s="979"/>
      <c r="AG161" s="980"/>
      <c r="AH161" s="980"/>
      <c r="AI161" s="981"/>
      <c r="AJ161" s="982"/>
      <c r="AK161" s="982"/>
      <c r="AL161" s="982"/>
      <c r="AM161" s="982"/>
      <c r="AN161" s="983"/>
      <c r="AO161" s="982"/>
      <c r="AP161" s="982"/>
      <c r="AQ161" s="984"/>
      <c r="AR161" s="983"/>
      <c r="AS161" s="982"/>
      <c r="AT161" s="982"/>
      <c r="AU161" s="984"/>
      <c r="AV161" s="985"/>
      <c r="AW161" s="986"/>
      <c r="AX161" s="986"/>
      <c r="AY161" s="984"/>
      <c r="AZ161" s="986"/>
      <c r="BA161" s="986"/>
      <c r="BB161" s="986"/>
      <c r="BC161" s="987"/>
      <c r="BD161" s="986"/>
      <c r="BE161" s="986"/>
      <c r="BF161" s="986"/>
      <c r="BG161" s="987"/>
      <c r="BH161" s="986"/>
      <c r="BI161" s="986"/>
      <c r="BJ161" s="986"/>
      <c r="BK161" s="987"/>
      <c r="BL161" s="986"/>
      <c r="BM161" s="986"/>
      <c r="BN161" s="986"/>
      <c r="BO161" s="987"/>
      <c r="BP161" s="986"/>
      <c r="BQ161" s="986"/>
      <c r="BR161" s="986"/>
      <c r="BS161" s="987"/>
      <c r="BT161" s="986"/>
      <c r="BU161" s="986"/>
      <c r="BV161" s="986"/>
      <c r="BW161" s="987"/>
      <c r="BX161" s="20"/>
      <c r="BY161" s="985"/>
      <c r="BZ161" s="986"/>
      <c r="CA161" s="986"/>
      <c r="CB161" s="986"/>
      <c r="CC161" s="986"/>
      <c r="CD161" s="986"/>
      <c r="CE161" s="986"/>
      <c r="CF161" s="986"/>
      <c r="CG161" s="986"/>
      <c r="CH161" s="986"/>
      <c r="CI161" s="986"/>
      <c r="CJ161" s="986"/>
      <c r="CK161" s="986"/>
      <c r="CL161" s="986"/>
      <c r="CM161" s="986"/>
      <c r="CN161" s="986"/>
      <c r="CO161" s="986"/>
      <c r="CP161" s="987"/>
      <c r="CQ161" s="20"/>
      <c r="CR161" s="985"/>
      <c r="CS161" s="986"/>
      <c r="CT161" s="986"/>
      <c r="CU161" s="986"/>
      <c r="CV161" s="986"/>
      <c r="CW161" s="986"/>
      <c r="CX161" s="986"/>
      <c r="CY161" s="986"/>
      <c r="CZ161" s="986"/>
      <c r="DA161" s="986"/>
      <c r="DB161" s="986"/>
      <c r="DC161" s="986"/>
      <c r="DD161" s="986"/>
      <c r="DE161" s="986"/>
      <c r="DF161" s="986"/>
      <c r="DG161" s="986"/>
      <c r="DH161" s="987"/>
      <c r="DI161" s="8"/>
    </row>
    <row r="162" spans="1:113" ht="14.25" customHeight="1">
      <c r="A162" s="8"/>
      <c r="B162" s="991" t="s">
        <v>414</v>
      </c>
      <c r="C162" s="14"/>
      <c r="D162" s="979"/>
      <c r="E162" s="980"/>
      <c r="F162" s="980"/>
      <c r="G162" s="981"/>
      <c r="H162" s="979"/>
      <c r="I162" s="980"/>
      <c r="J162" s="980"/>
      <c r="K162" s="981"/>
      <c r="L162" s="979"/>
      <c r="M162" s="980"/>
      <c r="N162" s="980"/>
      <c r="O162" s="981"/>
      <c r="P162" s="979"/>
      <c r="Q162" s="980"/>
      <c r="R162" s="980"/>
      <c r="S162" s="981"/>
      <c r="T162" s="980"/>
      <c r="U162" s="980"/>
      <c r="V162" s="980"/>
      <c r="W162" s="980"/>
      <c r="X162" s="979"/>
      <c r="Y162" s="980"/>
      <c r="Z162" s="980"/>
      <c r="AA162" s="981"/>
      <c r="AB162" s="980"/>
      <c r="AC162" s="980"/>
      <c r="AD162" s="980"/>
      <c r="AE162" s="980"/>
      <c r="AF162" s="979"/>
      <c r="AG162" s="980"/>
      <c r="AH162" s="980"/>
      <c r="AI162" s="981"/>
      <c r="AJ162" s="982"/>
      <c r="AK162" s="982"/>
      <c r="AL162" s="982"/>
      <c r="AM162" s="982"/>
      <c r="AN162" s="983"/>
      <c r="AO162" s="982"/>
      <c r="AP162" s="982"/>
      <c r="AQ162" s="984"/>
      <c r="AR162" s="983"/>
      <c r="AS162" s="982"/>
      <c r="AT162" s="982"/>
      <c r="AU162" s="984"/>
      <c r="AV162" s="985"/>
      <c r="AW162" s="986"/>
      <c r="AX162" s="986"/>
      <c r="AY162" s="984"/>
      <c r="AZ162" s="986"/>
      <c r="BA162" s="986"/>
      <c r="BB162" s="986"/>
      <c r="BC162" s="987"/>
      <c r="BD162" s="986"/>
      <c r="BE162" s="986"/>
      <c r="BF162" s="986"/>
      <c r="BG162" s="987"/>
      <c r="BH162" s="986"/>
      <c r="BI162" s="986"/>
      <c r="BJ162" s="986"/>
      <c r="BK162" s="987"/>
      <c r="BL162" s="986"/>
      <c r="BM162" s="986"/>
      <c r="BN162" s="986"/>
      <c r="BO162" s="987"/>
      <c r="BP162" s="986"/>
      <c r="BQ162" s="986"/>
      <c r="BR162" s="986"/>
      <c r="BS162" s="987"/>
      <c r="BT162" s="986"/>
      <c r="BU162" s="986"/>
      <c r="BV162" s="986"/>
      <c r="BW162" s="987"/>
      <c r="BX162" s="20"/>
      <c r="BY162" s="985"/>
      <c r="BZ162" s="986"/>
      <c r="CA162" s="986"/>
      <c r="CB162" s="986"/>
      <c r="CC162" s="986"/>
      <c r="CD162" s="986"/>
      <c r="CE162" s="986"/>
      <c r="CF162" s="986"/>
      <c r="CG162" s="986"/>
      <c r="CH162" s="986"/>
      <c r="CI162" s="986"/>
      <c r="CJ162" s="986"/>
      <c r="CK162" s="986"/>
      <c r="CL162" s="986"/>
      <c r="CM162" s="986"/>
      <c r="CN162" s="986"/>
      <c r="CO162" s="986"/>
      <c r="CP162" s="987"/>
      <c r="CQ162" s="20"/>
      <c r="CR162" s="985"/>
      <c r="CS162" s="986"/>
      <c r="CT162" s="986"/>
      <c r="CU162" s="986"/>
      <c r="CV162" s="986"/>
      <c r="CW162" s="986"/>
      <c r="CX162" s="986"/>
      <c r="CY162" s="986"/>
      <c r="CZ162" s="986"/>
      <c r="DA162" s="986"/>
      <c r="DB162" s="986"/>
      <c r="DC162" s="986"/>
      <c r="DD162" s="986"/>
      <c r="DE162" s="986"/>
      <c r="DF162" s="986"/>
      <c r="DG162" s="986"/>
      <c r="DH162" s="987"/>
      <c r="DI162" s="8"/>
    </row>
    <row r="163" spans="1:113" ht="14.25" customHeight="1">
      <c r="A163" s="8"/>
      <c r="B163" s="992" t="s">
        <v>419</v>
      </c>
      <c r="C163" s="229"/>
      <c r="D163" s="236">
        <v>0</v>
      </c>
      <c r="E163" s="237">
        <v>0</v>
      </c>
      <c r="F163" s="237">
        <v>0</v>
      </c>
      <c r="G163" s="234">
        <v>0</v>
      </c>
      <c r="H163" s="236">
        <v>0</v>
      </c>
      <c r="I163" s="237">
        <v>0</v>
      </c>
      <c r="J163" s="237">
        <v>0</v>
      </c>
      <c r="K163" s="234">
        <v>0</v>
      </c>
      <c r="L163" s="236">
        <v>0</v>
      </c>
      <c r="M163" s="237">
        <v>0</v>
      </c>
      <c r="N163" s="237">
        <v>0</v>
      </c>
      <c r="O163" s="234">
        <v>0</v>
      </c>
      <c r="P163" s="236">
        <v>0</v>
      </c>
      <c r="Q163" s="237">
        <v>0</v>
      </c>
      <c r="R163" s="237">
        <v>0</v>
      </c>
      <c r="S163" s="234">
        <v>0</v>
      </c>
      <c r="T163" s="237">
        <v>0</v>
      </c>
      <c r="U163" s="237">
        <v>0</v>
      </c>
      <c r="V163" s="237">
        <v>0</v>
      </c>
      <c r="W163" s="237">
        <v>0</v>
      </c>
      <c r="X163" s="236">
        <v>0</v>
      </c>
      <c r="Y163" s="237">
        <v>0</v>
      </c>
      <c r="Z163" s="237">
        <v>0</v>
      </c>
      <c r="AA163" s="234">
        <v>0</v>
      </c>
      <c r="AB163" s="237">
        <v>0</v>
      </c>
      <c r="AC163" s="237">
        <v>0</v>
      </c>
      <c r="AD163" s="237">
        <v>0</v>
      </c>
      <c r="AE163" s="237">
        <v>0</v>
      </c>
      <c r="AF163" s="236">
        <v>0</v>
      </c>
      <c r="AG163" s="237">
        <v>0</v>
      </c>
      <c r="AH163" s="237">
        <v>0</v>
      </c>
      <c r="AI163" s="234">
        <v>0</v>
      </c>
      <c r="AJ163" s="237">
        <v>0</v>
      </c>
      <c r="AK163" s="237">
        <v>0</v>
      </c>
      <c r="AL163" s="237">
        <v>0</v>
      </c>
      <c r="AM163" s="237">
        <v>0</v>
      </c>
      <c r="AN163" s="236">
        <v>0</v>
      </c>
      <c r="AO163" s="237">
        <v>0</v>
      </c>
      <c r="AP163" s="237">
        <v>0</v>
      </c>
      <c r="AQ163" s="234">
        <v>0</v>
      </c>
      <c r="AR163" s="236">
        <v>0</v>
      </c>
      <c r="AS163" s="237">
        <v>0</v>
      </c>
      <c r="AT163" s="237">
        <v>0</v>
      </c>
      <c r="AU163" s="234">
        <v>0</v>
      </c>
      <c r="AV163" s="248">
        <f t="shared" ref="AV163:BS163" si="544">AV47</f>
        <v>0.88800000000000001</v>
      </c>
      <c r="AW163" s="247">
        <f t="shared" si="544"/>
        <v>0.38300000000000001</v>
      </c>
      <c r="AX163" s="247">
        <f t="shared" si="544"/>
        <v>0.503</v>
      </c>
      <c r="AY163" s="234">
        <f t="shared" si="544"/>
        <v>0.88</v>
      </c>
      <c r="AZ163" s="247">
        <f t="shared" si="544"/>
        <v>0.93600000000000005</v>
      </c>
      <c r="BA163" s="247">
        <f t="shared" si="544"/>
        <v>1.8009999999999999</v>
      </c>
      <c r="BB163" s="247">
        <f t="shared" si="544"/>
        <v>0.52300000000000002</v>
      </c>
      <c r="BC163" s="228">
        <f t="shared" si="544"/>
        <v>0.74099999999999999</v>
      </c>
      <c r="BD163" s="247">
        <f t="shared" si="544"/>
        <v>2.1739999999999999</v>
      </c>
      <c r="BE163" s="247">
        <f t="shared" si="544"/>
        <v>1.0629999999999999</v>
      </c>
      <c r="BF163" s="247">
        <f t="shared" si="544"/>
        <v>1.4610000000000001</v>
      </c>
      <c r="BG163" s="228">
        <f t="shared" si="544"/>
        <v>5.04</v>
      </c>
      <c r="BH163" s="247">
        <f>BH47</f>
        <v>14.946</v>
      </c>
      <c r="BI163" s="247">
        <f t="shared" ref="BI163:BK163" si="545">BI47</f>
        <v>3.6019999999999999</v>
      </c>
      <c r="BJ163" s="247">
        <f t="shared" si="545"/>
        <v>3.444</v>
      </c>
      <c r="BK163" s="228">
        <f t="shared" si="545"/>
        <v>5.1390000000000002</v>
      </c>
      <c r="BL163" s="247">
        <f t="shared" si="544"/>
        <v>2.86</v>
      </c>
      <c r="BM163" s="247">
        <f t="shared" si="544"/>
        <v>0.71699999999999997</v>
      </c>
      <c r="BN163" s="247">
        <f t="shared" si="544"/>
        <v>1.2210000000000001</v>
      </c>
      <c r="BO163" s="228">
        <f t="shared" si="544"/>
        <v>0</v>
      </c>
      <c r="BP163" s="247">
        <f t="shared" si="544"/>
        <v>0</v>
      </c>
      <c r="BQ163" s="247">
        <f t="shared" si="544"/>
        <v>0</v>
      </c>
      <c r="BR163" s="247">
        <f t="shared" si="544"/>
        <v>0</v>
      </c>
      <c r="BS163" s="228">
        <f t="shared" si="544"/>
        <v>0</v>
      </c>
      <c r="BT163" s="1391">
        <f t="shared" ref="BT163:BW163" si="546">BT47</f>
        <v>0</v>
      </c>
      <c r="BU163" s="1391">
        <f t="shared" si="546"/>
        <v>0</v>
      </c>
      <c r="BV163" s="1391">
        <f t="shared" si="546"/>
        <v>0</v>
      </c>
      <c r="BW163" s="1384">
        <f t="shared" si="546"/>
        <v>0</v>
      </c>
      <c r="BX163" s="20"/>
      <c r="BY163" s="248">
        <f>SUM(D163:G163)</f>
        <v>0</v>
      </c>
      <c r="BZ163" s="247">
        <f>SUM(H163:K163)</f>
        <v>0</v>
      </c>
      <c r="CA163" s="247">
        <f>SUM(L163:O163)</f>
        <v>0</v>
      </c>
      <c r="CB163" s="247">
        <f>SUM(P163:S163)</f>
        <v>0</v>
      </c>
      <c r="CC163" s="247">
        <f>SUM(T163:W163)</f>
        <v>0</v>
      </c>
      <c r="CD163" s="247">
        <f>SUM(X163:AA163)</f>
        <v>0</v>
      </c>
      <c r="CE163" s="247">
        <f>SUM(AB163:AE163)</f>
        <v>0</v>
      </c>
      <c r="CF163" s="247">
        <f>SUM(AF163:AI163)</f>
        <v>0</v>
      </c>
      <c r="CG163" s="247">
        <f>SUM(AJ163:AM163)</f>
        <v>0</v>
      </c>
      <c r="CH163" s="1391">
        <f>SUM(AN163:AQ163)</f>
        <v>0</v>
      </c>
      <c r="CI163" s="1391">
        <f>SUM(AR163:AU163)</f>
        <v>0</v>
      </c>
      <c r="CJ163" s="1391">
        <f>SUM(AV163:AY163)</f>
        <v>2.6539999999999999</v>
      </c>
      <c r="CK163" s="247">
        <f>SUM(AZ163:BC163)</f>
        <v>4.0010000000000003</v>
      </c>
      <c r="CL163" s="247">
        <f>SUM(BD163:BG163)</f>
        <v>9.7379999999999995</v>
      </c>
      <c r="CM163" s="247">
        <f>SUM(BH163:BK163)</f>
        <v>27.130999999999997</v>
      </c>
      <c r="CN163" s="247">
        <f>SUM(BL163:BO163)</f>
        <v>4.798</v>
      </c>
      <c r="CO163" s="1391">
        <f>SUM(BP163:BS163)</f>
        <v>0</v>
      </c>
      <c r="CP163" s="1384">
        <f>SUM(BT163:BW163)</f>
        <v>0</v>
      </c>
      <c r="CQ163" s="20"/>
      <c r="CR163" s="248">
        <f>SUM(G163:J163)</f>
        <v>0</v>
      </c>
      <c r="CS163" s="247">
        <f>SUM(K163:N163)</f>
        <v>0</v>
      </c>
      <c r="CT163" s="247">
        <f>SUM(O163:R163)</f>
        <v>0</v>
      </c>
      <c r="CU163" s="247">
        <f>SUM(S163:V163)</f>
        <v>0</v>
      </c>
      <c r="CV163" s="247">
        <f>SUM(W163:Z163)</f>
        <v>0</v>
      </c>
      <c r="CW163" s="247">
        <f>SUM(AA163:AD163)</f>
        <v>0</v>
      </c>
      <c r="CX163" s="247">
        <f>SUM(AE163:AH163)</f>
        <v>0</v>
      </c>
      <c r="CY163" s="247">
        <f>SUM(AI163:AL163)</f>
        <v>0</v>
      </c>
      <c r="CZ163" s="247">
        <f>SUM(AM163:AP163)</f>
        <v>0</v>
      </c>
      <c r="DA163" s="247">
        <f>SUM(AQ163:AT163)</f>
        <v>0</v>
      </c>
      <c r="DB163" s="247">
        <f>SUM(AU163:AX163)</f>
        <v>1.774</v>
      </c>
      <c r="DC163" s="247">
        <f>SUM(AY163:BB163)</f>
        <v>4.1399999999999997</v>
      </c>
      <c r="DD163" s="247">
        <f>SUM(BC163:BF163)</f>
        <v>5.4390000000000001</v>
      </c>
      <c r="DE163" s="247">
        <f>SUM(BG163:BJ163)</f>
        <v>27.032</v>
      </c>
      <c r="DF163" s="247">
        <f>SUM(BK163:BN163)</f>
        <v>9.9370000000000012</v>
      </c>
      <c r="DG163" s="1391">
        <f>SUM(BO163:BR163)</f>
        <v>0</v>
      </c>
      <c r="DH163" s="1384">
        <f>SUM(BS163:BV163)</f>
        <v>0</v>
      </c>
      <c r="DI163" s="8"/>
    </row>
    <row r="164" spans="1:113" ht="14.25" customHeight="1">
      <c r="A164" s="8"/>
      <c r="B164" s="993" t="s">
        <v>420</v>
      </c>
      <c r="C164" s="626"/>
      <c r="D164" s="931">
        <f t="shared" ref="D164:AI164" si="547">D52</f>
        <v>0</v>
      </c>
      <c r="E164" s="738">
        <f t="shared" si="547"/>
        <v>0</v>
      </c>
      <c r="F164" s="738">
        <f t="shared" si="547"/>
        <v>0</v>
      </c>
      <c r="G164" s="644">
        <f t="shared" si="547"/>
        <v>0</v>
      </c>
      <c r="H164" s="931">
        <f t="shared" si="547"/>
        <v>0</v>
      </c>
      <c r="I164" s="738">
        <f t="shared" si="547"/>
        <v>0</v>
      </c>
      <c r="J164" s="738">
        <f t="shared" si="547"/>
        <v>0</v>
      </c>
      <c r="K164" s="644">
        <f t="shared" si="547"/>
        <v>0</v>
      </c>
      <c r="L164" s="931">
        <f t="shared" si="547"/>
        <v>0</v>
      </c>
      <c r="M164" s="738">
        <f t="shared" si="547"/>
        <v>0</v>
      </c>
      <c r="N164" s="738">
        <f t="shared" si="547"/>
        <v>0</v>
      </c>
      <c r="O164" s="644">
        <f t="shared" si="547"/>
        <v>0</v>
      </c>
      <c r="P164" s="931">
        <f t="shared" si="547"/>
        <v>0</v>
      </c>
      <c r="Q164" s="738">
        <f t="shared" si="547"/>
        <v>0</v>
      </c>
      <c r="R164" s="738">
        <f t="shared" si="547"/>
        <v>0</v>
      </c>
      <c r="S164" s="644">
        <f t="shared" si="547"/>
        <v>0</v>
      </c>
      <c r="T164" s="738">
        <f t="shared" si="547"/>
        <v>0</v>
      </c>
      <c r="U164" s="738">
        <f t="shared" si="547"/>
        <v>0</v>
      </c>
      <c r="V164" s="738">
        <f t="shared" si="547"/>
        <v>0</v>
      </c>
      <c r="W164" s="738">
        <f t="shared" si="547"/>
        <v>0</v>
      </c>
      <c r="X164" s="931">
        <f t="shared" si="547"/>
        <v>0</v>
      </c>
      <c r="Y164" s="738">
        <f t="shared" si="547"/>
        <v>0</v>
      </c>
      <c r="Z164" s="738">
        <f t="shared" si="547"/>
        <v>0</v>
      </c>
      <c r="AA164" s="644">
        <f t="shared" si="547"/>
        <v>0</v>
      </c>
      <c r="AB164" s="738">
        <f t="shared" si="547"/>
        <v>0</v>
      </c>
      <c r="AC164" s="738">
        <f t="shared" si="547"/>
        <v>0</v>
      </c>
      <c r="AD164" s="738">
        <f t="shared" si="547"/>
        <v>0</v>
      </c>
      <c r="AE164" s="738">
        <f t="shared" si="547"/>
        <v>0</v>
      </c>
      <c r="AF164" s="931">
        <f t="shared" si="547"/>
        <v>0</v>
      </c>
      <c r="AG164" s="738">
        <f t="shared" si="547"/>
        <v>0</v>
      </c>
      <c r="AH164" s="738">
        <f t="shared" si="547"/>
        <v>0</v>
      </c>
      <c r="AI164" s="644">
        <f t="shared" si="547"/>
        <v>0</v>
      </c>
      <c r="AJ164" s="738">
        <f t="shared" ref="AJ164:BS164" si="548">AJ52</f>
        <v>0</v>
      </c>
      <c r="AK164" s="738">
        <f t="shared" si="548"/>
        <v>0</v>
      </c>
      <c r="AL164" s="738">
        <f t="shared" si="548"/>
        <v>0</v>
      </c>
      <c r="AM164" s="738">
        <f t="shared" si="548"/>
        <v>0</v>
      </c>
      <c r="AN164" s="931">
        <f t="shared" si="548"/>
        <v>0</v>
      </c>
      <c r="AO164" s="738">
        <f t="shared" si="548"/>
        <v>2.7029999999999998</v>
      </c>
      <c r="AP164" s="738">
        <f t="shared" si="548"/>
        <v>2.6779999999999999</v>
      </c>
      <c r="AQ164" s="644">
        <f t="shared" si="548"/>
        <v>-5.3810000000000002</v>
      </c>
      <c r="AR164" s="931">
        <f t="shared" si="548"/>
        <v>0</v>
      </c>
      <c r="AS164" s="738">
        <f t="shared" si="548"/>
        <v>27.858000000000001</v>
      </c>
      <c r="AT164" s="738">
        <f t="shared" si="548"/>
        <v>39.710999999999999</v>
      </c>
      <c r="AU164" s="644">
        <f t="shared" si="548"/>
        <v>43.968000000000004</v>
      </c>
      <c r="AV164" s="931">
        <f t="shared" si="548"/>
        <v>27.677</v>
      </c>
      <c r="AW164" s="738">
        <f t="shared" si="548"/>
        <v>23.744</v>
      </c>
      <c r="AX164" s="738">
        <f t="shared" si="548"/>
        <v>21.803999999999998</v>
      </c>
      <c r="AY164" s="644">
        <f t="shared" si="548"/>
        <v>21.309000000000001</v>
      </c>
      <c r="AZ164" s="738">
        <f t="shared" si="548"/>
        <v>36.643999999999998</v>
      </c>
      <c r="BA164" s="738">
        <f t="shared" si="548"/>
        <v>45.433</v>
      </c>
      <c r="BB164" s="738">
        <f t="shared" si="548"/>
        <v>47.582000000000001</v>
      </c>
      <c r="BC164" s="644">
        <f t="shared" si="548"/>
        <v>47.087000000000003</v>
      </c>
      <c r="BD164" s="738">
        <f t="shared" si="548"/>
        <v>34.612000000000002</v>
      </c>
      <c r="BE164" s="738">
        <f t="shared" si="548"/>
        <v>43.84</v>
      </c>
      <c r="BF164" s="738">
        <f t="shared" si="548"/>
        <v>48.311999999999998</v>
      </c>
      <c r="BG164" s="644">
        <f t="shared" si="548"/>
        <v>48.131999999999998</v>
      </c>
      <c r="BH164" s="738">
        <f>BH52</f>
        <v>80.171000000000006</v>
      </c>
      <c r="BI164" s="738">
        <f t="shared" ref="BI164:BK164" si="549">BI52</f>
        <v>80.394000000000005</v>
      </c>
      <c r="BJ164" s="738">
        <f t="shared" si="549"/>
        <v>82.790999999999997</v>
      </c>
      <c r="BK164" s="644">
        <f t="shared" si="549"/>
        <v>94.311000000000007</v>
      </c>
      <c r="BL164" s="738">
        <f t="shared" si="548"/>
        <v>120.845</v>
      </c>
      <c r="BM164" s="738">
        <f t="shared" si="548"/>
        <v>120.913</v>
      </c>
      <c r="BN164" s="738">
        <f t="shared" si="548"/>
        <v>121.003</v>
      </c>
      <c r="BO164" s="644">
        <f t="shared" si="548"/>
        <v>0</v>
      </c>
      <c r="BP164" s="738">
        <f t="shared" si="548"/>
        <v>0</v>
      </c>
      <c r="BQ164" s="738">
        <f t="shared" si="548"/>
        <v>0</v>
      </c>
      <c r="BR164" s="738">
        <f t="shared" si="548"/>
        <v>0</v>
      </c>
      <c r="BS164" s="644">
        <f t="shared" si="548"/>
        <v>0</v>
      </c>
      <c r="BT164" s="738">
        <f t="shared" ref="BT164:BW164" si="550">BT52</f>
        <v>0</v>
      </c>
      <c r="BU164" s="738">
        <f t="shared" si="550"/>
        <v>0</v>
      </c>
      <c r="BV164" s="738">
        <f t="shared" si="550"/>
        <v>0</v>
      </c>
      <c r="BW164" s="1427">
        <f t="shared" si="550"/>
        <v>0</v>
      </c>
      <c r="BX164" s="20"/>
      <c r="BY164" s="931">
        <f>SUM(D164:G164)</f>
        <v>0</v>
      </c>
      <c r="BZ164" s="738">
        <f>SUM(H164:K164)</f>
        <v>0</v>
      </c>
      <c r="CA164" s="738">
        <f>SUM(L164:O164)</f>
        <v>0</v>
      </c>
      <c r="CB164" s="738">
        <f>SUM(P164:S164)</f>
        <v>0</v>
      </c>
      <c r="CC164" s="738">
        <f>SUM(T164:W164)</f>
        <v>0</v>
      </c>
      <c r="CD164" s="738">
        <f>SUM(X164:AA164)</f>
        <v>0</v>
      </c>
      <c r="CE164" s="738">
        <f>SUM(AB164:AE164)</f>
        <v>0</v>
      </c>
      <c r="CF164" s="738">
        <f>SUM(AF164:AI164)</f>
        <v>0</v>
      </c>
      <c r="CG164" s="738">
        <f>SUM(AJ164:AM164)</f>
        <v>0</v>
      </c>
      <c r="CH164" s="738">
        <f>SUM(AN164:AQ164)</f>
        <v>0</v>
      </c>
      <c r="CI164" s="738">
        <f>SUM(AR164:AU164)</f>
        <v>111.53700000000001</v>
      </c>
      <c r="CJ164" s="738">
        <f>SUM(AV164:AY164)</f>
        <v>94.533999999999992</v>
      </c>
      <c r="CK164" s="738">
        <f>SUM(AZ164:BC164)</f>
        <v>176.74599999999998</v>
      </c>
      <c r="CL164" s="738">
        <f>SUM(BD164:BG164)</f>
        <v>174.89599999999999</v>
      </c>
      <c r="CM164" s="738">
        <f>SUM(BH164:BK164)</f>
        <v>337.66700000000003</v>
      </c>
      <c r="CN164" s="738">
        <f>SUM(BL164:BO164)</f>
        <v>362.76099999999997</v>
      </c>
      <c r="CO164" s="738">
        <f>SUM(BP164:BS164)</f>
        <v>0</v>
      </c>
      <c r="CP164" s="1427">
        <f>SUM(BT164:BW164)</f>
        <v>0</v>
      </c>
      <c r="CQ164" s="20"/>
      <c r="CR164" s="931">
        <f>SUM(G164:J164)</f>
        <v>0</v>
      </c>
      <c r="CS164" s="738">
        <f>SUM(K164:N164)</f>
        <v>0</v>
      </c>
      <c r="CT164" s="738">
        <f>SUM(O164:R164)</f>
        <v>0</v>
      </c>
      <c r="CU164" s="738">
        <f>SUM(S164:V164)</f>
        <v>0</v>
      </c>
      <c r="CV164" s="738">
        <f>SUM(W164:Z164)</f>
        <v>0</v>
      </c>
      <c r="CW164" s="738">
        <f>SUM(AA164:AD164)</f>
        <v>0</v>
      </c>
      <c r="CX164" s="738">
        <f>SUM(AE164:AH164)</f>
        <v>0</v>
      </c>
      <c r="CY164" s="738">
        <f>SUM(AI164:AL164)</f>
        <v>0</v>
      </c>
      <c r="CZ164" s="738">
        <f>SUM(AM164:AP164)</f>
        <v>5.3810000000000002</v>
      </c>
      <c r="DA164" s="738">
        <f>SUM(AQ164:AT164)</f>
        <v>62.188000000000002</v>
      </c>
      <c r="DB164" s="738">
        <f>SUM(AU164:AX164)</f>
        <v>117.19300000000001</v>
      </c>
      <c r="DC164" s="738">
        <f>SUM(AY164:BB164)</f>
        <v>150.96799999999999</v>
      </c>
      <c r="DD164" s="738">
        <f>SUM(BC164:BF164)</f>
        <v>173.851</v>
      </c>
      <c r="DE164" s="738">
        <f>SUM(BG164:BJ164)</f>
        <v>291.488</v>
      </c>
      <c r="DF164" s="738">
        <f>SUM(BK164:BN164)</f>
        <v>457.072</v>
      </c>
      <c r="DG164" s="738">
        <f>SUM(BO164:BR164)</f>
        <v>0</v>
      </c>
      <c r="DH164" s="1427">
        <f>SUM(BS164:BV164)</f>
        <v>0</v>
      </c>
      <c r="DI164" s="8"/>
    </row>
    <row r="165" spans="1:113" ht="14.25" customHeight="1">
      <c r="A165" s="8"/>
      <c r="B165" s="675" t="s">
        <v>297</v>
      </c>
      <c r="C165" s="976"/>
      <c r="D165" s="999">
        <f t="shared" ref="D165:BO165" si="551">+SUM(D163:D164)</f>
        <v>0</v>
      </c>
      <c r="E165" s="1000">
        <f t="shared" si="551"/>
        <v>0</v>
      </c>
      <c r="F165" s="1000">
        <f t="shared" si="551"/>
        <v>0</v>
      </c>
      <c r="G165" s="1001">
        <f t="shared" si="551"/>
        <v>0</v>
      </c>
      <c r="H165" s="999">
        <f t="shared" si="551"/>
        <v>0</v>
      </c>
      <c r="I165" s="1000">
        <f t="shared" si="551"/>
        <v>0</v>
      </c>
      <c r="J165" s="1000">
        <f t="shared" si="551"/>
        <v>0</v>
      </c>
      <c r="K165" s="1001">
        <f t="shared" si="551"/>
        <v>0</v>
      </c>
      <c r="L165" s="999">
        <f t="shared" si="551"/>
        <v>0</v>
      </c>
      <c r="M165" s="1000">
        <f t="shared" si="551"/>
        <v>0</v>
      </c>
      <c r="N165" s="1000">
        <f t="shared" si="551"/>
        <v>0</v>
      </c>
      <c r="O165" s="1001">
        <f t="shared" si="551"/>
        <v>0</v>
      </c>
      <c r="P165" s="999">
        <f t="shared" si="551"/>
        <v>0</v>
      </c>
      <c r="Q165" s="1000">
        <f t="shared" si="551"/>
        <v>0</v>
      </c>
      <c r="R165" s="1000">
        <f t="shared" si="551"/>
        <v>0</v>
      </c>
      <c r="S165" s="1001">
        <f t="shared" si="551"/>
        <v>0</v>
      </c>
      <c r="T165" s="1000">
        <f t="shared" si="551"/>
        <v>0</v>
      </c>
      <c r="U165" s="1000">
        <f t="shared" si="551"/>
        <v>0</v>
      </c>
      <c r="V165" s="1000">
        <f t="shared" si="551"/>
        <v>0</v>
      </c>
      <c r="W165" s="1000">
        <f t="shared" si="551"/>
        <v>0</v>
      </c>
      <c r="X165" s="999">
        <f t="shared" si="551"/>
        <v>0</v>
      </c>
      <c r="Y165" s="1000">
        <f t="shared" si="551"/>
        <v>0</v>
      </c>
      <c r="Z165" s="1000">
        <f t="shared" si="551"/>
        <v>0</v>
      </c>
      <c r="AA165" s="1001">
        <f t="shared" si="551"/>
        <v>0</v>
      </c>
      <c r="AB165" s="1000">
        <f t="shared" si="551"/>
        <v>0</v>
      </c>
      <c r="AC165" s="1000">
        <f t="shared" si="551"/>
        <v>0</v>
      </c>
      <c r="AD165" s="1000">
        <f t="shared" si="551"/>
        <v>0</v>
      </c>
      <c r="AE165" s="1000">
        <f t="shared" si="551"/>
        <v>0</v>
      </c>
      <c r="AF165" s="999">
        <f t="shared" si="551"/>
        <v>0</v>
      </c>
      <c r="AG165" s="1000">
        <f t="shared" si="551"/>
        <v>0</v>
      </c>
      <c r="AH165" s="1000">
        <f t="shared" si="551"/>
        <v>0</v>
      </c>
      <c r="AI165" s="1001">
        <f t="shared" si="551"/>
        <v>0</v>
      </c>
      <c r="AJ165" s="1000">
        <f t="shared" si="551"/>
        <v>0</v>
      </c>
      <c r="AK165" s="1000">
        <f t="shared" si="551"/>
        <v>0</v>
      </c>
      <c r="AL165" s="1000">
        <f t="shared" si="551"/>
        <v>0</v>
      </c>
      <c r="AM165" s="1000">
        <f t="shared" si="551"/>
        <v>0</v>
      </c>
      <c r="AN165" s="999">
        <f t="shared" si="551"/>
        <v>0</v>
      </c>
      <c r="AO165" s="1000">
        <f t="shared" si="551"/>
        <v>2.7029999999999998</v>
      </c>
      <c r="AP165" s="1000">
        <f t="shared" si="551"/>
        <v>2.6779999999999999</v>
      </c>
      <c r="AQ165" s="1001">
        <f t="shared" si="551"/>
        <v>-5.3810000000000002</v>
      </c>
      <c r="AR165" s="999">
        <f t="shared" si="551"/>
        <v>0</v>
      </c>
      <c r="AS165" s="1000">
        <f t="shared" si="551"/>
        <v>27.858000000000001</v>
      </c>
      <c r="AT165" s="1000">
        <f t="shared" si="551"/>
        <v>39.710999999999999</v>
      </c>
      <c r="AU165" s="1001">
        <f t="shared" si="551"/>
        <v>43.968000000000004</v>
      </c>
      <c r="AV165" s="930">
        <f>+SUM(AV163:AV164)</f>
        <v>28.565000000000001</v>
      </c>
      <c r="AW165" s="976">
        <f t="shared" si="551"/>
        <v>24.126999999999999</v>
      </c>
      <c r="AX165" s="976">
        <f t="shared" si="551"/>
        <v>22.306999999999999</v>
      </c>
      <c r="AY165" s="1001">
        <f t="shared" si="551"/>
        <v>22.189</v>
      </c>
      <c r="AZ165" s="976">
        <f>+SUM(AZ163:AZ164)</f>
        <v>37.58</v>
      </c>
      <c r="BA165" s="976">
        <f t="shared" si="551"/>
        <v>47.234000000000002</v>
      </c>
      <c r="BB165" s="976">
        <f t="shared" si="551"/>
        <v>48.105000000000004</v>
      </c>
      <c r="BC165" s="541">
        <f t="shared" si="551"/>
        <v>47.828000000000003</v>
      </c>
      <c r="BD165" s="976">
        <f t="shared" si="551"/>
        <v>36.786000000000001</v>
      </c>
      <c r="BE165" s="976">
        <f>+SUM(BE163:BE164)</f>
        <v>44.903000000000006</v>
      </c>
      <c r="BF165" s="976">
        <f>+SUM(BF163:BF164)</f>
        <v>49.772999999999996</v>
      </c>
      <c r="BG165" s="541">
        <f t="shared" si="551"/>
        <v>53.171999999999997</v>
      </c>
      <c r="BH165" s="976">
        <f>+SUM(BH163:BH164)</f>
        <v>95.117000000000004</v>
      </c>
      <c r="BI165" s="976">
        <f>+SUM(BI163:BI164)</f>
        <v>83.996000000000009</v>
      </c>
      <c r="BJ165" s="976">
        <f>+SUM(BJ163:BJ164)</f>
        <v>86.234999999999999</v>
      </c>
      <c r="BK165" s="541">
        <f t="shared" ref="BK165" si="552">+SUM(BK163:BK164)</f>
        <v>99.45</v>
      </c>
      <c r="BL165" s="976">
        <f t="shared" si="551"/>
        <v>123.705</v>
      </c>
      <c r="BM165" s="976">
        <f t="shared" si="551"/>
        <v>121.63</v>
      </c>
      <c r="BN165" s="976">
        <f t="shared" si="551"/>
        <v>122.224</v>
      </c>
      <c r="BO165" s="541">
        <f t="shared" si="551"/>
        <v>0</v>
      </c>
      <c r="BP165" s="976">
        <f t="shared" ref="BP165:BW165" si="553">+SUM(BP163:BP164)</f>
        <v>0</v>
      </c>
      <c r="BQ165" s="976">
        <f t="shared" si="553"/>
        <v>0</v>
      </c>
      <c r="BR165" s="976">
        <f t="shared" si="553"/>
        <v>0</v>
      </c>
      <c r="BS165" s="541">
        <f t="shared" si="553"/>
        <v>0</v>
      </c>
      <c r="BT165" s="976">
        <f t="shared" si="553"/>
        <v>0</v>
      </c>
      <c r="BU165" s="976">
        <f t="shared" si="553"/>
        <v>0</v>
      </c>
      <c r="BV165" s="976">
        <f t="shared" si="553"/>
        <v>0</v>
      </c>
      <c r="BW165" s="541">
        <f t="shared" si="553"/>
        <v>0</v>
      </c>
      <c r="BX165" s="20"/>
      <c r="BY165" s="930">
        <f>+SUM(BY163:BY164)</f>
        <v>0</v>
      </c>
      <c r="BZ165" s="976">
        <f>+SUM(BZ163:BZ164)</f>
        <v>0</v>
      </c>
      <c r="CA165" s="976">
        <f>+SUM(CA163:CA164)</f>
        <v>0</v>
      </c>
      <c r="CB165" s="976">
        <f t="shared" ref="CB165:CL165" si="554">+SUM(CB163:CB164)</f>
        <v>0</v>
      </c>
      <c r="CC165" s="976">
        <f t="shared" si="554"/>
        <v>0</v>
      </c>
      <c r="CD165" s="976">
        <f t="shared" si="554"/>
        <v>0</v>
      </c>
      <c r="CE165" s="976">
        <f t="shared" si="554"/>
        <v>0</v>
      </c>
      <c r="CF165" s="976">
        <f t="shared" si="554"/>
        <v>0</v>
      </c>
      <c r="CG165" s="976">
        <f t="shared" si="554"/>
        <v>0</v>
      </c>
      <c r="CH165" s="976">
        <f t="shared" si="554"/>
        <v>0</v>
      </c>
      <c r="CI165" s="976">
        <f t="shared" si="554"/>
        <v>111.53700000000001</v>
      </c>
      <c r="CJ165" s="976">
        <f t="shared" si="554"/>
        <v>97.187999999999988</v>
      </c>
      <c r="CK165" s="976">
        <f t="shared" si="554"/>
        <v>180.74699999999999</v>
      </c>
      <c r="CL165" s="976">
        <f t="shared" si="554"/>
        <v>184.63399999999999</v>
      </c>
      <c r="CM165" s="976">
        <f>+SUM(CM163:CM164)</f>
        <v>364.798</v>
      </c>
      <c r="CN165" s="976">
        <f>+SUM(CN163:CN164)</f>
        <v>367.55899999999997</v>
      </c>
      <c r="CO165" s="976">
        <f>+SUM(CO163:CO164)</f>
        <v>0</v>
      </c>
      <c r="CP165" s="541">
        <f>+SUM(CP163:CP164)</f>
        <v>0</v>
      </c>
      <c r="CQ165" s="20"/>
      <c r="CR165" s="999">
        <f>+SUM(CR163:CR164)</f>
        <v>0</v>
      </c>
      <c r="CS165" s="1000">
        <f>+SUM(CS163:CS164)</f>
        <v>0</v>
      </c>
      <c r="CT165" s="1000">
        <f>+SUM(CT163:CT164)</f>
        <v>0</v>
      </c>
      <c r="CU165" s="1000">
        <f t="shared" ref="CU165:DD165" si="555">+SUM(CU163:CU164)</f>
        <v>0</v>
      </c>
      <c r="CV165" s="1000">
        <f t="shared" si="555"/>
        <v>0</v>
      </c>
      <c r="CW165" s="1000">
        <f t="shared" si="555"/>
        <v>0</v>
      </c>
      <c r="CX165" s="1000">
        <f t="shared" si="555"/>
        <v>0</v>
      </c>
      <c r="CY165" s="1000">
        <f t="shared" si="555"/>
        <v>0</v>
      </c>
      <c r="CZ165" s="1000">
        <f t="shared" si="555"/>
        <v>5.3810000000000002</v>
      </c>
      <c r="DA165" s="1000">
        <f t="shared" si="555"/>
        <v>62.188000000000002</v>
      </c>
      <c r="DB165" s="1000">
        <f t="shared" si="555"/>
        <v>118.96700000000001</v>
      </c>
      <c r="DC165" s="1000">
        <f t="shared" si="555"/>
        <v>155.10799999999998</v>
      </c>
      <c r="DD165" s="1000">
        <f t="shared" si="555"/>
        <v>179.29</v>
      </c>
      <c r="DE165" s="1000">
        <f>+SUM(DE163:DE164)</f>
        <v>318.52</v>
      </c>
      <c r="DF165" s="1000">
        <f>+SUM(DF163:DF164)</f>
        <v>467.00900000000001</v>
      </c>
      <c r="DG165" s="1000">
        <f>+SUM(DG163:DG164)</f>
        <v>0</v>
      </c>
      <c r="DH165" s="1001">
        <f>+SUM(DH163:DH164)</f>
        <v>0</v>
      </c>
      <c r="DI165" s="8"/>
    </row>
    <row r="166" spans="1:113" ht="14.25" customHeight="1">
      <c r="A166" s="8"/>
      <c r="B166" s="994"/>
      <c r="C166" s="995"/>
      <c r="D166" s="996"/>
      <c r="E166" s="997"/>
      <c r="F166" s="997"/>
      <c r="G166" s="998"/>
      <c r="H166" s="996"/>
      <c r="I166" s="997"/>
      <c r="J166" s="997"/>
      <c r="K166" s="998"/>
      <c r="L166" s="996"/>
      <c r="M166" s="997"/>
      <c r="N166" s="997"/>
      <c r="O166" s="998"/>
      <c r="P166" s="996"/>
      <c r="Q166" s="997"/>
      <c r="R166" s="997"/>
      <c r="S166" s="998"/>
      <c r="T166" s="997"/>
      <c r="U166" s="997"/>
      <c r="V166" s="997"/>
      <c r="W166" s="997"/>
      <c r="X166" s="996"/>
      <c r="Y166" s="997"/>
      <c r="Z166" s="997"/>
      <c r="AA166" s="998"/>
      <c r="AB166" s="997"/>
      <c r="AC166" s="997"/>
      <c r="AD166" s="997"/>
      <c r="AE166" s="997"/>
      <c r="AF166" s="996"/>
      <c r="AG166" s="997"/>
      <c r="AH166" s="997"/>
      <c r="AI166" s="998"/>
      <c r="AJ166" s="997"/>
      <c r="AK166" s="997"/>
      <c r="AL166" s="997"/>
      <c r="AM166" s="997"/>
      <c r="AN166" s="996"/>
      <c r="AO166" s="997"/>
      <c r="AP166" s="997"/>
      <c r="AQ166" s="998"/>
      <c r="AR166" s="996"/>
      <c r="AS166" s="997"/>
      <c r="AT166" s="997"/>
      <c r="AU166" s="998"/>
      <c r="AV166" s="996"/>
      <c r="AW166" s="997"/>
      <c r="AX166" s="997"/>
      <c r="AY166" s="998"/>
      <c r="AZ166" s="997"/>
      <c r="BA166" s="997"/>
      <c r="BB166" s="997"/>
      <c r="BC166" s="998"/>
      <c r="BD166" s="997"/>
      <c r="BE166" s="997"/>
      <c r="BF166" s="997"/>
      <c r="BG166" s="998"/>
      <c r="BH166" s="997"/>
      <c r="BI166" s="997"/>
      <c r="BJ166" s="997"/>
      <c r="BK166" s="998"/>
      <c r="BL166" s="997"/>
      <c r="BM166" s="997"/>
      <c r="BN166" s="997"/>
      <c r="BO166" s="998"/>
      <c r="BP166" s="997"/>
      <c r="BQ166" s="997"/>
      <c r="BR166" s="997"/>
      <c r="BS166" s="998"/>
      <c r="BT166" s="997"/>
      <c r="BU166" s="997"/>
      <c r="BV166" s="997"/>
      <c r="BW166" s="998"/>
      <c r="BX166" s="20"/>
      <c r="BY166" s="996"/>
      <c r="BZ166" s="997"/>
      <c r="CA166" s="997"/>
      <c r="CB166" s="997"/>
      <c r="CC166" s="997"/>
      <c r="CD166" s="997"/>
      <c r="CE166" s="997"/>
      <c r="CF166" s="997"/>
      <c r="CG166" s="997"/>
      <c r="CH166" s="997"/>
      <c r="CI166" s="997"/>
      <c r="CJ166" s="997"/>
      <c r="CK166" s="997"/>
      <c r="CL166" s="997"/>
      <c r="CM166" s="997"/>
      <c r="CN166" s="997"/>
      <c r="CO166" s="997"/>
      <c r="CP166" s="998"/>
      <c r="CQ166" s="20"/>
      <c r="CR166" s="1008"/>
      <c r="CS166" s="1009"/>
      <c r="CT166" s="1009"/>
      <c r="CU166" s="1009"/>
      <c r="CV166" s="1009"/>
      <c r="CW166" s="1009"/>
      <c r="CX166" s="1009"/>
      <c r="CY166" s="1009"/>
      <c r="CZ166" s="1009"/>
      <c r="DA166" s="1009"/>
      <c r="DB166" s="1009"/>
      <c r="DC166" s="1009"/>
      <c r="DD166" s="1009"/>
      <c r="DE166" s="1009"/>
      <c r="DF166" s="1009"/>
      <c r="DG166" s="1009"/>
      <c r="DH166" s="1010"/>
      <c r="DI166" s="8"/>
    </row>
    <row r="167" spans="1:113" ht="14.25" customHeight="1">
      <c r="A167" s="8"/>
      <c r="B167" s="621"/>
      <c r="C167" s="8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14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14"/>
      <c r="CZ167" s="8"/>
      <c r="DA167" s="8"/>
      <c r="DB167" s="8"/>
      <c r="DC167" s="8"/>
      <c r="DD167" s="14"/>
      <c r="DE167" s="14"/>
      <c r="DF167" s="14"/>
      <c r="DG167" s="14"/>
      <c r="DH167" s="14"/>
      <c r="DI167" s="8"/>
    </row>
    <row r="168" spans="1:113" ht="14.25" customHeight="1" outlineLevel="1">
      <c r="A168" s="8"/>
      <c r="B168" s="621"/>
      <c r="C168" s="8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14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14"/>
      <c r="CZ168" s="8"/>
      <c r="DA168" s="8"/>
      <c r="DB168" s="8"/>
      <c r="DC168" s="8"/>
      <c r="DD168" s="14"/>
      <c r="DE168" s="14"/>
      <c r="DF168" s="14"/>
      <c r="DG168" s="14"/>
      <c r="DH168" s="14"/>
      <c r="DI168" s="8"/>
    </row>
    <row r="169" spans="1:113" ht="14.25" customHeight="1" outlineLevel="1">
      <c r="A169" s="8"/>
      <c r="B169" s="622" t="s">
        <v>456</v>
      </c>
      <c r="C169" s="598"/>
      <c r="D169" s="599" t="str">
        <f>D$7</f>
        <v>F1Q03A</v>
      </c>
      <c r="E169" s="600" t="str">
        <f t="shared" ref="E169:BP169" si="556">E$7</f>
        <v>F2Q03A</v>
      </c>
      <c r="F169" s="600" t="str">
        <f t="shared" si="556"/>
        <v>F3Q03A</v>
      </c>
      <c r="G169" s="601" t="str">
        <f t="shared" si="556"/>
        <v>F4Q03A</v>
      </c>
      <c r="H169" s="599" t="str">
        <f t="shared" si="556"/>
        <v>F1Q04A</v>
      </c>
      <c r="I169" s="600" t="str">
        <f t="shared" si="556"/>
        <v>F2Q04A</v>
      </c>
      <c r="J169" s="600" t="str">
        <f t="shared" si="556"/>
        <v>F3Q04A</v>
      </c>
      <c r="K169" s="601" t="str">
        <f t="shared" si="556"/>
        <v>F4Q04A</v>
      </c>
      <c r="L169" s="599" t="str">
        <f t="shared" si="556"/>
        <v>F1Q05A</v>
      </c>
      <c r="M169" s="600" t="str">
        <f t="shared" si="556"/>
        <v>F2Q05A</v>
      </c>
      <c r="N169" s="600" t="str">
        <f t="shared" si="556"/>
        <v>F3Q05A</v>
      </c>
      <c r="O169" s="601" t="str">
        <f t="shared" si="556"/>
        <v>F4Q05A</v>
      </c>
      <c r="P169" s="599" t="str">
        <f t="shared" si="556"/>
        <v>F1Q06A</v>
      </c>
      <c r="Q169" s="600" t="str">
        <f t="shared" si="556"/>
        <v>F2Q06A</v>
      </c>
      <c r="R169" s="600" t="str">
        <f t="shared" si="556"/>
        <v>F3Q06A</v>
      </c>
      <c r="S169" s="601" t="str">
        <f t="shared" si="556"/>
        <v>F4Q06A</v>
      </c>
      <c r="T169" s="600" t="str">
        <f t="shared" si="556"/>
        <v>F1Q07A</v>
      </c>
      <c r="U169" s="600" t="str">
        <f t="shared" si="556"/>
        <v>F2Q07A</v>
      </c>
      <c r="V169" s="600" t="str">
        <f t="shared" si="556"/>
        <v>F3Q07A</v>
      </c>
      <c r="W169" s="600" t="str">
        <f t="shared" si="556"/>
        <v>F4Q07A</v>
      </c>
      <c r="X169" s="599" t="str">
        <f t="shared" si="556"/>
        <v>F1Q08A</v>
      </c>
      <c r="Y169" s="600" t="str">
        <f t="shared" si="556"/>
        <v>F2Q08A</v>
      </c>
      <c r="Z169" s="600" t="str">
        <f t="shared" si="556"/>
        <v>F3Q08A</v>
      </c>
      <c r="AA169" s="601" t="str">
        <f t="shared" si="556"/>
        <v>F4Q08A</v>
      </c>
      <c r="AB169" s="600" t="str">
        <f t="shared" si="556"/>
        <v>F1Q09A</v>
      </c>
      <c r="AC169" s="600" t="str">
        <f t="shared" si="556"/>
        <v>F2Q09A</v>
      </c>
      <c r="AD169" s="600" t="str">
        <f t="shared" si="556"/>
        <v>F3Q09A</v>
      </c>
      <c r="AE169" s="600" t="str">
        <f t="shared" si="556"/>
        <v>F4Q09A</v>
      </c>
      <c r="AF169" s="599" t="str">
        <f t="shared" si="556"/>
        <v>F1Q10A</v>
      </c>
      <c r="AG169" s="600" t="str">
        <f t="shared" si="556"/>
        <v>F2Q10A</v>
      </c>
      <c r="AH169" s="600" t="str">
        <f t="shared" si="556"/>
        <v>F3Q10A</v>
      </c>
      <c r="AI169" s="601" t="str">
        <f t="shared" si="556"/>
        <v>F4Q10A</v>
      </c>
      <c r="AJ169" s="600" t="str">
        <f t="shared" si="556"/>
        <v>F1Q11A</v>
      </c>
      <c r="AK169" s="600" t="str">
        <f t="shared" si="556"/>
        <v>F2Q11A</v>
      </c>
      <c r="AL169" s="600" t="str">
        <f t="shared" si="556"/>
        <v>F3Q11A</v>
      </c>
      <c r="AM169" s="600" t="str">
        <f t="shared" si="556"/>
        <v>F4Q11A</v>
      </c>
      <c r="AN169" s="599" t="str">
        <f t="shared" si="556"/>
        <v>F1Q12A</v>
      </c>
      <c r="AO169" s="600" t="str">
        <f t="shared" si="556"/>
        <v>F2Q12A</v>
      </c>
      <c r="AP169" s="600" t="str">
        <f t="shared" si="556"/>
        <v>F3Q12A</v>
      </c>
      <c r="AQ169" s="601" t="str">
        <f t="shared" si="556"/>
        <v>F4Q12A</v>
      </c>
      <c r="AR169" s="599" t="str">
        <f t="shared" si="556"/>
        <v>F1Q13A</v>
      </c>
      <c r="AS169" s="600" t="str">
        <f t="shared" si="556"/>
        <v>F2Q13A</v>
      </c>
      <c r="AT169" s="600" t="str">
        <f t="shared" si="556"/>
        <v>F3Q13A</v>
      </c>
      <c r="AU169" s="601" t="str">
        <f t="shared" si="556"/>
        <v>F4Q13A</v>
      </c>
      <c r="AV169" s="599" t="str">
        <f t="shared" si="556"/>
        <v>F1Q14A</v>
      </c>
      <c r="AW169" s="600" t="str">
        <f t="shared" si="556"/>
        <v>F2Q14A</v>
      </c>
      <c r="AX169" s="600" t="str">
        <f t="shared" si="556"/>
        <v>F3Q14A</v>
      </c>
      <c r="AY169" s="601" t="str">
        <f t="shared" si="556"/>
        <v>F4Q14A</v>
      </c>
      <c r="AZ169" s="600" t="str">
        <f t="shared" si="556"/>
        <v>F1Q15A</v>
      </c>
      <c r="BA169" s="600" t="str">
        <f t="shared" si="556"/>
        <v>F2Q15A</v>
      </c>
      <c r="BB169" s="600" t="str">
        <f t="shared" si="556"/>
        <v>F3Q15A</v>
      </c>
      <c r="BC169" s="601" t="str">
        <f t="shared" si="556"/>
        <v>F4Q15A</v>
      </c>
      <c r="BD169" s="600" t="str">
        <f t="shared" si="556"/>
        <v>F1Q16A</v>
      </c>
      <c r="BE169" s="600" t="str">
        <f t="shared" si="556"/>
        <v>F2Q16A</v>
      </c>
      <c r="BF169" s="600" t="str">
        <f t="shared" si="556"/>
        <v>F3Q16A</v>
      </c>
      <c r="BG169" s="601" t="str">
        <f t="shared" si="556"/>
        <v>F4Q16A</v>
      </c>
      <c r="BH169" s="600" t="str">
        <f t="shared" si="556"/>
        <v>F1Q17A</v>
      </c>
      <c r="BI169" s="600" t="str">
        <f t="shared" si="556"/>
        <v>F2Q17A</v>
      </c>
      <c r="BJ169" s="600" t="str">
        <f t="shared" si="556"/>
        <v>F3Q17A</v>
      </c>
      <c r="BK169" s="601" t="str">
        <f t="shared" si="556"/>
        <v>F4Q17A</v>
      </c>
      <c r="BL169" s="600" t="str">
        <f t="shared" si="556"/>
        <v>F1Q18A</v>
      </c>
      <c r="BM169" s="600" t="str">
        <f t="shared" si="556"/>
        <v>F2Q18A</v>
      </c>
      <c r="BN169" s="600" t="str">
        <f t="shared" si="556"/>
        <v>F3Q18A</v>
      </c>
      <c r="BO169" s="601" t="str">
        <f t="shared" si="556"/>
        <v>F4Q18E</v>
      </c>
      <c r="BP169" s="600" t="str">
        <f t="shared" si="556"/>
        <v>F1Q19E</v>
      </c>
      <c r="BQ169" s="600" t="str">
        <f>BQ$7</f>
        <v>F2Q19E</v>
      </c>
      <c r="BR169" s="600" t="str">
        <f>BR$7</f>
        <v>F3Q19E</v>
      </c>
      <c r="BS169" s="601" t="str">
        <f>BS$7</f>
        <v>F4Q19E</v>
      </c>
      <c r="BT169" s="600" t="str">
        <f t="shared" ref="BT169" si="557">BT$7</f>
        <v>F1Q20E</v>
      </c>
      <c r="BU169" s="600" t="str">
        <f>BU$7</f>
        <v>F2Q20E</v>
      </c>
      <c r="BV169" s="600" t="str">
        <f>BV$7</f>
        <v>F3Q20E</v>
      </c>
      <c r="BW169" s="601" t="str">
        <f>BW$7</f>
        <v>F4Q20E</v>
      </c>
      <c r="BX169" s="473"/>
      <c r="BY169" s="599" t="str">
        <f t="shared" ref="BY169:CP169" si="558">BY$7</f>
        <v>FY2003A</v>
      </c>
      <c r="BZ169" s="600" t="str">
        <f t="shared" si="558"/>
        <v>FY2004A</v>
      </c>
      <c r="CA169" s="600" t="str">
        <f t="shared" si="558"/>
        <v>FY2005A</v>
      </c>
      <c r="CB169" s="600" t="str">
        <f t="shared" si="558"/>
        <v>FY2006A</v>
      </c>
      <c r="CC169" s="600" t="str">
        <f t="shared" si="558"/>
        <v>FY2007A</v>
      </c>
      <c r="CD169" s="600" t="str">
        <f t="shared" si="558"/>
        <v>FY2008A</v>
      </c>
      <c r="CE169" s="600" t="str">
        <f t="shared" si="558"/>
        <v>FY2009A</v>
      </c>
      <c r="CF169" s="600" t="str">
        <f t="shared" si="558"/>
        <v>FY2010A</v>
      </c>
      <c r="CG169" s="600" t="str">
        <f t="shared" si="558"/>
        <v>FY2011A</v>
      </c>
      <c r="CH169" s="600" t="str">
        <f t="shared" si="558"/>
        <v>FY2012A</v>
      </c>
      <c r="CI169" s="600" t="str">
        <f t="shared" si="558"/>
        <v>FY2013A</v>
      </c>
      <c r="CJ169" s="600" t="str">
        <f>CJ$7</f>
        <v>FY2014A</v>
      </c>
      <c r="CK169" s="600" t="str">
        <f t="shared" si="558"/>
        <v>FY2015A</v>
      </c>
      <c r="CL169" s="600" t="str">
        <f t="shared" si="558"/>
        <v>FY2016A</v>
      </c>
      <c r="CM169" s="600" t="str">
        <f t="shared" si="558"/>
        <v>FY2017A</v>
      </c>
      <c r="CN169" s="600" t="str">
        <f t="shared" si="558"/>
        <v>FY2018E</v>
      </c>
      <c r="CO169" s="600" t="str">
        <f t="shared" si="558"/>
        <v>FY2019E</v>
      </c>
      <c r="CP169" s="601" t="str">
        <f t="shared" si="558"/>
        <v>FY2020E</v>
      </c>
      <c r="CQ169" s="473"/>
      <c r="CR169" s="599" t="str">
        <f>CR$5</f>
        <v>CY2003</v>
      </c>
      <c r="CS169" s="600" t="str">
        <f t="shared" ref="CS169:DH169" si="559">CS$5</f>
        <v>CY2004</v>
      </c>
      <c r="CT169" s="600" t="str">
        <f t="shared" si="559"/>
        <v>CY2005</v>
      </c>
      <c r="CU169" s="600" t="str">
        <f t="shared" si="559"/>
        <v>CY2006</v>
      </c>
      <c r="CV169" s="600" t="str">
        <f t="shared" si="559"/>
        <v>CY2007</v>
      </c>
      <c r="CW169" s="600" t="str">
        <f t="shared" si="559"/>
        <v>CY2008</v>
      </c>
      <c r="CX169" s="600" t="str">
        <f t="shared" si="559"/>
        <v>CY2009</v>
      </c>
      <c r="CY169" s="600" t="str">
        <f t="shared" si="559"/>
        <v>CY2010</v>
      </c>
      <c r="CZ169" s="600" t="str">
        <f t="shared" si="559"/>
        <v>CY2011</v>
      </c>
      <c r="DA169" s="600" t="str">
        <f t="shared" si="559"/>
        <v>CY2012</v>
      </c>
      <c r="DB169" s="600" t="str">
        <f t="shared" si="559"/>
        <v>CY2013</v>
      </c>
      <c r="DC169" s="600" t="str">
        <f t="shared" si="559"/>
        <v>CY2014</v>
      </c>
      <c r="DD169" s="600" t="str">
        <f t="shared" si="559"/>
        <v>CY2015</v>
      </c>
      <c r="DE169" s="600" t="str">
        <f t="shared" si="559"/>
        <v>CY2016</v>
      </c>
      <c r="DF169" s="600" t="str">
        <f t="shared" si="559"/>
        <v>CY2017</v>
      </c>
      <c r="DG169" s="600" t="str">
        <f t="shared" si="559"/>
        <v>CY2018</v>
      </c>
      <c r="DH169" s="601" t="str">
        <f t="shared" si="559"/>
        <v>CY2019</v>
      </c>
      <c r="DI169" s="8"/>
    </row>
    <row r="170" spans="1:113" ht="14.25" customHeight="1" outlineLevel="1">
      <c r="A170" s="8"/>
      <c r="B170" s="990"/>
      <c r="C170" s="14"/>
      <c r="D170" s="68"/>
      <c r="E170" s="68"/>
      <c r="F170" s="68"/>
      <c r="G170" s="74"/>
      <c r="H170" s="68"/>
      <c r="I170" s="68"/>
      <c r="J170" s="68"/>
      <c r="K170" s="74"/>
      <c r="L170" s="68"/>
      <c r="M170" s="68"/>
      <c r="N170" s="68"/>
      <c r="O170" s="74"/>
      <c r="P170" s="68"/>
      <c r="Q170" s="68"/>
      <c r="R170" s="68"/>
      <c r="S170" s="74"/>
      <c r="T170" s="68"/>
      <c r="U170" s="68"/>
      <c r="V170" s="68"/>
      <c r="W170" s="74"/>
      <c r="X170" s="68"/>
      <c r="Y170" s="68"/>
      <c r="Z170" s="68"/>
      <c r="AA170" s="74"/>
      <c r="AB170" s="68"/>
      <c r="AC170" s="68"/>
      <c r="AD170" s="68"/>
      <c r="AE170" s="74"/>
      <c r="AF170" s="68"/>
      <c r="AG170" s="68"/>
      <c r="AH170" s="68"/>
      <c r="AI170" s="74"/>
      <c r="AJ170" s="68"/>
      <c r="AK170" s="68"/>
      <c r="AL170" s="68"/>
      <c r="AM170" s="74"/>
      <c r="AN170" s="68"/>
      <c r="AO170" s="14"/>
      <c r="AP170" s="14"/>
      <c r="AQ170" s="74"/>
      <c r="AR170" s="14"/>
      <c r="AS170" s="14"/>
      <c r="AT170" s="14"/>
      <c r="AU170" s="74"/>
      <c r="AV170" s="14"/>
      <c r="AW170" s="14"/>
      <c r="AX170" s="14"/>
      <c r="AY170" s="74"/>
      <c r="AZ170" s="14"/>
      <c r="BA170" s="14"/>
      <c r="BB170" s="14"/>
      <c r="BC170" s="74"/>
      <c r="BD170" s="14"/>
      <c r="BE170" s="14"/>
      <c r="BF170" s="14"/>
      <c r="BG170" s="74"/>
      <c r="BH170" s="14"/>
      <c r="BI170" s="14"/>
      <c r="BJ170" s="14"/>
      <c r="BK170" s="232"/>
      <c r="BL170" s="14"/>
      <c r="BM170" s="14"/>
      <c r="BN170" s="14"/>
      <c r="BO170" s="232"/>
      <c r="BP170" s="14"/>
      <c r="BQ170" s="14"/>
      <c r="BR170" s="14"/>
      <c r="BS170" s="232"/>
      <c r="BT170" s="14"/>
      <c r="BU170" s="14"/>
      <c r="BV170" s="14"/>
      <c r="BW170" s="232"/>
      <c r="BX170" s="20"/>
      <c r="BY170" s="1141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172"/>
      <c r="CO170" s="1172"/>
      <c r="CP170" s="226"/>
      <c r="CQ170" s="20"/>
      <c r="CR170" s="22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172"/>
      <c r="DE170" s="1172"/>
      <c r="DF170" s="1172"/>
      <c r="DG170" s="1172"/>
      <c r="DH170" s="226"/>
      <c r="DI170" s="8"/>
    </row>
    <row r="171" spans="1:113" ht="14.25" customHeight="1" outlineLevel="1">
      <c r="A171" s="8"/>
      <c r="B171" s="990" t="s">
        <v>457</v>
      </c>
      <c r="C171" s="14"/>
      <c r="D171" s="247">
        <f t="shared" ref="D171:AI171" si="560">+D63</f>
        <v>38.866000000000007</v>
      </c>
      <c r="E171" s="247">
        <f t="shared" si="560"/>
        <v>44.835999999999999</v>
      </c>
      <c r="F171" s="247">
        <f t="shared" si="560"/>
        <v>48.140999999999991</v>
      </c>
      <c r="G171" s="228">
        <f t="shared" si="560"/>
        <v>43.074000000000048</v>
      </c>
      <c r="H171" s="247">
        <f t="shared" si="560"/>
        <v>43.878999999999984</v>
      </c>
      <c r="I171" s="247">
        <f t="shared" si="560"/>
        <v>47.593999999999987</v>
      </c>
      <c r="J171" s="247">
        <f t="shared" si="560"/>
        <v>53.105000000000018</v>
      </c>
      <c r="K171" s="228">
        <f t="shared" si="560"/>
        <v>59.33600000000002</v>
      </c>
      <c r="L171" s="247">
        <f t="shared" si="560"/>
        <v>70.954000000000008</v>
      </c>
      <c r="M171" s="247">
        <f t="shared" si="560"/>
        <v>75.050999999999988</v>
      </c>
      <c r="N171" s="247">
        <f t="shared" si="560"/>
        <v>65.621999999999986</v>
      </c>
      <c r="O171" s="228">
        <f t="shared" si="560"/>
        <v>68.120000000000033</v>
      </c>
      <c r="P171" s="247">
        <f t="shared" si="560"/>
        <v>73.028999999999982</v>
      </c>
      <c r="Q171" s="247">
        <f t="shared" si="560"/>
        <v>79.294999999999987</v>
      </c>
      <c r="R171" s="247">
        <f t="shared" si="560"/>
        <v>84.58799999999998</v>
      </c>
      <c r="S171" s="228">
        <f t="shared" si="560"/>
        <v>89.451999999999998</v>
      </c>
      <c r="T171" s="247">
        <f t="shared" si="560"/>
        <v>89.68100000000004</v>
      </c>
      <c r="U171" s="247">
        <f t="shared" si="560"/>
        <v>91.359000000000009</v>
      </c>
      <c r="V171" s="247">
        <f t="shared" si="560"/>
        <v>81.481999999999971</v>
      </c>
      <c r="W171" s="228">
        <f t="shared" si="560"/>
        <v>85.289000000000001</v>
      </c>
      <c r="X171" s="247">
        <f t="shared" si="560"/>
        <v>85.01900000000002</v>
      </c>
      <c r="Y171" s="247">
        <f t="shared" si="560"/>
        <v>82.436999999999983</v>
      </c>
      <c r="Z171" s="247">
        <f t="shared" si="560"/>
        <v>79.239999999999995</v>
      </c>
      <c r="AA171" s="228">
        <f t="shared" si="560"/>
        <v>81.732000000000014</v>
      </c>
      <c r="AB171" s="247">
        <f t="shared" si="560"/>
        <v>86.632000000000033</v>
      </c>
      <c r="AC171" s="247">
        <f t="shared" si="560"/>
        <v>87.181000000000026</v>
      </c>
      <c r="AD171" s="247">
        <f t="shared" si="560"/>
        <v>41.41</v>
      </c>
      <c r="AE171" s="228">
        <f t="shared" si="560"/>
        <v>25.369999999999983</v>
      </c>
      <c r="AF171" s="247">
        <f t="shared" si="560"/>
        <v>33.691000000000017</v>
      </c>
      <c r="AG171" s="247">
        <f t="shared" si="560"/>
        <v>53.561000000000007</v>
      </c>
      <c r="AH171" s="247">
        <f t="shared" si="560"/>
        <v>73.186000000000007</v>
      </c>
      <c r="AI171" s="228">
        <f t="shared" si="560"/>
        <v>90.162000000000063</v>
      </c>
      <c r="AJ171" s="247">
        <f t="shared" ref="AJ171:BS171" si="561">+AJ63</f>
        <v>118.271</v>
      </c>
      <c r="AK171" s="247">
        <f t="shared" si="561"/>
        <v>129.28100000000001</v>
      </c>
      <c r="AL171" s="247">
        <f t="shared" si="561"/>
        <v>121.70700000000002</v>
      </c>
      <c r="AM171" s="228">
        <f t="shared" si="561"/>
        <v>128.26899999999986</v>
      </c>
      <c r="AN171" s="247">
        <f t="shared" si="561"/>
        <v>120.11900000000001</v>
      </c>
      <c r="AO171" s="247">
        <f t="shared" si="561"/>
        <v>100.46599999999998</v>
      </c>
      <c r="AP171" s="247">
        <f t="shared" si="561"/>
        <v>90.385999999999996</v>
      </c>
      <c r="AQ171" s="228">
        <f t="shared" si="561"/>
        <v>98.161999999999978</v>
      </c>
      <c r="AR171" s="247">
        <f t="shared" si="561"/>
        <v>105.197</v>
      </c>
      <c r="AS171" s="247">
        <f t="shared" si="561"/>
        <v>98.581999999999994</v>
      </c>
      <c r="AT171" s="247">
        <f t="shared" si="561"/>
        <v>91.526000000000039</v>
      </c>
      <c r="AU171" s="228">
        <f t="shared" si="561"/>
        <v>110.23400000000007</v>
      </c>
      <c r="AV171" s="247">
        <f t="shared" si="561"/>
        <v>128.66699999999997</v>
      </c>
      <c r="AW171" s="247">
        <f t="shared" si="561"/>
        <v>141.62399999999994</v>
      </c>
      <c r="AX171" s="247">
        <f t="shared" si="561"/>
        <v>140.06800000000007</v>
      </c>
      <c r="AY171" s="228">
        <f t="shared" si="561"/>
        <v>149.07900000000006</v>
      </c>
      <c r="AZ171" s="247">
        <f t="shared" si="561"/>
        <v>163.00300000000001</v>
      </c>
      <c r="BA171" s="247">
        <f t="shared" si="561"/>
        <v>162.01700000000005</v>
      </c>
      <c r="BB171" s="247">
        <f t="shared" si="561"/>
        <v>154.51100000000005</v>
      </c>
      <c r="BC171" s="228">
        <f t="shared" si="561"/>
        <v>162.23599999999999</v>
      </c>
      <c r="BD171" s="247">
        <f t="shared" si="561"/>
        <v>160.20499999999998</v>
      </c>
      <c r="BE171" s="247">
        <f t="shared" si="561"/>
        <v>147.05099999999996</v>
      </c>
      <c r="BF171" s="247">
        <f t="shared" si="561"/>
        <v>145.64000000000004</v>
      </c>
      <c r="BG171" s="228">
        <f t="shared" si="561"/>
        <v>161.05700000000002</v>
      </c>
      <c r="BH171" s="247">
        <f>+BH63</f>
        <v>171.55099999999993</v>
      </c>
      <c r="BI171" s="247">
        <f t="shared" ref="BI171" si="562">+BI63</f>
        <v>241.95200000000006</v>
      </c>
      <c r="BJ171" s="247">
        <f t="shared" si="561"/>
        <v>266.96899999999999</v>
      </c>
      <c r="BK171" s="228">
        <f t="shared" ref="BK171" si="563">+BK63</f>
        <v>299.10599999999999</v>
      </c>
      <c r="BL171" s="247">
        <f t="shared" si="561"/>
        <v>341.887</v>
      </c>
      <c r="BM171" s="247">
        <f t="shared" si="561"/>
        <v>366.90100000000007</v>
      </c>
      <c r="BN171" s="247">
        <f t="shared" si="561"/>
        <v>367.66599999999994</v>
      </c>
      <c r="BO171" s="228">
        <f t="shared" si="561"/>
        <v>364.7876601535657</v>
      </c>
      <c r="BP171" s="247">
        <f t="shared" si="561"/>
        <v>387.28805588282819</v>
      </c>
      <c r="BQ171" s="247">
        <f t="shared" si="561"/>
        <v>404.22830740371433</v>
      </c>
      <c r="BR171" s="247">
        <f t="shared" si="561"/>
        <v>393.23460021920795</v>
      </c>
      <c r="BS171" s="228">
        <f t="shared" si="561"/>
        <v>389.4363438721158</v>
      </c>
      <c r="BT171" s="1391">
        <f t="shared" ref="BT171:BW171" si="564">+BT63</f>
        <v>410.00841088618711</v>
      </c>
      <c r="BU171" s="1391">
        <f t="shared" si="564"/>
        <v>424.47231236467638</v>
      </c>
      <c r="BV171" s="1391">
        <f t="shared" si="564"/>
        <v>415.08474716626972</v>
      </c>
      <c r="BW171" s="1384">
        <f t="shared" si="564"/>
        <v>411.63644748163483</v>
      </c>
      <c r="BX171" s="594"/>
      <c r="BY171" s="248">
        <f>SUM(D171:G171)</f>
        <v>174.91700000000003</v>
      </c>
      <c r="BZ171" s="247">
        <f>SUM(H171:K171)</f>
        <v>203.91399999999999</v>
      </c>
      <c r="CA171" s="247">
        <f>SUM(L171:O171)</f>
        <v>279.74700000000001</v>
      </c>
      <c r="CB171" s="247">
        <f>SUM(P171:S171)</f>
        <v>326.36399999999992</v>
      </c>
      <c r="CC171" s="247">
        <f>SUM(T171:W171)</f>
        <v>347.81100000000004</v>
      </c>
      <c r="CD171" s="247">
        <f>SUM(X171:AA171)</f>
        <v>328.42800000000005</v>
      </c>
      <c r="CE171" s="247">
        <f>SUM(AB171:AE171)</f>
        <v>240.59300000000002</v>
      </c>
      <c r="CF171" s="247">
        <f>SUM(AF171:AI171)</f>
        <v>250.60000000000011</v>
      </c>
      <c r="CG171" s="247">
        <f>SUM(AJ171:AM171)</f>
        <v>497.52799999999991</v>
      </c>
      <c r="CH171" s="1391">
        <f>SUM(AN171:AQ171)</f>
        <v>409.13299999999998</v>
      </c>
      <c r="CI171" s="1391">
        <f>SUM(AR171:AU171)</f>
        <v>405.5390000000001</v>
      </c>
      <c r="CJ171" s="1391">
        <f>SUM(AV171:AY171)</f>
        <v>559.4380000000001</v>
      </c>
      <c r="CK171" s="247">
        <f>SUM(AZ171:BC171)</f>
        <v>641.76700000000017</v>
      </c>
      <c r="CL171" s="247">
        <f>SUM(BD171:BG171)</f>
        <v>613.95299999999997</v>
      </c>
      <c r="CM171" s="247">
        <f>SUM(BH171:BK171)</f>
        <v>979.57799999999997</v>
      </c>
      <c r="CN171" s="247">
        <f>SUM(BL171:BO171)</f>
        <v>1441.2416601535656</v>
      </c>
      <c r="CO171" s="1391">
        <f>SUM(BP171:BS171)</f>
        <v>1574.1873073778661</v>
      </c>
      <c r="CP171" s="1384">
        <f>SUM(BT171:BW171)</f>
        <v>1661.2019178987682</v>
      </c>
      <c r="CQ171" s="594"/>
      <c r="CR171" s="248">
        <f>SUM(G171:J171)</f>
        <v>187.65200000000004</v>
      </c>
      <c r="CS171" s="247">
        <f>SUM(K171:N171)</f>
        <v>270.96299999999997</v>
      </c>
      <c r="CT171" s="247">
        <f>SUM(O171:R171)</f>
        <v>305.03199999999998</v>
      </c>
      <c r="CU171" s="247">
        <f>SUM(S171:V171)</f>
        <v>351.97400000000005</v>
      </c>
      <c r="CV171" s="247">
        <f>SUM(W171:Z171)</f>
        <v>331.98500000000001</v>
      </c>
      <c r="CW171" s="247">
        <f>SUM(AA171:AD171)</f>
        <v>296.95500000000004</v>
      </c>
      <c r="CX171" s="247">
        <f>SUM(AE171:AH171)</f>
        <v>185.80800000000002</v>
      </c>
      <c r="CY171" s="247">
        <f>SUM(AI171:AL171)</f>
        <v>459.42100000000005</v>
      </c>
      <c r="CZ171" s="247">
        <f>SUM(AM171:AP171)</f>
        <v>439.23999999999978</v>
      </c>
      <c r="DA171" s="247">
        <f>SUM(AQ171:AT171)</f>
        <v>393.46699999999998</v>
      </c>
      <c r="DB171" s="247">
        <f>SUM(AU171:AX171)</f>
        <v>520.59300000000007</v>
      </c>
      <c r="DC171" s="247">
        <f>SUM(AY171:BB171)</f>
        <v>628.61000000000024</v>
      </c>
      <c r="DD171" s="247">
        <f>SUM(BC171:BF171)</f>
        <v>615.13200000000006</v>
      </c>
      <c r="DE171" s="247">
        <f>SUM(BG171:BJ171)</f>
        <v>841.529</v>
      </c>
      <c r="DF171" s="247">
        <f>SUM(BK171:BN171)</f>
        <v>1375.56</v>
      </c>
      <c r="DG171" s="1391">
        <f>SUM(BO171:BR171)</f>
        <v>1549.5386236593163</v>
      </c>
      <c r="DH171" s="1384">
        <f>SUM(BS171:BV171)</f>
        <v>1639.0018142892491</v>
      </c>
      <c r="DI171" s="8"/>
    </row>
    <row r="172" spans="1:113" ht="14.25" customHeight="1" outlineLevel="1">
      <c r="A172" s="8"/>
      <c r="B172" s="990" t="s">
        <v>458</v>
      </c>
      <c r="C172" s="14"/>
      <c r="D172" s="712">
        <f>+CFS!D11</f>
        <v>27.228000000000002</v>
      </c>
      <c r="E172" s="713">
        <f>+CFS!E11</f>
        <v>27.841999999999999</v>
      </c>
      <c r="F172" s="713">
        <f>+CFS!F11</f>
        <v>27.824999999999996</v>
      </c>
      <c r="G172" s="714">
        <f>+CFS!G11</f>
        <v>28.181000000000004</v>
      </c>
      <c r="H172" s="712">
        <f>+CFS!H11</f>
        <v>28.222999999999999</v>
      </c>
      <c r="I172" s="713">
        <f>+CFS!I11</f>
        <v>26.868000000000002</v>
      </c>
      <c r="J172" s="713">
        <f>+CFS!J11</f>
        <v>27.865000000000002</v>
      </c>
      <c r="K172" s="714">
        <f>+CFS!K11</f>
        <v>28.670999999999999</v>
      </c>
      <c r="L172" s="712">
        <f>+CFS!L11</f>
        <v>29.553000000000001</v>
      </c>
      <c r="M172" s="713">
        <f>+CFS!M11</f>
        <v>31.288</v>
      </c>
      <c r="N172" s="713">
        <f>+CFS!N11</f>
        <v>30.523999999999997</v>
      </c>
      <c r="O172" s="714">
        <f>+CFS!O11</f>
        <v>29.100999999999996</v>
      </c>
      <c r="P172" s="712">
        <f>+CFS!P11</f>
        <v>28.106999999999999</v>
      </c>
      <c r="Q172" s="713">
        <f>+CFS!Q11</f>
        <v>27.914000000000001</v>
      </c>
      <c r="R172" s="713">
        <f>+CFS!R11</f>
        <v>27.084999999999994</v>
      </c>
      <c r="S172" s="714">
        <f>+CFS!S11</f>
        <v>27.576000000000008</v>
      </c>
      <c r="T172" s="712">
        <f>+CFS!T11</f>
        <v>28.518999999999998</v>
      </c>
      <c r="U172" s="713">
        <f>+CFS!U11</f>
        <v>29.691000000000003</v>
      </c>
      <c r="V172" s="713">
        <f>+CFS!V11</f>
        <v>29.582000000000001</v>
      </c>
      <c r="W172" s="714">
        <f>+CFS!W11</f>
        <v>28.378999999999998</v>
      </c>
      <c r="X172" s="712">
        <f>+CFS!X11</f>
        <v>26.898</v>
      </c>
      <c r="Y172" s="713">
        <f>+CFS!Y11</f>
        <v>25.892999999999997</v>
      </c>
      <c r="Z172" s="713">
        <f>+CFS!Z11</f>
        <v>23.814000000000004</v>
      </c>
      <c r="AA172" s="714">
        <f>+CFS!AA11</f>
        <v>23.470999999999986</v>
      </c>
      <c r="AB172" s="712">
        <f>+CFS!AB11</f>
        <v>23.765999999999998</v>
      </c>
      <c r="AC172" s="713">
        <f>+CFS!AC11</f>
        <v>24.414999999999999</v>
      </c>
      <c r="AD172" s="713">
        <f>+CFS!AD11</f>
        <v>24.028999999999996</v>
      </c>
      <c r="AE172" s="714">
        <f>+CFS!AE11</f>
        <v>23.836000000000013</v>
      </c>
      <c r="AF172" s="712">
        <f>+CFS!AF11</f>
        <v>22.658999999999999</v>
      </c>
      <c r="AG172" s="713">
        <f>+CFS!AG11</f>
        <v>22.639000000000003</v>
      </c>
      <c r="AH172" s="713">
        <f>+CFS!AH11</f>
        <v>22.436999999999998</v>
      </c>
      <c r="AI172" s="714">
        <f>+CFS!AI11</f>
        <v>22.322000000000003</v>
      </c>
      <c r="AJ172" s="712">
        <f>+CFS!AJ11</f>
        <v>25.439</v>
      </c>
      <c r="AK172" s="713">
        <f>+CFS!AK11</f>
        <v>27.536999999999999</v>
      </c>
      <c r="AL172" s="713">
        <f>+CFS!AL11</f>
        <v>27.177000000000007</v>
      </c>
      <c r="AM172" s="714">
        <f>+CFS!AM11</f>
        <v>26.458999999999989</v>
      </c>
      <c r="AN172" s="712">
        <f>+CFS!AN11</f>
        <v>25.350999999999999</v>
      </c>
      <c r="AO172" s="713">
        <f>+CFS!AO11</f>
        <v>25.177</v>
      </c>
      <c r="AP172" s="713">
        <f>+CFS!AP11</f>
        <v>24.642000000000003</v>
      </c>
      <c r="AQ172" s="714">
        <f>+CFS!AQ11</f>
        <v>24.254000000000012</v>
      </c>
      <c r="AR172" s="712">
        <f>+CFS!AR11</f>
        <v>25.245000000000001</v>
      </c>
      <c r="AS172" s="713">
        <f>+CFS!AS11</f>
        <v>51.210999999999999</v>
      </c>
      <c r="AT172" s="713">
        <f>+CFS!AT11</f>
        <v>64.011999999999986</v>
      </c>
      <c r="AU172" s="714">
        <f>+CFS!AU11</f>
        <v>63.629000000000033</v>
      </c>
      <c r="AV172" s="712">
        <f>+CFS!AV11</f>
        <v>50.41</v>
      </c>
      <c r="AW172" s="713">
        <f>+CFS!AW11</f>
        <v>48.052000000000007</v>
      </c>
      <c r="AX172" s="713">
        <f>+CFS!AX11</f>
        <v>45.242000000000004</v>
      </c>
      <c r="AY172" s="714">
        <f>+CFS!AY11</f>
        <v>45.434999999999988</v>
      </c>
      <c r="AZ172" s="712">
        <f>+CFS!AZ11</f>
        <v>60.988</v>
      </c>
      <c r="BA172" s="713">
        <f>+CFS!BA11</f>
        <v>70.820999999999998</v>
      </c>
      <c r="BB172" s="713">
        <f>+CFS!BB11</f>
        <v>73.302999999999997</v>
      </c>
      <c r="BC172" s="714">
        <f>+CFS!BC11</f>
        <v>73.186000000000007</v>
      </c>
      <c r="BD172" s="712">
        <f>+CFS!BD11</f>
        <v>60.375</v>
      </c>
      <c r="BE172" s="713">
        <f>+CFS!BE11</f>
        <v>71.109000000000009</v>
      </c>
      <c r="BF172" s="713">
        <f>+CFS!BF11</f>
        <v>76.177999999999997</v>
      </c>
      <c r="BG172" s="714">
        <f>+CFS!BG11</f>
        <v>75.508999999999986</v>
      </c>
      <c r="BH172" s="712">
        <f>+CFS!BH11</f>
        <v>113.14100000000001</v>
      </c>
      <c r="BI172" s="713">
        <f>+CFS!BI11</f>
        <v>112.81599999999999</v>
      </c>
      <c r="BJ172" s="713">
        <f>+CFS!BJ11</f>
        <v>114.96800000000003</v>
      </c>
      <c r="BK172" s="714">
        <f>+CFS!BK11</f>
        <v>128.28300000000002</v>
      </c>
      <c r="BL172" s="712">
        <f>+CFS!BL11</f>
        <v>151.80099999999999</v>
      </c>
      <c r="BM172" s="713">
        <f>+CFS!BM11</f>
        <v>152.55500000000001</v>
      </c>
      <c r="BN172" s="713">
        <f>+CFS!BN11</f>
        <v>154.67599999999999</v>
      </c>
      <c r="BO172" s="714">
        <f>+CFS!BO11</f>
        <v>32</v>
      </c>
      <c r="BP172" s="712">
        <f>+CFS!BP11</f>
        <v>32</v>
      </c>
      <c r="BQ172" s="713">
        <f>+CFS!BQ11</f>
        <v>32</v>
      </c>
      <c r="BR172" s="713">
        <f>+CFS!BR11</f>
        <v>43.259</v>
      </c>
      <c r="BS172" s="714">
        <f>+CFS!BS11</f>
        <v>32</v>
      </c>
      <c r="BT172" s="712">
        <f>+CFS!BT11</f>
        <v>32</v>
      </c>
      <c r="BU172" s="713">
        <f>+CFS!BU11</f>
        <v>32</v>
      </c>
      <c r="BV172" s="713">
        <f>+CFS!BV11</f>
        <v>43.259</v>
      </c>
      <c r="BW172" s="714">
        <f>+CFS!BW11</f>
        <v>32</v>
      </c>
      <c r="BX172" s="594"/>
      <c r="BY172" s="248">
        <f>SUM(D172:G172)</f>
        <v>111.07599999999999</v>
      </c>
      <c r="BZ172" s="247">
        <f>SUM(H172:K172)</f>
        <v>111.62700000000001</v>
      </c>
      <c r="CA172" s="247">
        <f>SUM(L172:O172)</f>
        <v>120.46599999999999</v>
      </c>
      <c r="CB172" s="247">
        <f>SUM(P172:S172)</f>
        <v>110.682</v>
      </c>
      <c r="CC172" s="247">
        <f>SUM(T172:W172)</f>
        <v>116.17099999999999</v>
      </c>
      <c r="CD172" s="247">
        <f>SUM(X172:AA172)</f>
        <v>100.07599999999999</v>
      </c>
      <c r="CE172" s="247">
        <f>SUM(AB172:AE172)</f>
        <v>96.046000000000006</v>
      </c>
      <c r="CF172" s="247">
        <f>SUM(AF172:AI172)</f>
        <v>90.057000000000002</v>
      </c>
      <c r="CG172" s="247">
        <f>SUM(AJ172:AM172)</f>
        <v>106.61199999999999</v>
      </c>
      <c r="CH172" s="1391">
        <f>SUM(AN172:AQ172)</f>
        <v>99.424000000000007</v>
      </c>
      <c r="CI172" s="1391">
        <f>SUM(AR172:AU172)</f>
        <v>204.09700000000004</v>
      </c>
      <c r="CJ172" s="1391">
        <f>SUM(AV172:AY172)</f>
        <v>189.13900000000001</v>
      </c>
      <c r="CK172" s="247">
        <f>SUM(AZ172:BC172)</f>
        <v>278.298</v>
      </c>
      <c r="CL172" s="247">
        <f>SUM(BD172:BG172)</f>
        <v>283.17099999999999</v>
      </c>
      <c r="CM172" s="247">
        <f>SUM(BH172:BK172)</f>
        <v>469.20800000000003</v>
      </c>
      <c r="CN172" s="247">
        <f>SUM(BL172:BO172)</f>
        <v>491.03199999999998</v>
      </c>
      <c r="CO172" s="1391">
        <f>SUM(BP172:BS172)</f>
        <v>139.25900000000001</v>
      </c>
      <c r="CP172" s="1384">
        <f t="shared" ref="CP172:CP173" si="565">SUM(BT172:BW172)</f>
        <v>139.25900000000001</v>
      </c>
      <c r="CQ172" s="594"/>
      <c r="CR172" s="248">
        <f>SUM(G172:J172)</f>
        <v>111.137</v>
      </c>
      <c r="CS172" s="247">
        <f>SUM(K172:N172)</f>
        <v>120.036</v>
      </c>
      <c r="CT172" s="247">
        <f>SUM(O172:R172)</f>
        <v>112.20699999999999</v>
      </c>
      <c r="CU172" s="247">
        <f>SUM(S172:V172)</f>
        <v>115.36799999999999</v>
      </c>
      <c r="CV172" s="247">
        <f>SUM(W172:Z172)</f>
        <v>104.98400000000001</v>
      </c>
      <c r="CW172" s="247">
        <f>SUM(AA172:AD172)</f>
        <v>95.680999999999983</v>
      </c>
      <c r="CX172" s="247">
        <f>SUM(AE172:AH172)</f>
        <v>91.571000000000012</v>
      </c>
      <c r="CY172" s="247">
        <f>SUM(AI172:AL172)</f>
        <v>102.47500000000001</v>
      </c>
      <c r="CZ172" s="247">
        <f>SUM(AM172:AP172)</f>
        <v>101.62899999999999</v>
      </c>
      <c r="DA172" s="247">
        <f>SUM(AQ172:AT172)</f>
        <v>164.72199999999998</v>
      </c>
      <c r="DB172" s="247">
        <f>SUM(AU172:AX172)</f>
        <v>207.33300000000003</v>
      </c>
      <c r="DC172" s="247">
        <f>SUM(AY172:BB172)</f>
        <v>250.54699999999997</v>
      </c>
      <c r="DD172" s="247">
        <f>SUM(BC172:BF172)</f>
        <v>280.84800000000001</v>
      </c>
      <c r="DE172" s="247">
        <f>SUM(BG172:BJ172)</f>
        <v>416.43399999999997</v>
      </c>
      <c r="DF172" s="247">
        <f>SUM(BK172:BN172)</f>
        <v>587.31500000000005</v>
      </c>
      <c r="DG172" s="1391">
        <f>SUM(BO172:BR172)</f>
        <v>139.25900000000001</v>
      </c>
      <c r="DH172" s="1384">
        <f>SUM(BS172:BV172)</f>
        <v>139.25900000000001</v>
      </c>
      <c r="DI172" s="8"/>
    </row>
    <row r="173" spans="1:113" ht="14.25" customHeight="1" outlineLevel="1">
      <c r="A173" s="554"/>
      <c r="B173" s="1138" t="s">
        <v>459</v>
      </c>
      <c r="C173" s="1129"/>
      <c r="D173" s="738">
        <f t="shared" ref="D173:AI173" si="566">-D52</f>
        <v>0</v>
      </c>
      <c r="E173" s="738">
        <f t="shared" si="566"/>
        <v>0</v>
      </c>
      <c r="F173" s="738">
        <f t="shared" si="566"/>
        <v>0</v>
      </c>
      <c r="G173" s="644">
        <f t="shared" si="566"/>
        <v>0</v>
      </c>
      <c r="H173" s="738">
        <f t="shared" si="566"/>
        <v>0</v>
      </c>
      <c r="I173" s="738">
        <f t="shared" si="566"/>
        <v>0</v>
      </c>
      <c r="J173" s="738">
        <f t="shared" si="566"/>
        <v>0</v>
      </c>
      <c r="K173" s="644">
        <f t="shared" si="566"/>
        <v>0</v>
      </c>
      <c r="L173" s="738">
        <f t="shared" si="566"/>
        <v>0</v>
      </c>
      <c r="M173" s="738">
        <f t="shared" si="566"/>
        <v>0</v>
      </c>
      <c r="N173" s="738">
        <f t="shared" si="566"/>
        <v>0</v>
      </c>
      <c r="O173" s="644">
        <f t="shared" si="566"/>
        <v>0</v>
      </c>
      <c r="P173" s="738">
        <f t="shared" si="566"/>
        <v>0</v>
      </c>
      <c r="Q173" s="738">
        <f t="shared" si="566"/>
        <v>0</v>
      </c>
      <c r="R173" s="738">
        <f t="shared" si="566"/>
        <v>0</v>
      </c>
      <c r="S173" s="644">
        <f t="shared" si="566"/>
        <v>0</v>
      </c>
      <c r="T173" s="738">
        <f t="shared" si="566"/>
        <v>0</v>
      </c>
      <c r="U173" s="738">
        <f t="shared" si="566"/>
        <v>0</v>
      </c>
      <c r="V173" s="738">
        <f t="shared" si="566"/>
        <v>0</v>
      </c>
      <c r="W173" s="644">
        <f t="shared" si="566"/>
        <v>0</v>
      </c>
      <c r="X173" s="738">
        <f t="shared" si="566"/>
        <v>0</v>
      </c>
      <c r="Y173" s="738">
        <f t="shared" si="566"/>
        <v>0</v>
      </c>
      <c r="Z173" s="738">
        <f t="shared" si="566"/>
        <v>0</v>
      </c>
      <c r="AA173" s="644">
        <f t="shared" si="566"/>
        <v>0</v>
      </c>
      <c r="AB173" s="738">
        <f t="shared" si="566"/>
        <v>0</v>
      </c>
      <c r="AC173" s="738">
        <f t="shared" si="566"/>
        <v>0</v>
      </c>
      <c r="AD173" s="738">
        <f t="shared" si="566"/>
        <v>0</v>
      </c>
      <c r="AE173" s="644">
        <f t="shared" si="566"/>
        <v>0</v>
      </c>
      <c r="AF173" s="738">
        <f t="shared" si="566"/>
        <v>0</v>
      </c>
      <c r="AG173" s="738">
        <f t="shared" si="566"/>
        <v>0</v>
      </c>
      <c r="AH173" s="738">
        <f t="shared" si="566"/>
        <v>0</v>
      </c>
      <c r="AI173" s="644">
        <f t="shared" si="566"/>
        <v>0</v>
      </c>
      <c r="AJ173" s="738">
        <f t="shared" ref="AJ173:BS173" si="567">-AJ52</f>
        <v>0</v>
      </c>
      <c r="AK173" s="738">
        <f t="shared" si="567"/>
        <v>0</v>
      </c>
      <c r="AL173" s="738">
        <f t="shared" si="567"/>
        <v>0</v>
      </c>
      <c r="AM173" s="644">
        <f t="shared" si="567"/>
        <v>0</v>
      </c>
      <c r="AN173" s="738">
        <f t="shared" si="567"/>
        <v>0</v>
      </c>
      <c r="AO173" s="738">
        <f t="shared" si="567"/>
        <v>-2.7029999999999998</v>
      </c>
      <c r="AP173" s="738">
        <f t="shared" si="567"/>
        <v>-2.6779999999999999</v>
      </c>
      <c r="AQ173" s="644">
        <f t="shared" si="567"/>
        <v>5.3810000000000002</v>
      </c>
      <c r="AR173" s="738">
        <f t="shared" si="567"/>
        <v>0</v>
      </c>
      <c r="AS173" s="738">
        <f t="shared" si="567"/>
        <v>-27.858000000000001</v>
      </c>
      <c r="AT173" s="738">
        <f t="shared" si="567"/>
        <v>-39.710999999999999</v>
      </c>
      <c r="AU173" s="644">
        <f t="shared" si="567"/>
        <v>-43.968000000000004</v>
      </c>
      <c r="AV173" s="738">
        <f t="shared" si="567"/>
        <v>-27.677</v>
      </c>
      <c r="AW173" s="738">
        <f t="shared" si="567"/>
        <v>-23.744</v>
      </c>
      <c r="AX173" s="738">
        <f t="shared" si="567"/>
        <v>-21.803999999999998</v>
      </c>
      <c r="AY173" s="644">
        <f t="shared" si="567"/>
        <v>-21.309000000000001</v>
      </c>
      <c r="AZ173" s="738">
        <f t="shared" si="567"/>
        <v>-36.643999999999998</v>
      </c>
      <c r="BA173" s="738">
        <f t="shared" si="567"/>
        <v>-45.433</v>
      </c>
      <c r="BB173" s="738">
        <f t="shared" si="567"/>
        <v>-47.582000000000001</v>
      </c>
      <c r="BC173" s="644">
        <f t="shared" si="567"/>
        <v>-47.087000000000003</v>
      </c>
      <c r="BD173" s="738">
        <f t="shared" si="567"/>
        <v>-34.612000000000002</v>
      </c>
      <c r="BE173" s="738">
        <f t="shared" si="567"/>
        <v>-43.84</v>
      </c>
      <c r="BF173" s="738">
        <f t="shared" si="567"/>
        <v>-48.311999999999998</v>
      </c>
      <c r="BG173" s="644">
        <f t="shared" si="567"/>
        <v>-48.131999999999998</v>
      </c>
      <c r="BH173" s="738">
        <f>-BH52</f>
        <v>-80.171000000000006</v>
      </c>
      <c r="BI173" s="738">
        <f t="shared" ref="BI173" si="568">-BI52</f>
        <v>-80.394000000000005</v>
      </c>
      <c r="BJ173" s="738">
        <f t="shared" si="567"/>
        <v>-82.790999999999997</v>
      </c>
      <c r="BK173" s="1427">
        <f t="shared" si="567"/>
        <v>-94.311000000000007</v>
      </c>
      <c r="BL173" s="738">
        <f t="shared" si="567"/>
        <v>-120.845</v>
      </c>
      <c r="BM173" s="738">
        <f t="shared" si="567"/>
        <v>-120.913</v>
      </c>
      <c r="BN173" s="738">
        <f t="shared" si="567"/>
        <v>-121.003</v>
      </c>
      <c r="BO173" s="644">
        <f t="shared" si="567"/>
        <v>0</v>
      </c>
      <c r="BP173" s="738">
        <f t="shared" si="567"/>
        <v>0</v>
      </c>
      <c r="BQ173" s="738">
        <f t="shared" si="567"/>
        <v>0</v>
      </c>
      <c r="BR173" s="738">
        <f t="shared" si="567"/>
        <v>0</v>
      </c>
      <c r="BS173" s="644">
        <f t="shared" si="567"/>
        <v>0</v>
      </c>
      <c r="BT173" s="738">
        <f t="shared" ref="BT173:BW173" si="569">-BT52</f>
        <v>0</v>
      </c>
      <c r="BU173" s="738">
        <f t="shared" si="569"/>
        <v>0</v>
      </c>
      <c r="BV173" s="738">
        <f t="shared" si="569"/>
        <v>0</v>
      </c>
      <c r="BW173" s="1427">
        <f t="shared" si="569"/>
        <v>0</v>
      </c>
      <c r="BX173" s="647"/>
      <c r="BY173" s="931">
        <f>SUM(D173:G173)</f>
        <v>0</v>
      </c>
      <c r="BZ173" s="738">
        <f>SUM(H173:K173)</f>
        <v>0</v>
      </c>
      <c r="CA173" s="738">
        <f>SUM(L173:O173)</f>
        <v>0</v>
      </c>
      <c r="CB173" s="738">
        <f>SUM(P173:S173)</f>
        <v>0</v>
      </c>
      <c r="CC173" s="738">
        <f>SUM(T173:W173)</f>
        <v>0</v>
      </c>
      <c r="CD173" s="738">
        <f>SUM(X173:AA173)</f>
        <v>0</v>
      </c>
      <c r="CE173" s="738">
        <f>SUM(AB173:AE173)</f>
        <v>0</v>
      </c>
      <c r="CF173" s="738">
        <f>SUM(AF173:AI173)</f>
        <v>0</v>
      </c>
      <c r="CG173" s="738">
        <f>SUM(AJ173:AM173)</f>
        <v>0</v>
      </c>
      <c r="CH173" s="738">
        <f>SUM(AN173:AQ173)</f>
        <v>0</v>
      </c>
      <c r="CI173" s="738">
        <f>SUM(AR173:AU173)</f>
        <v>-111.53700000000001</v>
      </c>
      <c r="CJ173" s="738">
        <f>SUM(AV173:AY173)</f>
        <v>-94.533999999999992</v>
      </c>
      <c r="CK173" s="738">
        <f>SUM(AZ173:BC173)</f>
        <v>-176.74599999999998</v>
      </c>
      <c r="CL173" s="738">
        <f>SUM(BD173:BG173)</f>
        <v>-174.89599999999999</v>
      </c>
      <c r="CM173" s="738">
        <f>SUM(BH173:BK173)</f>
        <v>-337.66700000000003</v>
      </c>
      <c r="CN173" s="738">
        <f>SUM(BL173:BO173)</f>
        <v>-362.76099999999997</v>
      </c>
      <c r="CO173" s="738">
        <f>SUM(BP173:BS173)</f>
        <v>0</v>
      </c>
      <c r="CP173" s="1427">
        <f t="shared" si="565"/>
        <v>0</v>
      </c>
      <c r="CQ173" s="647"/>
      <c r="CR173" s="931">
        <f>SUM(G173:J173)</f>
        <v>0</v>
      </c>
      <c r="CS173" s="738">
        <f>SUM(K173:N173)</f>
        <v>0</v>
      </c>
      <c r="CT173" s="738">
        <f>SUM(O173:R173)</f>
        <v>0</v>
      </c>
      <c r="CU173" s="738">
        <f>SUM(S173:V173)</f>
        <v>0</v>
      </c>
      <c r="CV173" s="738">
        <f>SUM(W173:Z173)</f>
        <v>0</v>
      </c>
      <c r="CW173" s="738">
        <f>SUM(AA173:AD173)</f>
        <v>0</v>
      </c>
      <c r="CX173" s="738">
        <f>SUM(AE173:AH173)</f>
        <v>0</v>
      </c>
      <c r="CY173" s="738">
        <f>SUM(AI173:AL173)</f>
        <v>0</v>
      </c>
      <c r="CZ173" s="738">
        <f>SUM(AM173:AP173)</f>
        <v>-5.3810000000000002</v>
      </c>
      <c r="DA173" s="738">
        <f>SUM(AQ173:AT173)</f>
        <v>-62.188000000000002</v>
      </c>
      <c r="DB173" s="738">
        <f>SUM(AU173:AX173)</f>
        <v>-117.19300000000001</v>
      </c>
      <c r="DC173" s="738">
        <f>SUM(AY173:BB173)</f>
        <v>-150.96799999999999</v>
      </c>
      <c r="DD173" s="738">
        <f>SUM(BC173:BF173)</f>
        <v>-173.851</v>
      </c>
      <c r="DE173" s="738">
        <f>SUM(BG173:BJ173)</f>
        <v>-291.488</v>
      </c>
      <c r="DF173" s="738">
        <f>SUM(BK173:BN173)</f>
        <v>-457.072</v>
      </c>
      <c r="DG173" s="738">
        <f>SUM(BO173:BR173)</f>
        <v>0</v>
      </c>
      <c r="DH173" s="1427">
        <f>SUM(BS173:BV173)</f>
        <v>0</v>
      </c>
      <c r="DI173" s="554"/>
    </row>
    <row r="174" spans="1:113" ht="14.25" customHeight="1" outlineLevel="1">
      <c r="A174" s="101"/>
      <c r="B174" s="1139" t="s">
        <v>456</v>
      </c>
      <c r="C174" s="1140"/>
      <c r="D174" s="997">
        <f>+SUM(D171:D173)</f>
        <v>66.094000000000008</v>
      </c>
      <c r="E174" s="997">
        <f t="shared" ref="E174:BO174" si="570">+SUM(E171:E173)</f>
        <v>72.677999999999997</v>
      </c>
      <c r="F174" s="997">
        <f t="shared" si="570"/>
        <v>75.96599999999998</v>
      </c>
      <c r="G174" s="998">
        <f t="shared" si="570"/>
        <v>71.255000000000052</v>
      </c>
      <c r="H174" s="997">
        <f t="shared" si="570"/>
        <v>72.101999999999975</v>
      </c>
      <c r="I174" s="997">
        <f t="shared" si="570"/>
        <v>74.461999999999989</v>
      </c>
      <c r="J174" s="997">
        <f t="shared" si="570"/>
        <v>80.970000000000027</v>
      </c>
      <c r="K174" s="998">
        <f t="shared" si="570"/>
        <v>88.007000000000019</v>
      </c>
      <c r="L174" s="997">
        <f t="shared" si="570"/>
        <v>100.50700000000001</v>
      </c>
      <c r="M174" s="997">
        <f t="shared" si="570"/>
        <v>106.33899999999998</v>
      </c>
      <c r="N174" s="997">
        <f t="shared" si="570"/>
        <v>96.145999999999987</v>
      </c>
      <c r="O174" s="998">
        <f t="shared" si="570"/>
        <v>97.221000000000032</v>
      </c>
      <c r="P174" s="997">
        <f t="shared" si="570"/>
        <v>101.13599999999998</v>
      </c>
      <c r="Q174" s="997">
        <f t="shared" si="570"/>
        <v>107.20899999999999</v>
      </c>
      <c r="R174" s="997">
        <f t="shared" si="570"/>
        <v>111.67299999999997</v>
      </c>
      <c r="S174" s="998">
        <f t="shared" si="570"/>
        <v>117.02800000000001</v>
      </c>
      <c r="T174" s="997">
        <f t="shared" si="570"/>
        <v>118.20000000000005</v>
      </c>
      <c r="U174" s="997">
        <f t="shared" si="570"/>
        <v>121.05000000000001</v>
      </c>
      <c r="V174" s="997">
        <f t="shared" si="570"/>
        <v>111.06399999999996</v>
      </c>
      <c r="W174" s="998">
        <f t="shared" si="570"/>
        <v>113.66800000000001</v>
      </c>
      <c r="X174" s="997">
        <f t="shared" si="570"/>
        <v>111.91700000000002</v>
      </c>
      <c r="Y174" s="997">
        <f t="shared" si="570"/>
        <v>108.32999999999998</v>
      </c>
      <c r="Z174" s="997">
        <f t="shared" si="570"/>
        <v>103.054</v>
      </c>
      <c r="AA174" s="998">
        <f t="shared" si="570"/>
        <v>105.203</v>
      </c>
      <c r="AB174" s="997">
        <f t="shared" si="570"/>
        <v>110.39800000000002</v>
      </c>
      <c r="AC174" s="997">
        <f t="shared" si="570"/>
        <v>111.59600000000003</v>
      </c>
      <c r="AD174" s="997">
        <f t="shared" si="570"/>
        <v>65.438999999999993</v>
      </c>
      <c r="AE174" s="998">
        <f t="shared" si="570"/>
        <v>49.205999999999996</v>
      </c>
      <c r="AF174" s="997">
        <f t="shared" si="570"/>
        <v>56.350000000000016</v>
      </c>
      <c r="AG174" s="997">
        <f t="shared" si="570"/>
        <v>76.200000000000017</v>
      </c>
      <c r="AH174" s="997">
        <f t="shared" si="570"/>
        <v>95.623000000000005</v>
      </c>
      <c r="AI174" s="998">
        <f t="shared" si="570"/>
        <v>112.48400000000007</v>
      </c>
      <c r="AJ174" s="997">
        <f t="shared" si="570"/>
        <v>143.71</v>
      </c>
      <c r="AK174" s="997">
        <f t="shared" si="570"/>
        <v>156.81800000000001</v>
      </c>
      <c r="AL174" s="997">
        <f t="shared" si="570"/>
        <v>148.88400000000001</v>
      </c>
      <c r="AM174" s="998">
        <f t="shared" si="570"/>
        <v>154.72799999999984</v>
      </c>
      <c r="AN174" s="997">
        <f t="shared" si="570"/>
        <v>145.47000000000003</v>
      </c>
      <c r="AO174" s="997">
        <f t="shared" si="570"/>
        <v>122.93999999999997</v>
      </c>
      <c r="AP174" s="997">
        <f t="shared" si="570"/>
        <v>112.35</v>
      </c>
      <c r="AQ174" s="998">
        <f t="shared" si="570"/>
        <v>127.797</v>
      </c>
      <c r="AR174" s="997">
        <f t="shared" si="570"/>
        <v>130.44200000000001</v>
      </c>
      <c r="AS174" s="997">
        <f t="shared" si="570"/>
        <v>121.935</v>
      </c>
      <c r="AT174" s="997">
        <f t="shared" si="570"/>
        <v>115.82700000000001</v>
      </c>
      <c r="AU174" s="998">
        <f t="shared" si="570"/>
        <v>129.8950000000001</v>
      </c>
      <c r="AV174" s="997">
        <f t="shared" si="570"/>
        <v>151.39999999999998</v>
      </c>
      <c r="AW174" s="997">
        <f t="shared" si="570"/>
        <v>165.93199999999993</v>
      </c>
      <c r="AX174" s="997">
        <f t="shared" si="570"/>
        <v>163.50600000000006</v>
      </c>
      <c r="AY174" s="998">
        <f t="shared" si="570"/>
        <v>173.20500000000007</v>
      </c>
      <c r="AZ174" s="997">
        <f t="shared" si="570"/>
        <v>187.34700000000001</v>
      </c>
      <c r="BA174" s="997">
        <f t="shared" si="570"/>
        <v>187.40500000000006</v>
      </c>
      <c r="BB174" s="997">
        <f t="shared" si="570"/>
        <v>180.23200000000006</v>
      </c>
      <c r="BC174" s="998">
        <f t="shared" si="570"/>
        <v>188.33499999999998</v>
      </c>
      <c r="BD174" s="997">
        <f t="shared" si="570"/>
        <v>185.96799999999999</v>
      </c>
      <c r="BE174" s="997">
        <f>+SUM(BE171:BE173)</f>
        <v>174.31999999999996</v>
      </c>
      <c r="BF174" s="997">
        <f>+SUM(BF171:BF173)</f>
        <v>173.50600000000003</v>
      </c>
      <c r="BG174" s="998">
        <f t="shared" si="570"/>
        <v>188.434</v>
      </c>
      <c r="BH174" s="997">
        <f>+SUM(BH171:BH173)</f>
        <v>204.52099999999996</v>
      </c>
      <c r="BI174" s="997">
        <f>+SUM(BI171:BI173)</f>
        <v>274.37400000000002</v>
      </c>
      <c r="BJ174" s="997">
        <f t="shared" si="570"/>
        <v>299.14600000000002</v>
      </c>
      <c r="BK174" s="998">
        <f t="shared" ref="BK174" si="571">+SUM(BK171:BK173)</f>
        <v>333.07799999999997</v>
      </c>
      <c r="BL174" s="997">
        <f t="shared" si="570"/>
        <v>372.84299999999996</v>
      </c>
      <c r="BM174" s="997">
        <f t="shared" si="570"/>
        <v>398.54300000000012</v>
      </c>
      <c r="BN174" s="997">
        <f t="shared" si="570"/>
        <v>401.33899999999988</v>
      </c>
      <c r="BO174" s="998">
        <f t="shared" si="570"/>
        <v>396.7876601535657</v>
      </c>
      <c r="BP174" s="997">
        <f t="shared" ref="BP174:BW174" si="572">+SUM(BP171:BP173)</f>
        <v>419.28805588282819</v>
      </c>
      <c r="BQ174" s="997">
        <f t="shared" si="572"/>
        <v>436.22830740371433</v>
      </c>
      <c r="BR174" s="997">
        <f t="shared" si="572"/>
        <v>436.49360021920796</v>
      </c>
      <c r="BS174" s="998">
        <f t="shared" si="572"/>
        <v>421.4363438721158</v>
      </c>
      <c r="BT174" s="997">
        <f t="shared" si="572"/>
        <v>442.00841088618711</v>
      </c>
      <c r="BU174" s="997">
        <f t="shared" si="572"/>
        <v>456.47231236467638</v>
      </c>
      <c r="BV174" s="997">
        <f t="shared" si="572"/>
        <v>458.34374716626974</v>
      </c>
      <c r="BW174" s="998">
        <f t="shared" si="572"/>
        <v>443.63644748163483</v>
      </c>
      <c r="BX174" s="654"/>
      <c r="BY174" s="996">
        <f>SUM(BY171:BY173)</f>
        <v>285.99300000000005</v>
      </c>
      <c r="BZ174" s="997">
        <f t="shared" ref="BZ174:CK174" si="573">SUM(BZ171:BZ173)</f>
        <v>315.541</v>
      </c>
      <c r="CA174" s="997">
        <f t="shared" si="573"/>
        <v>400.21300000000002</v>
      </c>
      <c r="CB174" s="997">
        <f t="shared" si="573"/>
        <v>437.04599999999994</v>
      </c>
      <c r="CC174" s="997">
        <f t="shared" si="573"/>
        <v>463.98200000000003</v>
      </c>
      <c r="CD174" s="997">
        <f t="shared" si="573"/>
        <v>428.50400000000002</v>
      </c>
      <c r="CE174" s="997">
        <f t="shared" si="573"/>
        <v>336.63900000000001</v>
      </c>
      <c r="CF174" s="997">
        <f t="shared" si="573"/>
        <v>340.6570000000001</v>
      </c>
      <c r="CG174" s="997">
        <f>SUM(CG171:CG173)</f>
        <v>604.13999999999987</v>
      </c>
      <c r="CH174" s="997">
        <f t="shared" si="573"/>
        <v>508.55700000000002</v>
      </c>
      <c r="CI174" s="997">
        <f t="shared" si="573"/>
        <v>498.09900000000016</v>
      </c>
      <c r="CJ174" s="997">
        <f t="shared" si="573"/>
        <v>654.04300000000012</v>
      </c>
      <c r="CK174" s="997">
        <f t="shared" si="573"/>
        <v>743.31900000000019</v>
      </c>
      <c r="CL174" s="997">
        <f>SUM(CL171:CL173)</f>
        <v>722.22800000000007</v>
      </c>
      <c r="CM174" s="997">
        <f>SUM(CM171:CM173)</f>
        <v>1111.1190000000001</v>
      </c>
      <c r="CN174" s="997">
        <f>SUM(CN171:CN173)</f>
        <v>1569.5126601535655</v>
      </c>
      <c r="CO174" s="997">
        <f>SUM(CO171:CO173)</f>
        <v>1713.4463073778661</v>
      </c>
      <c r="CP174" s="998">
        <f>SUM(CP171:CP173)</f>
        <v>1800.4609178987682</v>
      </c>
      <c r="CQ174" s="654"/>
      <c r="CR174" s="996">
        <f t="shared" ref="CR174:DD174" si="574">SUM(CR171:CR173)</f>
        <v>298.78900000000004</v>
      </c>
      <c r="CS174" s="997">
        <f t="shared" si="574"/>
        <v>390.99899999999997</v>
      </c>
      <c r="CT174" s="997">
        <f t="shared" si="574"/>
        <v>417.23899999999998</v>
      </c>
      <c r="CU174" s="997">
        <f t="shared" si="574"/>
        <v>467.34200000000004</v>
      </c>
      <c r="CV174" s="997">
        <f t="shared" si="574"/>
        <v>436.96900000000005</v>
      </c>
      <c r="CW174" s="997">
        <f t="shared" si="574"/>
        <v>392.63600000000002</v>
      </c>
      <c r="CX174" s="997">
        <f t="shared" si="574"/>
        <v>277.37900000000002</v>
      </c>
      <c r="CY174" s="997">
        <f t="shared" si="574"/>
        <v>561.89600000000007</v>
      </c>
      <c r="CZ174" s="997">
        <f t="shared" si="574"/>
        <v>535.48799999999983</v>
      </c>
      <c r="DA174" s="997">
        <f t="shared" si="574"/>
        <v>496.00099999999998</v>
      </c>
      <c r="DB174" s="997">
        <f t="shared" si="574"/>
        <v>610.73300000000017</v>
      </c>
      <c r="DC174" s="997">
        <f t="shared" si="574"/>
        <v>728.18900000000019</v>
      </c>
      <c r="DD174" s="997">
        <f t="shared" si="574"/>
        <v>722.12900000000002</v>
      </c>
      <c r="DE174" s="997">
        <f>SUM(DE171:DE173)</f>
        <v>966.47499999999991</v>
      </c>
      <c r="DF174" s="997">
        <f>SUM(DF171:DF173)</f>
        <v>1505.8029999999999</v>
      </c>
      <c r="DG174" s="997">
        <f>SUM(DG171:DG173)</f>
        <v>1688.7976236593163</v>
      </c>
      <c r="DH174" s="998">
        <f>SUM(DH171:DH173)</f>
        <v>1778.2608142892491</v>
      </c>
      <c r="DI174" s="101"/>
    </row>
    <row r="175" spans="1:113" ht="14.25" customHeight="1" outlineLevel="1">
      <c r="A175" s="8"/>
      <c r="B175" s="621"/>
      <c r="C175" s="8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14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14"/>
      <c r="CZ175" s="8"/>
      <c r="DA175" s="8"/>
      <c r="DB175" s="8"/>
      <c r="DC175" s="8"/>
      <c r="DD175" s="8"/>
      <c r="DE175" s="14"/>
      <c r="DF175" s="14"/>
      <c r="DG175" s="14"/>
      <c r="DH175" s="8"/>
      <c r="DI175" s="8"/>
    </row>
    <row r="176" spans="1:113" ht="14.25" customHeight="1" outlineLevel="1">
      <c r="A176" s="8"/>
      <c r="B176" s="621"/>
      <c r="C176" s="8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14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14"/>
      <c r="CZ176" s="8"/>
      <c r="DA176" s="8"/>
      <c r="DB176" s="8"/>
      <c r="DC176" s="8"/>
      <c r="DD176" s="8"/>
      <c r="DE176" s="14"/>
      <c r="DF176" s="14"/>
      <c r="DG176" s="14"/>
      <c r="DH176" s="8"/>
      <c r="DI176" s="8"/>
    </row>
    <row r="177" spans="1:113" ht="14.25" customHeight="1" outlineLevel="1">
      <c r="A177" s="8"/>
      <c r="B177" s="621"/>
      <c r="C177" s="8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14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14"/>
      <c r="CZ177" s="8"/>
      <c r="DA177" s="8"/>
      <c r="DB177" s="8"/>
      <c r="DC177" s="8"/>
      <c r="DD177" s="323"/>
      <c r="DE177" s="14"/>
      <c r="DF177" s="14"/>
      <c r="DG177" s="14"/>
      <c r="DH177" s="8"/>
      <c r="DI177" s="8"/>
    </row>
    <row r="178" spans="1:113" ht="14.25" customHeight="1" outlineLevel="1">
      <c r="A178" s="8"/>
      <c r="B178" s="621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11"/>
      <c r="AK178" s="11"/>
      <c r="AL178" s="11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14"/>
      <c r="CA178" s="8"/>
      <c r="CB178" s="8"/>
      <c r="CC178" s="8"/>
      <c r="CD178" s="8"/>
      <c r="CE178" s="8"/>
      <c r="CF178" s="8"/>
      <c r="CG178" s="8"/>
      <c r="CH178" s="11"/>
      <c r="CI178" s="11"/>
      <c r="CJ178" s="11"/>
      <c r="CK178" s="11"/>
      <c r="CL178" s="11"/>
      <c r="CM178" s="11"/>
      <c r="CN178" s="14"/>
      <c r="CO178" s="8"/>
      <c r="CP178" s="8"/>
      <c r="CQ178" s="11"/>
      <c r="CR178" s="11"/>
      <c r="CS178" s="11"/>
      <c r="CT178" s="11"/>
      <c r="CU178" s="11"/>
      <c r="CV178" s="11"/>
      <c r="CW178" s="11"/>
      <c r="CX178" s="11"/>
      <c r="CY178" s="68"/>
      <c r="CZ178" s="11"/>
      <c r="DA178" s="11"/>
      <c r="DB178" s="11"/>
      <c r="DC178" s="11"/>
      <c r="DD178" s="11"/>
      <c r="DE178" s="68"/>
      <c r="DF178" s="68"/>
      <c r="DG178" s="68"/>
      <c r="DH178" s="11"/>
      <c r="DI178" s="11"/>
    </row>
    <row r="179" spans="1:113" ht="14.25" customHeight="1" outlineLevel="1">
      <c r="A179" s="8"/>
      <c r="B179" s="621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11"/>
      <c r="AK179" s="11"/>
      <c r="AL179" s="11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11"/>
      <c r="CI179" s="11"/>
      <c r="CJ179" s="11"/>
      <c r="CK179" s="11"/>
      <c r="CL179" s="11"/>
      <c r="CM179" s="11"/>
      <c r="CN179" s="14"/>
      <c r="CO179" s="8"/>
      <c r="CP179" s="8"/>
      <c r="CQ179" s="11"/>
      <c r="CR179" s="11"/>
      <c r="CS179" s="11"/>
      <c r="CT179" s="11"/>
      <c r="CU179" s="11"/>
      <c r="CV179" s="11"/>
      <c r="CW179" s="11"/>
      <c r="CX179" s="11"/>
      <c r="CY179" s="68"/>
      <c r="CZ179" s="11"/>
      <c r="DA179" s="11"/>
      <c r="DB179" s="11"/>
      <c r="DC179" s="11"/>
      <c r="DD179" s="11"/>
      <c r="DE179" s="68"/>
      <c r="DF179" s="68"/>
      <c r="DG179" s="68"/>
      <c r="DH179" s="11"/>
      <c r="DI179" s="11"/>
    </row>
    <row r="180" spans="1:113" ht="14.25" customHeight="1" outlineLevel="2">
      <c r="BT180"/>
      <c r="BU180"/>
      <c r="BV180"/>
      <c r="BW180"/>
      <c r="CH180"/>
      <c r="CI180"/>
      <c r="CJ180"/>
      <c r="CP180"/>
      <c r="DG180"/>
      <c r="DH180"/>
    </row>
    <row r="181" spans="1:113" ht="14.25" customHeight="1" outlineLevel="2">
      <c r="A181" s="8"/>
      <c r="B181" s="623" t="s">
        <v>20</v>
      </c>
      <c r="C181" s="98"/>
      <c r="D181" s="99" t="e">
        <f t="shared" ref="D181:BK181" si="575">VLOOKUP(D180,ValidDateTable,4,FALSE)</f>
        <v>#NAME?</v>
      </c>
      <c r="E181" s="99" t="e">
        <f t="shared" si="575"/>
        <v>#NAME?</v>
      </c>
      <c r="F181" s="99" t="e">
        <f t="shared" si="575"/>
        <v>#NAME?</v>
      </c>
      <c r="G181" s="99" t="e">
        <f t="shared" si="575"/>
        <v>#NAME?</v>
      </c>
      <c r="H181" s="99" t="e">
        <f t="shared" si="575"/>
        <v>#NAME?</v>
      </c>
      <c r="I181" s="99" t="e">
        <f t="shared" si="575"/>
        <v>#NAME?</v>
      </c>
      <c r="J181" s="99" t="e">
        <f t="shared" si="575"/>
        <v>#NAME?</v>
      </c>
      <c r="K181" s="99" t="e">
        <f t="shared" si="575"/>
        <v>#NAME?</v>
      </c>
      <c r="L181" s="99" t="e">
        <f t="shared" si="575"/>
        <v>#NAME?</v>
      </c>
      <c r="M181" s="99" t="e">
        <f t="shared" si="575"/>
        <v>#NAME?</v>
      </c>
      <c r="N181" s="99" t="e">
        <f t="shared" si="575"/>
        <v>#NAME?</v>
      </c>
      <c r="O181" s="99" t="e">
        <f t="shared" si="575"/>
        <v>#NAME?</v>
      </c>
      <c r="P181" s="99" t="e">
        <f t="shared" si="575"/>
        <v>#NAME?</v>
      </c>
      <c r="Q181" s="99" t="e">
        <f t="shared" si="575"/>
        <v>#NAME?</v>
      </c>
      <c r="R181" s="99" t="e">
        <f t="shared" si="575"/>
        <v>#NAME?</v>
      </c>
      <c r="S181" s="99" t="e">
        <f t="shared" si="575"/>
        <v>#NAME?</v>
      </c>
      <c r="T181" s="99" t="e">
        <f t="shared" si="575"/>
        <v>#NAME?</v>
      </c>
      <c r="U181" s="99" t="e">
        <f t="shared" si="575"/>
        <v>#NAME?</v>
      </c>
      <c r="V181" s="99" t="e">
        <f t="shared" si="575"/>
        <v>#NAME?</v>
      </c>
      <c r="W181" s="99" t="e">
        <f t="shared" si="575"/>
        <v>#NAME?</v>
      </c>
      <c r="X181" s="99" t="e">
        <f t="shared" si="575"/>
        <v>#NAME?</v>
      </c>
      <c r="Y181" s="99" t="e">
        <f t="shared" si="575"/>
        <v>#NAME?</v>
      </c>
      <c r="Z181" s="99" t="e">
        <f t="shared" si="575"/>
        <v>#NAME?</v>
      </c>
      <c r="AA181" s="99" t="e">
        <f t="shared" si="575"/>
        <v>#NAME?</v>
      </c>
      <c r="AB181" s="99" t="e">
        <f t="shared" si="575"/>
        <v>#NAME?</v>
      </c>
      <c r="AC181" s="99" t="e">
        <f t="shared" si="575"/>
        <v>#NAME?</v>
      </c>
      <c r="AD181" s="99" t="e">
        <f t="shared" si="575"/>
        <v>#NAME?</v>
      </c>
      <c r="AE181" s="99" t="e">
        <f t="shared" si="575"/>
        <v>#NAME?</v>
      </c>
      <c r="AF181" s="99" t="e">
        <f t="shared" si="575"/>
        <v>#NAME?</v>
      </c>
      <c r="AG181" s="99" t="e">
        <f t="shared" si="575"/>
        <v>#NAME?</v>
      </c>
      <c r="AH181" s="99" t="e">
        <f t="shared" si="575"/>
        <v>#NAME?</v>
      </c>
      <c r="AI181" s="99" t="e">
        <f t="shared" si="575"/>
        <v>#NAME?</v>
      </c>
      <c r="AJ181" s="99" t="e">
        <f t="shared" si="575"/>
        <v>#NAME?</v>
      </c>
      <c r="AK181" s="99" t="e">
        <f t="shared" si="575"/>
        <v>#NAME?</v>
      </c>
      <c r="AL181" s="99" t="e">
        <f t="shared" si="575"/>
        <v>#NAME?</v>
      </c>
      <c r="AM181" s="99" t="e">
        <f t="shared" si="575"/>
        <v>#NAME?</v>
      </c>
      <c r="AN181" s="99" t="e">
        <f t="shared" si="575"/>
        <v>#NAME?</v>
      </c>
      <c r="AO181" s="99" t="e">
        <f t="shared" si="575"/>
        <v>#NAME?</v>
      </c>
      <c r="AP181" s="99" t="e">
        <f t="shared" si="575"/>
        <v>#NAME?</v>
      </c>
      <c r="AQ181" s="99" t="e">
        <f t="shared" si="575"/>
        <v>#NAME?</v>
      </c>
      <c r="AR181" s="99" t="e">
        <f t="shared" si="575"/>
        <v>#NAME?</v>
      </c>
      <c r="AS181" s="99" t="e">
        <f t="shared" si="575"/>
        <v>#NAME?</v>
      </c>
      <c r="AT181" s="99" t="e">
        <f t="shared" si="575"/>
        <v>#NAME?</v>
      </c>
      <c r="AU181" s="99" t="e">
        <f t="shared" si="575"/>
        <v>#NAME?</v>
      </c>
      <c r="AV181" s="99" t="e">
        <f t="shared" si="575"/>
        <v>#NAME?</v>
      </c>
      <c r="AW181" s="99" t="e">
        <f t="shared" si="575"/>
        <v>#NAME?</v>
      </c>
      <c r="AX181" s="99" t="e">
        <f t="shared" si="575"/>
        <v>#NAME?</v>
      </c>
      <c r="AY181" s="99" t="e">
        <f t="shared" si="575"/>
        <v>#NAME?</v>
      </c>
      <c r="AZ181" s="99" t="e">
        <f t="shared" si="575"/>
        <v>#NAME?</v>
      </c>
      <c r="BA181" s="99" t="e">
        <f t="shared" si="575"/>
        <v>#NAME?</v>
      </c>
      <c r="BB181" s="99" t="e">
        <f t="shared" si="575"/>
        <v>#NAME?</v>
      </c>
      <c r="BC181" s="99" t="e">
        <f t="shared" si="575"/>
        <v>#NAME?</v>
      </c>
      <c r="BD181" s="99" t="e">
        <f t="shared" si="575"/>
        <v>#NAME?</v>
      </c>
      <c r="BE181" s="99" t="e">
        <f t="shared" si="575"/>
        <v>#NAME?</v>
      </c>
      <c r="BF181" s="99" t="e">
        <f t="shared" si="575"/>
        <v>#NAME?</v>
      </c>
      <c r="BG181" s="99" t="e">
        <f t="shared" si="575"/>
        <v>#NAME?</v>
      </c>
      <c r="BH181" s="99" t="e">
        <f t="shared" si="575"/>
        <v>#NAME?</v>
      </c>
      <c r="BI181" s="99" t="e">
        <f t="shared" ref="BI181" si="576">VLOOKUP(BI180,ValidDateTable,4,FALSE)</f>
        <v>#NAME?</v>
      </c>
      <c r="BJ181" s="99" t="e">
        <f t="shared" si="575"/>
        <v>#NAME?</v>
      </c>
      <c r="BK181" s="99" t="e">
        <f t="shared" si="575"/>
        <v>#NAME?</v>
      </c>
      <c r="BL181" s="99" t="e">
        <f t="shared" ref="BL181:BS181" si="577">VLOOKUP(BL180,ValidDateTable,4,FALSE)</f>
        <v>#NAME?</v>
      </c>
      <c r="BM181" s="99" t="e">
        <f t="shared" si="577"/>
        <v>#NAME?</v>
      </c>
      <c r="BN181" s="99" t="e">
        <f t="shared" si="577"/>
        <v>#NAME?</v>
      </c>
      <c r="BO181" s="99" t="e">
        <f t="shared" si="577"/>
        <v>#NAME?</v>
      </c>
      <c r="BP181" s="99" t="e">
        <f t="shared" si="577"/>
        <v>#NAME?</v>
      </c>
      <c r="BQ181" s="99" t="e">
        <f t="shared" si="577"/>
        <v>#NAME?</v>
      </c>
      <c r="BR181" s="99" t="e">
        <f t="shared" si="577"/>
        <v>#NAME?</v>
      </c>
      <c r="BS181" s="99" t="e">
        <f t="shared" si="577"/>
        <v>#NAME?</v>
      </c>
      <c r="BT181" s="99" t="e">
        <f t="shared" ref="BT181:BW181" si="578">VLOOKUP(BT180,ValidDateTable,4,FALSE)</f>
        <v>#NAME?</v>
      </c>
      <c r="BU181" s="99" t="e">
        <f t="shared" si="578"/>
        <v>#NAME?</v>
      </c>
      <c r="BV181" s="99" t="e">
        <f t="shared" si="578"/>
        <v>#NAME?</v>
      </c>
      <c r="BW181" s="99" t="e">
        <f t="shared" si="578"/>
        <v>#NAME?</v>
      </c>
      <c r="BX181" s="8"/>
      <c r="BY181" s="11" t="e">
        <f>VLOOKUP(BY180,ValidDateTable,4,FALSE)</f>
        <v>#NAME?</v>
      </c>
      <c r="BZ181" s="11" t="e">
        <f>VLOOKUP(BZ180,ValidDateTable,4,FALSE)</f>
        <v>#NAME?</v>
      </c>
      <c r="CA181" s="11" t="e">
        <f>VLOOKUP(CA180,ValidDateTable,4,FALSE)</f>
        <v>#NAME?</v>
      </c>
      <c r="CB181" s="11" t="e">
        <f t="shared" ref="CB181:CL181" si="579">VLOOKUP(CB180,ValidDateTable,4,FALSE)</f>
        <v>#NAME?</v>
      </c>
      <c r="CC181" s="11" t="e">
        <f t="shared" si="579"/>
        <v>#NAME?</v>
      </c>
      <c r="CD181" s="11" t="e">
        <f t="shared" si="579"/>
        <v>#NAME?</v>
      </c>
      <c r="CE181" s="11" t="e">
        <f t="shared" si="579"/>
        <v>#NAME?</v>
      </c>
      <c r="CF181" s="11" t="e">
        <f t="shared" si="579"/>
        <v>#NAME?</v>
      </c>
      <c r="CG181" s="11" t="e">
        <f t="shared" si="579"/>
        <v>#NAME?</v>
      </c>
      <c r="CH181" s="11" t="e">
        <f t="shared" si="579"/>
        <v>#NAME?</v>
      </c>
      <c r="CI181" s="11" t="e">
        <f t="shared" si="579"/>
        <v>#NAME?</v>
      </c>
      <c r="CJ181" s="11" t="e">
        <f t="shared" si="579"/>
        <v>#NAME?</v>
      </c>
      <c r="CK181" s="11" t="e">
        <f t="shared" si="579"/>
        <v>#NAME?</v>
      </c>
      <c r="CL181" s="11" t="e">
        <f t="shared" si="579"/>
        <v>#NAME?</v>
      </c>
      <c r="CM181" s="11" t="e">
        <f>VLOOKUP(CM180,ValidDateTable,4,FALSE)</f>
        <v>#NAME?</v>
      </c>
      <c r="CN181" s="68" t="e">
        <f>VLOOKUP(CN180,ValidDateTable,4,FALSE)</f>
        <v>#NAME?</v>
      </c>
      <c r="CO181" s="11" t="e">
        <f>VLOOKUP(CO180,ValidDateTable,4,FALSE)</f>
        <v>#NAME?</v>
      </c>
      <c r="CP181" s="11" t="e">
        <f>VLOOKUP(CP180,ValidDateTable,4,FALSE)</f>
        <v>#NAME?</v>
      </c>
      <c r="CQ181" s="8"/>
      <c r="CR181" s="295" t="e">
        <f t="shared" ref="CR181:DA181" si="580">BY181</f>
        <v>#NAME?</v>
      </c>
      <c r="CS181" s="295" t="e">
        <f t="shared" si="580"/>
        <v>#NAME?</v>
      </c>
      <c r="CT181" s="295" t="e">
        <f t="shared" si="580"/>
        <v>#NAME?</v>
      </c>
      <c r="CU181" s="295" t="e">
        <f t="shared" si="580"/>
        <v>#NAME?</v>
      </c>
      <c r="CV181" s="295" t="e">
        <f t="shared" si="580"/>
        <v>#NAME?</v>
      </c>
      <c r="CW181" s="295" t="e">
        <f t="shared" si="580"/>
        <v>#NAME?</v>
      </c>
      <c r="CX181" s="295" t="e">
        <f t="shared" si="580"/>
        <v>#NAME?</v>
      </c>
      <c r="CY181" s="295" t="e">
        <f t="shared" si="580"/>
        <v>#NAME?</v>
      </c>
      <c r="CZ181" s="295" t="e">
        <f t="shared" si="580"/>
        <v>#NAME?</v>
      </c>
      <c r="DA181" s="295" t="e">
        <f t="shared" si="580"/>
        <v>#NAME?</v>
      </c>
      <c r="DB181" s="295" t="s">
        <v>26</v>
      </c>
      <c r="DC181" s="295" t="e">
        <f t="shared" ref="DC181:DH181" si="581">CJ181</f>
        <v>#NAME?</v>
      </c>
      <c r="DD181" s="295" t="e">
        <f t="shared" si="581"/>
        <v>#NAME?</v>
      </c>
      <c r="DE181" s="1275" t="e">
        <f t="shared" si="581"/>
        <v>#NAME?</v>
      </c>
      <c r="DF181" s="1275" t="e">
        <f t="shared" si="581"/>
        <v>#NAME?</v>
      </c>
      <c r="DG181" s="1275" t="e">
        <f t="shared" si="581"/>
        <v>#NAME?</v>
      </c>
      <c r="DH181" s="1275" t="e">
        <f t="shared" si="581"/>
        <v>#NAME?</v>
      </c>
      <c r="DI181" s="8"/>
    </row>
    <row r="182" spans="1:113" ht="14.25" customHeight="1" outlineLevel="2">
      <c r="A182" s="8"/>
      <c r="B182" s="623" t="s">
        <v>21</v>
      </c>
      <c r="C182" s="98"/>
      <c r="D182" s="8">
        <v>2003</v>
      </c>
      <c r="E182" s="8">
        <v>2003</v>
      </c>
      <c r="F182" s="8">
        <v>2003</v>
      </c>
      <c r="G182" s="8">
        <v>2003</v>
      </c>
      <c r="H182" s="8">
        <v>2004</v>
      </c>
      <c r="I182" s="8">
        <v>2004</v>
      </c>
      <c r="J182" s="8">
        <v>2004</v>
      </c>
      <c r="K182" s="8">
        <v>2004</v>
      </c>
      <c r="L182" s="8">
        <v>2005</v>
      </c>
      <c r="M182" s="8">
        <v>2005</v>
      </c>
      <c r="N182" s="8">
        <v>2005</v>
      </c>
      <c r="O182" s="8">
        <v>2005</v>
      </c>
      <c r="P182" s="8">
        <v>2006</v>
      </c>
      <c r="Q182" s="8">
        <v>2006</v>
      </c>
      <c r="R182" s="8">
        <v>2006</v>
      </c>
      <c r="S182" s="8">
        <v>2006</v>
      </c>
      <c r="T182" s="8">
        <v>2007</v>
      </c>
      <c r="U182" s="8">
        <v>2007</v>
      </c>
      <c r="V182" s="8">
        <v>2007</v>
      </c>
      <c r="W182" s="8">
        <v>2007</v>
      </c>
      <c r="X182" s="8">
        <v>2008</v>
      </c>
      <c r="Y182" s="8">
        <v>2008</v>
      </c>
      <c r="Z182" s="8">
        <v>2008</v>
      </c>
      <c r="AA182" s="8">
        <v>2008</v>
      </c>
      <c r="AB182" s="8">
        <v>2009</v>
      </c>
      <c r="AC182" s="8">
        <v>2009</v>
      </c>
      <c r="AD182" s="8">
        <v>2009</v>
      </c>
      <c r="AE182" s="8">
        <v>2009</v>
      </c>
      <c r="AF182" s="8">
        <v>2010</v>
      </c>
      <c r="AG182" s="8">
        <v>2010</v>
      </c>
      <c r="AH182" s="8">
        <v>2010</v>
      </c>
      <c r="AI182" s="8">
        <v>2010</v>
      </c>
      <c r="AJ182" s="8">
        <v>2011</v>
      </c>
      <c r="AK182" s="8">
        <v>2011</v>
      </c>
      <c r="AL182" s="8">
        <v>2011</v>
      </c>
      <c r="AM182" s="8">
        <v>2011</v>
      </c>
      <c r="AN182" s="8">
        <v>2012</v>
      </c>
      <c r="AO182" s="8">
        <v>2012</v>
      </c>
      <c r="AP182" s="8">
        <v>2012</v>
      </c>
      <c r="AQ182" s="8">
        <v>2012</v>
      </c>
      <c r="AR182" s="8">
        <v>2013</v>
      </c>
      <c r="AS182" s="8">
        <v>2013</v>
      </c>
      <c r="AT182" s="8">
        <v>2013</v>
      </c>
      <c r="AU182" s="8">
        <v>2013</v>
      </c>
      <c r="AV182" s="8">
        <v>2014</v>
      </c>
      <c r="AW182" s="8">
        <v>2014</v>
      </c>
      <c r="AX182" s="8">
        <v>2014</v>
      </c>
      <c r="AY182" s="8">
        <v>2014</v>
      </c>
      <c r="AZ182" s="8">
        <v>2015</v>
      </c>
      <c r="BA182" s="8">
        <v>2015</v>
      </c>
      <c r="BB182" s="8">
        <v>2015</v>
      </c>
      <c r="BC182" s="8">
        <v>2015</v>
      </c>
      <c r="BD182" s="8">
        <v>2016</v>
      </c>
      <c r="BE182" s="8">
        <v>2016</v>
      </c>
      <c r="BF182" s="8">
        <v>2016</v>
      </c>
      <c r="BG182" s="8">
        <v>2016</v>
      </c>
      <c r="BH182" s="8">
        <v>2017</v>
      </c>
      <c r="BI182" s="8">
        <v>2016</v>
      </c>
      <c r="BJ182" s="8">
        <v>2017</v>
      </c>
      <c r="BK182" s="8">
        <v>2017</v>
      </c>
      <c r="BL182" s="8">
        <v>2018</v>
      </c>
      <c r="BM182" s="8">
        <v>2018</v>
      </c>
      <c r="BN182" s="8">
        <v>2018</v>
      </c>
      <c r="BO182" s="8">
        <v>2018</v>
      </c>
      <c r="BP182" s="8">
        <v>2019</v>
      </c>
      <c r="BQ182" s="8">
        <v>2019</v>
      </c>
      <c r="BR182" s="8">
        <v>2019</v>
      </c>
      <c r="BS182" s="8">
        <v>2019</v>
      </c>
      <c r="BT182" s="8">
        <v>2019</v>
      </c>
      <c r="BU182" s="8">
        <v>2019</v>
      </c>
      <c r="BV182" s="8">
        <v>2019</v>
      </c>
      <c r="BW182" s="8">
        <v>2019</v>
      </c>
      <c r="BX182" s="8"/>
      <c r="BY182" s="11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14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14"/>
      <c r="CZ182" s="8"/>
      <c r="DA182" s="8"/>
      <c r="DB182" s="8"/>
      <c r="DC182" s="8"/>
      <c r="DD182" s="8"/>
      <c r="DE182" s="14"/>
      <c r="DF182" s="14"/>
      <c r="DG182" s="14"/>
      <c r="DH182" s="14"/>
      <c r="DI182" s="8"/>
    </row>
    <row r="183" spans="1:113" ht="14.25" customHeight="1" outlineLevel="2">
      <c r="A183" s="8"/>
      <c r="B183" s="623" t="s">
        <v>22</v>
      </c>
      <c r="C183" s="98"/>
      <c r="D183" s="8">
        <v>1</v>
      </c>
      <c r="E183" s="8">
        <v>2</v>
      </c>
      <c r="F183" s="8">
        <v>3</v>
      </c>
      <c r="G183" s="8">
        <v>4</v>
      </c>
      <c r="H183" s="8">
        <v>1</v>
      </c>
      <c r="I183" s="8">
        <v>2</v>
      </c>
      <c r="J183" s="8">
        <v>3</v>
      </c>
      <c r="K183" s="8">
        <v>4</v>
      </c>
      <c r="L183" s="8">
        <v>1</v>
      </c>
      <c r="M183" s="8">
        <v>2</v>
      </c>
      <c r="N183" s="8">
        <v>3</v>
      </c>
      <c r="O183" s="8">
        <v>4</v>
      </c>
      <c r="P183" s="8">
        <v>1</v>
      </c>
      <c r="Q183" s="8">
        <v>2</v>
      </c>
      <c r="R183" s="8">
        <v>3</v>
      </c>
      <c r="S183" s="8">
        <v>4</v>
      </c>
      <c r="T183" s="8">
        <v>1</v>
      </c>
      <c r="U183" s="8">
        <v>2</v>
      </c>
      <c r="V183" s="8">
        <v>3</v>
      </c>
      <c r="W183" s="8">
        <v>4</v>
      </c>
      <c r="X183" s="8">
        <v>1</v>
      </c>
      <c r="Y183" s="8">
        <v>2</v>
      </c>
      <c r="Z183" s="8">
        <v>3</v>
      </c>
      <c r="AA183" s="8">
        <v>4</v>
      </c>
      <c r="AB183" s="8">
        <v>1</v>
      </c>
      <c r="AC183" s="8">
        <v>2</v>
      </c>
      <c r="AD183" s="8">
        <v>3</v>
      </c>
      <c r="AE183" s="8">
        <v>4</v>
      </c>
      <c r="AF183" s="8">
        <v>1</v>
      </c>
      <c r="AG183" s="8">
        <v>2</v>
      </c>
      <c r="AH183" s="8">
        <v>3</v>
      </c>
      <c r="AI183" s="8">
        <v>4</v>
      </c>
      <c r="AJ183" s="8">
        <v>1</v>
      </c>
      <c r="AK183" s="8">
        <v>2</v>
      </c>
      <c r="AL183" s="8">
        <v>3</v>
      </c>
      <c r="AM183" s="8">
        <v>4</v>
      </c>
      <c r="AN183" s="8">
        <v>1</v>
      </c>
      <c r="AO183" s="8">
        <v>2</v>
      </c>
      <c r="AP183" s="8">
        <v>3</v>
      </c>
      <c r="AQ183" s="8">
        <v>4</v>
      </c>
      <c r="AR183" s="8">
        <v>1</v>
      </c>
      <c r="AS183" s="8">
        <v>2</v>
      </c>
      <c r="AT183" s="8">
        <v>3</v>
      </c>
      <c r="AU183" s="8">
        <v>4</v>
      </c>
      <c r="AV183" s="8">
        <v>1</v>
      </c>
      <c r="AW183" s="8">
        <v>2</v>
      </c>
      <c r="AX183" s="8">
        <v>3</v>
      </c>
      <c r="AY183" s="8">
        <v>4</v>
      </c>
      <c r="AZ183" s="8">
        <v>1</v>
      </c>
      <c r="BA183" s="8">
        <v>2</v>
      </c>
      <c r="BB183" s="8">
        <v>3</v>
      </c>
      <c r="BC183" s="8">
        <v>4</v>
      </c>
      <c r="BD183" s="8">
        <v>1</v>
      </c>
      <c r="BE183" s="8">
        <v>2</v>
      </c>
      <c r="BF183" s="8">
        <v>3</v>
      </c>
      <c r="BG183" s="8">
        <v>4</v>
      </c>
      <c r="BH183" s="8">
        <v>1</v>
      </c>
      <c r="BI183" s="8">
        <v>2</v>
      </c>
      <c r="BJ183" s="8">
        <v>3</v>
      </c>
      <c r="BK183" s="8">
        <v>4</v>
      </c>
      <c r="BL183" s="8">
        <v>1</v>
      </c>
      <c r="BM183" s="8">
        <v>2</v>
      </c>
      <c r="BN183" s="8">
        <v>3</v>
      </c>
      <c r="BO183" s="8">
        <v>4</v>
      </c>
      <c r="BP183" s="8">
        <v>1</v>
      </c>
      <c r="BQ183" s="8">
        <v>2</v>
      </c>
      <c r="BR183" s="8">
        <v>3</v>
      </c>
      <c r="BS183" s="8">
        <v>4</v>
      </c>
      <c r="BT183" s="8">
        <v>1</v>
      </c>
      <c r="BU183" s="8">
        <v>2</v>
      </c>
      <c r="BV183" s="8">
        <v>3</v>
      </c>
      <c r="BW183" s="8">
        <v>4</v>
      </c>
      <c r="BX183" s="8"/>
      <c r="BY183" s="11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14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14"/>
      <c r="CZ183" s="8"/>
      <c r="DA183" s="8"/>
      <c r="DB183" s="8"/>
      <c r="DC183" s="8"/>
      <c r="DD183" s="8"/>
      <c r="DE183" s="14"/>
      <c r="DF183" s="14"/>
      <c r="DG183" s="14"/>
      <c r="DH183" s="14"/>
      <c r="DI183" s="8"/>
    </row>
    <row r="184" spans="1:113" ht="14.25" customHeight="1" outlineLevel="3">
      <c r="A184" s="8"/>
      <c r="B184" s="623" t="s">
        <v>23</v>
      </c>
      <c r="C184" s="98"/>
      <c r="D184" s="8">
        <v>2002</v>
      </c>
      <c r="E184" s="8">
        <v>2002</v>
      </c>
      <c r="F184" s="8">
        <v>2002</v>
      </c>
      <c r="G184" s="8">
        <v>2003</v>
      </c>
      <c r="H184" s="8">
        <v>2003</v>
      </c>
      <c r="I184" s="8">
        <v>2003</v>
      </c>
      <c r="J184" s="8">
        <v>2003</v>
      </c>
      <c r="K184" s="8">
        <v>2004</v>
      </c>
      <c r="L184" s="8">
        <v>2004</v>
      </c>
      <c r="M184" s="8">
        <v>2004</v>
      </c>
      <c r="N184" s="8">
        <v>2004</v>
      </c>
      <c r="O184" s="8">
        <v>2005</v>
      </c>
      <c r="P184" s="8">
        <v>2005</v>
      </c>
      <c r="Q184" s="8">
        <v>2005</v>
      </c>
      <c r="R184" s="8">
        <v>2005</v>
      </c>
      <c r="S184" s="8">
        <v>2006</v>
      </c>
      <c r="T184" s="8">
        <v>2006</v>
      </c>
      <c r="U184" s="8">
        <v>2006</v>
      </c>
      <c r="V184" s="8">
        <v>2006</v>
      </c>
      <c r="W184" s="8">
        <v>2007</v>
      </c>
      <c r="X184" s="8">
        <v>2007</v>
      </c>
      <c r="Y184" s="8">
        <v>2007</v>
      </c>
      <c r="Z184" s="8">
        <v>2007</v>
      </c>
      <c r="AA184" s="8">
        <v>2008</v>
      </c>
      <c r="AB184" s="8">
        <v>2008</v>
      </c>
      <c r="AC184" s="8">
        <v>2008</v>
      </c>
      <c r="AD184" s="8">
        <v>2008</v>
      </c>
      <c r="AE184" s="8">
        <v>2009</v>
      </c>
      <c r="AF184" s="8">
        <v>2009</v>
      </c>
      <c r="AG184" s="8">
        <v>2009</v>
      </c>
      <c r="AH184" s="8">
        <v>2009</v>
      </c>
      <c r="AI184" s="8">
        <v>2010</v>
      </c>
      <c r="AJ184" s="8">
        <v>2010</v>
      </c>
      <c r="AK184" s="8">
        <v>2010</v>
      </c>
      <c r="AL184" s="8">
        <v>2010</v>
      </c>
      <c r="AM184" s="8">
        <v>2011</v>
      </c>
      <c r="AN184" s="8">
        <v>2011</v>
      </c>
      <c r="AO184" s="8">
        <v>2011</v>
      </c>
      <c r="AP184" s="8">
        <v>2011</v>
      </c>
      <c r="AQ184" s="8">
        <v>2012</v>
      </c>
      <c r="AR184" s="8">
        <v>2012</v>
      </c>
      <c r="AS184" s="8">
        <v>2012</v>
      </c>
      <c r="AT184" s="8">
        <v>2012</v>
      </c>
      <c r="AU184" s="8">
        <v>2013</v>
      </c>
      <c r="AV184" s="8">
        <v>2013</v>
      </c>
      <c r="AW184" s="8">
        <v>2013</v>
      </c>
      <c r="AX184" s="8">
        <v>2013</v>
      </c>
      <c r="AY184" s="8">
        <v>2014</v>
      </c>
      <c r="AZ184" s="8">
        <v>2014</v>
      </c>
      <c r="BA184" s="8">
        <v>2014</v>
      </c>
      <c r="BB184" s="8">
        <v>2014</v>
      </c>
      <c r="BC184" s="8">
        <v>2015</v>
      </c>
      <c r="BD184" s="8">
        <v>2015</v>
      </c>
      <c r="BE184" s="8">
        <v>2015</v>
      </c>
      <c r="BF184" s="8">
        <v>2015</v>
      </c>
      <c r="BG184" s="8">
        <v>2016</v>
      </c>
      <c r="BH184" s="8">
        <v>2016</v>
      </c>
      <c r="BI184" s="8">
        <v>2016</v>
      </c>
      <c r="BJ184" s="8">
        <v>2016</v>
      </c>
      <c r="BK184" s="8">
        <v>2017</v>
      </c>
      <c r="BL184" s="8">
        <v>2017</v>
      </c>
      <c r="BM184" s="8">
        <v>2017</v>
      </c>
      <c r="BN184" s="8">
        <v>2017</v>
      </c>
      <c r="BO184" s="8">
        <v>2018</v>
      </c>
      <c r="BP184" s="8">
        <v>2018</v>
      </c>
      <c r="BQ184" s="8">
        <v>2018</v>
      </c>
      <c r="BR184" s="8">
        <v>2018</v>
      </c>
      <c r="BS184" s="8">
        <v>2019</v>
      </c>
      <c r="BT184" s="8">
        <v>2018</v>
      </c>
      <c r="BU184" s="8">
        <v>2018</v>
      </c>
      <c r="BV184" s="8">
        <v>2018</v>
      </c>
      <c r="BW184" s="8">
        <v>2019</v>
      </c>
      <c r="BX184" s="8"/>
      <c r="BY184" s="11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14"/>
      <c r="CO184" s="8"/>
      <c r="CP184" s="8"/>
      <c r="CQ184" s="8"/>
      <c r="CR184" s="8">
        <v>2003</v>
      </c>
      <c r="CS184" s="8">
        <v>2004</v>
      </c>
      <c r="CT184" s="8">
        <v>2005</v>
      </c>
      <c r="CU184" s="8">
        <v>2006</v>
      </c>
      <c r="CV184" s="8">
        <v>2007</v>
      </c>
      <c r="CW184" s="8">
        <v>2008</v>
      </c>
      <c r="CX184" s="8">
        <v>2009</v>
      </c>
      <c r="CY184" s="14">
        <v>2010</v>
      </c>
      <c r="CZ184" s="8">
        <v>2011</v>
      </c>
      <c r="DA184" s="8">
        <v>2012</v>
      </c>
      <c r="DB184" s="8">
        <v>2013</v>
      </c>
      <c r="DC184" s="8">
        <v>2014</v>
      </c>
      <c r="DD184" s="8">
        <v>2015</v>
      </c>
      <c r="DE184" s="14">
        <v>2016</v>
      </c>
      <c r="DF184" s="14">
        <v>2017</v>
      </c>
      <c r="DG184" s="14">
        <v>2018</v>
      </c>
      <c r="DH184" s="14">
        <v>2019</v>
      </c>
      <c r="DI184" s="8"/>
    </row>
    <row r="185" spans="1:113" ht="14.25" customHeight="1" outlineLevel="3">
      <c r="A185" s="8"/>
      <c r="B185" s="623" t="s">
        <v>24</v>
      </c>
      <c r="C185" s="98"/>
      <c r="D185" s="8">
        <v>2</v>
      </c>
      <c r="E185" s="8">
        <v>3</v>
      </c>
      <c r="F185" s="8">
        <v>4</v>
      </c>
      <c r="G185" s="8">
        <v>1</v>
      </c>
      <c r="H185" s="8">
        <v>2</v>
      </c>
      <c r="I185" s="8">
        <v>3</v>
      </c>
      <c r="J185" s="8">
        <v>4</v>
      </c>
      <c r="K185" s="8">
        <v>1</v>
      </c>
      <c r="L185" s="8">
        <v>2</v>
      </c>
      <c r="M185" s="8">
        <v>3</v>
      </c>
      <c r="N185" s="8">
        <v>4</v>
      </c>
      <c r="O185" s="8">
        <v>1</v>
      </c>
      <c r="P185" s="8">
        <v>2</v>
      </c>
      <c r="Q185" s="8">
        <v>3</v>
      </c>
      <c r="R185" s="8">
        <v>4</v>
      </c>
      <c r="S185" s="8">
        <v>1</v>
      </c>
      <c r="T185" s="8">
        <v>2</v>
      </c>
      <c r="U185" s="8">
        <v>3</v>
      </c>
      <c r="V185" s="8">
        <v>4</v>
      </c>
      <c r="W185" s="8">
        <v>1</v>
      </c>
      <c r="X185" s="8">
        <v>2</v>
      </c>
      <c r="Y185" s="8">
        <v>3</v>
      </c>
      <c r="Z185" s="8">
        <v>4</v>
      </c>
      <c r="AA185" s="8">
        <v>1</v>
      </c>
      <c r="AB185" s="8">
        <v>2</v>
      </c>
      <c r="AC185" s="8">
        <v>3</v>
      </c>
      <c r="AD185" s="8">
        <v>4</v>
      </c>
      <c r="AE185" s="8">
        <v>1</v>
      </c>
      <c r="AF185" s="8">
        <v>2</v>
      </c>
      <c r="AG185" s="8">
        <v>3</v>
      </c>
      <c r="AH185" s="8">
        <v>4</v>
      </c>
      <c r="AI185" s="8">
        <v>1</v>
      </c>
      <c r="AJ185" s="8">
        <v>2</v>
      </c>
      <c r="AK185" s="8">
        <v>3</v>
      </c>
      <c r="AL185" s="8">
        <v>4</v>
      </c>
      <c r="AM185" s="8">
        <v>1</v>
      </c>
      <c r="AN185" s="8">
        <v>2</v>
      </c>
      <c r="AO185" s="8">
        <v>3</v>
      </c>
      <c r="AP185" s="8">
        <v>4</v>
      </c>
      <c r="AQ185" s="8">
        <v>1</v>
      </c>
      <c r="AR185" s="8">
        <v>2</v>
      </c>
      <c r="AS185" s="8">
        <v>3</v>
      </c>
      <c r="AT185" s="8">
        <v>4</v>
      </c>
      <c r="AU185" s="8">
        <v>1</v>
      </c>
      <c r="AV185" s="8">
        <v>2</v>
      </c>
      <c r="AW185" s="8">
        <v>3</v>
      </c>
      <c r="AX185" s="8">
        <v>4</v>
      </c>
      <c r="AY185" s="8">
        <v>1</v>
      </c>
      <c r="AZ185" s="8">
        <v>2</v>
      </c>
      <c r="BA185" s="8">
        <v>3</v>
      </c>
      <c r="BB185" s="8">
        <v>4</v>
      </c>
      <c r="BC185" s="8">
        <v>1</v>
      </c>
      <c r="BD185" s="8">
        <v>2</v>
      </c>
      <c r="BE185" s="8">
        <v>3</v>
      </c>
      <c r="BF185" s="8">
        <v>4</v>
      </c>
      <c r="BG185" s="8">
        <v>1</v>
      </c>
      <c r="BH185" s="8">
        <v>2</v>
      </c>
      <c r="BI185" s="8">
        <v>3</v>
      </c>
      <c r="BJ185" s="8">
        <v>4</v>
      </c>
      <c r="BK185" s="8">
        <v>1</v>
      </c>
      <c r="BL185" s="8">
        <v>2</v>
      </c>
      <c r="BM185" s="8">
        <v>3</v>
      </c>
      <c r="BN185" s="8">
        <v>4</v>
      </c>
      <c r="BO185" s="8">
        <v>1</v>
      </c>
      <c r="BP185" s="8">
        <v>2</v>
      </c>
      <c r="BQ185" s="8">
        <v>3</v>
      </c>
      <c r="BR185" s="8">
        <v>4</v>
      </c>
      <c r="BS185" s="8">
        <v>1</v>
      </c>
      <c r="BT185" s="8">
        <v>2</v>
      </c>
      <c r="BU185" s="8">
        <v>3</v>
      </c>
      <c r="BV185" s="8">
        <v>4</v>
      </c>
      <c r="BW185" s="8">
        <v>1</v>
      </c>
      <c r="BX185" s="8"/>
      <c r="BY185" s="11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14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14"/>
      <c r="CZ185" s="8"/>
      <c r="DA185" s="8"/>
      <c r="DB185" s="8"/>
      <c r="DC185" s="8"/>
      <c r="DD185" s="8"/>
      <c r="DE185" s="14"/>
      <c r="DF185" s="14"/>
      <c r="DG185" s="14"/>
      <c r="DH185" s="8"/>
      <c r="DI185" s="8"/>
    </row>
    <row r="186" spans="1:113" ht="14.25" customHeight="1" outlineLevel="2">
      <c r="A186" s="1"/>
      <c r="B186" s="603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5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79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79"/>
      <c r="CZ186" s="1"/>
      <c r="DA186" s="1"/>
      <c r="DB186" s="1"/>
      <c r="DC186" s="1"/>
      <c r="DD186" s="1"/>
      <c r="DE186" s="179"/>
      <c r="DF186" s="179"/>
      <c r="DG186" s="179"/>
      <c r="DH186" s="1"/>
      <c r="DI186" s="1"/>
    </row>
    <row r="187" spans="1:113" ht="14.25" customHeight="1" outlineLevel="2">
      <c r="B187" s="624"/>
      <c r="BI187" s="1335"/>
      <c r="CN187" s="1174"/>
      <c r="CY187" s="331"/>
      <c r="DE187" s="1174"/>
      <c r="DF187" s="1174"/>
      <c r="DG187" s="1174"/>
    </row>
    <row r="188" spans="1:113" ht="14.25" customHeight="1" outlineLevel="2">
      <c r="A188" s="14"/>
      <c r="B188" t="s">
        <v>503</v>
      </c>
      <c r="C188" s="45"/>
      <c r="D188" s="47">
        <f t="shared" ref="D188:AI188" si="582">D74-D77</f>
        <v>9.3160000000000025</v>
      </c>
      <c r="E188" s="47">
        <f t="shared" si="582"/>
        <v>9.4959999999999987</v>
      </c>
      <c r="F188" s="47">
        <f t="shared" si="582"/>
        <v>36.381999999999991</v>
      </c>
      <c r="G188" s="48">
        <f t="shared" si="582"/>
        <v>33.038000000000046</v>
      </c>
      <c r="H188" s="47">
        <f t="shared" si="582"/>
        <v>13.469999999999986</v>
      </c>
      <c r="I188" s="47">
        <f t="shared" si="582"/>
        <v>36.103999999999985</v>
      </c>
      <c r="J188" s="47">
        <f t="shared" si="582"/>
        <v>40.843000000000018</v>
      </c>
      <c r="K188" s="48">
        <f t="shared" si="582"/>
        <v>46.845000000000013</v>
      </c>
      <c r="L188" s="47">
        <f t="shared" si="582"/>
        <v>43.799000000000014</v>
      </c>
      <c r="M188" s="47">
        <f t="shared" si="582"/>
        <v>60.442999999999984</v>
      </c>
      <c r="N188" s="47">
        <f t="shared" si="582"/>
        <v>53.139999999999993</v>
      </c>
      <c r="O188" s="48">
        <f t="shared" si="582"/>
        <v>56.403000000000027</v>
      </c>
      <c r="P188" s="47">
        <f t="shared" si="582"/>
        <v>61.023999999999987</v>
      </c>
      <c r="Q188" s="47">
        <f t="shared" si="582"/>
        <v>65.652999999999992</v>
      </c>
      <c r="R188" s="47">
        <f t="shared" si="582"/>
        <v>40.123999999999981</v>
      </c>
      <c r="S188" s="48">
        <f t="shared" si="582"/>
        <v>75.567999999999998</v>
      </c>
      <c r="T188" s="47">
        <f t="shared" si="582"/>
        <v>76.984000000000037</v>
      </c>
      <c r="U188" s="47">
        <f t="shared" si="582"/>
        <v>79.488000000000014</v>
      </c>
      <c r="V188" s="47">
        <f t="shared" si="582"/>
        <v>72.848999999999975</v>
      </c>
      <c r="W188" s="48">
        <f t="shared" si="582"/>
        <v>127.708</v>
      </c>
      <c r="X188" s="47">
        <f t="shared" si="582"/>
        <v>80.293000000000021</v>
      </c>
      <c r="Y188" s="47">
        <f t="shared" si="582"/>
        <v>60.678999999999974</v>
      </c>
      <c r="Z188" s="47">
        <f t="shared" si="582"/>
        <v>80.123999999999995</v>
      </c>
      <c r="AA188" s="48">
        <f t="shared" si="582"/>
        <v>75.697000000000017</v>
      </c>
      <c r="AB188" s="47">
        <f t="shared" si="582"/>
        <v>75.547000000000025</v>
      </c>
      <c r="AC188" s="47">
        <f t="shared" si="582"/>
        <v>75.720000000000027</v>
      </c>
      <c r="AD188" s="47">
        <f t="shared" si="582"/>
        <v>72.355999999999995</v>
      </c>
      <c r="AE188" s="48">
        <f t="shared" si="582"/>
        <v>21.963999999999984</v>
      </c>
      <c r="AF188" s="47">
        <f t="shared" si="582"/>
        <v>27.368000000000009</v>
      </c>
      <c r="AG188" s="47">
        <f t="shared" si="582"/>
        <v>44.484999999999999</v>
      </c>
      <c r="AH188" s="47">
        <f t="shared" si="582"/>
        <v>69.402999999999992</v>
      </c>
      <c r="AI188" s="48">
        <f t="shared" si="582"/>
        <v>75.749000000000038</v>
      </c>
      <c r="AJ188" s="47">
        <f t="shared" ref="AJ188:BS188" si="583">AJ74-AJ77</f>
        <v>89.566000000000003</v>
      </c>
      <c r="AK188" s="47">
        <f t="shared" si="583"/>
        <v>103.08000000000001</v>
      </c>
      <c r="AL188" s="47">
        <f t="shared" si="583"/>
        <v>100.77600000000002</v>
      </c>
      <c r="AM188" s="47">
        <f t="shared" si="583"/>
        <v>125.52799999999988</v>
      </c>
      <c r="AN188" s="46">
        <f t="shared" si="583"/>
        <v>99.293000000000006</v>
      </c>
      <c r="AO188" s="47">
        <f t="shared" si="583"/>
        <v>79.286999999999978</v>
      </c>
      <c r="AP188" s="47">
        <f t="shared" si="583"/>
        <v>77.48899999999999</v>
      </c>
      <c r="AQ188" s="48">
        <f t="shared" si="583"/>
        <v>80.635999999999996</v>
      </c>
      <c r="AR188" s="46">
        <f t="shared" si="583"/>
        <v>78.710000000000008</v>
      </c>
      <c r="AS188" s="47">
        <f t="shared" si="583"/>
        <v>-21.184000000000005</v>
      </c>
      <c r="AT188" s="47">
        <f t="shared" si="583"/>
        <v>10.173000000000039</v>
      </c>
      <c r="AU188" s="48">
        <f t="shared" si="583"/>
        <v>59.690000000000055</v>
      </c>
      <c r="AV188" s="46">
        <f t="shared" si="583"/>
        <v>78.578999999999951</v>
      </c>
      <c r="AW188" s="47">
        <f t="shared" si="583"/>
        <v>99.805999999999912</v>
      </c>
      <c r="AX188" s="47">
        <f t="shared" si="583"/>
        <v>105.40100000000004</v>
      </c>
      <c r="AY188" s="48">
        <f t="shared" si="583"/>
        <v>111.49500000000006</v>
      </c>
      <c r="AZ188" s="46">
        <f t="shared" si="583"/>
        <v>89.908999999999992</v>
      </c>
      <c r="BA188" s="47">
        <f t="shared" si="583"/>
        <v>92.038000000000068</v>
      </c>
      <c r="BB188" s="47">
        <f t="shared" si="583"/>
        <v>84.798000000000044</v>
      </c>
      <c r="BC188" s="47">
        <f t="shared" si="583"/>
        <v>98.580000000000013</v>
      </c>
      <c r="BD188" s="47">
        <f t="shared" si="583"/>
        <v>130.45999999999998</v>
      </c>
      <c r="BE188" s="47">
        <f t="shared" si="583"/>
        <v>64.898999999999916</v>
      </c>
      <c r="BF188" s="47">
        <f t="shared" si="583"/>
        <v>61.128000000000057</v>
      </c>
      <c r="BG188" s="47">
        <f t="shared" si="583"/>
        <v>67.308000000000007</v>
      </c>
      <c r="BH188" s="47">
        <f t="shared" si="583"/>
        <v>-113.3630000000001</v>
      </c>
      <c r="BI188" s="47">
        <f t="shared" ref="BI188" si="584">BI74-BI77</f>
        <v>35.574000000000055</v>
      </c>
      <c r="BJ188" s="47">
        <f t="shared" si="583"/>
        <v>107.33499999999997</v>
      </c>
      <c r="BK188" s="47">
        <f t="shared" si="583"/>
        <v>136.90800000000002</v>
      </c>
      <c r="BL188" s="47">
        <f t="shared" si="583"/>
        <v>170.58699999999996</v>
      </c>
      <c r="BM188" s="47">
        <f t="shared" si="583"/>
        <v>189.15599999999998</v>
      </c>
      <c r="BN188" s="47">
        <f t="shared" si="583"/>
        <v>-251.08600000000001</v>
      </c>
      <c r="BO188" s="47">
        <f t="shared" si="583"/>
        <v>319.36396904051264</v>
      </c>
      <c r="BP188" s="47">
        <f t="shared" si="583"/>
        <v>340.18058113278784</v>
      </c>
      <c r="BQ188" s="47">
        <f t="shared" si="583"/>
        <v>355.90966127439862</v>
      </c>
      <c r="BR188" s="47">
        <f t="shared" si="583"/>
        <v>346.07916920057528</v>
      </c>
      <c r="BS188" s="47">
        <f t="shared" si="583"/>
        <v>342.83251464298598</v>
      </c>
      <c r="BT188" s="47">
        <f t="shared" ref="BT188:BW188" si="585">BT74-BT77</f>
        <v>361.8847059608612</v>
      </c>
      <c r="BU188" s="47">
        <f t="shared" si="585"/>
        <v>375.3479258136789</v>
      </c>
      <c r="BV188" s="47">
        <f t="shared" si="585"/>
        <v>366.98705365713681</v>
      </c>
      <c r="BW188" s="47">
        <f t="shared" si="585"/>
        <v>364.06060944569589</v>
      </c>
      <c r="BX188" s="14"/>
      <c r="BY188" s="47">
        <f t="shared" ref="BY188:CP188" si="586">BY74-BY77</f>
        <v>88.232000000000028</v>
      </c>
      <c r="BZ188" s="47">
        <f t="shared" si="586"/>
        <v>137.26199999999994</v>
      </c>
      <c r="CA188" s="47">
        <f t="shared" si="586"/>
        <v>213.78500000000003</v>
      </c>
      <c r="CB188" s="47">
        <f t="shared" si="586"/>
        <v>242.36900000000006</v>
      </c>
      <c r="CC188" s="47">
        <f t="shared" si="586"/>
        <v>357.02900000000005</v>
      </c>
      <c r="CD188" s="47">
        <f t="shared" si="586"/>
        <v>296.79300000000012</v>
      </c>
      <c r="CE188" s="47">
        <f t="shared" si="586"/>
        <v>245.58699999999999</v>
      </c>
      <c r="CF188" s="47">
        <f t="shared" si="586"/>
        <v>217.00500000000019</v>
      </c>
      <c r="CG188" s="47">
        <f t="shared" si="586"/>
        <v>418.94999999999987</v>
      </c>
      <c r="CH188" s="47">
        <f t="shared" si="586"/>
        <v>336.70499999999993</v>
      </c>
      <c r="CI188" s="47">
        <f t="shared" si="586"/>
        <v>127.38900000000011</v>
      </c>
      <c r="CJ188" s="47">
        <f t="shared" si="586"/>
        <v>395.2810000000004</v>
      </c>
      <c r="CK188" s="47">
        <f t="shared" si="586"/>
        <v>365.32500000000016</v>
      </c>
      <c r="CL188" s="47">
        <f t="shared" si="586"/>
        <v>323.79499999999979</v>
      </c>
      <c r="CM188" s="47">
        <f t="shared" si="586"/>
        <v>166.45400000000024</v>
      </c>
      <c r="CN188" s="47">
        <f t="shared" si="586"/>
        <v>428.02096904051297</v>
      </c>
      <c r="CO188" s="47">
        <f t="shared" si="586"/>
        <v>1385.0019262507481</v>
      </c>
      <c r="CP188" s="47">
        <f t="shared" si="586"/>
        <v>1468.2802948773726</v>
      </c>
      <c r="CQ188" s="14"/>
      <c r="CR188" s="47"/>
      <c r="CS188" s="47"/>
      <c r="CT188" s="47"/>
      <c r="CU188" s="47"/>
      <c r="CV188" s="47"/>
      <c r="CW188" s="47"/>
      <c r="CX188" s="47"/>
      <c r="CY188" s="47"/>
      <c r="CZ188" s="47"/>
      <c r="DA188" s="47"/>
      <c r="DB188" s="47"/>
      <c r="DC188" s="47"/>
      <c r="DD188" s="47"/>
      <c r="DE188" s="47"/>
      <c r="DF188" s="47"/>
      <c r="DG188" s="47"/>
      <c r="DH188" s="47"/>
      <c r="DI188" s="14"/>
    </row>
    <row r="189" spans="1:113" ht="14.25" customHeight="1" outlineLevel="2">
      <c r="B189" s="624"/>
      <c r="BA189" s="1174"/>
      <c r="BB189" s="1174"/>
      <c r="BC189" s="1174"/>
      <c r="BD189" s="1174"/>
      <c r="BE189" s="1174"/>
      <c r="BF189" s="1174"/>
      <c r="BG189" s="1174"/>
      <c r="BH189" s="1174"/>
      <c r="BI189" s="1174"/>
      <c r="BJ189" s="1174"/>
      <c r="BK189" s="1174"/>
      <c r="BL189" s="1174"/>
      <c r="BM189" s="1174"/>
      <c r="BN189" s="1174"/>
      <c r="BO189" s="1174"/>
      <c r="BP189" s="1174"/>
      <c r="BQ189" s="1174"/>
      <c r="BR189" s="1174"/>
      <c r="BS189" s="1174"/>
      <c r="BT189" s="1174"/>
      <c r="BU189" s="1174"/>
      <c r="BV189" s="1174"/>
      <c r="BW189" s="1174"/>
      <c r="BX189" s="1174"/>
      <c r="BY189" s="1174"/>
      <c r="BZ189" s="1174"/>
      <c r="CA189" s="1174"/>
      <c r="CB189" s="1174"/>
      <c r="CC189" s="1174"/>
      <c r="CD189" s="1174"/>
      <c r="CE189" s="1174"/>
      <c r="CF189" s="1174"/>
      <c r="CG189" s="1174"/>
      <c r="CH189" s="1174"/>
      <c r="CI189" s="1174"/>
      <c r="CJ189" s="1174"/>
      <c r="CK189" s="1174"/>
      <c r="CL189" s="1174"/>
      <c r="CM189" s="1174"/>
      <c r="CN189" s="1174"/>
      <c r="CO189" s="1174"/>
      <c r="CP189" s="1174"/>
      <c r="CQ189" s="1174"/>
      <c r="CR189" s="1174"/>
      <c r="CS189" s="1174"/>
      <c r="CT189" s="1174"/>
      <c r="CU189" s="1174"/>
      <c r="CV189" s="1174"/>
      <c r="CW189" s="1174"/>
      <c r="CX189" s="1174"/>
      <c r="CY189" s="1174"/>
      <c r="CZ189" s="1174"/>
      <c r="DA189" s="1174"/>
      <c r="DB189" s="1174"/>
      <c r="DC189" s="1174"/>
      <c r="DD189" s="1174"/>
      <c r="DE189" s="1174"/>
      <c r="DF189" s="1174"/>
      <c r="DG189" s="1174"/>
      <c r="DH189" s="1174"/>
    </row>
    <row r="190" spans="1:113" ht="14.25" customHeight="1" outlineLevel="2">
      <c r="B190" s="624"/>
      <c r="BI190" s="1335"/>
      <c r="CN190" s="1174"/>
      <c r="DE190" s="1174"/>
      <c r="DF190" s="1174"/>
      <c r="DG190" s="1174"/>
    </row>
    <row r="191" spans="1:113" ht="14.25" customHeight="1" outlineLevel="1">
      <c r="B191" s="624"/>
      <c r="BI191" s="1335"/>
      <c r="CN191" s="1174"/>
      <c r="DE191" s="1174"/>
      <c r="DF191" s="1174"/>
      <c r="DG191" s="1174"/>
    </row>
    <row r="192" spans="1:113" ht="14.25" customHeight="1">
      <c r="BI192" s="1335"/>
      <c r="CN192" s="1174"/>
      <c r="DE192" s="1174"/>
      <c r="DF192" s="1174"/>
      <c r="DG192" s="1174"/>
    </row>
    <row r="193" spans="59:111" ht="14.25" customHeight="1">
      <c r="BG193" s="1249"/>
      <c r="BH193" s="1006"/>
      <c r="BI193" s="1006"/>
      <c r="BJ193" s="1006"/>
      <c r="BK193" s="1006"/>
      <c r="BL193" s="1006"/>
      <c r="BM193" s="1006"/>
      <c r="BN193" s="1006"/>
      <c r="BO193" s="1006"/>
      <c r="BP193" s="1006"/>
      <c r="BQ193" s="1006"/>
      <c r="BR193" s="1006"/>
      <c r="BS193" s="1006"/>
      <c r="BT193" s="1006"/>
      <c r="BU193" s="1006"/>
      <c r="BV193" s="1006"/>
      <c r="BW193" s="1006"/>
      <c r="CN193" s="1174"/>
      <c r="DF193" s="1174"/>
      <c r="DG193" s="1174"/>
    </row>
    <row r="194" spans="59:111" ht="14.25" customHeight="1">
      <c r="BI194" s="1174"/>
      <c r="BJ194" s="1174"/>
      <c r="BK194" s="1174"/>
      <c r="BL194" s="1174"/>
      <c r="BM194" s="1174"/>
      <c r="BN194" s="1174"/>
      <c r="BO194" s="1174"/>
      <c r="BP194" s="1174"/>
      <c r="BQ194" s="1174"/>
      <c r="BR194" s="1174"/>
      <c r="BS194" s="1174"/>
      <c r="BT194" s="1174"/>
      <c r="BU194" s="1174"/>
      <c r="BV194" s="1174"/>
      <c r="BW194" s="1174"/>
      <c r="CN194" s="1174"/>
    </row>
    <row r="195" spans="59:111" ht="14.25" customHeight="1">
      <c r="CN195" s="1174"/>
    </row>
    <row r="196" spans="59:111" ht="14.25" customHeight="1">
      <c r="CN196" s="1174"/>
    </row>
    <row r="197" spans="59:111" ht="14.25" customHeight="1">
      <c r="CN197" s="1174"/>
    </row>
    <row r="198" spans="59:111" ht="14.25" customHeight="1">
      <c r="CN198" s="1174"/>
    </row>
  </sheetData>
  <pageMargins left="0" right="0" top="0" bottom="0" header="0" footer="0"/>
  <pageSetup paperSize="5" scale="28" orientation="landscape" r:id="rId1"/>
  <headerFooter alignWithMargins="0"/>
  <colBreaks count="1" manualBreakCount="1">
    <brk id="94" max="152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2"/>
  <sheetViews>
    <sheetView workbookViewId="0"/>
  </sheetViews>
  <sheetFormatPr defaultRowHeight="12.75"/>
  <sheetData>
    <row r="1" spans="1:98">
      <c r="A1" t="s">
        <v>348</v>
      </c>
    </row>
    <row r="2" spans="1:98">
      <c r="A2" s="277" t="s">
        <v>164</v>
      </c>
      <c r="B2" s="277" t="s">
        <v>121</v>
      </c>
      <c r="C2" s="277" t="s">
        <v>153</v>
      </c>
      <c r="D2" s="277" t="s">
        <v>121</v>
      </c>
      <c r="E2" s="277" t="s">
        <v>193</v>
      </c>
      <c r="F2" s="277" t="s">
        <v>25</v>
      </c>
      <c r="G2" s="277" t="s">
        <v>347</v>
      </c>
      <c r="H2" s="277" t="s">
        <v>576</v>
      </c>
      <c r="I2" s="277" t="s">
        <v>183</v>
      </c>
      <c r="J2" s="277" t="s">
        <v>184</v>
      </c>
      <c r="K2" s="277" t="s">
        <v>97</v>
      </c>
      <c r="L2" s="277" t="s">
        <v>117</v>
      </c>
      <c r="M2" s="277" t="s">
        <v>172</v>
      </c>
      <c r="N2" s="277" t="s">
        <v>121</v>
      </c>
      <c r="O2" s="277" t="s">
        <v>181</v>
      </c>
      <c r="P2" s="277" t="s">
        <v>182</v>
      </c>
      <c r="Q2" s="277" t="s">
        <v>156</v>
      </c>
      <c r="R2" s="277" t="s">
        <v>121</v>
      </c>
      <c r="S2" s="277" t="s">
        <v>166</v>
      </c>
      <c r="T2" s="277" t="s">
        <v>121</v>
      </c>
      <c r="U2" s="277" t="s">
        <v>154</v>
      </c>
      <c r="V2" s="277" t="s">
        <v>121</v>
      </c>
      <c r="W2" s="277" t="s">
        <v>155</v>
      </c>
      <c r="X2" s="277" t="s">
        <v>121</v>
      </c>
      <c r="Y2" s="277" t="s">
        <v>95</v>
      </c>
      <c r="Z2" s="277" t="s">
        <v>116</v>
      </c>
      <c r="AA2" s="277" t="s">
        <v>197</v>
      </c>
      <c r="AB2" s="277" t="s">
        <v>121</v>
      </c>
      <c r="AC2" s="277" t="s">
        <v>157</v>
      </c>
      <c r="AD2" s="277" t="s">
        <v>121</v>
      </c>
      <c r="AE2" s="277" t="s">
        <v>199</v>
      </c>
      <c r="AF2" s="277" t="s">
        <v>121</v>
      </c>
      <c r="AG2" s="277" t="s">
        <v>186</v>
      </c>
      <c r="AH2" s="277" t="s">
        <v>187</v>
      </c>
      <c r="AI2" s="277" t="s">
        <v>144</v>
      </c>
      <c r="AJ2" s="277" t="s">
        <v>121</v>
      </c>
      <c r="AK2" s="277" t="s">
        <v>145</v>
      </c>
      <c r="AL2" s="277" t="s">
        <v>121</v>
      </c>
      <c r="AM2" s="277" t="s">
        <v>188</v>
      </c>
      <c r="AN2" s="277" t="s">
        <v>189</v>
      </c>
      <c r="AO2" s="277" t="s">
        <v>159</v>
      </c>
      <c r="AP2" s="277" t="s">
        <v>121</v>
      </c>
      <c r="AQ2" s="277" t="s">
        <v>150</v>
      </c>
      <c r="AR2" s="277" t="s">
        <v>121</v>
      </c>
      <c r="AS2" s="277" t="s">
        <v>171</v>
      </c>
      <c r="AT2" s="277" t="s">
        <v>121</v>
      </c>
      <c r="AU2" s="277" t="s">
        <v>345</v>
      </c>
      <c r="AV2" s="277" t="s">
        <v>25</v>
      </c>
      <c r="AW2" s="277" t="s">
        <v>131</v>
      </c>
      <c r="AX2" s="277" t="s">
        <v>121</v>
      </c>
      <c r="AY2" s="277" t="s">
        <v>198</v>
      </c>
      <c r="AZ2" s="277" t="s">
        <v>202</v>
      </c>
      <c r="BA2" s="277" t="s">
        <v>151</v>
      </c>
      <c r="BB2" s="277" t="s">
        <v>121</v>
      </c>
      <c r="BC2" s="277" t="s">
        <v>119</v>
      </c>
      <c r="BD2" s="277" t="s">
        <v>121</v>
      </c>
      <c r="BE2" s="277" t="s">
        <v>201</v>
      </c>
      <c r="BF2" s="277" t="s">
        <v>121</v>
      </c>
      <c r="BG2" s="277" t="s">
        <v>194</v>
      </c>
      <c r="BH2" s="277" t="s">
        <v>195</v>
      </c>
      <c r="BI2" s="277" t="s">
        <v>96</v>
      </c>
      <c r="BJ2" s="277" t="s">
        <v>25</v>
      </c>
      <c r="BK2" s="277" t="s">
        <v>149</v>
      </c>
      <c r="BL2" s="277" t="s">
        <v>121</v>
      </c>
      <c r="BM2" s="277" t="s">
        <v>190</v>
      </c>
      <c r="BN2" s="277" t="s">
        <v>191</v>
      </c>
      <c r="BO2" s="277" t="s">
        <v>200</v>
      </c>
      <c r="BP2" s="277" t="s">
        <v>25</v>
      </c>
      <c r="BQ2" s="277" t="s">
        <v>170</v>
      </c>
      <c r="BR2" s="277" t="s">
        <v>289</v>
      </c>
      <c r="BS2" s="277" t="s">
        <v>143</v>
      </c>
      <c r="BT2" s="277" t="s">
        <v>121</v>
      </c>
      <c r="BU2" s="277" t="s">
        <v>120</v>
      </c>
      <c r="BV2" s="277" t="s">
        <v>121</v>
      </c>
      <c r="BW2" s="277" t="s">
        <v>196</v>
      </c>
      <c r="BX2" s="277" t="s">
        <v>25</v>
      </c>
      <c r="BY2" s="277" t="s">
        <v>132</v>
      </c>
      <c r="BZ2" s="277" t="s">
        <v>121</v>
      </c>
      <c r="CA2" s="277" t="s">
        <v>118</v>
      </c>
      <c r="CB2" s="277" t="s">
        <v>121</v>
      </c>
      <c r="CC2" s="277" t="s">
        <v>346</v>
      </c>
      <c r="CD2" s="277" t="s">
        <v>470</v>
      </c>
      <c r="CE2" s="277" t="s">
        <v>179</v>
      </c>
      <c r="CF2" s="277" t="s">
        <v>180</v>
      </c>
      <c r="CG2" s="277" t="s">
        <v>192</v>
      </c>
      <c r="CH2" s="277" t="s">
        <v>25</v>
      </c>
      <c r="CI2" s="277" t="s">
        <v>185</v>
      </c>
      <c r="CJ2" s="277" t="s">
        <v>25</v>
      </c>
      <c r="CK2" s="277" t="s">
        <v>169</v>
      </c>
      <c r="CL2" s="277" t="s">
        <v>25</v>
      </c>
      <c r="CM2" s="277" t="s">
        <v>130</v>
      </c>
      <c r="CN2" s="277" t="s">
        <v>121</v>
      </c>
      <c r="CO2" s="277" t="s">
        <v>165</v>
      </c>
      <c r="CP2" s="277" t="s">
        <v>121</v>
      </c>
      <c r="CQ2" s="277" t="s">
        <v>158</v>
      </c>
      <c r="CR2" s="277" t="s">
        <v>121</v>
      </c>
      <c r="CS2" s="277" t="s">
        <v>163</v>
      </c>
      <c r="CT2" s="277" t="s">
        <v>121</v>
      </c>
    </row>
  </sheetData>
  <phoneticPr fontId="34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DI199"/>
  <sheetViews>
    <sheetView showGridLines="0" zoomScale="85" zoomScaleNormal="85" workbookViewId="0">
      <pane xSplit="3" ySplit="7" topLeftCell="BH8" activePane="bottomRight" state="frozen"/>
      <selection activeCell="H53" sqref="H53"/>
      <selection pane="topRight" activeCell="H53" sqref="H53"/>
      <selection pane="bottomLeft" activeCell="H53" sqref="H53"/>
      <selection pane="bottomRight" activeCell="B4" sqref="B4"/>
    </sheetView>
  </sheetViews>
  <sheetFormatPr defaultRowHeight="14.25" customHeight="1" outlineLevelRow="2" outlineLevelCol="1"/>
  <cols>
    <col min="1" max="1" width="1.7109375" customWidth="1"/>
    <col min="2" max="2" width="44.85546875" customWidth="1"/>
    <col min="3" max="3" width="1.7109375" customWidth="1"/>
    <col min="4" max="39" width="11.42578125" hidden="1" customWidth="1" outlineLevel="1"/>
    <col min="40" max="40" width="11.42578125" hidden="1" customWidth="1" outlineLevel="1" collapsed="1"/>
    <col min="41" max="43" width="11.42578125" hidden="1" customWidth="1" outlineLevel="1"/>
    <col min="44" max="44" width="11.42578125" hidden="1" customWidth="1" outlineLevel="1" collapsed="1"/>
    <col min="45" max="47" width="11.42578125" hidden="1" customWidth="1" outlineLevel="1"/>
    <col min="48" max="48" width="11.42578125" hidden="1" customWidth="1" outlineLevel="1" collapsed="1"/>
    <col min="49" max="51" width="11.42578125" hidden="1" customWidth="1" outlineLevel="1"/>
    <col min="52" max="52" width="11.42578125" hidden="1" customWidth="1" outlineLevel="1" collapsed="1"/>
    <col min="53" max="55" width="11.42578125" hidden="1" customWidth="1" outlineLevel="1"/>
    <col min="56" max="56" width="11.42578125" hidden="1" customWidth="1" outlineLevel="1" collapsed="1"/>
    <col min="57" max="59" width="11.42578125" hidden="1" customWidth="1" outlineLevel="1"/>
    <col min="60" max="60" width="11.42578125" customWidth="1" collapsed="1"/>
    <col min="61" max="71" width="11.42578125" customWidth="1"/>
    <col min="72" max="75" width="11.42578125" style="1431" customWidth="1" outlineLevel="1"/>
    <col min="76" max="76" width="2.7109375" customWidth="1"/>
    <col min="77" max="83" width="11.42578125" hidden="1" customWidth="1" outlineLevel="1"/>
    <col min="84" max="85" width="11.42578125" hidden="1" customWidth="1" outlineLevel="1" collapsed="1"/>
    <col min="86" max="90" width="11.42578125" hidden="1" customWidth="1" outlineLevel="1"/>
    <col min="91" max="91" width="11.42578125" customWidth="1" collapsed="1"/>
    <col min="92" max="93" width="11.42578125" customWidth="1"/>
    <col min="94" max="94" width="11.42578125" style="1431" customWidth="1"/>
    <col min="95" max="95" width="4" customWidth="1"/>
    <col min="96" max="105" width="11.42578125" hidden="1" customWidth="1" outlineLevel="1"/>
    <col min="106" max="106" width="11.42578125" hidden="1" customWidth="1" outlineLevel="1" collapsed="1"/>
    <col min="107" max="109" width="11.42578125" hidden="1" customWidth="1" outlineLevel="1"/>
    <col min="110" max="110" width="11.42578125" customWidth="1" collapsed="1"/>
    <col min="111" max="112" width="11.42578125" style="1474" customWidth="1"/>
    <col min="113" max="113" width="11.42578125" customWidth="1"/>
  </cols>
  <sheetData>
    <row r="1" spans="1:113" ht="67.5" customHeight="1">
      <c r="A1" s="5"/>
      <c r="B1" s="602"/>
      <c r="C1" s="1"/>
      <c r="D1" s="2" t="str">
        <f>IF(SUM(BS)&lt;&gt;0,"BS BREAK","")</f>
        <v/>
      </c>
      <c r="E1" s="5"/>
      <c r="F1" s="2" t="str">
        <f>IF(SUM(BS)&lt;&gt;0,"BS BREAK","")</f>
        <v/>
      </c>
      <c r="G1" s="5"/>
      <c r="H1" s="2" t="str">
        <f>IF(SUM(BS)&lt;&gt;0,"BS BREAK","")</f>
        <v/>
      </c>
      <c r="I1" s="5"/>
      <c r="J1" s="2" t="str">
        <f>IF(SUM(BS)&lt;&gt;0,"BS BREAK","")</f>
        <v/>
      </c>
      <c r="K1" s="5"/>
      <c r="L1" s="2" t="str">
        <f>IF(SUM(BS)&lt;&gt;0,"BS BREAK","")</f>
        <v/>
      </c>
      <c r="M1" s="5"/>
      <c r="N1" s="2" t="str">
        <f>IF(SUM(BS)&lt;&gt;0,"BS BREAK","")</f>
        <v/>
      </c>
      <c r="O1" s="5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2" t="str">
        <f>IF(SUM(BS)&lt;&gt;0,"BS BREAK","")</f>
        <v/>
      </c>
      <c r="BI1" s="1"/>
      <c r="BJ1" s="2" t="str">
        <f>IF(SUM(BS)&lt;&gt;0,"BS BREAK","")</f>
        <v/>
      </c>
      <c r="BK1" s="1"/>
      <c r="BL1" s="2" t="str">
        <f>IF(SUM(BS)&lt;&gt;0,"BS BREAK","")</f>
        <v/>
      </c>
      <c r="BM1" s="1"/>
      <c r="BN1" s="2" t="str">
        <f>IF(SUM(BS)&lt;&gt;0,"BS BREAK","")</f>
        <v/>
      </c>
      <c r="BO1" s="1"/>
      <c r="BP1" s="1"/>
      <c r="BQ1" s="1"/>
      <c r="BR1" s="1"/>
      <c r="BS1" s="1"/>
      <c r="BT1" s="1"/>
      <c r="BU1" s="1"/>
      <c r="BV1" s="1"/>
      <c r="BW1" s="1"/>
      <c r="BX1" s="2" t="str">
        <f>IF(SUM(BS)&lt;&gt;0,"BS BREAK","")</f>
        <v/>
      </c>
      <c r="BY1" s="2" t="str">
        <f>IF(SUM(BS)&lt;&gt;0,"BS BREAK","")</f>
        <v/>
      </c>
      <c r="BZ1" s="2" t="str">
        <f>IF(SUM(BS)&lt;&gt;0,"BS BREAK","")</f>
        <v/>
      </c>
      <c r="CA1" s="2" t="str">
        <f>IF(SUM(BS)&lt;&gt;0,"BS BREAK","")</f>
        <v/>
      </c>
      <c r="CB1" s="1" t="str">
        <f>IF(SUM(BS)&lt;&gt;0,"BS BREAK","")</f>
        <v/>
      </c>
      <c r="CC1" s="1"/>
      <c r="CD1" s="2" t="str">
        <f>IF(SUM(BS)&lt;&gt;0,"BS BREAK","")</f>
        <v/>
      </c>
      <c r="CE1" s="1"/>
      <c r="CF1" s="2" t="str">
        <f>IF(SUM(BS)&lt;&gt;0,"BS BREAK","")</f>
        <v/>
      </c>
      <c r="CG1" s="1"/>
      <c r="CH1" s="2" t="str">
        <f>IF(SUM(BS)&lt;&gt;0,"BS BREAK","")</f>
        <v/>
      </c>
      <c r="CI1" s="1"/>
      <c r="CJ1" s="2" t="str">
        <f>IF(SUM(BS)&lt;&gt;0,"BS BREAK","")</f>
        <v/>
      </c>
      <c r="CK1" s="1"/>
      <c r="CL1" s="2" t="str">
        <f>IF(SUM(BS)&lt;&gt;0,"BS BREAK","")</f>
        <v/>
      </c>
      <c r="CM1" s="1" t="str">
        <f>IF(SUM(BS)&lt;&gt;0,"BS BREAK","")</f>
        <v/>
      </c>
      <c r="CN1" s="1" t="str">
        <f>IF(SUM(BS)&lt;&gt;0,"BS BREAK","")</f>
        <v/>
      </c>
      <c r="CO1" s="1" t="str">
        <f>IF(SUM(BS)&lt;&gt;0,"BS BREAK","")</f>
        <v/>
      </c>
      <c r="CP1" s="1"/>
      <c r="CQ1" s="1"/>
      <c r="CR1" s="2" t="str">
        <f>IF(SUM(BS)&lt;&gt;0,"BS BREAK","")</f>
        <v/>
      </c>
      <c r="CS1" s="2" t="str">
        <f>IF(SUM(BS)&lt;&gt;0,"BS BREAK","")</f>
        <v/>
      </c>
      <c r="CT1" s="2" t="str">
        <f>IF(SUM(BS)&lt;&gt;0,"BS BREAK","")</f>
        <v/>
      </c>
      <c r="CU1" s="1" t="str">
        <f>IF(SUM(BS)&lt;&gt;0,"BS BREAK","")</f>
        <v/>
      </c>
      <c r="CV1" s="1"/>
      <c r="CW1" s="2" t="str">
        <f>IF(SUM(BS)&lt;&gt;0,"BS BREAK","")</f>
        <v/>
      </c>
      <c r="CX1" s="1"/>
      <c r="CY1" s="2" t="str">
        <f>IF(SUM(BS)&lt;&gt;0,"BS BREAK","")</f>
        <v/>
      </c>
      <c r="CZ1" s="1"/>
      <c r="DA1" s="2" t="str">
        <f>IF(SUM(BS)&lt;&gt;0,"BS BREAK","")</f>
        <v/>
      </c>
      <c r="DB1" s="1"/>
      <c r="DC1" s="2" t="str">
        <f>IF(SUM(BS)&lt;&gt;0,"BS BREAK","")</f>
        <v/>
      </c>
      <c r="DD1" s="2" t="str">
        <f>IF(SUM(BS)&lt;&gt;0,"BS BREAK","")</f>
        <v/>
      </c>
      <c r="DE1" s="2" t="str">
        <f>IF(SUM(BS)&lt;&gt;0,"BS BREAK","")</f>
        <v/>
      </c>
      <c r="DF1" s="2" t="str">
        <f>IF(SUM(BS)&lt;&gt;0,"BS BREAK","")</f>
        <v/>
      </c>
      <c r="DG1" s="2"/>
      <c r="DH1" s="2"/>
      <c r="DI1" s="1"/>
    </row>
    <row r="2" spans="1:113" ht="18" customHeight="1">
      <c r="A2" s="1"/>
      <c r="B2" s="4" t="s">
        <v>344</v>
      </c>
      <c r="C2" s="4"/>
      <c r="D2" s="1"/>
      <c r="E2" s="1"/>
      <c r="F2" s="1"/>
      <c r="G2" s="5"/>
      <c r="H2" s="1"/>
      <c r="I2" s="1"/>
      <c r="J2" s="1"/>
      <c r="K2" s="5"/>
      <c r="L2" s="1"/>
      <c r="M2" s="1"/>
      <c r="N2" s="1"/>
      <c r="O2" s="5"/>
      <c r="P2" s="1"/>
      <c r="Q2" s="1"/>
      <c r="R2" s="1"/>
      <c r="S2" s="5"/>
      <c r="T2" s="1"/>
      <c r="U2" s="1"/>
      <c r="V2" s="1"/>
      <c r="W2" s="324"/>
      <c r="X2" s="1"/>
      <c r="Y2" s="1"/>
      <c r="Z2" s="1"/>
      <c r="AA2" s="324"/>
      <c r="AB2" s="1"/>
      <c r="AC2" s="1"/>
      <c r="AD2" s="1"/>
      <c r="AE2" s="324"/>
      <c r="AF2" s="1"/>
      <c r="AG2" s="1"/>
      <c r="AH2" s="1"/>
      <c r="AI2" s="324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5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</row>
    <row r="3" spans="1:113" ht="14.25" customHeight="1">
      <c r="A3" s="1"/>
      <c r="B3" s="603"/>
      <c r="C3" s="1"/>
      <c r="D3" s="1"/>
      <c r="E3" s="1"/>
      <c r="F3" s="1"/>
      <c r="G3" s="5"/>
      <c r="H3" s="1"/>
      <c r="I3" s="1"/>
      <c r="J3" s="1"/>
      <c r="K3" s="5"/>
      <c r="L3" s="1"/>
      <c r="M3" s="1"/>
      <c r="N3" s="1"/>
      <c r="O3" s="5"/>
      <c r="P3" s="1"/>
      <c r="Q3" s="1"/>
      <c r="R3" s="1"/>
      <c r="S3" s="5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532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5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</row>
    <row r="4" spans="1:113" ht="14.25" customHeight="1">
      <c r="A4" s="1"/>
      <c r="B4" s="7"/>
      <c r="C4" s="7"/>
      <c r="D4" s="1"/>
      <c r="E4" s="1"/>
      <c r="F4" s="1"/>
      <c r="G4" s="5"/>
      <c r="H4" s="1"/>
      <c r="I4" s="1"/>
      <c r="J4" s="1"/>
      <c r="K4" s="5"/>
      <c r="L4" s="1"/>
      <c r="M4" s="1"/>
      <c r="N4" s="1"/>
      <c r="O4" s="5"/>
      <c r="P4" s="1"/>
      <c r="Q4" s="1"/>
      <c r="R4" s="1"/>
      <c r="S4" s="5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5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</row>
    <row r="5" spans="1:113" ht="14.25" customHeight="1">
      <c r="A5" s="8"/>
      <c r="B5" s="604" t="s">
        <v>349</v>
      </c>
      <c r="C5" s="10"/>
      <c r="D5" s="560" t="str">
        <f>IS!D5</f>
        <v>C2Q02A</v>
      </c>
      <c r="E5" s="561" t="str">
        <f>IS!E5</f>
        <v>C3Q02A</v>
      </c>
      <c r="F5" s="561" t="str">
        <f>IS!F5</f>
        <v>C4Q02A</v>
      </c>
      <c r="G5" s="562" t="str">
        <f>IS!G5</f>
        <v>C1Q03A</v>
      </c>
      <c r="H5" s="560" t="str">
        <f>IS!H5</f>
        <v>C2Q03A</v>
      </c>
      <c r="I5" s="561" t="str">
        <f>IS!I5</f>
        <v>C3Q03A</v>
      </c>
      <c r="J5" s="561" t="str">
        <f>IS!J5</f>
        <v>C4Q03A</v>
      </c>
      <c r="K5" s="562" t="str">
        <f>IS!K5</f>
        <v>C1Q04A</v>
      </c>
      <c r="L5" s="560" t="str">
        <f>IS!L5</f>
        <v>C2Q04A</v>
      </c>
      <c r="M5" s="561" t="str">
        <f>IS!M5</f>
        <v>C3Q04A</v>
      </c>
      <c r="N5" s="561" t="str">
        <f>IS!N5</f>
        <v>C4Q04A</v>
      </c>
      <c r="O5" s="562" t="str">
        <f>IS!O5</f>
        <v>C1Q05A</v>
      </c>
      <c r="P5" s="560" t="str">
        <f>IS!P5</f>
        <v>C2Q05A</v>
      </c>
      <c r="Q5" s="561" t="str">
        <f>IS!Q5</f>
        <v>C3Q05A</v>
      </c>
      <c r="R5" s="561" t="str">
        <f>IS!R5</f>
        <v>C4Q05A</v>
      </c>
      <c r="S5" s="562" t="str">
        <f>IS!S5</f>
        <v>C1Q06A</v>
      </c>
      <c r="T5" s="560" t="str">
        <f>IS!T5</f>
        <v>C2Q06A</v>
      </c>
      <c r="U5" s="561" t="str">
        <f>IS!U5</f>
        <v>C3Q06A</v>
      </c>
      <c r="V5" s="561" t="str">
        <f>IS!V5</f>
        <v>C4Q06A</v>
      </c>
      <c r="W5" s="562" t="str">
        <f>IS!W5</f>
        <v>C1Q07A</v>
      </c>
      <c r="X5" s="560" t="str">
        <f>IS!X5</f>
        <v>C2Q07A</v>
      </c>
      <c r="Y5" s="561" t="str">
        <f>IS!Y5</f>
        <v>C3Q07A</v>
      </c>
      <c r="Z5" s="561" t="str">
        <f>IS!Z5</f>
        <v>C4Q07A</v>
      </c>
      <c r="AA5" s="562" t="str">
        <f>IS!AA5</f>
        <v>C1Q08A</v>
      </c>
      <c r="AB5" s="560" t="str">
        <f>IS!AB5</f>
        <v>C2Q08A</v>
      </c>
      <c r="AC5" s="561" t="str">
        <f>IS!AC5</f>
        <v>C3Q08A</v>
      </c>
      <c r="AD5" s="561" t="str">
        <f>IS!AD5</f>
        <v>C4Q08A</v>
      </c>
      <c r="AE5" s="562" t="str">
        <f>IS!AE5</f>
        <v>C1Q09A</v>
      </c>
      <c r="AF5" s="560" t="str">
        <f>IS!AF5</f>
        <v>C2Q09A</v>
      </c>
      <c r="AG5" s="561" t="str">
        <f>IS!AG5</f>
        <v>C3Q09A</v>
      </c>
      <c r="AH5" s="561" t="str">
        <f>IS!AH5</f>
        <v>C4Q09A</v>
      </c>
      <c r="AI5" s="562" t="str">
        <f>IS!AI5</f>
        <v>C1Q10A</v>
      </c>
      <c r="AJ5" s="560" t="str">
        <f>IS!AJ5</f>
        <v>C2Q10A</v>
      </c>
      <c r="AK5" s="561" t="str">
        <f>IS!AK5</f>
        <v>C3Q10A</v>
      </c>
      <c r="AL5" s="561" t="str">
        <f>IS!AL5</f>
        <v>C4Q10A</v>
      </c>
      <c r="AM5" s="562" t="str">
        <f>IS!AM5</f>
        <v>C1Q11A</v>
      </c>
      <c r="AN5" s="560" t="str">
        <f>IS!AN5</f>
        <v>C2Q11A</v>
      </c>
      <c r="AO5" s="561" t="str">
        <f>IS!AO5</f>
        <v>C3Q11A</v>
      </c>
      <c r="AP5" s="561" t="str">
        <f>IS!AP5</f>
        <v>C4Q11A</v>
      </c>
      <c r="AQ5" s="562" t="str">
        <f>IS!AQ5</f>
        <v>C1Q12A</v>
      </c>
      <c r="AR5" s="560" t="str">
        <f>IS!AR5</f>
        <v>C2Q12A</v>
      </c>
      <c r="AS5" s="561" t="str">
        <f>IS!AS5</f>
        <v>C3Q12A</v>
      </c>
      <c r="AT5" s="561" t="str">
        <f>IS!AT5</f>
        <v>C4Q12A</v>
      </c>
      <c r="AU5" s="562" t="str">
        <f>IS!AU5</f>
        <v>C1Q13A</v>
      </c>
      <c r="AV5" s="560" t="str">
        <f>IS!AV5</f>
        <v>C2Q13A</v>
      </c>
      <c r="AW5" s="561" t="str">
        <f>IS!AW5</f>
        <v>C3Q13E</v>
      </c>
      <c r="AX5" s="561" t="str">
        <f>IS!AX5</f>
        <v>C4Q13A</v>
      </c>
      <c r="AY5" s="562" t="str">
        <f>IS!AY5</f>
        <v>C1Q14E</v>
      </c>
      <c r="AZ5" s="560" t="str">
        <f>IS!AZ5</f>
        <v>C2Q14A</v>
      </c>
      <c r="BA5" s="561" t="str">
        <f>IS!BA5</f>
        <v>C3Q14A</v>
      </c>
      <c r="BB5" s="561" t="str">
        <f>IS!BB5</f>
        <v>C4Q14A</v>
      </c>
      <c r="BC5" s="1329" t="str">
        <f>IS!BC5</f>
        <v>C1Q15A</v>
      </c>
      <c r="BD5" s="1331" t="str">
        <f>IS!BD5</f>
        <v>C2Q15A</v>
      </c>
      <c r="BE5" s="1332" t="str">
        <f>IS!BE5</f>
        <v>C3Q15A</v>
      </c>
      <c r="BF5" s="1332" t="str">
        <f>IS!BF5</f>
        <v>C4Q15A</v>
      </c>
      <c r="BG5" s="1332" t="str">
        <f>IS!BG5</f>
        <v>C1Q16A</v>
      </c>
      <c r="BH5" s="1331" t="str">
        <f>IS!BH5</f>
        <v>C2Q16A</v>
      </c>
      <c r="BI5" s="1332" t="str">
        <f>IS!BI5</f>
        <v>C3Q16A</v>
      </c>
      <c r="BJ5" s="1332" t="str">
        <f>IS!BJ5</f>
        <v>C4Q16A</v>
      </c>
      <c r="BK5" s="1333" t="str">
        <f>IS!BK5</f>
        <v>C1Q17A</v>
      </c>
      <c r="BL5" s="1331" t="str">
        <f>IS!BL5</f>
        <v>C2Q17A</v>
      </c>
      <c r="BM5" s="1332" t="str">
        <f>IS!BM5</f>
        <v>C3Q17A</v>
      </c>
      <c r="BN5" s="1332" t="str">
        <f>IS!BN5</f>
        <v>C4Q17A</v>
      </c>
      <c r="BO5" s="1333" t="str">
        <f>IS!BO5</f>
        <v>C1Q18E</v>
      </c>
      <c r="BP5" s="1332" t="str">
        <f>IS!BP5</f>
        <v>C2Q18E</v>
      </c>
      <c r="BQ5" s="1332" t="str">
        <f>IS!BQ5</f>
        <v>C3Q18E</v>
      </c>
      <c r="BR5" s="1332" t="str">
        <f>IS!BR5</f>
        <v>C4Q18E</v>
      </c>
      <c r="BS5" s="1333" t="str">
        <f>IS!BS5</f>
        <v>C1Q19E</v>
      </c>
      <c r="BT5" s="1332" t="str">
        <f>IS!BT5</f>
        <v>C2Q19E</v>
      </c>
      <c r="BU5" s="1332" t="str">
        <f>IS!BU5</f>
        <v>C3Q19E</v>
      </c>
      <c r="BV5" s="1332" t="str">
        <f>IS!BV5</f>
        <v>C4Q19E</v>
      </c>
      <c r="BW5" s="1333" t="str">
        <f>IS!BW5</f>
        <v>C1Q20E</v>
      </c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14"/>
      <c r="CK5" s="8"/>
      <c r="CL5" s="8"/>
      <c r="CM5" s="8"/>
      <c r="CN5" s="8"/>
      <c r="CO5" s="8"/>
      <c r="CP5" s="8"/>
      <c r="CQ5" s="232"/>
      <c r="CR5" s="564" t="str">
        <f>IS!CR5</f>
        <v>CY2003</v>
      </c>
      <c r="CS5" s="565" t="str">
        <f>IS!CS5</f>
        <v>CY2004</v>
      </c>
      <c r="CT5" s="565" t="str">
        <f>IS!CT5</f>
        <v>CY2005</v>
      </c>
      <c r="CU5" s="565" t="str">
        <f>IS!CU5</f>
        <v>CY2006</v>
      </c>
      <c r="CV5" s="565" t="str">
        <f>IS!CV5</f>
        <v>CY2007</v>
      </c>
      <c r="CW5" s="565" t="str">
        <f>IS!CW5</f>
        <v>CY2008</v>
      </c>
      <c r="CX5" s="565" t="str">
        <f>IS!CX5</f>
        <v>CY2009</v>
      </c>
      <c r="CY5" s="565" t="str">
        <f>IS!CY5</f>
        <v>CY2010</v>
      </c>
      <c r="CZ5" s="565" t="str">
        <f>IS!CZ5</f>
        <v>CY2011</v>
      </c>
      <c r="DA5" s="565" t="str">
        <f>IS!DA5</f>
        <v>CY2012</v>
      </c>
      <c r="DB5" s="565" t="str">
        <f>IS!DB5</f>
        <v>CY2013</v>
      </c>
      <c r="DC5" s="565" t="str">
        <f>IS!DC5</f>
        <v>CY2014</v>
      </c>
      <c r="DD5" s="565" t="str">
        <f>IS!DD5</f>
        <v>CY2015</v>
      </c>
      <c r="DE5" s="565" t="str">
        <f>IS!DE5</f>
        <v>CY2016</v>
      </c>
      <c r="DF5" s="565" t="str">
        <f>IS!DF5</f>
        <v>CY2017</v>
      </c>
      <c r="DG5" s="1332" t="str">
        <f>IS!DG5</f>
        <v>CY2018</v>
      </c>
      <c r="DH5" s="1333" t="str">
        <f>IS!DH5</f>
        <v>CY2019</v>
      </c>
      <c r="DI5" s="22"/>
    </row>
    <row r="6" spans="1:113" ht="14.25" customHeight="1">
      <c r="A6" s="8"/>
      <c r="B6" s="605" t="s">
        <v>354</v>
      </c>
      <c r="C6" s="13"/>
      <c r="D6" s="560">
        <f>IS!D6</f>
        <v>37437</v>
      </c>
      <c r="E6" s="561">
        <f>IS!E6</f>
        <v>37529</v>
      </c>
      <c r="F6" s="561">
        <f>IS!F6</f>
        <v>37621</v>
      </c>
      <c r="G6" s="562">
        <f>IS!G6</f>
        <v>37711</v>
      </c>
      <c r="H6" s="560">
        <f>IS!H6</f>
        <v>37802</v>
      </c>
      <c r="I6" s="561">
        <f>IS!I6</f>
        <v>37894</v>
      </c>
      <c r="J6" s="561">
        <f>IS!J6</f>
        <v>37986</v>
      </c>
      <c r="K6" s="562">
        <f>IS!K6</f>
        <v>38077</v>
      </c>
      <c r="L6" s="560">
        <f>IS!L6</f>
        <v>38168</v>
      </c>
      <c r="M6" s="561">
        <f>IS!M6</f>
        <v>38260</v>
      </c>
      <c r="N6" s="561">
        <f>IS!N6</f>
        <v>38352</v>
      </c>
      <c r="O6" s="562">
        <f>IS!O6</f>
        <v>38442</v>
      </c>
      <c r="P6" s="560">
        <f>IS!P6</f>
        <v>38533</v>
      </c>
      <c r="Q6" s="561">
        <f>IS!Q6</f>
        <v>38625</v>
      </c>
      <c r="R6" s="561">
        <f>IS!R6</f>
        <v>38717</v>
      </c>
      <c r="S6" s="562">
        <f>IS!S6</f>
        <v>38807</v>
      </c>
      <c r="T6" s="560">
        <f>IS!T6</f>
        <v>38898</v>
      </c>
      <c r="U6" s="561">
        <f>IS!U6</f>
        <v>38990</v>
      </c>
      <c r="V6" s="561">
        <f>IS!V6</f>
        <v>39082</v>
      </c>
      <c r="W6" s="562">
        <f>IS!W6</f>
        <v>39172</v>
      </c>
      <c r="X6" s="560">
        <f>IS!X6</f>
        <v>39263</v>
      </c>
      <c r="Y6" s="561">
        <f>IS!Y6</f>
        <v>39355</v>
      </c>
      <c r="Z6" s="561">
        <f>IS!Z6</f>
        <v>39447</v>
      </c>
      <c r="AA6" s="562">
        <f>IS!AA6</f>
        <v>39538</v>
      </c>
      <c r="AB6" s="560">
        <f>IS!AB6</f>
        <v>39629</v>
      </c>
      <c r="AC6" s="561">
        <f>IS!AC6</f>
        <v>39721</v>
      </c>
      <c r="AD6" s="561">
        <f>IS!AD6</f>
        <v>39813</v>
      </c>
      <c r="AE6" s="562">
        <f>IS!AE6</f>
        <v>39903</v>
      </c>
      <c r="AF6" s="560">
        <f>IS!AF6</f>
        <v>39994</v>
      </c>
      <c r="AG6" s="561">
        <f>IS!AG6</f>
        <v>40086</v>
      </c>
      <c r="AH6" s="561">
        <f>IS!AH6</f>
        <v>40178</v>
      </c>
      <c r="AI6" s="562">
        <f>IS!AI6</f>
        <v>40268</v>
      </c>
      <c r="AJ6" s="560">
        <f>IS!AJ6</f>
        <v>40359</v>
      </c>
      <c r="AK6" s="561">
        <f>IS!AK6</f>
        <v>40451</v>
      </c>
      <c r="AL6" s="561">
        <f>IS!AL6</f>
        <v>40543</v>
      </c>
      <c r="AM6" s="562">
        <f>IS!AM6</f>
        <v>40633</v>
      </c>
      <c r="AN6" s="560">
        <f>IS!AN6</f>
        <v>40724</v>
      </c>
      <c r="AO6" s="561">
        <f>IS!AO6</f>
        <v>40816</v>
      </c>
      <c r="AP6" s="561">
        <f>IS!AP6</f>
        <v>40908</v>
      </c>
      <c r="AQ6" s="562">
        <f>IS!AQ6</f>
        <v>40999</v>
      </c>
      <c r="AR6" s="560">
        <f>IS!AR6</f>
        <v>41090</v>
      </c>
      <c r="AS6" s="561">
        <f>IS!AS6</f>
        <v>41182</v>
      </c>
      <c r="AT6" s="561">
        <f>IS!AT6</f>
        <v>41274</v>
      </c>
      <c r="AU6" s="562">
        <f>IS!AU6</f>
        <v>41364</v>
      </c>
      <c r="AV6" s="560">
        <f>IS!AV6</f>
        <v>41455</v>
      </c>
      <c r="AW6" s="561">
        <f>IS!AW6</f>
        <v>41547</v>
      </c>
      <c r="AX6" s="561">
        <f>IS!AX6</f>
        <v>41639</v>
      </c>
      <c r="AY6" s="562">
        <f>IS!AY6</f>
        <v>41729</v>
      </c>
      <c r="AZ6" s="560">
        <f>IS!AZ6</f>
        <v>41820</v>
      </c>
      <c r="BA6" s="561">
        <f>IS!BA6</f>
        <v>41912</v>
      </c>
      <c r="BB6" s="561">
        <f>IS!BB6</f>
        <v>42004</v>
      </c>
      <c r="BC6" s="1329">
        <f>IS!BC6</f>
        <v>42094</v>
      </c>
      <c r="BD6" s="1328">
        <f>IS!BD6</f>
        <v>42185</v>
      </c>
      <c r="BE6" s="1329">
        <f>IS!BE6</f>
        <v>42277</v>
      </c>
      <c r="BF6" s="1329">
        <f>IS!BF6</f>
        <v>42369</v>
      </c>
      <c r="BG6" s="1329">
        <f>IS!BG6</f>
        <v>42460</v>
      </c>
      <c r="BH6" s="1328">
        <f>IS!BH6</f>
        <v>42551</v>
      </c>
      <c r="BI6" s="1329">
        <f>IS!BI6</f>
        <v>42643</v>
      </c>
      <c r="BJ6" s="1329">
        <f>IS!BJ6</f>
        <v>42735</v>
      </c>
      <c r="BK6" s="1330">
        <f>IS!BK6</f>
        <v>42825</v>
      </c>
      <c r="BL6" s="1328">
        <f>IS!BL6</f>
        <v>42916</v>
      </c>
      <c r="BM6" s="1329">
        <f>IS!BM6</f>
        <v>43008</v>
      </c>
      <c r="BN6" s="1329">
        <f>IS!BN6</f>
        <v>43100</v>
      </c>
      <c r="BO6" s="1330">
        <f>IS!BO6</f>
        <v>43190</v>
      </c>
      <c r="BP6" s="1329">
        <f>IS!BP6</f>
        <v>43281</v>
      </c>
      <c r="BQ6" s="1329">
        <f>IS!BQ6</f>
        <v>43373</v>
      </c>
      <c r="BR6" s="1329">
        <f>IS!BR6</f>
        <v>43465</v>
      </c>
      <c r="BS6" s="1330">
        <f>IS!BS6</f>
        <v>43555</v>
      </c>
      <c r="BT6" s="1355">
        <f>IS!BT6</f>
        <v>43646</v>
      </c>
      <c r="BU6" s="1355">
        <f>IS!BU6</f>
        <v>43738</v>
      </c>
      <c r="BV6" s="1355">
        <f>IS!BV6</f>
        <v>43830</v>
      </c>
      <c r="BW6" s="1356">
        <f>IS!BW6</f>
        <v>43921</v>
      </c>
      <c r="BX6" s="14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14"/>
      <c r="CK6" s="8"/>
      <c r="CL6" s="8"/>
      <c r="CM6" s="8"/>
      <c r="CN6" s="8"/>
      <c r="CO6" s="8"/>
      <c r="CP6" s="8"/>
      <c r="CQ6" s="232"/>
      <c r="CR6" s="560">
        <f>IS!CR6</f>
        <v>37986</v>
      </c>
      <c r="CS6" s="561">
        <f>IS!CS6</f>
        <v>38352</v>
      </c>
      <c r="CT6" s="561">
        <f>IS!CT6</f>
        <v>38717</v>
      </c>
      <c r="CU6" s="561">
        <f>IS!CU6</f>
        <v>39082</v>
      </c>
      <c r="CV6" s="561">
        <f>IS!CV6</f>
        <v>39447</v>
      </c>
      <c r="CW6" s="561">
        <f>IS!CW6</f>
        <v>39813</v>
      </c>
      <c r="CX6" s="561">
        <f>IS!CX6</f>
        <v>40178</v>
      </c>
      <c r="CY6" s="561">
        <f>IS!CY6</f>
        <v>40543</v>
      </c>
      <c r="CZ6" s="561">
        <f>IS!CZ6</f>
        <v>40908</v>
      </c>
      <c r="DA6" s="561">
        <f>IS!DA6</f>
        <v>41274</v>
      </c>
      <c r="DB6" s="561">
        <f>IS!DB6</f>
        <v>41639</v>
      </c>
      <c r="DC6" s="561">
        <f>IS!DC6</f>
        <v>42004</v>
      </c>
      <c r="DD6" s="561">
        <f>IS!DD6</f>
        <v>42369</v>
      </c>
      <c r="DE6" s="561">
        <f>IS!DE6</f>
        <v>42735</v>
      </c>
      <c r="DF6" s="561">
        <f>IS!DF6</f>
        <v>43100</v>
      </c>
      <c r="DG6" s="1355">
        <f>IS!DG6</f>
        <v>43465</v>
      </c>
      <c r="DH6" s="1356">
        <f>IS!DH6</f>
        <v>43830</v>
      </c>
      <c r="DI6" s="22"/>
    </row>
    <row r="7" spans="1:113" ht="14.25" customHeight="1">
      <c r="A7" s="8"/>
      <c r="B7" s="660"/>
      <c r="C7" s="180"/>
      <c r="D7" s="17" t="str">
        <f>IS!D7</f>
        <v>F1Q03A</v>
      </c>
      <c r="E7" s="18" t="str">
        <f>IS!E7</f>
        <v>F2Q03A</v>
      </c>
      <c r="F7" s="18" t="str">
        <f>IS!F7</f>
        <v>F3Q03A</v>
      </c>
      <c r="G7" s="19" t="str">
        <f>IS!G7</f>
        <v>F4Q03A</v>
      </c>
      <c r="H7" s="17" t="str">
        <f>IS!H7</f>
        <v>F1Q04A</v>
      </c>
      <c r="I7" s="18" t="str">
        <f>IS!I7</f>
        <v>F2Q04A</v>
      </c>
      <c r="J7" s="18" t="str">
        <f>IS!J7</f>
        <v>F3Q04A</v>
      </c>
      <c r="K7" s="19" t="str">
        <f>IS!K7</f>
        <v>F4Q04A</v>
      </c>
      <c r="L7" s="17" t="str">
        <f>IS!L7</f>
        <v>F1Q05A</v>
      </c>
      <c r="M7" s="18" t="str">
        <f>IS!M7</f>
        <v>F2Q05A</v>
      </c>
      <c r="N7" s="18" t="str">
        <f>IS!N7</f>
        <v>F3Q05A</v>
      </c>
      <c r="O7" s="19" t="str">
        <f>IS!O7</f>
        <v>F4Q05A</v>
      </c>
      <c r="P7" s="17" t="str">
        <f>IS!P7</f>
        <v>F1Q06A</v>
      </c>
      <c r="Q7" s="18" t="str">
        <f>IS!Q7</f>
        <v>F2Q06A</v>
      </c>
      <c r="R7" s="18" t="str">
        <f>IS!R7</f>
        <v>F3Q06A</v>
      </c>
      <c r="S7" s="19" t="str">
        <f>IS!S7</f>
        <v>F4Q06A</v>
      </c>
      <c r="T7" s="17" t="str">
        <f>IS!T7</f>
        <v>F1Q07A</v>
      </c>
      <c r="U7" s="18" t="str">
        <f>IS!U7</f>
        <v>F2Q07A</v>
      </c>
      <c r="V7" s="18" t="str">
        <f>IS!V7</f>
        <v>F3Q07A</v>
      </c>
      <c r="W7" s="19" t="str">
        <f>IS!W7</f>
        <v>F4Q07A</v>
      </c>
      <c r="X7" s="17" t="str">
        <f>IS!X7</f>
        <v>F1Q08A</v>
      </c>
      <c r="Y7" s="18" t="str">
        <f>IS!Y7</f>
        <v>F2Q08A</v>
      </c>
      <c r="Z7" s="18" t="str">
        <f>IS!Z7</f>
        <v>F3Q08A</v>
      </c>
      <c r="AA7" s="19" t="str">
        <f>IS!AA7</f>
        <v>F4Q08A</v>
      </c>
      <c r="AB7" s="17" t="str">
        <f>IS!AB7</f>
        <v>F1Q09A</v>
      </c>
      <c r="AC7" s="18" t="str">
        <f>IS!AC7</f>
        <v>F2Q09A</v>
      </c>
      <c r="AD7" s="18" t="str">
        <f>IS!AD7</f>
        <v>F3Q09A</v>
      </c>
      <c r="AE7" s="19" t="str">
        <f>IS!AE7</f>
        <v>F4Q09A</v>
      </c>
      <c r="AF7" s="17" t="str">
        <f>IS!AF7</f>
        <v>F1Q10A</v>
      </c>
      <c r="AG7" s="18" t="str">
        <f>IS!AG7</f>
        <v>F2Q10A</v>
      </c>
      <c r="AH7" s="18" t="str">
        <f>IS!AH7</f>
        <v>F3Q10A</v>
      </c>
      <c r="AI7" s="19" t="str">
        <f>IS!AI7</f>
        <v>F4Q10A</v>
      </c>
      <c r="AJ7" s="17" t="str">
        <f>IS!AJ7</f>
        <v>F1Q11A</v>
      </c>
      <c r="AK7" s="18" t="str">
        <f>IS!AK7</f>
        <v>F2Q11A</v>
      </c>
      <c r="AL7" s="18" t="str">
        <f>IS!AL7</f>
        <v>F3Q11A</v>
      </c>
      <c r="AM7" s="19" t="str">
        <f>IS!AM7</f>
        <v>F4Q11A</v>
      </c>
      <c r="AN7" s="17" t="str">
        <f>IS!AN7</f>
        <v>F1Q12A</v>
      </c>
      <c r="AO7" s="18" t="str">
        <f>IS!AO7</f>
        <v>F2Q12A</v>
      </c>
      <c r="AP7" s="18" t="str">
        <f>IS!AP7</f>
        <v>F3Q12A</v>
      </c>
      <c r="AQ7" s="19" t="str">
        <f>IS!AQ7</f>
        <v>F4Q12A</v>
      </c>
      <c r="AR7" s="17" t="str">
        <f>IS!AR7</f>
        <v>F1Q13A</v>
      </c>
      <c r="AS7" s="18" t="str">
        <f>IS!AS7</f>
        <v>F2Q13A</v>
      </c>
      <c r="AT7" s="18" t="str">
        <f>IS!AT7</f>
        <v>F3Q13A</v>
      </c>
      <c r="AU7" s="19" t="str">
        <f>IS!AU7</f>
        <v>F4Q13A</v>
      </c>
      <c r="AV7" s="17" t="str">
        <f>IS!AV7</f>
        <v>F1Q14A</v>
      </c>
      <c r="AW7" s="18" t="str">
        <f>IS!AW7</f>
        <v>F2Q14A</v>
      </c>
      <c r="AX7" s="18" t="str">
        <f>IS!AX7</f>
        <v>F3Q14A</v>
      </c>
      <c r="AY7" s="19" t="str">
        <f>IS!AY7</f>
        <v>F4Q14A</v>
      </c>
      <c r="AZ7" s="17" t="str">
        <f>IS!AZ7</f>
        <v>F1Q15A</v>
      </c>
      <c r="BA7" s="18" t="str">
        <f>IS!BA7</f>
        <v>F2Q15A</v>
      </c>
      <c r="BB7" s="18" t="str">
        <f>IS!BB7</f>
        <v>F3Q15A</v>
      </c>
      <c r="BC7" s="1327" t="str">
        <f>IS!BC7</f>
        <v>F4Q15A</v>
      </c>
      <c r="BD7" s="1326" t="str">
        <f>IS!BD7</f>
        <v>F1Q16A</v>
      </c>
      <c r="BE7" s="1325" t="str">
        <f>IS!BE7</f>
        <v>F2Q16A</v>
      </c>
      <c r="BF7" s="1325" t="str">
        <f>IS!BF7</f>
        <v>F3Q16A</v>
      </c>
      <c r="BG7" s="1325" t="str">
        <f>IS!BG7</f>
        <v>F4Q16A</v>
      </c>
      <c r="BH7" s="1326" t="str">
        <f>IS!BH7</f>
        <v>F1Q17A</v>
      </c>
      <c r="BI7" s="1325" t="str">
        <f>IS!BI7</f>
        <v>F2Q17A</v>
      </c>
      <c r="BJ7" s="1325" t="str">
        <f>IS!BJ7</f>
        <v>F3Q17A</v>
      </c>
      <c r="BK7" s="1324" t="str">
        <f>IS!BK7</f>
        <v>F4Q17A</v>
      </c>
      <c r="BL7" s="1326" t="str">
        <f>IS!BL7</f>
        <v>F1Q18A</v>
      </c>
      <c r="BM7" s="1325" t="str">
        <f>IS!BM7</f>
        <v>F2Q18A</v>
      </c>
      <c r="BN7" s="1325" t="str">
        <f>IS!BN7</f>
        <v>F3Q18A</v>
      </c>
      <c r="BO7" s="1324" t="str">
        <f>IS!BO7</f>
        <v>F4Q18E</v>
      </c>
      <c r="BP7" s="1325" t="str">
        <f>IS!BP7</f>
        <v>F1Q19E</v>
      </c>
      <c r="BQ7" s="1325" t="str">
        <f>IS!BQ7</f>
        <v>F2Q19E</v>
      </c>
      <c r="BR7" s="1325" t="str">
        <f>IS!BR7</f>
        <v>F3Q19E</v>
      </c>
      <c r="BS7" s="1324" t="str">
        <f>IS!BS7</f>
        <v>F4Q19E</v>
      </c>
      <c r="BT7" s="1325" t="str">
        <f>IS!BT7</f>
        <v>F1Q20E</v>
      </c>
      <c r="BU7" s="1325" t="str">
        <f>IS!BU7</f>
        <v>F2Q20E</v>
      </c>
      <c r="BV7" s="1325" t="str">
        <f>IS!BV7</f>
        <v>F3Q20E</v>
      </c>
      <c r="BW7" s="1324" t="str">
        <f>IS!BW7</f>
        <v>F4Q20E</v>
      </c>
      <c r="BX7" s="232"/>
      <c r="BY7" s="17" t="str">
        <f>IS!BY7</f>
        <v>FY2003A</v>
      </c>
      <c r="BZ7" s="18" t="str">
        <f>IS!BZ7</f>
        <v>FY2004A</v>
      </c>
      <c r="CA7" s="18" t="str">
        <f>IS!CA7</f>
        <v>FY2005A</v>
      </c>
      <c r="CB7" s="18" t="str">
        <f>IS!CB7</f>
        <v>FY2006A</v>
      </c>
      <c r="CC7" s="18" t="str">
        <f>IS!CC7</f>
        <v>FY2007A</v>
      </c>
      <c r="CD7" s="18" t="str">
        <f>IS!CD7</f>
        <v>FY2008A</v>
      </c>
      <c r="CE7" s="18" t="str">
        <f>IS!CE7</f>
        <v>FY2009A</v>
      </c>
      <c r="CF7" s="18" t="str">
        <f>IS!CF7</f>
        <v>FY2010A</v>
      </c>
      <c r="CG7" s="17" t="str">
        <f>IS!CG7</f>
        <v>FY2011A</v>
      </c>
      <c r="CH7" s="18" t="str">
        <f>IS!CH7</f>
        <v>FY2012A</v>
      </c>
      <c r="CI7" s="18" t="str">
        <f>IS!CI7</f>
        <v>FY2013A</v>
      </c>
      <c r="CJ7" s="17" t="str">
        <f>IS!CJ7</f>
        <v>FY2014A</v>
      </c>
      <c r="CK7" s="18" t="str">
        <f>IS!CK7</f>
        <v>FY2015A</v>
      </c>
      <c r="CL7" s="18" t="str">
        <f>IS!CL7</f>
        <v>FY2016A</v>
      </c>
      <c r="CM7" s="18" t="str">
        <f>IS!CM7</f>
        <v>FY2017A</v>
      </c>
      <c r="CN7" s="18" t="str">
        <f>IS!CN7</f>
        <v>FY2018E</v>
      </c>
      <c r="CO7" s="1374" t="str">
        <f>IS!CO7</f>
        <v>FY2019E</v>
      </c>
      <c r="CP7" s="1345" t="str">
        <f>IS!CP7</f>
        <v>FY2020E</v>
      </c>
      <c r="CQ7" s="20"/>
      <c r="CR7" s="525"/>
      <c r="CS7" s="526"/>
      <c r="CT7" s="526"/>
      <c r="CU7" s="526"/>
      <c r="CV7" s="526"/>
      <c r="CW7" s="526"/>
      <c r="CX7" s="526"/>
      <c r="CY7" s="526"/>
      <c r="CZ7" s="526"/>
      <c r="DA7" s="526"/>
      <c r="DB7" s="526"/>
      <c r="DC7" s="1173"/>
      <c r="DD7" s="1173"/>
      <c r="DE7" s="1173"/>
      <c r="DF7" s="1173"/>
      <c r="DG7" s="1173"/>
      <c r="DH7" s="559"/>
      <c r="DI7" s="22"/>
    </row>
    <row r="8" spans="1:113" ht="14.25" customHeight="1">
      <c r="A8" s="8"/>
      <c r="B8" s="661" t="s">
        <v>27</v>
      </c>
      <c r="C8" s="102"/>
      <c r="D8" s="105"/>
      <c r="E8" s="103"/>
      <c r="F8" s="103"/>
      <c r="G8" s="104"/>
      <c r="H8" s="105"/>
      <c r="I8" s="103"/>
      <c r="J8" s="103"/>
      <c r="K8" s="104"/>
      <c r="L8" s="105"/>
      <c r="M8" s="103"/>
      <c r="N8" s="103"/>
      <c r="O8" s="104"/>
      <c r="P8" s="105"/>
      <c r="Q8" s="103"/>
      <c r="R8" s="103"/>
      <c r="S8" s="104"/>
      <c r="T8" s="105"/>
      <c r="U8" s="103"/>
      <c r="V8" s="103"/>
      <c r="W8" s="104"/>
      <c r="X8" s="105"/>
      <c r="Y8" s="103"/>
      <c r="Z8" s="103"/>
      <c r="AA8" s="104"/>
      <c r="AB8" s="105"/>
      <c r="AC8" s="103"/>
      <c r="AD8" s="103"/>
      <c r="AE8" s="104"/>
      <c r="AF8" s="105"/>
      <c r="AG8" s="103"/>
      <c r="AH8" s="103"/>
      <c r="AI8" s="104"/>
      <c r="AJ8" s="105"/>
      <c r="AK8" s="103"/>
      <c r="AL8" s="41"/>
      <c r="AM8" s="103"/>
      <c r="AN8" s="105"/>
      <c r="AO8" s="103"/>
      <c r="AP8" s="103"/>
      <c r="AQ8" s="104"/>
      <c r="AR8" s="103"/>
      <c r="AS8" s="103"/>
      <c r="AT8" s="103"/>
      <c r="AU8" s="104"/>
      <c r="AV8" s="105"/>
      <c r="AW8" s="103"/>
      <c r="AX8" s="103"/>
      <c r="AY8" s="104"/>
      <c r="AZ8" s="105"/>
      <c r="BA8" s="103"/>
      <c r="BB8" s="103"/>
      <c r="BC8" s="104"/>
      <c r="BD8" s="105"/>
      <c r="BE8" s="103"/>
      <c r="BF8" s="103"/>
      <c r="BG8" s="104"/>
      <c r="BH8" s="105"/>
      <c r="BI8" s="103"/>
      <c r="BJ8" s="103"/>
      <c r="BK8" s="104"/>
      <c r="BL8" s="105"/>
      <c r="BM8" s="103"/>
      <c r="BN8" s="103"/>
      <c r="BO8" s="104"/>
      <c r="BP8" s="105"/>
      <c r="BQ8" s="103"/>
      <c r="BR8" s="103"/>
      <c r="BS8" s="104"/>
      <c r="BT8" s="105"/>
      <c r="BU8" s="103"/>
      <c r="BV8" s="103"/>
      <c r="BW8" s="104"/>
      <c r="BX8" s="20"/>
      <c r="BY8" s="103"/>
      <c r="BZ8" s="103"/>
      <c r="CA8" s="103"/>
      <c r="CB8" s="103"/>
      <c r="CC8" s="103"/>
      <c r="CD8" s="103"/>
      <c r="CE8" s="103"/>
      <c r="CF8" s="103"/>
      <c r="CG8" s="105"/>
      <c r="CH8" s="103"/>
      <c r="CI8" s="103"/>
      <c r="CJ8" s="105"/>
      <c r="CK8" s="103"/>
      <c r="CL8" s="103"/>
      <c r="CM8" s="103"/>
      <c r="CN8" s="103"/>
      <c r="CO8" s="103"/>
      <c r="CP8" s="104"/>
      <c r="CQ8" s="20"/>
      <c r="CR8" s="105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6"/>
      <c r="DD8" s="106"/>
      <c r="DE8" s="106"/>
      <c r="DF8" s="106"/>
      <c r="DG8" s="106"/>
      <c r="DH8" s="103"/>
      <c r="DI8" s="22"/>
    </row>
    <row r="9" spans="1:113" ht="14.25" customHeight="1">
      <c r="A9" s="8"/>
      <c r="B9" s="608" t="s">
        <v>28</v>
      </c>
      <c r="C9" s="28"/>
      <c r="D9" s="51">
        <v>62.52</v>
      </c>
      <c r="E9" s="41">
        <v>45.65</v>
      </c>
      <c r="F9" s="41">
        <v>48.335999999999999</v>
      </c>
      <c r="G9" s="42">
        <v>53.908999999999999</v>
      </c>
      <c r="H9" s="51">
        <v>47.649000000000001</v>
      </c>
      <c r="I9" s="41">
        <v>44.462000000000003</v>
      </c>
      <c r="J9" s="41">
        <v>58.173999999999999</v>
      </c>
      <c r="K9" s="42">
        <v>105.334</v>
      </c>
      <c r="L9" s="51">
        <v>86.885999999999996</v>
      </c>
      <c r="M9" s="41">
        <v>75.224999999999994</v>
      </c>
      <c r="N9" s="41">
        <v>76.183000000000007</v>
      </c>
      <c r="O9" s="42">
        <v>68.73</v>
      </c>
      <c r="P9" s="51">
        <v>141.37200000000001</v>
      </c>
      <c r="Q9" s="41">
        <v>110.08</v>
      </c>
      <c r="R9" s="41">
        <v>157.452</v>
      </c>
      <c r="S9" s="42">
        <v>565.27300000000002</v>
      </c>
      <c r="T9" s="51">
        <v>136.65600000000001</v>
      </c>
      <c r="U9" s="41">
        <v>132.56899999999999</v>
      </c>
      <c r="V9" s="41">
        <v>153.27699999999999</v>
      </c>
      <c r="W9" s="42">
        <v>167.477</v>
      </c>
      <c r="X9" s="51">
        <v>168.00299999999999</v>
      </c>
      <c r="Y9" s="41">
        <v>174.22499999999999</v>
      </c>
      <c r="Z9" s="41">
        <v>831.005</v>
      </c>
      <c r="AA9" s="42">
        <v>487.73599999999999</v>
      </c>
      <c r="AB9" s="51">
        <v>685.57500000000005</v>
      </c>
      <c r="AC9" s="41">
        <v>311.738</v>
      </c>
      <c r="AD9" s="41">
        <v>391.19400000000002</v>
      </c>
      <c r="AE9" s="42">
        <v>446.32900000000001</v>
      </c>
      <c r="AF9" s="51">
        <v>576.97900000000004</v>
      </c>
      <c r="AG9" s="41">
        <v>541.04499999999996</v>
      </c>
      <c r="AH9" s="41">
        <v>361.291</v>
      </c>
      <c r="AI9" s="42">
        <v>492.13</v>
      </c>
      <c r="AJ9" s="41">
        <v>523.47400000000005</v>
      </c>
      <c r="AK9" s="41">
        <v>423.721</v>
      </c>
      <c r="AL9" s="41">
        <v>500.61599999999999</v>
      </c>
      <c r="AM9" s="41">
        <v>703.92399999999998</v>
      </c>
      <c r="AN9" s="51">
        <v>651.38300000000004</v>
      </c>
      <c r="AO9" s="41">
        <v>675.12900000000002</v>
      </c>
      <c r="AP9" s="41">
        <v>605.72500000000002</v>
      </c>
      <c r="AQ9" s="42">
        <v>635.755</v>
      </c>
      <c r="AR9" s="51">
        <v>779.84799999999996</v>
      </c>
      <c r="AS9" s="41">
        <v>436.73500000000001</v>
      </c>
      <c r="AT9" s="41">
        <v>465.29300000000001</v>
      </c>
      <c r="AU9" s="42">
        <v>528.33399999999995</v>
      </c>
      <c r="AV9" s="51">
        <v>403.23099999999999</v>
      </c>
      <c r="AW9" s="41">
        <v>344.202</v>
      </c>
      <c r="AX9" s="41">
        <v>375.1</v>
      </c>
      <c r="AY9" s="42">
        <v>466.60300000000001</v>
      </c>
      <c r="AZ9" s="51">
        <v>617.77</v>
      </c>
      <c r="BA9" s="41">
        <v>481.43900000000002</v>
      </c>
      <c r="BB9" s="41">
        <v>456.339</v>
      </c>
      <c r="BC9" s="42">
        <v>607.81500000000005</v>
      </c>
      <c r="BD9" s="51">
        <v>563.54700000000003</v>
      </c>
      <c r="BE9" s="41">
        <v>539.07799999999997</v>
      </c>
      <c r="BF9" s="41">
        <v>331.45100000000002</v>
      </c>
      <c r="BG9" s="42">
        <v>2092.7510000000002</v>
      </c>
      <c r="BH9" s="51">
        <v>600.52599999999995</v>
      </c>
      <c r="BI9" s="41">
        <v>489.988</v>
      </c>
      <c r="BJ9" s="41">
        <f>669.643-BJ10</f>
        <v>663.93799999999999</v>
      </c>
      <c r="BK9" s="42">
        <v>908.68399999999997</v>
      </c>
      <c r="BL9" s="51">
        <v>773.03599999999994</v>
      </c>
      <c r="BM9" s="41">
        <v>826.40700000000004</v>
      </c>
      <c r="BN9" s="41">
        <v>672.07899999999995</v>
      </c>
      <c r="BO9" s="1233">
        <f>BN9+CFS!BO53</f>
        <v>905.80638599740155</v>
      </c>
      <c r="BP9" s="1234">
        <f>BO9+CFS!BP53</f>
        <v>1158.9528898418225</v>
      </c>
      <c r="BQ9" s="1235">
        <f>BP9+CFS!BQ53</f>
        <v>1414.2165595832134</v>
      </c>
      <c r="BR9" s="1235">
        <f>BQ9+CFS!BR53</f>
        <v>1696.2471215812475</v>
      </c>
      <c r="BS9" s="1233">
        <f>BR9+CFS!BS53</f>
        <v>1976.2383428177222</v>
      </c>
      <c r="BT9" s="1234">
        <f>BS9+CFS!BT53</f>
        <v>2251.5789171630254</v>
      </c>
      <c r="BU9" s="1235">
        <f>BT9+CFS!BU53</f>
        <v>2528.5782448541158</v>
      </c>
      <c r="BV9" s="1235">
        <f>BU9+CFS!BV53</f>
        <v>2845.8919431339154</v>
      </c>
      <c r="BW9" s="1233">
        <f>BV9+CFS!BW53</f>
        <v>3145.8306567301674</v>
      </c>
      <c r="BX9" s="20"/>
      <c r="BY9" s="96">
        <f>G9</f>
        <v>53.908999999999999</v>
      </c>
      <c r="BZ9" s="96">
        <f>K9</f>
        <v>105.334</v>
      </c>
      <c r="CA9" s="96">
        <f>O9</f>
        <v>68.73</v>
      </c>
      <c r="CB9" s="96">
        <f t="shared" ref="CB9:CB15" si="0">S9</f>
        <v>565.27300000000002</v>
      </c>
      <c r="CC9" s="96">
        <f t="shared" ref="CC9:CC15" si="1">W9</f>
        <v>167.477</v>
      </c>
      <c r="CD9" s="96">
        <f t="shared" ref="CD9:CD15" si="2">AA9</f>
        <v>487.73599999999999</v>
      </c>
      <c r="CE9" s="96">
        <f t="shared" ref="CE9:CE15" si="3">AE9</f>
        <v>446.32900000000001</v>
      </c>
      <c r="CF9" s="96">
        <f t="shared" ref="CF9:CF15" si="4">AI9</f>
        <v>492.13</v>
      </c>
      <c r="CG9" s="95">
        <f t="shared" ref="CG9:CG15" si="5">AM9</f>
        <v>703.92399999999998</v>
      </c>
      <c r="CH9" s="96">
        <f t="shared" ref="CH9:CH15" si="6">AQ9</f>
        <v>635.755</v>
      </c>
      <c r="CI9" s="96">
        <f t="shared" ref="CI9:CI15" si="7">AU9</f>
        <v>528.33399999999995</v>
      </c>
      <c r="CJ9" s="95">
        <f t="shared" ref="CJ9:CJ15" si="8">AY9</f>
        <v>466.60300000000001</v>
      </c>
      <c r="CK9" s="96">
        <f t="shared" ref="CK9:CK15" si="9">BC9</f>
        <v>607.81500000000005</v>
      </c>
      <c r="CL9" s="96">
        <f t="shared" ref="CL9:CL15" si="10">BG9</f>
        <v>2092.7510000000002</v>
      </c>
      <c r="CM9" s="96">
        <f t="shared" ref="CM9:CM15" si="11">BK9</f>
        <v>908.68399999999997</v>
      </c>
      <c r="CN9" s="96">
        <f t="shared" ref="CN9:CN15" si="12">BO9</f>
        <v>905.80638599740155</v>
      </c>
      <c r="CO9" s="96">
        <f t="shared" ref="CO9:CO15" si="13">BS9</f>
        <v>1976.2383428177222</v>
      </c>
      <c r="CP9" s="97">
        <f>BW9</f>
        <v>3145.8306567301674</v>
      </c>
      <c r="CQ9" s="20"/>
      <c r="CR9" s="95">
        <f t="shared" ref="CR9:CR15" si="14">J9</f>
        <v>58.173999999999999</v>
      </c>
      <c r="CS9" s="96">
        <f t="shared" ref="CS9:CS15" si="15">N9</f>
        <v>76.183000000000007</v>
      </c>
      <c r="CT9" s="96">
        <f t="shared" ref="CT9:CT15" si="16">R9</f>
        <v>157.452</v>
      </c>
      <c r="CU9" s="96">
        <f t="shared" ref="CU9:CU15" si="17">V9</f>
        <v>153.27699999999999</v>
      </c>
      <c r="CV9" s="96">
        <f t="shared" ref="CV9:CV15" si="18">Z9</f>
        <v>831.005</v>
      </c>
      <c r="CW9" s="96">
        <f t="shared" ref="CW9:CW15" si="19">AD9</f>
        <v>391.19400000000002</v>
      </c>
      <c r="CX9" s="96">
        <f t="shared" ref="CX9:CX15" si="20">AH9</f>
        <v>361.291</v>
      </c>
      <c r="CY9" s="96">
        <f t="shared" ref="CY9:CY15" si="21">AL9</f>
        <v>500.61599999999999</v>
      </c>
      <c r="CZ9" s="96">
        <f t="shared" ref="CZ9:CZ15" si="22">AP9</f>
        <v>605.72500000000002</v>
      </c>
      <c r="DA9" s="96">
        <f t="shared" ref="DA9:DA15" si="23">AT9</f>
        <v>465.29300000000001</v>
      </c>
      <c r="DB9" s="96">
        <f t="shared" ref="DB9:DB15" si="24">AX9</f>
        <v>375.1</v>
      </c>
      <c r="DC9" s="96">
        <f t="shared" ref="DC9:DC15" si="25">BB9</f>
        <v>456.339</v>
      </c>
      <c r="DD9" s="96">
        <f t="shared" ref="DD9:DD15" si="26">BF9</f>
        <v>331.45100000000002</v>
      </c>
      <c r="DE9" s="96">
        <f t="shared" ref="DE9:DE15" si="27">BJ9</f>
        <v>663.93799999999999</v>
      </c>
      <c r="DF9" s="96">
        <f t="shared" ref="DF9:DF15" si="28">BN9</f>
        <v>672.07899999999995</v>
      </c>
      <c r="DG9" s="96">
        <f t="shared" ref="DG9:DG15" si="29">BR9</f>
        <v>1696.2471215812475</v>
      </c>
      <c r="DH9" s="96">
        <f>BV9</f>
        <v>2845.8919431339154</v>
      </c>
      <c r="DI9" s="22"/>
    </row>
    <row r="10" spans="1:113" ht="14.25" customHeight="1">
      <c r="A10" s="8"/>
      <c r="B10" s="608" t="s">
        <v>360</v>
      </c>
      <c r="C10" s="28"/>
      <c r="D10" s="83">
        <f>284.045-D9</f>
        <v>221.52500000000001</v>
      </c>
      <c r="E10" s="84">
        <f>141.328-E9</f>
        <v>95.677999999999997</v>
      </c>
      <c r="F10" s="84">
        <f>198.231-F9</f>
        <v>149.89499999999998</v>
      </c>
      <c r="G10" s="85">
        <v>162.602</v>
      </c>
      <c r="H10" s="83">
        <v>224.953</v>
      </c>
      <c r="I10" s="84">
        <v>306.41500000000002</v>
      </c>
      <c r="J10" s="84">
        <v>392.26600000000002</v>
      </c>
      <c r="K10" s="85">
        <v>369.21600000000001</v>
      </c>
      <c r="L10" s="83">
        <v>451.97800000000001</v>
      </c>
      <c r="M10" s="84">
        <v>530.63499999999999</v>
      </c>
      <c r="N10" s="84">
        <v>619.60599999999999</v>
      </c>
      <c r="O10" s="85">
        <v>665.87400000000002</v>
      </c>
      <c r="P10" s="83">
        <v>673.66700000000003</v>
      </c>
      <c r="Q10" s="84">
        <v>792.41</v>
      </c>
      <c r="R10" s="84">
        <v>834.89800000000002</v>
      </c>
      <c r="S10" s="85">
        <v>199.49100000000001</v>
      </c>
      <c r="T10" s="83">
        <v>617.13300000000004</v>
      </c>
      <c r="U10" s="84">
        <v>479.44600000000003</v>
      </c>
      <c r="V10" s="84">
        <v>575.27499999999998</v>
      </c>
      <c r="W10" s="85">
        <v>583</v>
      </c>
      <c r="X10" s="83">
        <v>553.56899999999996</v>
      </c>
      <c r="Y10" s="84">
        <v>659.08100000000002</v>
      </c>
      <c r="Z10" s="84">
        <v>607.01099999999997</v>
      </c>
      <c r="AA10" s="85">
        <v>837.05399999999997</v>
      </c>
      <c r="AB10" s="83">
        <v>353.58800000000002</v>
      </c>
      <c r="AC10" s="84">
        <v>796.67700000000002</v>
      </c>
      <c r="AD10" s="84">
        <v>1006.417</v>
      </c>
      <c r="AE10" s="85">
        <v>943.61599999999999</v>
      </c>
      <c r="AF10" s="83">
        <v>830.45600000000002</v>
      </c>
      <c r="AG10" s="84">
        <v>822.94899999999996</v>
      </c>
      <c r="AH10" s="84">
        <v>716.68299999999999</v>
      </c>
      <c r="AI10" s="85">
        <v>722.19299999999998</v>
      </c>
      <c r="AJ10" s="84">
        <v>792.34199999999998</v>
      </c>
      <c r="AK10" s="84">
        <v>955.04700000000003</v>
      </c>
      <c r="AL10" s="84">
        <v>690.56799999999998</v>
      </c>
      <c r="AM10" s="85">
        <v>539.572</v>
      </c>
      <c r="AN10" s="84">
        <v>866.36900000000003</v>
      </c>
      <c r="AO10" s="84">
        <v>740.30899999999997</v>
      </c>
      <c r="AP10" s="84">
        <v>696.548</v>
      </c>
      <c r="AQ10" s="85">
        <v>823.25400000000002</v>
      </c>
      <c r="AR10" s="84">
        <v>881.91300000000001</v>
      </c>
      <c r="AS10" s="84">
        <v>1116.675</v>
      </c>
      <c r="AT10" s="84">
        <v>1157.01</v>
      </c>
      <c r="AU10" s="85">
        <v>1050.2629999999999</v>
      </c>
      <c r="AV10" s="84">
        <v>558.64400000000001</v>
      </c>
      <c r="AW10" s="84">
        <v>807.70899999999995</v>
      </c>
      <c r="AX10" s="84">
        <v>932.30200000000002</v>
      </c>
      <c r="AY10" s="85">
        <v>878.18200000000002</v>
      </c>
      <c r="AZ10" s="84">
        <v>1142.0909999999999</v>
      </c>
      <c r="BA10" s="84">
        <v>801.67</v>
      </c>
      <c r="BB10" s="84">
        <v>666.11900000000003</v>
      </c>
      <c r="BC10" s="85">
        <v>1351.0540000000001</v>
      </c>
      <c r="BD10" s="84">
        <v>969.00300000000004</v>
      </c>
      <c r="BE10" s="84">
        <v>1462.4659999999999</v>
      </c>
      <c r="BF10" s="84">
        <v>676.44899999999996</v>
      </c>
      <c r="BG10" s="85">
        <v>353.28399999999999</v>
      </c>
      <c r="BH10" s="84">
        <v>1.266</v>
      </c>
      <c r="BI10" s="84">
        <v>0.84799999999999998</v>
      </c>
      <c r="BJ10" s="84">
        <v>5.7050000000000001</v>
      </c>
      <c r="BK10" s="85">
        <v>394.08800000000002</v>
      </c>
      <c r="BL10" s="84">
        <v>457.21</v>
      </c>
      <c r="BM10" s="84">
        <v>488.197</v>
      </c>
      <c r="BN10" s="84">
        <v>427.51400000000001</v>
      </c>
      <c r="BO10" s="714">
        <f>BN10+CFS!BO30+CFS!BO31</f>
        <v>427.51400000000001</v>
      </c>
      <c r="BP10" s="712">
        <f>BO10+CFS!BP30+CFS!BP31</f>
        <v>427.51400000000001</v>
      </c>
      <c r="BQ10" s="713">
        <f>BP10+CFS!BQ30+CFS!BQ31</f>
        <v>427.51400000000001</v>
      </c>
      <c r="BR10" s="713">
        <f>BQ10+CFS!BR30+CFS!BR31</f>
        <v>427.51400000000001</v>
      </c>
      <c r="BS10" s="714">
        <f>BR10+CFS!BS30+CFS!BS31</f>
        <v>427.51400000000001</v>
      </c>
      <c r="BT10" s="712">
        <f>BS10+CFS!BT30+CFS!BT31</f>
        <v>427.51400000000001</v>
      </c>
      <c r="BU10" s="713">
        <f>BT10+CFS!BU30+CFS!BU31</f>
        <v>427.51400000000001</v>
      </c>
      <c r="BV10" s="713">
        <f>BU10+CFS!BV30+CFS!BV31</f>
        <v>427.51400000000001</v>
      </c>
      <c r="BW10" s="714">
        <f>BV10+CFS!BW30+CFS!BW31</f>
        <v>427.51400000000001</v>
      </c>
      <c r="BX10" s="107"/>
      <c r="BY10" s="81">
        <f t="shared" ref="BY10:BY15" si="30">G10</f>
        <v>162.602</v>
      </c>
      <c r="BZ10" s="81">
        <f t="shared" ref="BZ10:BZ15" si="31">K10</f>
        <v>369.21600000000001</v>
      </c>
      <c r="CA10" s="81">
        <f t="shared" ref="CA10:CA15" si="32">O10</f>
        <v>665.87400000000002</v>
      </c>
      <c r="CB10" s="81">
        <f t="shared" si="0"/>
        <v>199.49100000000001</v>
      </c>
      <c r="CC10" s="81">
        <f t="shared" si="1"/>
        <v>583</v>
      </c>
      <c r="CD10" s="81">
        <f t="shared" si="2"/>
        <v>837.05399999999997</v>
      </c>
      <c r="CE10" s="81">
        <f t="shared" si="3"/>
        <v>943.61599999999999</v>
      </c>
      <c r="CF10" s="81">
        <f t="shared" si="4"/>
        <v>722.19299999999998</v>
      </c>
      <c r="CG10" s="80">
        <f t="shared" si="5"/>
        <v>539.572</v>
      </c>
      <c r="CH10" s="81">
        <f t="shared" si="6"/>
        <v>823.25400000000002</v>
      </c>
      <c r="CI10" s="81">
        <f t="shared" si="7"/>
        <v>1050.2629999999999</v>
      </c>
      <c r="CJ10" s="80">
        <f t="shared" si="8"/>
        <v>878.18200000000002</v>
      </c>
      <c r="CK10" s="81">
        <f t="shared" si="9"/>
        <v>1351.0540000000001</v>
      </c>
      <c r="CL10" s="81">
        <f t="shared" si="10"/>
        <v>353.28399999999999</v>
      </c>
      <c r="CM10" s="81">
        <f t="shared" si="11"/>
        <v>394.08800000000002</v>
      </c>
      <c r="CN10" s="81">
        <f t="shared" si="12"/>
        <v>427.51400000000001</v>
      </c>
      <c r="CO10" s="81">
        <f t="shared" si="13"/>
        <v>427.51400000000001</v>
      </c>
      <c r="CP10" s="82">
        <f t="shared" ref="CP10:CP15" si="33">BW10</f>
        <v>427.51400000000001</v>
      </c>
      <c r="CQ10" s="20"/>
      <c r="CR10" s="80">
        <f t="shared" si="14"/>
        <v>392.26600000000002</v>
      </c>
      <c r="CS10" s="81">
        <f t="shared" si="15"/>
        <v>619.60599999999999</v>
      </c>
      <c r="CT10" s="81">
        <f t="shared" si="16"/>
        <v>834.89800000000002</v>
      </c>
      <c r="CU10" s="81">
        <f t="shared" si="17"/>
        <v>575.27499999999998</v>
      </c>
      <c r="CV10" s="81">
        <f t="shared" si="18"/>
        <v>607.01099999999997</v>
      </c>
      <c r="CW10" s="81">
        <f t="shared" si="19"/>
        <v>1006.417</v>
      </c>
      <c r="CX10" s="81">
        <f t="shared" si="20"/>
        <v>716.68299999999999</v>
      </c>
      <c r="CY10" s="81">
        <f t="shared" si="21"/>
        <v>690.56799999999998</v>
      </c>
      <c r="CZ10" s="81">
        <f t="shared" si="22"/>
        <v>696.548</v>
      </c>
      <c r="DA10" s="81">
        <f t="shared" si="23"/>
        <v>1157.01</v>
      </c>
      <c r="DB10" s="81">
        <f t="shared" si="24"/>
        <v>932.30200000000002</v>
      </c>
      <c r="DC10" s="81">
        <f t="shared" si="25"/>
        <v>666.11900000000003</v>
      </c>
      <c r="DD10" s="81">
        <f t="shared" si="26"/>
        <v>676.44899999999996</v>
      </c>
      <c r="DE10" s="81">
        <f t="shared" si="27"/>
        <v>5.7050000000000001</v>
      </c>
      <c r="DF10" s="81">
        <f t="shared" si="28"/>
        <v>427.51400000000001</v>
      </c>
      <c r="DG10" s="81">
        <f t="shared" si="29"/>
        <v>427.51400000000001</v>
      </c>
      <c r="DH10" s="81">
        <f t="shared" ref="DH10:DH15" si="34">BV10</f>
        <v>427.51400000000001</v>
      </c>
      <c r="DI10" s="22"/>
    </row>
    <row r="11" spans="1:113" ht="14.25" customHeight="1">
      <c r="A11" s="8"/>
      <c r="B11" s="608" t="s">
        <v>29</v>
      </c>
      <c r="C11" s="28"/>
      <c r="D11" s="83">
        <v>83.71</v>
      </c>
      <c r="E11" s="84">
        <v>89.918999999999997</v>
      </c>
      <c r="F11" s="84">
        <v>93.375</v>
      </c>
      <c r="G11" s="85">
        <v>95.387</v>
      </c>
      <c r="H11" s="83">
        <v>88.168000000000006</v>
      </c>
      <c r="I11" s="84">
        <v>90.784999999999997</v>
      </c>
      <c r="J11" s="84">
        <v>92.173000000000002</v>
      </c>
      <c r="K11" s="85">
        <v>107.89</v>
      </c>
      <c r="L11" s="83">
        <v>112.51900000000001</v>
      </c>
      <c r="M11" s="84">
        <v>120.702</v>
      </c>
      <c r="N11" s="84">
        <v>105.453</v>
      </c>
      <c r="O11" s="85">
        <v>113.08799999999999</v>
      </c>
      <c r="P11" s="83">
        <v>130.614</v>
      </c>
      <c r="Q11" s="84">
        <v>120.5</v>
      </c>
      <c r="R11" s="84">
        <v>111.97499999999999</v>
      </c>
      <c r="S11" s="85">
        <v>139.36099999999999</v>
      </c>
      <c r="T11" s="83">
        <v>137.196</v>
      </c>
      <c r="U11" s="84">
        <v>123.11199999999999</v>
      </c>
      <c r="V11" s="84">
        <v>120.08499999999999</v>
      </c>
      <c r="W11" s="85">
        <v>124.559</v>
      </c>
      <c r="X11" s="83">
        <v>127.32</v>
      </c>
      <c r="Y11" s="84">
        <v>125.91200000000001</v>
      </c>
      <c r="Z11" s="84">
        <v>114.396</v>
      </c>
      <c r="AA11" s="85">
        <v>138.31899999999999</v>
      </c>
      <c r="AB11" s="83">
        <v>135.75299999999999</v>
      </c>
      <c r="AC11" s="84">
        <v>120.88800000000001</v>
      </c>
      <c r="AD11" s="84">
        <v>78.557000000000002</v>
      </c>
      <c r="AE11" s="85">
        <v>88.525000000000006</v>
      </c>
      <c r="AF11" s="83">
        <v>98.043999999999997</v>
      </c>
      <c r="AG11" s="84">
        <v>106.651</v>
      </c>
      <c r="AH11" s="84">
        <v>113.76300000000001</v>
      </c>
      <c r="AI11" s="85">
        <v>137.80600000000001</v>
      </c>
      <c r="AJ11" s="84">
        <v>193.499</v>
      </c>
      <c r="AK11" s="84">
        <v>202.75399999999999</v>
      </c>
      <c r="AL11" s="84">
        <v>187.267</v>
      </c>
      <c r="AM11" s="84">
        <v>181.202</v>
      </c>
      <c r="AN11" s="83">
        <v>196.25399999999999</v>
      </c>
      <c r="AO11" s="84">
        <v>142.40899999999999</v>
      </c>
      <c r="AP11" s="84">
        <v>149.27699999999999</v>
      </c>
      <c r="AQ11" s="85">
        <v>170.20099999999999</v>
      </c>
      <c r="AR11" s="83">
        <v>174.685</v>
      </c>
      <c r="AS11" s="84">
        <v>230.45699999999999</v>
      </c>
      <c r="AT11" s="84">
        <v>177.50200000000001</v>
      </c>
      <c r="AU11" s="85">
        <v>229.95500000000001</v>
      </c>
      <c r="AV11" s="83">
        <v>232.262</v>
      </c>
      <c r="AW11" s="84">
        <v>230.49299999999999</v>
      </c>
      <c r="AX11" s="84">
        <v>224.273</v>
      </c>
      <c r="AY11" s="85">
        <v>242.405</v>
      </c>
      <c r="AZ11" s="83">
        <v>286.69900000000001</v>
      </c>
      <c r="BA11" s="84">
        <v>287.47300000000001</v>
      </c>
      <c r="BB11" s="84">
        <v>242.595</v>
      </c>
      <c r="BC11" s="85">
        <v>273.93700000000001</v>
      </c>
      <c r="BD11" s="83">
        <v>277.03300000000002</v>
      </c>
      <c r="BE11" s="84">
        <v>281.06299999999999</v>
      </c>
      <c r="BF11" s="84">
        <v>248.006</v>
      </c>
      <c r="BG11" s="85">
        <v>290.18299999999999</v>
      </c>
      <c r="BH11" s="83">
        <v>435.51100000000002</v>
      </c>
      <c r="BI11" s="84">
        <v>451.04199999999997</v>
      </c>
      <c r="BJ11" s="84">
        <v>475.09300000000002</v>
      </c>
      <c r="BK11" s="85">
        <v>478.37299999999999</v>
      </c>
      <c r="BL11" s="83">
        <v>528.95399999999995</v>
      </c>
      <c r="BM11" s="84">
        <v>545.41600000000005</v>
      </c>
      <c r="BN11" s="84">
        <v>553.13499999999999</v>
      </c>
      <c r="BO11" s="82">
        <f t="shared" ref="BO11" si="35">BO50/360*BO56*4</f>
        <v>514.66679780000004</v>
      </c>
      <c r="BP11" s="80">
        <f t="shared" ref="BP11:BW11" si="36">BP50/360*BP56*4</f>
        <v>514.55092575000003</v>
      </c>
      <c r="BQ11" s="81">
        <f t="shared" si="36"/>
        <v>530.66327632725006</v>
      </c>
      <c r="BR11" s="81">
        <f t="shared" si="36"/>
        <v>519.86871000247925</v>
      </c>
      <c r="BS11" s="82">
        <f t="shared" si="36"/>
        <v>515.18115901186763</v>
      </c>
      <c r="BT11" s="80">
        <f t="shared" si="36"/>
        <v>511.89570791607872</v>
      </c>
      <c r="BU11" s="81">
        <f t="shared" si="36"/>
        <v>525.05211917559336</v>
      </c>
      <c r="BV11" s="81">
        <f t="shared" si="36"/>
        <v>517.43895293346657</v>
      </c>
      <c r="BW11" s="82">
        <f t="shared" si="36"/>
        <v>512.76238754099177</v>
      </c>
      <c r="BX11" s="107"/>
      <c r="BY11" s="81">
        <f t="shared" si="30"/>
        <v>95.387</v>
      </c>
      <c r="BZ11" s="81">
        <f t="shared" si="31"/>
        <v>107.89</v>
      </c>
      <c r="CA11" s="81">
        <f t="shared" si="32"/>
        <v>113.08799999999999</v>
      </c>
      <c r="CB11" s="81">
        <f t="shared" si="0"/>
        <v>139.36099999999999</v>
      </c>
      <c r="CC11" s="81">
        <f t="shared" si="1"/>
        <v>124.559</v>
      </c>
      <c r="CD11" s="81">
        <f t="shared" si="2"/>
        <v>138.31899999999999</v>
      </c>
      <c r="CE11" s="81">
        <f t="shared" si="3"/>
        <v>88.525000000000006</v>
      </c>
      <c r="CF11" s="81">
        <f t="shared" si="4"/>
        <v>137.80600000000001</v>
      </c>
      <c r="CG11" s="80">
        <f t="shared" si="5"/>
        <v>181.202</v>
      </c>
      <c r="CH11" s="81">
        <f t="shared" si="6"/>
        <v>170.20099999999999</v>
      </c>
      <c r="CI11" s="81">
        <f t="shared" si="7"/>
        <v>229.95500000000001</v>
      </c>
      <c r="CJ11" s="80">
        <f t="shared" si="8"/>
        <v>242.405</v>
      </c>
      <c r="CK11" s="81">
        <f t="shared" si="9"/>
        <v>273.93700000000001</v>
      </c>
      <c r="CL11" s="81">
        <f t="shared" si="10"/>
        <v>290.18299999999999</v>
      </c>
      <c r="CM11" s="81">
        <f t="shared" si="11"/>
        <v>478.37299999999999</v>
      </c>
      <c r="CN11" s="81">
        <f t="shared" si="12"/>
        <v>514.66679780000004</v>
      </c>
      <c r="CO11" s="81">
        <f t="shared" si="13"/>
        <v>515.18115901186763</v>
      </c>
      <c r="CP11" s="82">
        <f t="shared" si="33"/>
        <v>512.76238754099177</v>
      </c>
      <c r="CQ11" s="20"/>
      <c r="CR11" s="80">
        <f t="shared" si="14"/>
        <v>92.173000000000002</v>
      </c>
      <c r="CS11" s="81">
        <f t="shared" si="15"/>
        <v>105.453</v>
      </c>
      <c r="CT11" s="81">
        <f t="shared" si="16"/>
        <v>111.97499999999999</v>
      </c>
      <c r="CU11" s="81">
        <f t="shared" si="17"/>
        <v>120.08499999999999</v>
      </c>
      <c r="CV11" s="81">
        <f t="shared" si="18"/>
        <v>114.396</v>
      </c>
      <c r="CW11" s="81">
        <f t="shared" si="19"/>
        <v>78.557000000000002</v>
      </c>
      <c r="CX11" s="81">
        <f t="shared" si="20"/>
        <v>113.76300000000001</v>
      </c>
      <c r="CY11" s="81">
        <f t="shared" si="21"/>
        <v>187.267</v>
      </c>
      <c r="CZ11" s="81">
        <f t="shared" si="22"/>
        <v>149.27699999999999</v>
      </c>
      <c r="DA11" s="81">
        <f t="shared" si="23"/>
        <v>177.50200000000001</v>
      </c>
      <c r="DB11" s="81">
        <f t="shared" si="24"/>
        <v>224.273</v>
      </c>
      <c r="DC11" s="81">
        <f t="shared" si="25"/>
        <v>242.595</v>
      </c>
      <c r="DD11" s="81">
        <f t="shared" si="26"/>
        <v>248.006</v>
      </c>
      <c r="DE11" s="81">
        <f t="shared" si="27"/>
        <v>475.09300000000002</v>
      </c>
      <c r="DF11" s="81">
        <f t="shared" si="28"/>
        <v>553.13499999999999</v>
      </c>
      <c r="DG11" s="81">
        <f t="shared" si="29"/>
        <v>519.86871000247925</v>
      </c>
      <c r="DH11" s="81">
        <f t="shared" si="34"/>
        <v>517.43895293346657</v>
      </c>
      <c r="DI11" s="22"/>
    </row>
    <row r="12" spans="1:113" ht="14.25" customHeight="1">
      <c r="A12" s="8"/>
      <c r="B12" s="608" t="s">
        <v>361</v>
      </c>
      <c r="C12" s="28"/>
      <c r="D12" s="83">
        <v>88.747</v>
      </c>
      <c r="E12" s="84">
        <v>92.141999999999996</v>
      </c>
      <c r="F12" s="84">
        <v>93.960999999999999</v>
      </c>
      <c r="G12" s="85">
        <v>102.34399999999999</v>
      </c>
      <c r="H12" s="83">
        <v>108.28700000000001</v>
      </c>
      <c r="I12" s="84">
        <v>103.798</v>
      </c>
      <c r="J12" s="84">
        <v>96.174999999999997</v>
      </c>
      <c r="K12" s="85">
        <v>94.513999999999996</v>
      </c>
      <c r="L12" s="83">
        <v>90.575000000000003</v>
      </c>
      <c r="M12" s="84">
        <v>89.915000000000006</v>
      </c>
      <c r="N12" s="84">
        <v>97.76</v>
      </c>
      <c r="O12" s="85">
        <v>103.72799999999999</v>
      </c>
      <c r="P12" s="83">
        <v>103.839</v>
      </c>
      <c r="Q12" s="84">
        <v>110.226</v>
      </c>
      <c r="R12" s="84">
        <v>114.639</v>
      </c>
      <c r="S12" s="85">
        <v>115.024</v>
      </c>
      <c r="T12" s="83">
        <v>116.642</v>
      </c>
      <c r="U12" s="84">
        <v>117.584</v>
      </c>
      <c r="V12" s="84">
        <v>121.85</v>
      </c>
      <c r="W12" s="85">
        <v>121.024</v>
      </c>
      <c r="X12" s="83">
        <v>123.767</v>
      </c>
      <c r="Y12" s="84">
        <v>124.587</v>
      </c>
      <c r="Z12" s="84">
        <v>124.801</v>
      </c>
      <c r="AA12" s="85">
        <v>124.483</v>
      </c>
      <c r="AB12" s="83">
        <v>125.798</v>
      </c>
      <c r="AC12" s="84">
        <v>126.83499999999999</v>
      </c>
      <c r="AD12" s="84">
        <v>136.50899999999999</v>
      </c>
      <c r="AE12" s="85">
        <v>131.51</v>
      </c>
      <c r="AF12" s="83">
        <v>113.872</v>
      </c>
      <c r="AG12" s="84">
        <v>108.45099999999999</v>
      </c>
      <c r="AH12" s="84">
        <v>112.78400000000001</v>
      </c>
      <c r="AI12" s="85">
        <v>116.57899999999999</v>
      </c>
      <c r="AJ12" s="84">
        <v>128.12899999999999</v>
      </c>
      <c r="AK12" s="84">
        <v>166.56899999999999</v>
      </c>
      <c r="AL12" s="84">
        <v>177.70500000000001</v>
      </c>
      <c r="AM12" s="84">
        <v>180.8</v>
      </c>
      <c r="AN12" s="83">
        <v>202.45500000000001</v>
      </c>
      <c r="AO12" s="84">
        <v>211.20599999999999</v>
      </c>
      <c r="AP12" s="84">
        <v>217.85300000000001</v>
      </c>
      <c r="AQ12" s="85">
        <v>217.27799999999999</v>
      </c>
      <c r="AR12" s="84">
        <v>221.48099999999999</v>
      </c>
      <c r="AS12" s="84">
        <v>289.52600000000001</v>
      </c>
      <c r="AT12" s="84">
        <v>261.59399999999999</v>
      </c>
      <c r="AU12" s="85">
        <v>242.334</v>
      </c>
      <c r="AV12" s="84">
        <v>256.13600000000002</v>
      </c>
      <c r="AW12" s="84">
        <v>275.12400000000002</v>
      </c>
      <c r="AX12" s="84">
        <v>274.62900000000002</v>
      </c>
      <c r="AY12" s="85">
        <v>262.72500000000002</v>
      </c>
      <c r="AZ12" s="84">
        <v>264.505</v>
      </c>
      <c r="BA12" s="84">
        <v>275.74599999999998</v>
      </c>
      <c r="BB12" s="84">
        <v>276.14299999999997</v>
      </c>
      <c r="BC12" s="85">
        <v>279.45600000000002</v>
      </c>
      <c r="BD12" s="84">
        <v>303.69</v>
      </c>
      <c r="BE12" s="84">
        <v>363.76</v>
      </c>
      <c r="BF12" s="84">
        <v>319.524</v>
      </c>
      <c r="BG12" s="85">
        <v>306.815</v>
      </c>
      <c r="BH12" s="84">
        <v>518.43100000000004</v>
      </c>
      <c r="BI12" s="84">
        <v>424.69</v>
      </c>
      <c r="BJ12" s="84">
        <v>419.61799999999999</v>
      </c>
      <c r="BK12" s="85">
        <v>417.202</v>
      </c>
      <c r="BL12" s="84">
        <v>426.84300000000002</v>
      </c>
      <c r="BM12" s="84">
        <v>456.93900000000002</v>
      </c>
      <c r="BN12" s="84">
        <v>487.065</v>
      </c>
      <c r="BO12" s="82">
        <f t="shared" ref="BO12" si="37">BO52/360*BO57*4</f>
        <v>487.88348599911103</v>
      </c>
      <c r="BP12" s="80">
        <f t="shared" ref="BP12:BW12" si="38">BP52/360*BP57*4</f>
        <v>505.93932388642787</v>
      </c>
      <c r="BQ12" s="81">
        <f t="shared" si="38"/>
        <v>519.51772169741832</v>
      </c>
      <c r="BR12" s="81">
        <f t="shared" si="38"/>
        <v>510.90904037334718</v>
      </c>
      <c r="BS12" s="82">
        <f t="shared" si="38"/>
        <v>506.50509377469132</v>
      </c>
      <c r="BT12" s="80">
        <f t="shared" si="38"/>
        <v>524.22202210922444</v>
      </c>
      <c r="BU12" s="81">
        <f t="shared" si="38"/>
        <v>535.34701639756179</v>
      </c>
      <c r="BV12" s="81">
        <f t="shared" si="38"/>
        <v>529.64484446934989</v>
      </c>
      <c r="BW12" s="82">
        <f t="shared" si="38"/>
        <v>523.52162099082886</v>
      </c>
      <c r="BX12" s="107"/>
      <c r="BY12" s="81">
        <f t="shared" si="30"/>
        <v>102.34399999999999</v>
      </c>
      <c r="BZ12" s="81">
        <f t="shared" si="31"/>
        <v>94.513999999999996</v>
      </c>
      <c r="CA12" s="81">
        <f t="shared" si="32"/>
        <v>103.72799999999999</v>
      </c>
      <c r="CB12" s="81">
        <f t="shared" si="0"/>
        <v>115.024</v>
      </c>
      <c r="CC12" s="81">
        <f t="shared" si="1"/>
        <v>121.024</v>
      </c>
      <c r="CD12" s="81">
        <f t="shared" si="2"/>
        <v>124.483</v>
      </c>
      <c r="CE12" s="81">
        <f t="shared" si="3"/>
        <v>131.51</v>
      </c>
      <c r="CF12" s="81">
        <f t="shared" si="4"/>
        <v>116.57899999999999</v>
      </c>
      <c r="CG12" s="80">
        <f t="shared" si="5"/>
        <v>180.8</v>
      </c>
      <c r="CH12" s="81">
        <f t="shared" si="6"/>
        <v>217.27799999999999</v>
      </c>
      <c r="CI12" s="81">
        <f t="shared" si="7"/>
        <v>242.334</v>
      </c>
      <c r="CJ12" s="80">
        <f t="shared" si="8"/>
        <v>262.72500000000002</v>
      </c>
      <c r="CK12" s="81">
        <f t="shared" si="9"/>
        <v>279.45600000000002</v>
      </c>
      <c r="CL12" s="81">
        <f t="shared" si="10"/>
        <v>306.815</v>
      </c>
      <c r="CM12" s="81">
        <f t="shared" si="11"/>
        <v>417.202</v>
      </c>
      <c r="CN12" s="81">
        <f t="shared" si="12"/>
        <v>487.88348599911103</v>
      </c>
      <c r="CO12" s="81">
        <f t="shared" si="13"/>
        <v>506.50509377469132</v>
      </c>
      <c r="CP12" s="82">
        <f t="shared" si="33"/>
        <v>523.52162099082886</v>
      </c>
      <c r="CQ12" s="20"/>
      <c r="CR12" s="80">
        <f t="shared" si="14"/>
        <v>96.174999999999997</v>
      </c>
      <c r="CS12" s="81">
        <f t="shared" si="15"/>
        <v>97.76</v>
      </c>
      <c r="CT12" s="81">
        <f t="shared" si="16"/>
        <v>114.639</v>
      </c>
      <c r="CU12" s="81">
        <f t="shared" si="17"/>
        <v>121.85</v>
      </c>
      <c r="CV12" s="81">
        <f t="shared" si="18"/>
        <v>124.801</v>
      </c>
      <c r="CW12" s="81">
        <f t="shared" si="19"/>
        <v>136.50899999999999</v>
      </c>
      <c r="CX12" s="81">
        <f t="shared" si="20"/>
        <v>112.78400000000001</v>
      </c>
      <c r="CY12" s="81">
        <f t="shared" si="21"/>
        <v>177.70500000000001</v>
      </c>
      <c r="CZ12" s="81">
        <f t="shared" si="22"/>
        <v>217.85300000000001</v>
      </c>
      <c r="DA12" s="81">
        <f t="shared" si="23"/>
        <v>261.59399999999999</v>
      </c>
      <c r="DB12" s="81">
        <f t="shared" si="24"/>
        <v>274.62900000000002</v>
      </c>
      <c r="DC12" s="81">
        <f t="shared" si="25"/>
        <v>276.14299999999997</v>
      </c>
      <c r="DD12" s="81">
        <f t="shared" si="26"/>
        <v>319.524</v>
      </c>
      <c r="DE12" s="81">
        <f t="shared" si="27"/>
        <v>419.61799999999999</v>
      </c>
      <c r="DF12" s="81">
        <f t="shared" si="28"/>
        <v>487.065</v>
      </c>
      <c r="DG12" s="81">
        <f t="shared" si="29"/>
        <v>510.90904037334718</v>
      </c>
      <c r="DH12" s="81">
        <f t="shared" si="34"/>
        <v>529.64484446934989</v>
      </c>
      <c r="DI12" s="22"/>
    </row>
    <row r="13" spans="1:113" ht="14.25" customHeight="1">
      <c r="A13" s="8"/>
      <c r="B13" s="608" t="s">
        <v>368</v>
      </c>
      <c r="C13" s="28"/>
      <c r="D13" s="83">
        <v>0</v>
      </c>
      <c r="E13" s="84">
        <v>0</v>
      </c>
      <c r="F13" s="84">
        <v>0</v>
      </c>
      <c r="G13" s="85">
        <v>0</v>
      </c>
      <c r="H13" s="83"/>
      <c r="I13" s="84">
        <v>0</v>
      </c>
      <c r="J13" s="84">
        <v>0</v>
      </c>
      <c r="K13" s="85">
        <v>0</v>
      </c>
      <c r="L13" s="83">
        <v>0</v>
      </c>
      <c r="M13" s="84">
        <v>0</v>
      </c>
      <c r="N13" s="84">
        <v>0</v>
      </c>
      <c r="O13" s="85">
        <v>0</v>
      </c>
      <c r="P13" s="83">
        <v>0</v>
      </c>
      <c r="Q13" s="84">
        <v>0</v>
      </c>
      <c r="R13" s="84">
        <v>0</v>
      </c>
      <c r="S13" s="85">
        <v>0</v>
      </c>
      <c r="T13" s="83">
        <v>0</v>
      </c>
      <c r="U13" s="84">
        <v>0</v>
      </c>
      <c r="V13" s="84">
        <v>0</v>
      </c>
      <c r="W13" s="85">
        <v>0</v>
      </c>
      <c r="X13" s="83">
        <v>0</v>
      </c>
      <c r="Y13" s="84">
        <v>0</v>
      </c>
      <c r="Z13" s="84">
        <v>0</v>
      </c>
      <c r="AA13" s="85">
        <v>0</v>
      </c>
      <c r="AB13" s="83">
        <v>0</v>
      </c>
      <c r="AC13" s="84">
        <v>0</v>
      </c>
      <c r="AD13" s="84">
        <v>0</v>
      </c>
      <c r="AE13" s="85">
        <v>0</v>
      </c>
      <c r="AF13" s="83">
        <v>11.864000000000001</v>
      </c>
      <c r="AG13" s="84">
        <v>14.055</v>
      </c>
      <c r="AH13" s="84">
        <v>14.124000000000001</v>
      </c>
      <c r="AI13" s="85">
        <v>13.068</v>
      </c>
      <c r="AJ13" s="84">
        <v>16.824999999999999</v>
      </c>
      <c r="AK13" s="84">
        <v>20.061</v>
      </c>
      <c r="AL13" s="84">
        <v>20.968</v>
      </c>
      <c r="AM13" s="85">
        <v>22.234000000000002</v>
      </c>
      <c r="AN13" s="84">
        <v>22.486000000000001</v>
      </c>
      <c r="AO13" s="84">
        <v>22.367000000000001</v>
      </c>
      <c r="AP13" s="84">
        <v>23.706</v>
      </c>
      <c r="AQ13" s="85">
        <v>25.658000000000001</v>
      </c>
      <c r="AR13" s="84">
        <v>25.588000000000001</v>
      </c>
      <c r="AS13" s="84">
        <v>33.930999999999997</v>
      </c>
      <c r="AT13" s="84">
        <v>30.007999999999999</v>
      </c>
      <c r="AU13" s="85">
        <v>37.439</v>
      </c>
      <c r="AV13" s="84">
        <v>35.67</v>
      </c>
      <c r="AW13" s="84">
        <v>34.317999999999998</v>
      </c>
      <c r="AX13" s="84">
        <v>29.440999999999999</v>
      </c>
      <c r="AY13" s="85">
        <v>31.756</v>
      </c>
      <c r="AZ13" s="84">
        <v>34.369</v>
      </c>
      <c r="BA13" s="84">
        <v>34.35</v>
      </c>
      <c r="BB13" s="84">
        <v>35.110999999999997</v>
      </c>
      <c r="BC13" s="85">
        <v>34.716999999999999</v>
      </c>
      <c r="BD13" s="84">
        <v>33.927</v>
      </c>
      <c r="BE13" s="84">
        <v>38.552999999999997</v>
      </c>
      <c r="BF13" s="84">
        <v>0</v>
      </c>
      <c r="BG13" s="85">
        <v>0</v>
      </c>
      <c r="BH13" s="84">
        <v>51.768999999999998</v>
      </c>
      <c r="BI13" s="84">
        <v>0</v>
      </c>
      <c r="BJ13" s="84">
        <v>51.265000000000001</v>
      </c>
      <c r="BK13" s="85">
        <v>0</v>
      </c>
      <c r="BL13" s="84">
        <v>0</v>
      </c>
      <c r="BM13" s="84">
        <v>44.404000000000003</v>
      </c>
      <c r="BN13" s="84">
        <v>60.116999999999997</v>
      </c>
      <c r="BO13" s="82">
        <f t="shared" ref="BO13:BO14" si="39">BN13</f>
        <v>60.116999999999997</v>
      </c>
      <c r="BP13" s="81">
        <f t="shared" ref="BP13:BS14" si="40">BO13</f>
        <v>60.116999999999997</v>
      </c>
      <c r="BQ13" s="81">
        <f t="shared" si="40"/>
        <v>60.116999999999997</v>
      </c>
      <c r="BR13" s="81">
        <f t="shared" si="40"/>
        <v>60.116999999999997</v>
      </c>
      <c r="BS13" s="82">
        <f t="shared" si="40"/>
        <v>60.116999999999997</v>
      </c>
      <c r="BT13" s="81">
        <f t="shared" ref="BT13:BT14" si="41">BS13</f>
        <v>60.116999999999997</v>
      </c>
      <c r="BU13" s="81">
        <f t="shared" ref="BU13:BU14" si="42">BT13</f>
        <v>60.116999999999997</v>
      </c>
      <c r="BV13" s="81">
        <f t="shared" ref="BV13:BV14" si="43">BU13</f>
        <v>60.116999999999997</v>
      </c>
      <c r="BW13" s="82">
        <f t="shared" ref="BW13:BW14" si="44">BV13</f>
        <v>60.116999999999997</v>
      </c>
      <c r="BX13" s="107"/>
      <c r="BY13" s="81">
        <f t="shared" si="30"/>
        <v>0</v>
      </c>
      <c r="BZ13" s="81">
        <f t="shared" si="31"/>
        <v>0</v>
      </c>
      <c r="CA13" s="81">
        <f t="shared" si="32"/>
        <v>0</v>
      </c>
      <c r="CB13" s="81">
        <f t="shared" si="0"/>
        <v>0</v>
      </c>
      <c r="CC13" s="81">
        <f t="shared" si="1"/>
        <v>0</v>
      </c>
      <c r="CD13" s="81">
        <f t="shared" si="2"/>
        <v>0</v>
      </c>
      <c r="CE13" s="81">
        <f t="shared" si="3"/>
        <v>0</v>
      </c>
      <c r="CF13" s="81">
        <f t="shared" si="4"/>
        <v>13.068</v>
      </c>
      <c r="CG13" s="80">
        <f t="shared" si="5"/>
        <v>22.234000000000002</v>
      </c>
      <c r="CH13" s="81">
        <f t="shared" si="6"/>
        <v>25.658000000000001</v>
      </c>
      <c r="CI13" s="81">
        <f t="shared" si="7"/>
        <v>37.439</v>
      </c>
      <c r="CJ13" s="80">
        <f t="shared" si="8"/>
        <v>31.756</v>
      </c>
      <c r="CK13" s="81">
        <f t="shared" si="9"/>
        <v>34.716999999999999</v>
      </c>
      <c r="CL13" s="81">
        <f t="shared" si="10"/>
        <v>0</v>
      </c>
      <c r="CM13" s="81">
        <f t="shared" si="11"/>
        <v>0</v>
      </c>
      <c r="CN13" s="81">
        <f t="shared" si="12"/>
        <v>60.116999999999997</v>
      </c>
      <c r="CO13" s="81">
        <f t="shared" si="13"/>
        <v>60.116999999999997</v>
      </c>
      <c r="CP13" s="82">
        <f t="shared" si="33"/>
        <v>60.116999999999997</v>
      </c>
      <c r="CQ13" s="20"/>
      <c r="CR13" s="80">
        <f t="shared" si="14"/>
        <v>0</v>
      </c>
      <c r="CS13" s="81">
        <f t="shared" si="15"/>
        <v>0</v>
      </c>
      <c r="CT13" s="81">
        <f t="shared" si="16"/>
        <v>0</v>
      </c>
      <c r="CU13" s="81">
        <f t="shared" si="17"/>
        <v>0</v>
      </c>
      <c r="CV13" s="81">
        <f t="shared" si="18"/>
        <v>0</v>
      </c>
      <c r="CW13" s="81">
        <f t="shared" si="19"/>
        <v>0</v>
      </c>
      <c r="CX13" s="81">
        <f t="shared" si="20"/>
        <v>14.124000000000001</v>
      </c>
      <c r="CY13" s="81">
        <f t="shared" si="21"/>
        <v>20.968</v>
      </c>
      <c r="CZ13" s="81">
        <f t="shared" si="22"/>
        <v>23.706</v>
      </c>
      <c r="DA13" s="81">
        <f t="shared" si="23"/>
        <v>30.007999999999999</v>
      </c>
      <c r="DB13" s="81">
        <f t="shared" si="24"/>
        <v>29.440999999999999</v>
      </c>
      <c r="DC13" s="81">
        <f t="shared" si="25"/>
        <v>35.110999999999997</v>
      </c>
      <c r="DD13" s="81">
        <f t="shared" si="26"/>
        <v>0</v>
      </c>
      <c r="DE13" s="81">
        <f t="shared" si="27"/>
        <v>51.265000000000001</v>
      </c>
      <c r="DF13" s="81">
        <f t="shared" si="28"/>
        <v>60.116999999999997</v>
      </c>
      <c r="DG13" s="81">
        <f t="shared" si="29"/>
        <v>60.116999999999997</v>
      </c>
      <c r="DH13" s="81">
        <f t="shared" si="34"/>
        <v>60.116999999999997</v>
      </c>
      <c r="DI13" s="22"/>
    </row>
    <row r="14" spans="1:113" ht="14.25" customHeight="1">
      <c r="A14" s="8"/>
      <c r="B14" s="608" t="s">
        <v>160</v>
      </c>
      <c r="C14" s="28"/>
      <c r="D14" s="83">
        <v>99.808000000000007</v>
      </c>
      <c r="E14" s="84">
        <v>112.102</v>
      </c>
      <c r="F14" s="84">
        <v>120.73099999999999</v>
      </c>
      <c r="G14" s="85">
        <v>116.48099999999999</v>
      </c>
      <c r="H14" s="83">
        <v>116.47799999999999</v>
      </c>
      <c r="I14" s="84">
        <v>115.721</v>
      </c>
      <c r="J14" s="84">
        <v>121.994</v>
      </c>
      <c r="K14" s="85">
        <v>126.04600000000001</v>
      </c>
      <c r="L14" s="83">
        <v>101.297</v>
      </c>
      <c r="M14" s="84">
        <v>89.022999999999996</v>
      </c>
      <c r="N14" s="84">
        <v>102.489</v>
      </c>
      <c r="O14" s="85">
        <v>105.09699999999999</v>
      </c>
      <c r="P14" s="83">
        <v>95.863</v>
      </c>
      <c r="Q14" s="84">
        <v>90.6</v>
      </c>
      <c r="R14" s="84">
        <v>62.713999999999999</v>
      </c>
      <c r="S14" s="85">
        <v>78.543999999999997</v>
      </c>
      <c r="T14" s="83">
        <v>77.049000000000007</v>
      </c>
      <c r="U14" s="84">
        <v>69.629000000000005</v>
      </c>
      <c r="V14" s="84">
        <v>68.991</v>
      </c>
      <c r="W14" s="85">
        <v>61.982999999999997</v>
      </c>
      <c r="X14" s="83">
        <v>63.27</v>
      </c>
      <c r="Y14" s="84">
        <v>64.361000000000004</v>
      </c>
      <c r="Z14" s="84">
        <v>60.658000000000001</v>
      </c>
      <c r="AA14" s="85">
        <v>63.261000000000003</v>
      </c>
      <c r="AB14" s="83">
        <v>66.619</v>
      </c>
      <c r="AC14" s="84">
        <v>67.150000000000006</v>
      </c>
      <c r="AD14" s="84">
        <v>69.399000000000001</v>
      </c>
      <c r="AE14" s="85">
        <v>69.626000000000005</v>
      </c>
      <c r="AF14" s="83">
        <v>71.039000000000001</v>
      </c>
      <c r="AG14" s="84">
        <v>78.075999999999993</v>
      </c>
      <c r="AH14" s="84">
        <v>73.744</v>
      </c>
      <c r="AI14" s="85">
        <v>77.81</v>
      </c>
      <c r="AJ14" s="84">
        <v>95.528999999999996</v>
      </c>
      <c r="AK14" s="84">
        <v>97.671000000000006</v>
      </c>
      <c r="AL14" s="84">
        <v>107.617</v>
      </c>
      <c r="AM14" s="85">
        <v>88.822000000000003</v>
      </c>
      <c r="AN14" s="84">
        <v>87.472999999999999</v>
      </c>
      <c r="AO14" s="84">
        <v>96.488</v>
      </c>
      <c r="AP14" s="84">
        <v>87.337000000000003</v>
      </c>
      <c r="AQ14" s="85">
        <v>91.191000000000003</v>
      </c>
      <c r="AR14" s="84">
        <v>94.968000000000004</v>
      </c>
      <c r="AS14" s="84">
        <v>116.866</v>
      </c>
      <c r="AT14" s="84">
        <v>129.70400000000001</v>
      </c>
      <c r="AU14" s="85">
        <v>80.686999999999998</v>
      </c>
      <c r="AV14" s="84">
        <v>73.08</v>
      </c>
      <c r="AW14" s="84">
        <v>70.382999999999996</v>
      </c>
      <c r="AX14" s="84">
        <v>72.141999999999996</v>
      </c>
      <c r="AY14" s="85">
        <v>67.489999999999995</v>
      </c>
      <c r="AZ14" s="84">
        <v>70.926000000000002</v>
      </c>
      <c r="BA14" s="84">
        <v>62.411000000000001</v>
      </c>
      <c r="BB14" s="84">
        <v>50.49</v>
      </c>
      <c r="BC14" s="85">
        <v>71.045000000000002</v>
      </c>
      <c r="BD14" s="84">
        <v>71.045000000000002</v>
      </c>
      <c r="BE14" s="84">
        <v>69.343000000000004</v>
      </c>
      <c r="BF14" s="84">
        <v>0</v>
      </c>
      <c r="BG14" s="85">
        <v>0</v>
      </c>
      <c r="BH14" s="84">
        <v>0</v>
      </c>
      <c r="BI14" s="84">
        <v>0</v>
      </c>
      <c r="BJ14" s="84">
        <v>0</v>
      </c>
      <c r="BK14" s="85">
        <v>0</v>
      </c>
      <c r="BL14" s="84">
        <v>0</v>
      </c>
      <c r="BM14" s="84">
        <v>0</v>
      </c>
      <c r="BN14" s="84">
        <v>0</v>
      </c>
      <c r="BO14" s="82">
        <f t="shared" si="39"/>
        <v>0</v>
      </c>
      <c r="BP14" s="81">
        <f t="shared" si="40"/>
        <v>0</v>
      </c>
      <c r="BQ14" s="81">
        <f t="shared" si="40"/>
        <v>0</v>
      </c>
      <c r="BR14" s="81">
        <f t="shared" si="40"/>
        <v>0</v>
      </c>
      <c r="BS14" s="82">
        <f t="shared" si="40"/>
        <v>0</v>
      </c>
      <c r="BT14" s="81">
        <f t="shared" si="41"/>
        <v>0</v>
      </c>
      <c r="BU14" s="81">
        <f t="shared" si="42"/>
        <v>0</v>
      </c>
      <c r="BV14" s="81">
        <f t="shared" si="43"/>
        <v>0</v>
      </c>
      <c r="BW14" s="82">
        <f t="shared" si="44"/>
        <v>0</v>
      </c>
      <c r="BX14" s="107"/>
      <c r="BY14" s="81">
        <f t="shared" si="30"/>
        <v>116.48099999999999</v>
      </c>
      <c r="BZ14" s="81">
        <f t="shared" si="31"/>
        <v>126.04600000000001</v>
      </c>
      <c r="CA14" s="81">
        <f t="shared" si="32"/>
        <v>105.09699999999999</v>
      </c>
      <c r="CB14" s="81">
        <f t="shared" si="0"/>
        <v>78.543999999999997</v>
      </c>
      <c r="CC14" s="81">
        <f t="shared" si="1"/>
        <v>61.982999999999997</v>
      </c>
      <c r="CD14" s="81">
        <f t="shared" si="2"/>
        <v>63.261000000000003</v>
      </c>
      <c r="CE14" s="81">
        <f t="shared" si="3"/>
        <v>69.626000000000005</v>
      </c>
      <c r="CF14" s="81">
        <f t="shared" si="4"/>
        <v>77.81</v>
      </c>
      <c r="CG14" s="80">
        <f t="shared" si="5"/>
        <v>88.822000000000003</v>
      </c>
      <c r="CH14" s="81">
        <f t="shared" si="6"/>
        <v>91.191000000000003</v>
      </c>
      <c r="CI14" s="81">
        <f t="shared" si="7"/>
        <v>80.686999999999998</v>
      </c>
      <c r="CJ14" s="80">
        <f t="shared" si="8"/>
        <v>67.489999999999995</v>
      </c>
      <c r="CK14" s="81">
        <f t="shared" si="9"/>
        <v>71.045000000000002</v>
      </c>
      <c r="CL14" s="81">
        <f t="shared" si="10"/>
        <v>0</v>
      </c>
      <c r="CM14" s="81">
        <f t="shared" si="11"/>
        <v>0</v>
      </c>
      <c r="CN14" s="81">
        <f t="shared" si="12"/>
        <v>0</v>
      </c>
      <c r="CO14" s="81">
        <f t="shared" si="13"/>
        <v>0</v>
      </c>
      <c r="CP14" s="82">
        <f t="shared" si="33"/>
        <v>0</v>
      </c>
      <c r="CQ14" s="20"/>
      <c r="CR14" s="80">
        <f t="shared" si="14"/>
        <v>121.994</v>
      </c>
      <c r="CS14" s="81">
        <f t="shared" si="15"/>
        <v>102.489</v>
      </c>
      <c r="CT14" s="81">
        <f t="shared" si="16"/>
        <v>62.713999999999999</v>
      </c>
      <c r="CU14" s="81">
        <f t="shared" si="17"/>
        <v>68.991</v>
      </c>
      <c r="CV14" s="81">
        <f t="shared" si="18"/>
        <v>60.658000000000001</v>
      </c>
      <c r="CW14" s="81">
        <f t="shared" si="19"/>
        <v>69.399000000000001</v>
      </c>
      <c r="CX14" s="81">
        <f t="shared" si="20"/>
        <v>73.744</v>
      </c>
      <c r="CY14" s="81">
        <f t="shared" si="21"/>
        <v>107.617</v>
      </c>
      <c r="CZ14" s="81">
        <f t="shared" si="22"/>
        <v>87.337000000000003</v>
      </c>
      <c r="DA14" s="81">
        <f t="shared" si="23"/>
        <v>129.70400000000001</v>
      </c>
      <c r="DB14" s="81">
        <f t="shared" si="24"/>
        <v>72.141999999999996</v>
      </c>
      <c r="DC14" s="81">
        <f t="shared" si="25"/>
        <v>50.49</v>
      </c>
      <c r="DD14" s="81">
        <f t="shared" si="26"/>
        <v>0</v>
      </c>
      <c r="DE14" s="81">
        <f t="shared" si="27"/>
        <v>0</v>
      </c>
      <c r="DF14" s="81">
        <f t="shared" si="28"/>
        <v>0</v>
      </c>
      <c r="DG14" s="81">
        <f t="shared" si="29"/>
        <v>0</v>
      </c>
      <c r="DH14" s="81">
        <f t="shared" si="34"/>
        <v>0</v>
      </c>
      <c r="DI14" s="22"/>
    </row>
    <row r="15" spans="1:113" ht="14.25" customHeight="1">
      <c r="A15" s="8"/>
      <c r="B15" s="662" t="s">
        <v>362</v>
      </c>
      <c r="C15" s="108"/>
      <c r="D15" s="83">
        <f>4.457+12.188</f>
        <v>16.645</v>
      </c>
      <c r="E15" s="84">
        <f>6.748+73.481</f>
        <v>80.228999999999999</v>
      </c>
      <c r="F15" s="84">
        <f>7.736+72.842</f>
        <v>80.578000000000003</v>
      </c>
      <c r="G15" s="85">
        <f>6.487+71.899</f>
        <v>78.385999999999996</v>
      </c>
      <c r="H15" s="83">
        <f>71.876+4.447</f>
        <v>76.323000000000008</v>
      </c>
      <c r="I15" s="84">
        <f>72.016+6.524</f>
        <v>78.540000000000006</v>
      </c>
      <c r="J15" s="84">
        <f>71.76+6.199</f>
        <v>77.959000000000003</v>
      </c>
      <c r="K15" s="85">
        <f>6.884+74.061</f>
        <v>80.945000000000007</v>
      </c>
      <c r="L15" s="83">
        <f>6.306+72.274</f>
        <v>78.58</v>
      </c>
      <c r="M15" s="84">
        <f>8.224+72.533</f>
        <v>80.757000000000005</v>
      </c>
      <c r="N15" s="84">
        <f>12.279+68.901</f>
        <v>81.179999999999993</v>
      </c>
      <c r="O15" s="85">
        <f>10.828+8.003</f>
        <v>18.831</v>
      </c>
      <c r="P15" s="83">
        <f>10.708+6.547</f>
        <v>17.254999999999999</v>
      </c>
      <c r="Q15" s="84">
        <f>12.357+9.046</f>
        <v>21.402999999999999</v>
      </c>
      <c r="R15" s="84">
        <f>11.879+8.629</f>
        <v>20.507999999999999</v>
      </c>
      <c r="S15" s="85">
        <f>11.369+9.767</f>
        <v>21.135999999999999</v>
      </c>
      <c r="T15" s="83">
        <f>12.278+9.015</f>
        <v>21.292999999999999</v>
      </c>
      <c r="U15" s="84">
        <f>14.275+12.286</f>
        <v>26.561</v>
      </c>
      <c r="V15" s="84">
        <f>15.929+11.137</f>
        <v>27.066000000000003</v>
      </c>
      <c r="W15" s="85">
        <f>11.147+15.547</f>
        <v>26.694000000000003</v>
      </c>
      <c r="X15" s="83">
        <f>29.61+18.547</f>
        <v>48.156999999999996</v>
      </c>
      <c r="Y15" s="84">
        <f>22.161+72.184</f>
        <v>94.344999999999999</v>
      </c>
      <c r="Z15" s="84">
        <f>21.332+38.019</f>
        <v>59.350999999999999</v>
      </c>
      <c r="AA15" s="85">
        <f>17.135+49.742</f>
        <v>66.876999999999995</v>
      </c>
      <c r="AB15" s="83">
        <f>46.654+17.348</f>
        <v>64.00200000000001</v>
      </c>
      <c r="AC15" s="84">
        <f>18.624+44.648</f>
        <v>63.272000000000006</v>
      </c>
      <c r="AD15" s="84">
        <f>16.419+42.437</f>
        <v>58.855999999999995</v>
      </c>
      <c r="AE15" s="85">
        <f>11.447+51.736</f>
        <v>63.182999999999993</v>
      </c>
      <c r="AF15" s="83">
        <v>58.887</v>
      </c>
      <c r="AG15" s="84">
        <v>56.228999999999999</v>
      </c>
      <c r="AH15" s="84">
        <v>50.347999999999999</v>
      </c>
      <c r="AI15" s="85">
        <v>51.383000000000003</v>
      </c>
      <c r="AJ15" s="84">
        <f>43.526+54.558</f>
        <v>98.084000000000003</v>
      </c>
      <c r="AK15" s="84">
        <f>1.109+50.373</f>
        <v>51.481999999999999</v>
      </c>
      <c r="AL15" s="84">
        <f>1.109+52.594</f>
        <v>53.703000000000003</v>
      </c>
      <c r="AM15" s="84">
        <v>58.429000000000002</v>
      </c>
      <c r="AN15" s="83">
        <v>69.266999999999996</v>
      </c>
      <c r="AO15" s="84">
        <v>45.468000000000004</v>
      </c>
      <c r="AP15" s="84">
        <v>49.634</v>
      </c>
      <c r="AQ15" s="85">
        <v>52.524000000000001</v>
      </c>
      <c r="AR15" s="84">
        <v>50.814999999999998</v>
      </c>
      <c r="AS15" s="347">
        <v>65.087999999999994</v>
      </c>
      <c r="AT15" s="84">
        <v>75.471999999999994</v>
      </c>
      <c r="AU15" s="85">
        <v>67.358000000000004</v>
      </c>
      <c r="AV15" s="84">
        <v>56.673999999999999</v>
      </c>
      <c r="AW15" s="347">
        <v>58.677</v>
      </c>
      <c r="AX15" s="84">
        <v>61.140999999999998</v>
      </c>
      <c r="AY15" s="85">
        <v>20.238</v>
      </c>
      <c r="AZ15" s="84">
        <v>33.991</v>
      </c>
      <c r="BA15" s="84">
        <v>35.875999999999998</v>
      </c>
      <c r="BB15" s="84">
        <f>13.985+42.697</f>
        <v>56.682000000000002</v>
      </c>
      <c r="BC15" s="1251">
        <f>13.989+32.604</f>
        <v>46.593000000000004</v>
      </c>
      <c r="BD15" s="84">
        <f>13.669+23.7</f>
        <v>37.369</v>
      </c>
      <c r="BE15" s="84">
        <v>24.623999999999999</v>
      </c>
      <c r="BF15" s="84">
        <f>36.488+20.803</f>
        <v>57.290999999999997</v>
      </c>
      <c r="BG15" s="1251">
        <v>53.68</v>
      </c>
      <c r="BH15" s="84">
        <f>47.087+18.398</f>
        <v>65.484999999999999</v>
      </c>
      <c r="BI15" s="84">
        <f>14.08+110.087</f>
        <v>124.167</v>
      </c>
      <c r="BJ15" s="84">
        <f>5.757+55.374</f>
        <v>61.131</v>
      </c>
      <c r="BK15" s="1251">
        <f>6.459+100.234</f>
        <v>106.693</v>
      </c>
      <c r="BL15" s="84">
        <f>43.778+68.941</f>
        <v>112.71899999999999</v>
      </c>
      <c r="BM15" s="84">
        <v>82.058999999999997</v>
      </c>
      <c r="BN15" s="84">
        <v>53.530999999999999</v>
      </c>
      <c r="BO15" s="82">
        <f t="shared" ref="BO15" si="45">BO54*BO56*4</f>
        <v>118.26385991999999</v>
      </c>
      <c r="BP15" s="80">
        <f t="shared" ref="BP15:BW15" si="46">BP54*BP56*4</f>
        <v>123.49222218</v>
      </c>
      <c r="BQ15" s="81">
        <f t="shared" si="46"/>
        <v>127.35918631854001</v>
      </c>
      <c r="BR15" s="81">
        <f t="shared" si="46"/>
        <v>124.76849040059501</v>
      </c>
      <c r="BS15" s="82">
        <f t="shared" si="46"/>
        <v>123.64347816284823</v>
      </c>
      <c r="BT15" s="80">
        <f t="shared" si="46"/>
        <v>128.56915454636396</v>
      </c>
      <c r="BU15" s="81">
        <f t="shared" si="46"/>
        <v>131.87355551386995</v>
      </c>
      <c r="BV15" s="81">
        <f t="shared" si="46"/>
        <v>129.96141143445203</v>
      </c>
      <c r="BW15" s="82">
        <f t="shared" si="46"/>
        <v>128.78683221959793</v>
      </c>
      <c r="BX15" s="107"/>
      <c r="BY15" s="109">
        <f t="shared" si="30"/>
        <v>78.385999999999996</v>
      </c>
      <c r="BZ15" s="109">
        <f t="shared" si="31"/>
        <v>80.945000000000007</v>
      </c>
      <c r="CA15" s="109">
        <f t="shared" si="32"/>
        <v>18.831</v>
      </c>
      <c r="CB15" s="109">
        <f t="shared" si="0"/>
        <v>21.135999999999999</v>
      </c>
      <c r="CC15" s="109">
        <f t="shared" si="1"/>
        <v>26.694000000000003</v>
      </c>
      <c r="CD15" s="109">
        <f t="shared" si="2"/>
        <v>66.876999999999995</v>
      </c>
      <c r="CE15" s="109">
        <f t="shared" si="3"/>
        <v>63.182999999999993</v>
      </c>
      <c r="CF15" s="109">
        <f t="shared" si="4"/>
        <v>51.383000000000003</v>
      </c>
      <c r="CG15" s="297">
        <f t="shared" si="5"/>
        <v>58.429000000000002</v>
      </c>
      <c r="CH15" s="109">
        <f t="shared" si="6"/>
        <v>52.524000000000001</v>
      </c>
      <c r="CI15" s="109">
        <f t="shared" si="7"/>
        <v>67.358000000000004</v>
      </c>
      <c r="CJ15" s="297">
        <f t="shared" si="8"/>
        <v>20.238</v>
      </c>
      <c r="CK15" s="109">
        <f t="shared" si="9"/>
        <v>46.593000000000004</v>
      </c>
      <c r="CL15" s="109">
        <f t="shared" si="10"/>
        <v>53.68</v>
      </c>
      <c r="CM15" s="109">
        <f t="shared" si="11"/>
        <v>106.693</v>
      </c>
      <c r="CN15" s="109">
        <f t="shared" si="12"/>
        <v>118.26385991999999</v>
      </c>
      <c r="CO15" s="109">
        <f t="shared" si="13"/>
        <v>123.64347816284823</v>
      </c>
      <c r="CP15" s="109">
        <f t="shared" si="33"/>
        <v>128.78683221959793</v>
      </c>
      <c r="CQ15" s="20"/>
      <c r="CR15" s="297">
        <f t="shared" si="14"/>
        <v>77.959000000000003</v>
      </c>
      <c r="CS15" s="109">
        <f t="shared" si="15"/>
        <v>81.179999999999993</v>
      </c>
      <c r="CT15" s="109">
        <f t="shared" si="16"/>
        <v>20.507999999999999</v>
      </c>
      <c r="CU15" s="109">
        <f t="shared" si="17"/>
        <v>27.066000000000003</v>
      </c>
      <c r="CV15" s="109">
        <f t="shared" si="18"/>
        <v>59.350999999999999</v>
      </c>
      <c r="CW15" s="109">
        <f t="shared" si="19"/>
        <v>58.855999999999995</v>
      </c>
      <c r="CX15" s="109">
        <f t="shared" si="20"/>
        <v>50.347999999999999</v>
      </c>
      <c r="CY15" s="109">
        <f t="shared" si="21"/>
        <v>53.703000000000003</v>
      </c>
      <c r="CZ15" s="109">
        <f t="shared" si="22"/>
        <v>49.634</v>
      </c>
      <c r="DA15" s="109">
        <f t="shared" si="23"/>
        <v>75.471999999999994</v>
      </c>
      <c r="DB15" s="109">
        <f t="shared" si="24"/>
        <v>61.140999999999998</v>
      </c>
      <c r="DC15" s="109">
        <f t="shared" si="25"/>
        <v>56.682000000000002</v>
      </c>
      <c r="DD15" s="109">
        <f t="shared" si="26"/>
        <v>57.290999999999997</v>
      </c>
      <c r="DE15" s="109">
        <f t="shared" si="27"/>
        <v>61.131</v>
      </c>
      <c r="DF15" s="109">
        <f t="shared" si="28"/>
        <v>53.530999999999999</v>
      </c>
      <c r="DG15" s="109">
        <f t="shared" si="29"/>
        <v>124.76849040059501</v>
      </c>
      <c r="DH15" s="109">
        <f t="shared" si="34"/>
        <v>129.96141143445203</v>
      </c>
      <c r="DI15" s="22"/>
    </row>
    <row r="16" spans="1:113" ht="14.25" customHeight="1">
      <c r="A16" s="8"/>
      <c r="B16" s="663" t="s">
        <v>30</v>
      </c>
      <c r="C16" s="111"/>
      <c r="D16" s="114">
        <f t="shared" ref="D16:O16" si="47">SUM(D9:D15)</f>
        <v>572.95500000000004</v>
      </c>
      <c r="E16" s="112">
        <f t="shared" si="47"/>
        <v>515.72</v>
      </c>
      <c r="F16" s="112">
        <f t="shared" si="47"/>
        <v>586.87599999999998</v>
      </c>
      <c r="G16" s="113">
        <f t="shared" si="47"/>
        <v>609.10899999999992</v>
      </c>
      <c r="H16" s="114">
        <f t="shared" si="47"/>
        <v>661.85799999999995</v>
      </c>
      <c r="I16" s="112">
        <f t="shared" si="47"/>
        <v>739.721</v>
      </c>
      <c r="J16" s="112">
        <f t="shared" si="47"/>
        <v>838.74099999999999</v>
      </c>
      <c r="K16" s="113">
        <f t="shared" si="47"/>
        <v>883.94500000000016</v>
      </c>
      <c r="L16" s="114">
        <f t="shared" si="47"/>
        <v>921.83500000000015</v>
      </c>
      <c r="M16" s="112">
        <f t="shared" si="47"/>
        <v>986.25700000000006</v>
      </c>
      <c r="N16" s="112">
        <f t="shared" si="47"/>
        <v>1082.671</v>
      </c>
      <c r="O16" s="113">
        <f t="shared" si="47"/>
        <v>1075.348</v>
      </c>
      <c r="P16" s="114">
        <f t="shared" ref="P16:AY16" si="48">SUM(P9:P15)</f>
        <v>1162.6100000000001</v>
      </c>
      <c r="Q16" s="112">
        <f t="shared" si="48"/>
        <v>1245.2189999999998</v>
      </c>
      <c r="R16" s="112">
        <f t="shared" si="48"/>
        <v>1302.1859999999999</v>
      </c>
      <c r="S16" s="113">
        <f t="shared" si="48"/>
        <v>1118.829</v>
      </c>
      <c r="T16" s="114">
        <f t="shared" si="48"/>
        <v>1105.9689999999998</v>
      </c>
      <c r="U16" s="112">
        <f t="shared" si="48"/>
        <v>948.90100000000007</v>
      </c>
      <c r="V16" s="112">
        <f t="shared" si="48"/>
        <v>1066.5440000000001</v>
      </c>
      <c r="W16" s="113">
        <f t="shared" si="48"/>
        <v>1084.7369999999999</v>
      </c>
      <c r="X16" s="114">
        <f t="shared" si="48"/>
        <v>1084.0859999999998</v>
      </c>
      <c r="Y16" s="112">
        <f t="shared" si="48"/>
        <v>1242.5110000000002</v>
      </c>
      <c r="Z16" s="112">
        <f t="shared" si="48"/>
        <v>1797.2219999999998</v>
      </c>
      <c r="AA16" s="113">
        <f t="shared" si="48"/>
        <v>1717.7299999999998</v>
      </c>
      <c r="AB16" s="114">
        <f t="shared" si="48"/>
        <v>1431.3349999999998</v>
      </c>
      <c r="AC16" s="112">
        <f t="shared" si="48"/>
        <v>1486.56</v>
      </c>
      <c r="AD16" s="112">
        <f t="shared" si="48"/>
        <v>1740.932</v>
      </c>
      <c r="AE16" s="113">
        <f t="shared" si="48"/>
        <v>1742.789</v>
      </c>
      <c r="AF16" s="114">
        <f t="shared" si="48"/>
        <v>1761.1410000000001</v>
      </c>
      <c r="AG16" s="112">
        <f t="shared" si="48"/>
        <v>1727.4560000000001</v>
      </c>
      <c r="AH16" s="112">
        <f t="shared" si="48"/>
        <v>1442.7369999999999</v>
      </c>
      <c r="AI16" s="113">
        <f t="shared" si="48"/>
        <v>1610.9689999999998</v>
      </c>
      <c r="AJ16" s="112">
        <f t="shared" si="48"/>
        <v>1847.8820000000001</v>
      </c>
      <c r="AK16" s="112">
        <f t="shared" si="48"/>
        <v>1917.3049999999998</v>
      </c>
      <c r="AL16" s="112">
        <f t="shared" si="48"/>
        <v>1738.444</v>
      </c>
      <c r="AM16" s="113">
        <f t="shared" si="48"/>
        <v>1774.9830000000002</v>
      </c>
      <c r="AN16" s="114">
        <f t="shared" si="48"/>
        <v>2095.6869999999999</v>
      </c>
      <c r="AO16" s="112">
        <f t="shared" si="48"/>
        <v>1933.3760000000002</v>
      </c>
      <c r="AP16" s="112">
        <f t="shared" si="48"/>
        <v>1830.0800000000002</v>
      </c>
      <c r="AQ16" s="113">
        <f t="shared" si="48"/>
        <v>2015.8609999999999</v>
      </c>
      <c r="AR16" s="114">
        <f t="shared" si="48"/>
        <v>2229.2979999999998</v>
      </c>
      <c r="AS16" s="115">
        <f t="shared" si="48"/>
        <v>2289.2779999999998</v>
      </c>
      <c r="AT16" s="112">
        <f t="shared" si="48"/>
        <v>2296.5830000000001</v>
      </c>
      <c r="AU16" s="113">
        <f t="shared" si="48"/>
        <v>2236.3699999999994</v>
      </c>
      <c r="AV16" s="114">
        <f t="shared" si="48"/>
        <v>1615.6969999999999</v>
      </c>
      <c r="AW16" s="115">
        <f t="shared" si="48"/>
        <v>1820.9059999999999</v>
      </c>
      <c r="AX16" s="112">
        <f t="shared" si="48"/>
        <v>1969.0280000000002</v>
      </c>
      <c r="AY16" s="113">
        <f t="shared" si="48"/>
        <v>1969.3990000000001</v>
      </c>
      <c r="AZ16" s="114">
        <f t="shared" ref="AZ16:BC16" si="49">SUM(AZ9:AZ15)</f>
        <v>2450.3510000000001</v>
      </c>
      <c r="BA16" s="112">
        <f t="shared" si="49"/>
        <v>1978.9649999999999</v>
      </c>
      <c r="BB16" s="112">
        <f t="shared" si="49"/>
        <v>1783.4790000000003</v>
      </c>
      <c r="BC16" s="113">
        <f t="shared" si="49"/>
        <v>2664.6170000000002</v>
      </c>
      <c r="BD16" s="114">
        <f t="shared" ref="BD16:BI16" si="50">SUM(BD9:BD15)</f>
        <v>2255.6140000000005</v>
      </c>
      <c r="BE16" s="112">
        <f t="shared" si="50"/>
        <v>2778.8869999999997</v>
      </c>
      <c r="BF16" s="112">
        <f t="shared" si="50"/>
        <v>1632.7209999999998</v>
      </c>
      <c r="BG16" s="113">
        <f t="shared" si="50"/>
        <v>3096.7130000000002</v>
      </c>
      <c r="BH16" s="114">
        <f t="shared" si="50"/>
        <v>1672.9879999999998</v>
      </c>
      <c r="BI16" s="112">
        <f t="shared" si="50"/>
        <v>1490.7349999999999</v>
      </c>
      <c r="BJ16" s="112">
        <f t="shared" ref="BJ16:BL16" si="51">SUM(BJ9:BJ15)</f>
        <v>1676.7500000000002</v>
      </c>
      <c r="BK16" s="113">
        <f t="shared" si="51"/>
        <v>2305.04</v>
      </c>
      <c r="BL16" s="114">
        <f t="shared" si="51"/>
        <v>2298.7619999999997</v>
      </c>
      <c r="BM16" s="112">
        <f t="shared" ref="BM16:BS16" si="52">SUM(BM9:BM15)</f>
        <v>2443.422</v>
      </c>
      <c r="BN16" s="112">
        <f t="shared" si="52"/>
        <v>2253.4409999999998</v>
      </c>
      <c r="BO16" s="113">
        <f t="shared" si="52"/>
        <v>2514.2515297165128</v>
      </c>
      <c r="BP16" s="114">
        <f t="shared" si="52"/>
        <v>2790.5663616582506</v>
      </c>
      <c r="BQ16" s="112">
        <f t="shared" si="52"/>
        <v>3079.3877439264224</v>
      </c>
      <c r="BR16" s="112">
        <f t="shared" si="52"/>
        <v>3339.424362357669</v>
      </c>
      <c r="BS16" s="113">
        <f t="shared" si="52"/>
        <v>3609.1990737671299</v>
      </c>
      <c r="BT16" s="114">
        <f t="shared" ref="BT16:BW16" si="53">SUM(BT9:BT15)</f>
        <v>3903.8968017346924</v>
      </c>
      <c r="BU16" s="112">
        <f t="shared" si="53"/>
        <v>4208.4819359411413</v>
      </c>
      <c r="BV16" s="112">
        <f t="shared" si="53"/>
        <v>4510.5681519711843</v>
      </c>
      <c r="BW16" s="113">
        <f t="shared" si="53"/>
        <v>4798.5324974815867</v>
      </c>
      <c r="BX16" s="107"/>
      <c r="BY16" s="115">
        <f>SUM(BY9:BY15)</f>
        <v>609.10899999999992</v>
      </c>
      <c r="BZ16" s="115">
        <f>SUM(BZ9:BZ15)</f>
        <v>883.94500000000016</v>
      </c>
      <c r="CA16" s="115">
        <f>SUM(CA9:CA15)</f>
        <v>1075.348</v>
      </c>
      <c r="CB16" s="115">
        <f t="shared" ref="CB16:CK16" si="54">SUM(CB9:CB15)</f>
        <v>1118.829</v>
      </c>
      <c r="CC16" s="115">
        <f t="shared" si="54"/>
        <v>1084.7369999999999</v>
      </c>
      <c r="CD16" s="115">
        <f t="shared" si="54"/>
        <v>1717.7299999999998</v>
      </c>
      <c r="CE16" s="115">
        <f t="shared" si="54"/>
        <v>1742.789</v>
      </c>
      <c r="CF16" s="115">
        <f t="shared" si="54"/>
        <v>1610.9689999999998</v>
      </c>
      <c r="CG16" s="128">
        <f t="shared" si="54"/>
        <v>1774.9830000000002</v>
      </c>
      <c r="CH16" s="115">
        <f t="shared" si="54"/>
        <v>2015.8609999999999</v>
      </c>
      <c r="CI16" s="115">
        <f t="shared" si="54"/>
        <v>2236.3699999999994</v>
      </c>
      <c r="CJ16" s="128">
        <f t="shared" si="54"/>
        <v>1969.3990000000001</v>
      </c>
      <c r="CK16" s="115">
        <f t="shared" si="54"/>
        <v>2664.6170000000002</v>
      </c>
      <c r="CL16" s="115">
        <f>SUM(CL9:CL15)</f>
        <v>3096.7130000000002</v>
      </c>
      <c r="CM16" s="115">
        <f>SUM(CM9:CM15)</f>
        <v>2305.04</v>
      </c>
      <c r="CN16" s="115">
        <f>SUM(CN9:CN15)</f>
        <v>2514.2515297165128</v>
      </c>
      <c r="CO16" s="115">
        <f>SUM(CO9:CO15)</f>
        <v>3609.1990737671299</v>
      </c>
      <c r="CP16" s="116">
        <f>SUM(CP9:CP15)</f>
        <v>4798.5324974815867</v>
      </c>
      <c r="CQ16" s="20"/>
      <c r="CR16" s="128">
        <f>SUM(CR9:CR15)</f>
        <v>838.74099999999999</v>
      </c>
      <c r="CS16" s="115">
        <f>SUM(CS9:CS15)</f>
        <v>1082.671</v>
      </c>
      <c r="CT16" s="115">
        <f>SUM(CT9:CT15)</f>
        <v>1302.1859999999999</v>
      </c>
      <c r="CU16" s="115">
        <f t="shared" ref="CU16:DD16" si="55">SUM(CU9:CU15)</f>
        <v>1066.5440000000001</v>
      </c>
      <c r="CV16" s="115">
        <f t="shared" si="55"/>
        <v>1797.2219999999998</v>
      </c>
      <c r="CW16" s="115">
        <f t="shared" si="55"/>
        <v>1740.932</v>
      </c>
      <c r="CX16" s="115">
        <f t="shared" si="55"/>
        <v>1442.7369999999999</v>
      </c>
      <c r="CY16" s="115">
        <f t="shared" si="55"/>
        <v>1738.444</v>
      </c>
      <c r="CZ16" s="115">
        <f t="shared" si="55"/>
        <v>1830.0800000000002</v>
      </c>
      <c r="DA16" s="115">
        <f t="shared" si="55"/>
        <v>2296.5830000000001</v>
      </c>
      <c r="DB16" s="115">
        <f t="shared" si="55"/>
        <v>1969.0280000000002</v>
      </c>
      <c r="DC16" s="115">
        <f t="shared" si="55"/>
        <v>1783.4790000000003</v>
      </c>
      <c r="DD16" s="115">
        <f t="shared" si="55"/>
        <v>1632.7209999999998</v>
      </c>
      <c r="DE16" s="115">
        <f>SUM(DE9:DE15)</f>
        <v>1676.7500000000002</v>
      </c>
      <c r="DF16" s="115">
        <f>SUM(DF9:DF15)</f>
        <v>2253.4409999999998</v>
      </c>
      <c r="DG16" s="115">
        <f>SUM(DG9:DG15)</f>
        <v>3339.424362357669</v>
      </c>
      <c r="DH16" s="115">
        <f>SUM(DH9:DH15)</f>
        <v>4510.5681519711843</v>
      </c>
      <c r="DI16" s="22"/>
    </row>
    <row r="17" spans="1:113" ht="14.25" customHeight="1">
      <c r="A17" s="8"/>
      <c r="B17" s="612"/>
      <c r="C17" s="24"/>
      <c r="D17" s="83"/>
      <c r="E17" s="84"/>
      <c r="F17" s="84"/>
      <c r="G17" s="85"/>
      <c r="H17" s="83"/>
      <c r="I17" s="84"/>
      <c r="J17" s="84"/>
      <c r="K17" s="85"/>
      <c r="L17" s="83"/>
      <c r="M17" s="84"/>
      <c r="N17" s="84"/>
      <c r="O17" s="85"/>
      <c r="P17" s="83"/>
      <c r="Q17" s="84"/>
      <c r="R17" s="84"/>
      <c r="S17" s="85"/>
      <c r="T17" s="83"/>
      <c r="U17" s="84"/>
      <c r="V17" s="84"/>
      <c r="W17" s="85"/>
      <c r="X17" s="83"/>
      <c r="Y17" s="84"/>
      <c r="Z17" s="84"/>
      <c r="AA17" s="85"/>
      <c r="AB17" s="83"/>
      <c r="AC17" s="84"/>
      <c r="AD17" s="84"/>
      <c r="AE17" s="85"/>
      <c r="AF17" s="83"/>
      <c r="AG17" s="84"/>
      <c r="AH17" s="84"/>
      <c r="AI17" s="85"/>
      <c r="AJ17" s="84"/>
      <c r="AK17" s="84"/>
      <c r="AL17" s="117"/>
      <c r="AM17" s="117"/>
      <c r="AN17" s="118"/>
      <c r="AO17" s="84"/>
      <c r="AP17" s="117"/>
      <c r="AQ17" s="119"/>
      <c r="AR17" s="118"/>
      <c r="AS17" s="117"/>
      <c r="AT17" s="117"/>
      <c r="AU17" s="119"/>
      <c r="AV17" s="118"/>
      <c r="AW17" s="117"/>
      <c r="AX17" s="117"/>
      <c r="AY17" s="119"/>
      <c r="AZ17" s="118"/>
      <c r="BA17" s="117"/>
      <c r="BB17" s="117"/>
      <c r="BC17" s="119"/>
      <c r="BD17" s="118"/>
      <c r="BE17" s="117"/>
      <c r="BF17" s="117"/>
      <c r="BG17" s="119"/>
      <c r="BH17" s="118"/>
      <c r="BI17" s="117"/>
      <c r="BJ17" s="117"/>
      <c r="BK17" s="955"/>
      <c r="BL17" s="118"/>
      <c r="BM17" s="117"/>
      <c r="BN17" s="117"/>
      <c r="BO17" s="955"/>
      <c r="BP17" s="956"/>
      <c r="BQ17" s="890"/>
      <c r="BR17" s="890"/>
      <c r="BS17" s="955"/>
      <c r="BT17" s="956"/>
      <c r="BU17" s="890"/>
      <c r="BV17" s="890"/>
      <c r="BW17" s="955"/>
      <c r="BX17" s="107"/>
      <c r="BY17" s="84"/>
      <c r="BZ17" s="84"/>
      <c r="CA17" s="84"/>
      <c r="CB17" s="84"/>
      <c r="CC17" s="84"/>
      <c r="CD17" s="84"/>
      <c r="CE17" s="84"/>
      <c r="CF17" s="84"/>
      <c r="CG17" s="83"/>
      <c r="CH17" s="84"/>
      <c r="CI17" s="84"/>
      <c r="CJ17" s="83"/>
      <c r="CK17" s="84"/>
      <c r="CL17" s="81"/>
      <c r="CM17" s="81"/>
      <c r="CN17" s="81"/>
      <c r="CO17" s="81"/>
      <c r="CP17" s="82"/>
      <c r="CQ17" s="20"/>
      <c r="CR17" s="83"/>
      <c r="CS17" s="84"/>
      <c r="CT17" s="84"/>
      <c r="CU17" s="84"/>
      <c r="CV17" s="84"/>
      <c r="CW17" s="84"/>
      <c r="CX17" s="84"/>
      <c r="CY17" s="84"/>
      <c r="CZ17" s="84"/>
      <c r="DA17" s="84"/>
      <c r="DB17" s="84"/>
      <c r="DC17" s="84"/>
      <c r="DD17" s="84"/>
      <c r="DE17" s="84"/>
      <c r="DF17" s="84"/>
      <c r="DG17" s="84"/>
      <c r="DH17" s="84"/>
      <c r="DI17" s="22"/>
    </row>
    <row r="18" spans="1:113" ht="14.25" customHeight="1">
      <c r="A18" s="8"/>
      <c r="B18" s="608" t="s">
        <v>161</v>
      </c>
      <c r="C18" s="28"/>
      <c r="D18" s="83">
        <v>713.399</v>
      </c>
      <c r="E18" s="84">
        <v>784.27599999999995</v>
      </c>
      <c r="F18" s="84">
        <v>777.75300000000004</v>
      </c>
      <c r="G18" s="85">
        <v>767.93299999999999</v>
      </c>
      <c r="H18" s="83">
        <v>719.33100000000002</v>
      </c>
      <c r="I18" s="84">
        <v>703.27200000000005</v>
      </c>
      <c r="J18" s="84">
        <v>693.678</v>
      </c>
      <c r="K18" s="85">
        <v>689.20600000000002</v>
      </c>
      <c r="L18" s="83">
        <v>673.57600000000002</v>
      </c>
      <c r="M18" s="84">
        <v>663.14099999999996</v>
      </c>
      <c r="N18" s="84">
        <v>654.16800000000001</v>
      </c>
      <c r="O18" s="85">
        <v>693.30200000000002</v>
      </c>
      <c r="P18" s="83">
        <v>680.12300000000005</v>
      </c>
      <c r="Q18" s="84">
        <v>662.59199999999998</v>
      </c>
      <c r="R18" s="84">
        <v>653.55999999999995</v>
      </c>
      <c r="S18" s="85">
        <v>659.97199999999998</v>
      </c>
      <c r="T18" s="83">
        <v>648.54200000000003</v>
      </c>
      <c r="U18" s="84">
        <v>638.59199999999998</v>
      </c>
      <c r="V18" s="84">
        <v>624.99599999999998</v>
      </c>
      <c r="W18" s="85">
        <v>605.72199999999998</v>
      </c>
      <c r="X18" s="83">
        <v>604.77200000000005</v>
      </c>
      <c r="Y18" s="84">
        <v>536.31600000000003</v>
      </c>
      <c r="Z18" s="84">
        <v>524.76900000000001</v>
      </c>
      <c r="AA18" s="85">
        <v>522.30499999999995</v>
      </c>
      <c r="AB18" s="83">
        <v>520.79</v>
      </c>
      <c r="AC18" s="84">
        <v>543.12199999999996</v>
      </c>
      <c r="AD18" s="84">
        <v>543.70500000000004</v>
      </c>
      <c r="AE18" s="85">
        <v>531.68700000000001</v>
      </c>
      <c r="AF18" s="83">
        <v>513.76499999999999</v>
      </c>
      <c r="AG18" s="84">
        <v>497.95800000000003</v>
      </c>
      <c r="AH18" s="84">
        <v>495.065</v>
      </c>
      <c r="AI18" s="85">
        <v>493.03899999999999</v>
      </c>
      <c r="AJ18" s="84">
        <v>507.666</v>
      </c>
      <c r="AK18" s="84">
        <v>517.66800000000001</v>
      </c>
      <c r="AL18" s="84">
        <v>528.21500000000003</v>
      </c>
      <c r="AM18" s="84">
        <v>540.51300000000003</v>
      </c>
      <c r="AN18" s="83">
        <v>545.70299999999997</v>
      </c>
      <c r="AO18" s="84">
        <v>548.97699999999998</v>
      </c>
      <c r="AP18" s="84">
        <v>533.65200000000004</v>
      </c>
      <c r="AQ18" s="85">
        <v>516.61099999999999</v>
      </c>
      <c r="AR18" s="83">
        <v>506.22899999999998</v>
      </c>
      <c r="AS18" s="84">
        <v>536.72699999999998</v>
      </c>
      <c r="AT18" s="84">
        <v>522.73699999999997</v>
      </c>
      <c r="AU18" s="85">
        <v>514.54399999999998</v>
      </c>
      <c r="AV18" s="83">
        <v>513.72299999999996</v>
      </c>
      <c r="AW18" s="84">
        <v>518.19100000000003</v>
      </c>
      <c r="AX18" s="84">
        <v>520.56500000000005</v>
      </c>
      <c r="AY18" s="85">
        <v>531.96699999999998</v>
      </c>
      <c r="AZ18" s="83">
        <v>569.90800000000002</v>
      </c>
      <c r="BA18" s="84">
        <v>585.10199999999998</v>
      </c>
      <c r="BB18" s="84">
        <v>577.12300000000005</v>
      </c>
      <c r="BC18" s="85">
        <v>581.572</v>
      </c>
      <c r="BD18" s="83">
        <v>595.24699999999996</v>
      </c>
      <c r="BE18" s="84">
        <v>631.6</v>
      </c>
      <c r="BF18" s="84">
        <v>622.84199999999998</v>
      </c>
      <c r="BG18" s="85">
        <v>609.39599999999996</v>
      </c>
      <c r="BH18" s="83">
        <v>732.81600000000003</v>
      </c>
      <c r="BI18" s="84">
        <v>716.99800000000005</v>
      </c>
      <c r="BJ18" s="84">
        <v>698.70399999999995</v>
      </c>
      <c r="BK18" s="85">
        <v>683.33799999999997</v>
      </c>
      <c r="BL18" s="83">
        <v>693.995</v>
      </c>
      <c r="BM18" s="84">
        <v>722.78</v>
      </c>
      <c r="BN18" s="84">
        <v>754.78</v>
      </c>
      <c r="BO18" s="714">
        <f>CFS!BO69</f>
        <v>779.94086562799998</v>
      </c>
      <c r="BP18" s="712">
        <f>CFS!BP69</f>
        <v>789.10493968800006</v>
      </c>
      <c r="BQ18" s="713">
        <f>CFS!BQ69</f>
        <v>799.55800179417997</v>
      </c>
      <c r="BR18" s="713">
        <f>CFS!BR69</f>
        <v>809.14749859437848</v>
      </c>
      <c r="BS18" s="714">
        <f>CFS!BS69</f>
        <v>818.36199131532771</v>
      </c>
      <c r="BT18" s="712">
        <f>CFS!BT69</f>
        <v>829.21837616411563</v>
      </c>
      <c r="BU18" s="713">
        <f>CFS!BU69</f>
        <v>841.17622800207255</v>
      </c>
      <c r="BV18" s="713">
        <f>CFS!BV69</f>
        <v>852.49669848022313</v>
      </c>
      <c r="BW18" s="714">
        <f>CFS!BW69</f>
        <v>863.42564255342222</v>
      </c>
      <c r="BX18" s="107"/>
      <c r="BY18" s="81">
        <f t="shared" ref="BY18:BY24" si="56">G18</f>
        <v>767.93299999999999</v>
      </c>
      <c r="BZ18" s="81">
        <f t="shared" ref="BZ18:BZ24" si="57">K18</f>
        <v>689.20600000000002</v>
      </c>
      <c r="CA18" s="81">
        <f t="shared" ref="CA18:CA24" si="58">O18</f>
        <v>693.30200000000002</v>
      </c>
      <c r="CB18" s="81">
        <f t="shared" ref="CB18:CB24" si="59">S18</f>
        <v>659.97199999999998</v>
      </c>
      <c r="CC18" s="81">
        <f t="shared" ref="CC18:CC24" si="60">W18</f>
        <v>605.72199999999998</v>
      </c>
      <c r="CD18" s="81">
        <f t="shared" ref="CD18:CD24" si="61">AA18</f>
        <v>522.30499999999995</v>
      </c>
      <c r="CE18" s="81">
        <f t="shared" ref="CE18:CE24" si="62">AE18</f>
        <v>531.68700000000001</v>
      </c>
      <c r="CF18" s="81">
        <f t="shared" ref="CF18:CF24" si="63">AI18</f>
        <v>493.03899999999999</v>
      </c>
      <c r="CG18" s="80">
        <f t="shared" ref="CG18:CG24" si="64">AM18</f>
        <v>540.51300000000003</v>
      </c>
      <c r="CH18" s="81">
        <f t="shared" ref="CH18:CH24" si="65">AQ18</f>
        <v>516.61099999999999</v>
      </c>
      <c r="CI18" s="81">
        <f t="shared" ref="CI18:CI24" si="66">AU18</f>
        <v>514.54399999999998</v>
      </c>
      <c r="CJ18" s="80">
        <f t="shared" ref="CJ18:CJ24" si="67">AY18</f>
        <v>531.96699999999998</v>
      </c>
      <c r="CK18" s="81">
        <f t="shared" ref="CK18:CK24" si="68">BC18</f>
        <v>581.572</v>
      </c>
      <c r="CL18" s="81">
        <f t="shared" ref="CL18:CL24" si="69">BG18</f>
        <v>609.39599999999996</v>
      </c>
      <c r="CM18" s="81">
        <f t="shared" ref="CM18:CM24" si="70">BK18</f>
        <v>683.33799999999997</v>
      </c>
      <c r="CN18" s="81">
        <f t="shared" ref="CN18:CN24" si="71">BO18</f>
        <v>779.94086562799998</v>
      </c>
      <c r="CO18" s="81">
        <f t="shared" ref="CO18:CO24" si="72">BS18</f>
        <v>818.36199131532771</v>
      </c>
      <c r="CP18" s="82">
        <f t="shared" ref="CP18:CP24" si="73">BW18</f>
        <v>863.42564255342222</v>
      </c>
      <c r="CQ18" s="20"/>
      <c r="CR18" s="80">
        <f t="shared" ref="CR18:CR24" si="74">J18</f>
        <v>693.678</v>
      </c>
      <c r="CS18" s="81">
        <f t="shared" ref="CS18:CS24" si="75">N18</f>
        <v>654.16800000000001</v>
      </c>
      <c r="CT18" s="81">
        <f t="shared" ref="CT18:CT24" si="76">R18</f>
        <v>653.55999999999995</v>
      </c>
      <c r="CU18" s="81">
        <f t="shared" ref="CU18:CU24" si="77">V18</f>
        <v>624.99599999999998</v>
      </c>
      <c r="CV18" s="81">
        <f t="shared" ref="CV18:CV24" si="78">Z18</f>
        <v>524.76900000000001</v>
      </c>
      <c r="CW18" s="81">
        <f t="shared" ref="CW18:CW24" si="79">AD18</f>
        <v>543.70500000000004</v>
      </c>
      <c r="CX18" s="81">
        <f t="shared" ref="CX18:CX24" si="80">AH18</f>
        <v>495.065</v>
      </c>
      <c r="CY18" s="81">
        <f t="shared" ref="CY18:CY24" si="81">AL18</f>
        <v>528.21500000000003</v>
      </c>
      <c r="CZ18" s="81">
        <f t="shared" ref="CZ18:CZ24" si="82">AP18</f>
        <v>533.65200000000004</v>
      </c>
      <c r="DA18" s="81">
        <f t="shared" ref="DA18:DA24" si="83">AT18</f>
        <v>522.73699999999997</v>
      </c>
      <c r="DB18" s="81">
        <f t="shared" ref="DB18:DB24" si="84">AX18</f>
        <v>520.56500000000005</v>
      </c>
      <c r="DC18" s="81">
        <f t="shared" ref="DC18:DC24" si="85">BB18</f>
        <v>577.12300000000005</v>
      </c>
      <c r="DD18" s="81">
        <f t="shared" ref="DD18:DD24" si="86">BF18</f>
        <v>622.84199999999998</v>
      </c>
      <c r="DE18" s="81">
        <f t="shared" ref="DE18:DE24" si="87">BJ18</f>
        <v>698.70399999999995</v>
      </c>
      <c r="DF18" s="81">
        <f t="shared" ref="DF18:DF24" si="88">BN18</f>
        <v>754.78</v>
      </c>
      <c r="DG18" s="81">
        <f t="shared" ref="DG18:DG24" si="89">BR18</f>
        <v>809.14749859437848</v>
      </c>
      <c r="DH18" s="81">
        <f t="shared" ref="DH18:DH24" si="90">BV18</f>
        <v>852.49669848022313</v>
      </c>
      <c r="DI18" s="22"/>
    </row>
    <row r="19" spans="1:113" ht="14.25" hidden="1" customHeight="1" outlineLevel="1">
      <c r="A19" s="8"/>
      <c r="B19" s="608" t="s">
        <v>125</v>
      </c>
      <c r="C19" s="28"/>
      <c r="D19" s="83">
        <v>0</v>
      </c>
      <c r="E19" s="84">
        <v>0</v>
      </c>
      <c r="F19" s="84">
        <v>0</v>
      </c>
      <c r="G19" s="85">
        <v>0</v>
      </c>
      <c r="H19" s="83">
        <v>0</v>
      </c>
      <c r="I19" s="84">
        <v>0</v>
      </c>
      <c r="J19" s="84">
        <v>0</v>
      </c>
      <c r="K19" s="85">
        <v>0</v>
      </c>
      <c r="L19" s="83">
        <v>0</v>
      </c>
      <c r="M19" s="84">
        <v>0</v>
      </c>
      <c r="N19" s="84">
        <v>0</v>
      </c>
      <c r="O19" s="85">
        <v>0</v>
      </c>
      <c r="P19" s="83">
        <v>0</v>
      </c>
      <c r="Q19" s="84">
        <v>0</v>
      </c>
      <c r="R19" s="84">
        <v>0</v>
      </c>
      <c r="S19" s="85">
        <v>0</v>
      </c>
      <c r="T19" s="83">
        <v>0</v>
      </c>
      <c r="U19" s="84">
        <v>0</v>
      </c>
      <c r="V19" s="84">
        <v>0</v>
      </c>
      <c r="W19" s="85">
        <v>0</v>
      </c>
      <c r="X19" s="83">
        <v>0</v>
      </c>
      <c r="Y19" s="84">
        <v>0</v>
      </c>
      <c r="Z19" s="84">
        <v>0</v>
      </c>
      <c r="AA19" s="85">
        <v>0</v>
      </c>
      <c r="AB19" s="83">
        <v>0</v>
      </c>
      <c r="AC19" s="84">
        <v>0</v>
      </c>
      <c r="AD19" s="84">
        <v>0</v>
      </c>
      <c r="AE19" s="85">
        <v>0</v>
      </c>
      <c r="AF19" s="83">
        <v>0</v>
      </c>
      <c r="AG19" s="84">
        <v>0</v>
      </c>
      <c r="AH19" s="84">
        <v>0</v>
      </c>
      <c r="AI19" s="85">
        <v>0</v>
      </c>
      <c r="AJ19" s="84">
        <v>0</v>
      </c>
      <c r="AK19" s="84">
        <v>0</v>
      </c>
      <c r="AL19" s="84">
        <v>0</v>
      </c>
      <c r="AM19" s="84">
        <v>0</v>
      </c>
      <c r="AN19" s="83">
        <v>0</v>
      </c>
      <c r="AO19" s="84">
        <v>0</v>
      </c>
      <c r="AP19" s="84">
        <v>0</v>
      </c>
      <c r="AQ19" s="85">
        <v>0</v>
      </c>
      <c r="AR19" s="83">
        <v>0</v>
      </c>
      <c r="AS19" s="84">
        <v>0</v>
      </c>
      <c r="AT19" s="84">
        <v>0</v>
      </c>
      <c r="AU19" s="85">
        <v>0</v>
      </c>
      <c r="AV19" s="83">
        <v>0</v>
      </c>
      <c r="AW19" s="84">
        <v>0</v>
      </c>
      <c r="AX19" s="84">
        <v>0</v>
      </c>
      <c r="AY19" s="85">
        <v>0</v>
      </c>
      <c r="AZ19" s="83">
        <v>0</v>
      </c>
      <c r="BA19" s="84">
        <v>0</v>
      </c>
      <c r="BB19" s="84">
        <v>0</v>
      </c>
      <c r="BC19" s="85">
        <v>0</v>
      </c>
      <c r="BD19" s="83">
        <v>0</v>
      </c>
      <c r="BE19" s="84">
        <v>0</v>
      </c>
      <c r="BF19" s="84">
        <v>0</v>
      </c>
      <c r="BG19" s="85">
        <v>0</v>
      </c>
      <c r="BH19" s="83">
        <v>0</v>
      </c>
      <c r="BI19" s="84">
        <v>0</v>
      </c>
      <c r="BJ19" s="84">
        <v>0</v>
      </c>
      <c r="BK19" s="85">
        <v>0</v>
      </c>
      <c r="BL19" s="83">
        <v>0</v>
      </c>
      <c r="BM19" s="84">
        <f t="shared" ref="BM19:BO21" si="91">BL19</f>
        <v>0</v>
      </c>
      <c r="BN19" s="84">
        <v>0</v>
      </c>
      <c r="BO19" s="82">
        <f t="shared" si="91"/>
        <v>0</v>
      </c>
      <c r="BP19" s="80">
        <f t="shared" ref="BP19:BS21" si="92">BO19</f>
        <v>0</v>
      </c>
      <c r="BQ19" s="81">
        <f t="shared" si="92"/>
        <v>0</v>
      </c>
      <c r="BR19" s="81">
        <f t="shared" si="92"/>
        <v>0</v>
      </c>
      <c r="BS19" s="82">
        <f t="shared" si="92"/>
        <v>0</v>
      </c>
      <c r="BT19" s="80">
        <f t="shared" ref="BT19:BT21" si="93">BS19</f>
        <v>0</v>
      </c>
      <c r="BU19" s="81">
        <f t="shared" ref="BU19:BU21" si="94">BT19</f>
        <v>0</v>
      </c>
      <c r="BV19" s="81">
        <f t="shared" ref="BV19:BV21" si="95">BU19</f>
        <v>0</v>
      </c>
      <c r="BW19" s="82">
        <f t="shared" ref="BW19:BW21" si="96">BV19</f>
        <v>0</v>
      </c>
      <c r="BX19" s="107"/>
      <c r="BY19" s="81">
        <f t="shared" si="56"/>
        <v>0</v>
      </c>
      <c r="BZ19" s="81">
        <f t="shared" si="57"/>
        <v>0</v>
      </c>
      <c r="CA19" s="81">
        <f t="shared" si="58"/>
        <v>0</v>
      </c>
      <c r="CB19" s="81">
        <f t="shared" si="59"/>
        <v>0</v>
      </c>
      <c r="CC19" s="81">
        <f t="shared" si="60"/>
        <v>0</v>
      </c>
      <c r="CD19" s="81">
        <f t="shared" si="61"/>
        <v>0</v>
      </c>
      <c r="CE19" s="81">
        <f t="shared" si="62"/>
        <v>0</v>
      </c>
      <c r="CF19" s="81">
        <f t="shared" si="63"/>
        <v>0</v>
      </c>
      <c r="CG19" s="80">
        <f t="shared" si="64"/>
        <v>0</v>
      </c>
      <c r="CH19" s="81">
        <f t="shared" si="65"/>
        <v>0</v>
      </c>
      <c r="CI19" s="81">
        <f t="shared" si="66"/>
        <v>0</v>
      </c>
      <c r="CJ19" s="80">
        <f t="shared" si="67"/>
        <v>0</v>
      </c>
      <c r="CK19" s="81">
        <f t="shared" si="68"/>
        <v>0</v>
      </c>
      <c r="CL19" s="81">
        <f t="shared" si="69"/>
        <v>0</v>
      </c>
      <c r="CM19" s="81">
        <f t="shared" si="70"/>
        <v>0</v>
      </c>
      <c r="CN19" s="81">
        <f t="shared" si="71"/>
        <v>0</v>
      </c>
      <c r="CO19" s="81">
        <f t="shared" si="72"/>
        <v>0</v>
      </c>
      <c r="CP19" s="82">
        <f t="shared" si="73"/>
        <v>0</v>
      </c>
      <c r="CQ19" s="20"/>
      <c r="CR19" s="80">
        <f t="shared" si="74"/>
        <v>0</v>
      </c>
      <c r="CS19" s="81">
        <f t="shared" si="75"/>
        <v>0</v>
      </c>
      <c r="CT19" s="81">
        <f t="shared" si="76"/>
        <v>0</v>
      </c>
      <c r="CU19" s="81">
        <f t="shared" si="77"/>
        <v>0</v>
      </c>
      <c r="CV19" s="81">
        <f t="shared" si="78"/>
        <v>0</v>
      </c>
      <c r="CW19" s="81">
        <f t="shared" si="79"/>
        <v>0</v>
      </c>
      <c r="CX19" s="81">
        <f t="shared" si="80"/>
        <v>0</v>
      </c>
      <c r="CY19" s="81">
        <f t="shared" si="81"/>
        <v>0</v>
      </c>
      <c r="CZ19" s="81">
        <f t="shared" si="82"/>
        <v>0</v>
      </c>
      <c r="DA19" s="81">
        <f t="shared" si="83"/>
        <v>0</v>
      </c>
      <c r="DB19" s="81">
        <f t="shared" si="84"/>
        <v>0</v>
      </c>
      <c r="DC19" s="81">
        <f t="shared" si="85"/>
        <v>0</v>
      </c>
      <c r="DD19" s="81">
        <f t="shared" si="86"/>
        <v>0</v>
      </c>
      <c r="DE19" s="81">
        <f t="shared" si="87"/>
        <v>0</v>
      </c>
      <c r="DF19" s="81">
        <f t="shared" si="88"/>
        <v>0</v>
      </c>
      <c r="DG19" s="81">
        <f t="shared" si="89"/>
        <v>0</v>
      </c>
      <c r="DH19" s="81">
        <f t="shared" si="90"/>
        <v>0</v>
      </c>
      <c r="DI19" s="22"/>
    </row>
    <row r="20" spans="1:113" ht="14.25" customHeight="1" collapsed="1">
      <c r="A20" s="8"/>
      <c r="B20" s="608" t="s">
        <v>178</v>
      </c>
      <c r="C20" s="28"/>
      <c r="D20" s="83">
        <v>0</v>
      </c>
      <c r="E20" s="84">
        <v>0</v>
      </c>
      <c r="F20" s="84">
        <v>0</v>
      </c>
      <c r="G20" s="85">
        <v>0</v>
      </c>
      <c r="H20" s="83">
        <v>0</v>
      </c>
      <c r="I20" s="84">
        <v>0</v>
      </c>
      <c r="J20" s="84">
        <v>0</v>
      </c>
      <c r="K20" s="85">
        <v>0</v>
      </c>
      <c r="L20" s="83">
        <v>0</v>
      </c>
      <c r="M20" s="84">
        <v>0</v>
      </c>
      <c r="N20" s="84">
        <v>0</v>
      </c>
      <c r="O20" s="85">
        <v>0</v>
      </c>
      <c r="P20" s="83">
        <v>0</v>
      </c>
      <c r="Q20" s="84">
        <v>0</v>
      </c>
      <c r="R20" s="84">
        <v>0</v>
      </c>
      <c r="S20" s="85">
        <v>520.36</v>
      </c>
      <c r="T20" s="83">
        <v>490.26799999999997</v>
      </c>
      <c r="U20" s="84">
        <v>653.41300000000001</v>
      </c>
      <c r="V20" s="84">
        <v>536.00800000000004</v>
      </c>
      <c r="W20" s="85">
        <v>527.91</v>
      </c>
      <c r="X20" s="83">
        <v>621.90899999999999</v>
      </c>
      <c r="Y20" s="84">
        <v>415.54300000000001</v>
      </c>
      <c r="Z20" s="84">
        <v>215.38399999999999</v>
      </c>
      <c r="AA20" s="85">
        <v>194.274</v>
      </c>
      <c r="AB20" s="83">
        <v>513.55499999999995</v>
      </c>
      <c r="AC20" s="84">
        <v>411.28100000000001</v>
      </c>
      <c r="AD20" s="84">
        <v>76.331999999999994</v>
      </c>
      <c r="AE20" s="85">
        <v>50.826000000000001</v>
      </c>
      <c r="AF20" s="83">
        <v>30.728999999999999</v>
      </c>
      <c r="AG20" s="84">
        <v>108.729</v>
      </c>
      <c r="AH20" s="84">
        <f>421.628</f>
        <v>421.62799999999999</v>
      </c>
      <c r="AI20" s="85">
        <v>317.21499999999997</v>
      </c>
      <c r="AJ20" s="84">
        <v>160.12899999999999</v>
      </c>
      <c r="AK20" s="84">
        <v>190.15199999999999</v>
      </c>
      <c r="AL20" s="84">
        <v>381.83199999999999</v>
      </c>
      <c r="AM20" s="85">
        <v>464.83800000000002</v>
      </c>
      <c r="AN20" s="84">
        <v>199.55</v>
      </c>
      <c r="AO20" s="84">
        <v>359.98</v>
      </c>
      <c r="AP20" s="84">
        <v>468.08600000000001</v>
      </c>
      <c r="AQ20" s="85">
        <v>328.58600000000001</v>
      </c>
      <c r="AR20" s="84">
        <v>159.476</v>
      </c>
      <c r="AS20" s="84">
        <v>154.00200000000001</v>
      </c>
      <c r="AT20" s="84">
        <v>149.66200000000001</v>
      </c>
      <c r="AU20" s="85">
        <v>257.45</v>
      </c>
      <c r="AV20" s="84">
        <v>933.375</v>
      </c>
      <c r="AW20" s="84">
        <v>829.65599999999995</v>
      </c>
      <c r="AX20" s="84">
        <v>723.92499999999995</v>
      </c>
      <c r="AY20" s="85">
        <v>798.71199999999999</v>
      </c>
      <c r="AZ20" s="84">
        <v>527.53899999999999</v>
      </c>
      <c r="BA20" s="84">
        <v>841.27700000000004</v>
      </c>
      <c r="BB20" s="84">
        <v>1107.2239999999999</v>
      </c>
      <c r="BC20" s="85">
        <v>383.32600000000002</v>
      </c>
      <c r="BD20" s="84">
        <v>898.024</v>
      </c>
      <c r="BE20" s="84">
        <v>584.91</v>
      </c>
      <c r="BF20" s="84">
        <v>1389.989</v>
      </c>
      <c r="BG20" s="85">
        <v>118.54900000000001</v>
      </c>
      <c r="BH20" s="84">
        <v>0</v>
      </c>
      <c r="BI20" s="84">
        <v>0</v>
      </c>
      <c r="BJ20" s="84">
        <v>30.007000000000001</v>
      </c>
      <c r="BK20" s="85">
        <v>107.45699999999999</v>
      </c>
      <c r="BL20" s="84">
        <v>420.45800000000003</v>
      </c>
      <c r="BM20" s="84">
        <v>529.24900000000002</v>
      </c>
      <c r="BN20" s="84">
        <v>885.39200000000005</v>
      </c>
      <c r="BO20" s="82">
        <f t="shared" si="91"/>
        <v>885.39200000000005</v>
      </c>
      <c r="BP20" s="81">
        <f t="shared" si="92"/>
        <v>885.39200000000005</v>
      </c>
      <c r="BQ20" s="81">
        <f t="shared" si="92"/>
        <v>885.39200000000005</v>
      </c>
      <c r="BR20" s="81">
        <f t="shared" si="92"/>
        <v>885.39200000000005</v>
      </c>
      <c r="BS20" s="82">
        <f t="shared" si="92"/>
        <v>885.39200000000005</v>
      </c>
      <c r="BT20" s="81">
        <f t="shared" si="93"/>
        <v>885.39200000000005</v>
      </c>
      <c r="BU20" s="81">
        <f t="shared" si="94"/>
        <v>885.39200000000005</v>
      </c>
      <c r="BV20" s="81">
        <f t="shared" si="95"/>
        <v>885.39200000000005</v>
      </c>
      <c r="BW20" s="82">
        <f t="shared" si="96"/>
        <v>885.39200000000005</v>
      </c>
      <c r="BX20" s="107"/>
      <c r="BY20" s="81">
        <f t="shared" si="56"/>
        <v>0</v>
      </c>
      <c r="BZ20" s="81">
        <f t="shared" si="57"/>
        <v>0</v>
      </c>
      <c r="CA20" s="81">
        <f t="shared" si="58"/>
        <v>0</v>
      </c>
      <c r="CB20" s="81">
        <f t="shared" si="59"/>
        <v>520.36</v>
      </c>
      <c r="CC20" s="81">
        <f t="shared" si="60"/>
        <v>527.91</v>
      </c>
      <c r="CD20" s="81">
        <f t="shared" si="61"/>
        <v>194.274</v>
      </c>
      <c r="CE20" s="81">
        <f t="shared" si="62"/>
        <v>50.826000000000001</v>
      </c>
      <c r="CF20" s="81">
        <f t="shared" si="63"/>
        <v>317.21499999999997</v>
      </c>
      <c r="CG20" s="80">
        <f t="shared" si="64"/>
        <v>464.83800000000002</v>
      </c>
      <c r="CH20" s="81">
        <f t="shared" si="65"/>
        <v>328.58600000000001</v>
      </c>
      <c r="CI20" s="81">
        <f t="shared" si="66"/>
        <v>257.45</v>
      </c>
      <c r="CJ20" s="80">
        <f t="shared" si="67"/>
        <v>798.71199999999999</v>
      </c>
      <c r="CK20" s="81">
        <f t="shared" si="68"/>
        <v>383.32600000000002</v>
      </c>
      <c r="CL20" s="81">
        <f t="shared" si="69"/>
        <v>118.54900000000001</v>
      </c>
      <c r="CM20" s="81">
        <f t="shared" si="70"/>
        <v>107.45699999999999</v>
      </c>
      <c r="CN20" s="81">
        <f t="shared" si="71"/>
        <v>885.39200000000005</v>
      </c>
      <c r="CO20" s="81">
        <f t="shared" si="72"/>
        <v>885.39200000000005</v>
      </c>
      <c r="CP20" s="82">
        <f t="shared" si="73"/>
        <v>885.39200000000005</v>
      </c>
      <c r="CQ20" s="20"/>
      <c r="CR20" s="80">
        <f t="shared" si="74"/>
        <v>0</v>
      </c>
      <c r="CS20" s="81">
        <f t="shared" si="75"/>
        <v>0</v>
      </c>
      <c r="CT20" s="81">
        <f t="shared" si="76"/>
        <v>0</v>
      </c>
      <c r="CU20" s="81">
        <f t="shared" si="77"/>
        <v>536.00800000000004</v>
      </c>
      <c r="CV20" s="81">
        <f t="shared" si="78"/>
        <v>215.38399999999999</v>
      </c>
      <c r="CW20" s="81">
        <f t="shared" si="79"/>
        <v>76.331999999999994</v>
      </c>
      <c r="CX20" s="81">
        <f t="shared" si="80"/>
        <v>421.62799999999999</v>
      </c>
      <c r="CY20" s="81">
        <f t="shared" si="81"/>
        <v>381.83199999999999</v>
      </c>
      <c r="CZ20" s="81">
        <f t="shared" si="82"/>
        <v>468.08600000000001</v>
      </c>
      <c r="DA20" s="81">
        <f t="shared" si="83"/>
        <v>149.66200000000001</v>
      </c>
      <c r="DB20" s="81">
        <f t="shared" si="84"/>
        <v>723.92499999999995</v>
      </c>
      <c r="DC20" s="81">
        <f t="shared" si="85"/>
        <v>1107.2239999999999</v>
      </c>
      <c r="DD20" s="81">
        <f t="shared" si="86"/>
        <v>1389.989</v>
      </c>
      <c r="DE20" s="81">
        <f t="shared" si="87"/>
        <v>30.007000000000001</v>
      </c>
      <c r="DF20" s="81">
        <f t="shared" si="88"/>
        <v>885.39200000000005</v>
      </c>
      <c r="DG20" s="81">
        <f t="shared" si="89"/>
        <v>885.39200000000005</v>
      </c>
      <c r="DH20" s="81">
        <f t="shared" si="90"/>
        <v>885.39200000000005</v>
      </c>
      <c r="DI20" s="22"/>
    </row>
    <row r="21" spans="1:113" ht="14.25" customHeight="1">
      <c r="A21" s="8"/>
      <c r="B21" s="608" t="s">
        <v>31</v>
      </c>
      <c r="C21" s="28"/>
      <c r="D21" s="83">
        <v>30.294</v>
      </c>
      <c r="E21" s="84">
        <v>30.745999999999999</v>
      </c>
      <c r="F21" s="84">
        <v>30.745999999999999</v>
      </c>
      <c r="G21" s="85">
        <v>32.345999999999997</v>
      </c>
      <c r="H21" s="83">
        <v>32.345999999999997</v>
      </c>
      <c r="I21" s="84">
        <v>32.345999999999997</v>
      </c>
      <c r="J21" s="84">
        <v>32.345999999999997</v>
      </c>
      <c r="K21" s="85">
        <v>32.345999999999997</v>
      </c>
      <c r="L21" s="83">
        <v>32.345999999999997</v>
      </c>
      <c r="M21" s="84">
        <v>32.345999999999997</v>
      </c>
      <c r="N21" s="84">
        <v>32.345999999999997</v>
      </c>
      <c r="O21" s="85">
        <v>31.885999999999999</v>
      </c>
      <c r="P21" s="83">
        <v>31.885999999999999</v>
      </c>
      <c r="Q21" s="84">
        <v>31.885999999999999</v>
      </c>
      <c r="R21" s="84">
        <v>31.885999999999999</v>
      </c>
      <c r="S21" s="85">
        <v>31.885999999999999</v>
      </c>
      <c r="T21" s="83">
        <v>31.885999999999999</v>
      </c>
      <c r="U21" s="84">
        <v>31.885999999999999</v>
      </c>
      <c r="V21" s="84">
        <v>31.885999999999999</v>
      </c>
      <c r="W21" s="85">
        <v>31.885999999999999</v>
      </c>
      <c r="X21" s="83">
        <v>31.885999999999999</v>
      </c>
      <c r="Y21" s="84">
        <v>31.885999999999999</v>
      </c>
      <c r="Z21" s="84">
        <v>31.885999999999999</v>
      </c>
      <c r="AA21" s="85">
        <v>31.885999999999999</v>
      </c>
      <c r="AB21" s="83">
        <v>31.885999999999999</v>
      </c>
      <c r="AC21" s="84">
        <v>31.885999999999999</v>
      </c>
      <c r="AD21" s="84">
        <v>34.179000000000002</v>
      </c>
      <c r="AE21" s="85">
        <v>36.164999999999999</v>
      </c>
      <c r="AF21" s="83">
        <v>36.164999999999999</v>
      </c>
      <c r="AG21" s="84">
        <v>36.164999999999999</v>
      </c>
      <c r="AH21" s="84">
        <v>36.164999999999999</v>
      </c>
      <c r="AI21" s="85">
        <v>40.338000000000001</v>
      </c>
      <c r="AJ21" s="84">
        <v>49.473999999999997</v>
      </c>
      <c r="AK21" s="84">
        <v>49.354999999999997</v>
      </c>
      <c r="AL21" s="84">
        <v>59.457000000000001</v>
      </c>
      <c r="AM21" s="84">
        <v>76.018000000000001</v>
      </c>
      <c r="AN21" s="83">
        <v>76.028000000000006</v>
      </c>
      <c r="AO21" s="84">
        <v>76.061000000000007</v>
      </c>
      <c r="AP21" s="84">
        <v>76.097999999999999</v>
      </c>
      <c r="AQ21" s="85">
        <v>93.513000000000005</v>
      </c>
      <c r="AR21" s="83">
        <v>102.193</v>
      </c>
      <c r="AS21" s="84">
        <v>260.05900000000003</v>
      </c>
      <c r="AT21" s="84">
        <v>263.31099999999998</v>
      </c>
      <c r="AU21" s="85">
        <v>271.34800000000001</v>
      </c>
      <c r="AV21" s="83">
        <v>268.54700000000003</v>
      </c>
      <c r="AW21" s="84">
        <v>268.57</v>
      </c>
      <c r="AX21" s="84">
        <v>275.96699999999998</v>
      </c>
      <c r="AY21" s="85">
        <v>276.09699999999998</v>
      </c>
      <c r="AZ21" s="83">
        <v>409.88499999999999</v>
      </c>
      <c r="BA21" s="84">
        <v>557.96500000000003</v>
      </c>
      <c r="BB21" s="84">
        <v>565.29</v>
      </c>
      <c r="BC21" s="85">
        <v>571.27099999999996</v>
      </c>
      <c r="BD21" s="83">
        <v>571.66</v>
      </c>
      <c r="BE21" s="84">
        <v>1008.72</v>
      </c>
      <c r="BF21" s="84">
        <v>1011.227</v>
      </c>
      <c r="BG21" s="85">
        <v>1012.652</v>
      </c>
      <c r="BH21" s="83">
        <v>2390.9549999999999</v>
      </c>
      <c r="BI21" s="84">
        <v>2384.7399999999998</v>
      </c>
      <c r="BJ21" s="84">
        <v>2362.09</v>
      </c>
      <c r="BK21" s="85">
        <v>2299.009</v>
      </c>
      <c r="BL21" s="83">
        <v>2299.009</v>
      </c>
      <c r="BM21" s="84">
        <v>2299.009</v>
      </c>
      <c r="BN21" s="84">
        <v>2299.009</v>
      </c>
      <c r="BO21" s="82">
        <f t="shared" si="91"/>
        <v>2299.009</v>
      </c>
      <c r="BP21" s="80">
        <f t="shared" si="92"/>
        <v>2299.009</v>
      </c>
      <c r="BQ21" s="81">
        <f t="shared" si="92"/>
        <v>2299.009</v>
      </c>
      <c r="BR21" s="81">
        <f t="shared" si="92"/>
        <v>2299.009</v>
      </c>
      <c r="BS21" s="82">
        <f t="shared" si="92"/>
        <v>2299.009</v>
      </c>
      <c r="BT21" s="80">
        <f t="shared" si="93"/>
        <v>2299.009</v>
      </c>
      <c r="BU21" s="81">
        <f t="shared" si="94"/>
        <v>2299.009</v>
      </c>
      <c r="BV21" s="81">
        <f t="shared" si="95"/>
        <v>2299.009</v>
      </c>
      <c r="BW21" s="82">
        <f t="shared" si="96"/>
        <v>2299.009</v>
      </c>
      <c r="BX21" s="107"/>
      <c r="BY21" s="81">
        <f t="shared" si="56"/>
        <v>32.345999999999997</v>
      </c>
      <c r="BZ21" s="81">
        <f t="shared" si="57"/>
        <v>32.345999999999997</v>
      </c>
      <c r="CA21" s="81">
        <f t="shared" si="58"/>
        <v>31.885999999999999</v>
      </c>
      <c r="CB21" s="81">
        <f t="shared" si="59"/>
        <v>31.885999999999999</v>
      </c>
      <c r="CC21" s="81">
        <f t="shared" si="60"/>
        <v>31.885999999999999</v>
      </c>
      <c r="CD21" s="81">
        <f t="shared" si="61"/>
        <v>31.885999999999999</v>
      </c>
      <c r="CE21" s="81">
        <f t="shared" si="62"/>
        <v>36.164999999999999</v>
      </c>
      <c r="CF21" s="81">
        <f t="shared" si="63"/>
        <v>40.338000000000001</v>
      </c>
      <c r="CG21" s="80">
        <f t="shared" si="64"/>
        <v>76.018000000000001</v>
      </c>
      <c r="CH21" s="81">
        <f t="shared" si="65"/>
        <v>93.513000000000005</v>
      </c>
      <c r="CI21" s="81">
        <f t="shared" si="66"/>
        <v>271.34800000000001</v>
      </c>
      <c r="CJ21" s="80">
        <f t="shared" si="67"/>
        <v>276.09699999999998</v>
      </c>
      <c r="CK21" s="81">
        <f t="shared" si="68"/>
        <v>571.27099999999996</v>
      </c>
      <c r="CL21" s="81">
        <f t="shared" si="69"/>
        <v>1012.652</v>
      </c>
      <c r="CM21" s="81">
        <f t="shared" si="70"/>
        <v>2299.009</v>
      </c>
      <c r="CN21" s="81">
        <f t="shared" si="71"/>
        <v>2299.009</v>
      </c>
      <c r="CO21" s="81">
        <f t="shared" si="72"/>
        <v>2299.009</v>
      </c>
      <c r="CP21" s="82">
        <f t="shared" si="73"/>
        <v>2299.009</v>
      </c>
      <c r="CQ21" s="20"/>
      <c r="CR21" s="80">
        <f t="shared" si="74"/>
        <v>32.345999999999997</v>
      </c>
      <c r="CS21" s="81">
        <f t="shared" si="75"/>
        <v>32.345999999999997</v>
      </c>
      <c r="CT21" s="81">
        <f t="shared" si="76"/>
        <v>31.885999999999999</v>
      </c>
      <c r="CU21" s="81">
        <f t="shared" si="77"/>
        <v>31.885999999999999</v>
      </c>
      <c r="CV21" s="81">
        <f t="shared" si="78"/>
        <v>31.885999999999999</v>
      </c>
      <c r="CW21" s="81">
        <f t="shared" si="79"/>
        <v>34.179000000000002</v>
      </c>
      <c r="CX21" s="81">
        <f t="shared" si="80"/>
        <v>36.164999999999999</v>
      </c>
      <c r="CY21" s="81">
        <f t="shared" si="81"/>
        <v>59.457000000000001</v>
      </c>
      <c r="CZ21" s="81">
        <f t="shared" si="82"/>
        <v>76.097999999999999</v>
      </c>
      <c r="DA21" s="81">
        <f t="shared" si="83"/>
        <v>263.31099999999998</v>
      </c>
      <c r="DB21" s="81">
        <f t="shared" si="84"/>
        <v>275.96699999999998</v>
      </c>
      <c r="DC21" s="81">
        <f t="shared" si="85"/>
        <v>565.29</v>
      </c>
      <c r="DD21" s="81">
        <f t="shared" si="86"/>
        <v>1011.227</v>
      </c>
      <c r="DE21" s="81">
        <f t="shared" si="87"/>
        <v>2362.09</v>
      </c>
      <c r="DF21" s="81">
        <f t="shared" si="88"/>
        <v>2299.009</v>
      </c>
      <c r="DG21" s="81">
        <f t="shared" si="89"/>
        <v>2299.009</v>
      </c>
      <c r="DH21" s="81">
        <f t="shared" si="90"/>
        <v>2299.009</v>
      </c>
      <c r="DI21" s="22"/>
    </row>
    <row r="22" spans="1:113" ht="14.25" customHeight="1">
      <c r="A22" s="8"/>
      <c r="B22" s="608" t="s">
        <v>152</v>
      </c>
      <c r="C22" s="28"/>
      <c r="D22" s="83">
        <v>5.5330000000000004</v>
      </c>
      <c r="E22" s="84">
        <v>5.3330000000000002</v>
      </c>
      <c r="F22" s="84">
        <v>5.133</v>
      </c>
      <c r="G22" s="85">
        <v>10.83</v>
      </c>
      <c r="H22" s="83">
        <v>10.298999999999999</v>
      </c>
      <c r="I22" s="84">
        <v>10.497</v>
      </c>
      <c r="J22" s="84">
        <v>10.076000000000001</v>
      </c>
      <c r="K22" s="85">
        <v>9.6980000000000004</v>
      </c>
      <c r="L22" s="83">
        <v>9.327</v>
      </c>
      <c r="M22" s="84">
        <v>8.99</v>
      </c>
      <c r="N22" s="84">
        <v>8.6509999999999998</v>
      </c>
      <c r="O22" s="85">
        <v>9.2889999999999997</v>
      </c>
      <c r="P22" s="83">
        <v>9.4570000000000007</v>
      </c>
      <c r="Q22" s="84">
        <v>9.766</v>
      </c>
      <c r="R22" s="84">
        <v>9.4410000000000007</v>
      </c>
      <c r="S22" s="85">
        <v>9.4890000000000008</v>
      </c>
      <c r="T22" s="83">
        <v>9.2639999999999993</v>
      </c>
      <c r="U22" s="84">
        <v>9.0519999999999996</v>
      </c>
      <c r="V22" s="84">
        <v>8.7669999999999995</v>
      </c>
      <c r="W22" s="85">
        <v>8.4559999999999995</v>
      </c>
      <c r="X22" s="83">
        <v>8.3759999999999994</v>
      </c>
      <c r="Y22" s="84">
        <v>10.199</v>
      </c>
      <c r="Z22" s="84">
        <v>11.789</v>
      </c>
      <c r="AA22" s="85">
        <v>11.613</v>
      </c>
      <c r="AB22" s="83">
        <v>11.331</v>
      </c>
      <c r="AC22" s="84">
        <v>11.180999999999999</v>
      </c>
      <c r="AD22" s="84">
        <v>20.774999999999999</v>
      </c>
      <c r="AE22" s="85">
        <v>25.718</v>
      </c>
      <c r="AF22" s="83">
        <v>25.638999999999999</v>
      </c>
      <c r="AG22" s="84">
        <v>28.774999999999999</v>
      </c>
      <c r="AH22" s="84">
        <v>28.995999999999999</v>
      </c>
      <c r="AI22" s="85">
        <v>35.527000000000001</v>
      </c>
      <c r="AJ22" s="84">
        <v>77.637</v>
      </c>
      <c r="AK22" s="84">
        <v>81.319999999999993</v>
      </c>
      <c r="AL22" s="84">
        <v>79.073999999999998</v>
      </c>
      <c r="AM22" s="84">
        <v>77.929000000000002</v>
      </c>
      <c r="AN22" s="83">
        <v>75.582999999999998</v>
      </c>
      <c r="AO22" s="84">
        <v>76.503</v>
      </c>
      <c r="AP22" s="84">
        <v>75.051000000000002</v>
      </c>
      <c r="AQ22" s="85">
        <v>90.436000000000007</v>
      </c>
      <c r="AR22" s="83">
        <v>110.25700000000001</v>
      </c>
      <c r="AS22" s="84">
        <v>607.12699999999995</v>
      </c>
      <c r="AT22" s="84">
        <v>570.80399999999997</v>
      </c>
      <c r="AU22" s="85">
        <v>530.13599999999997</v>
      </c>
      <c r="AV22" s="83">
        <v>504.76499999999999</v>
      </c>
      <c r="AW22" s="84">
        <v>480.67899999999997</v>
      </c>
      <c r="AX22" s="84">
        <v>466.27800000000002</v>
      </c>
      <c r="AY22" s="85">
        <v>445.49900000000002</v>
      </c>
      <c r="AZ22" s="83">
        <v>498.07900000000001</v>
      </c>
      <c r="BA22" s="84">
        <v>599.02499999999998</v>
      </c>
      <c r="BB22" s="84">
        <v>551.21</v>
      </c>
      <c r="BC22" s="85">
        <v>504.41699999999997</v>
      </c>
      <c r="BD22" s="83">
        <v>470.488</v>
      </c>
      <c r="BE22" s="84">
        <v>702.38300000000004</v>
      </c>
      <c r="BF22" s="84">
        <v>654.57399999999996</v>
      </c>
      <c r="BG22" s="85">
        <v>606.34900000000005</v>
      </c>
      <c r="BH22" s="83">
        <v>2403.357</v>
      </c>
      <c r="BI22" s="84">
        <v>2322.7060000000001</v>
      </c>
      <c r="BJ22" s="84">
        <v>2233.6210000000001</v>
      </c>
      <c r="BK22" s="85">
        <v>2148.0920000000001</v>
      </c>
      <c r="BL22" s="83">
        <v>2026.575</v>
      </c>
      <c r="BM22" s="84">
        <v>1905.73</v>
      </c>
      <c r="BN22" s="84">
        <v>1784.568</v>
      </c>
      <c r="BO22" s="714">
        <f>BN22-CFS!BO33-CFS!BO78</f>
        <v>1784.568</v>
      </c>
      <c r="BP22" s="712">
        <f>BO22-CFS!BP33-CFS!BP78</f>
        <v>1784.568</v>
      </c>
      <c r="BQ22" s="713">
        <f>BP22-CFS!BQ33-CFS!BQ78</f>
        <v>1784.568</v>
      </c>
      <c r="BR22" s="713">
        <f>BQ22-CFS!BR33-CFS!BR78</f>
        <v>1773.309</v>
      </c>
      <c r="BS22" s="714">
        <f>BR22-CFS!BS33-CFS!BS78</f>
        <v>1773.309</v>
      </c>
      <c r="BT22" s="712">
        <f>BS22-CFS!BT33-CFS!BT78</f>
        <v>1773.309</v>
      </c>
      <c r="BU22" s="713">
        <f>BT22-CFS!BU33-CFS!BU78</f>
        <v>1773.309</v>
      </c>
      <c r="BV22" s="713">
        <f>BU22-CFS!BV33-CFS!BV78</f>
        <v>1762.05</v>
      </c>
      <c r="BW22" s="714">
        <f>BV22-CFS!BW33-CFS!BW78</f>
        <v>1762.05</v>
      </c>
      <c r="BX22" s="107"/>
      <c r="BY22" s="81">
        <f t="shared" si="56"/>
        <v>10.83</v>
      </c>
      <c r="BZ22" s="81">
        <f t="shared" si="57"/>
        <v>9.6980000000000004</v>
      </c>
      <c r="CA22" s="81">
        <f t="shared" si="58"/>
        <v>9.2889999999999997</v>
      </c>
      <c r="CB22" s="81">
        <f t="shared" si="59"/>
        <v>9.4890000000000008</v>
      </c>
      <c r="CC22" s="81">
        <f t="shared" si="60"/>
        <v>8.4559999999999995</v>
      </c>
      <c r="CD22" s="81">
        <f t="shared" si="61"/>
        <v>11.613</v>
      </c>
      <c r="CE22" s="81">
        <f t="shared" si="62"/>
        <v>25.718</v>
      </c>
      <c r="CF22" s="81">
        <f t="shared" si="63"/>
        <v>35.527000000000001</v>
      </c>
      <c r="CG22" s="80">
        <f t="shared" si="64"/>
        <v>77.929000000000002</v>
      </c>
      <c r="CH22" s="81">
        <f t="shared" si="65"/>
        <v>90.436000000000007</v>
      </c>
      <c r="CI22" s="81">
        <f t="shared" si="66"/>
        <v>530.13599999999997</v>
      </c>
      <c r="CJ22" s="80">
        <f t="shared" si="67"/>
        <v>445.49900000000002</v>
      </c>
      <c r="CK22" s="81">
        <f t="shared" si="68"/>
        <v>504.41699999999997</v>
      </c>
      <c r="CL22" s="81">
        <f t="shared" si="69"/>
        <v>606.34900000000005</v>
      </c>
      <c r="CM22" s="81">
        <f t="shared" si="70"/>
        <v>2148.0920000000001</v>
      </c>
      <c r="CN22" s="81">
        <f t="shared" si="71"/>
        <v>1784.568</v>
      </c>
      <c r="CO22" s="81">
        <f t="shared" si="72"/>
        <v>1773.309</v>
      </c>
      <c r="CP22" s="82">
        <f t="shared" si="73"/>
        <v>1762.05</v>
      </c>
      <c r="CQ22" s="20"/>
      <c r="CR22" s="80">
        <f t="shared" si="74"/>
        <v>10.076000000000001</v>
      </c>
      <c r="CS22" s="81">
        <f t="shared" si="75"/>
        <v>8.6509999999999998</v>
      </c>
      <c r="CT22" s="81">
        <f t="shared" si="76"/>
        <v>9.4410000000000007</v>
      </c>
      <c r="CU22" s="81">
        <f t="shared" si="77"/>
        <v>8.7669999999999995</v>
      </c>
      <c r="CV22" s="81">
        <f t="shared" si="78"/>
        <v>11.789</v>
      </c>
      <c r="CW22" s="81">
        <f t="shared" si="79"/>
        <v>20.774999999999999</v>
      </c>
      <c r="CX22" s="81">
        <f t="shared" si="80"/>
        <v>28.995999999999999</v>
      </c>
      <c r="CY22" s="81">
        <f t="shared" si="81"/>
        <v>79.073999999999998</v>
      </c>
      <c r="CZ22" s="81">
        <f t="shared" si="82"/>
        <v>75.051000000000002</v>
      </c>
      <c r="DA22" s="81">
        <f t="shared" si="83"/>
        <v>570.80399999999997</v>
      </c>
      <c r="DB22" s="81">
        <f t="shared" si="84"/>
        <v>466.27800000000002</v>
      </c>
      <c r="DC22" s="81">
        <f t="shared" si="85"/>
        <v>551.21</v>
      </c>
      <c r="DD22" s="81">
        <f t="shared" si="86"/>
        <v>654.57399999999996</v>
      </c>
      <c r="DE22" s="81">
        <f t="shared" si="87"/>
        <v>2233.6210000000001</v>
      </c>
      <c r="DF22" s="81">
        <f t="shared" si="88"/>
        <v>1784.568</v>
      </c>
      <c r="DG22" s="81">
        <f t="shared" si="89"/>
        <v>1773.309</v>
      </c>
      <c r="DH22" s="81">
        <f t="shared" si="90"/>
        <v>1762.05</v>
      </c>
      <c r="DI22" s="22"/>
    </row>
    <row r="23" spans="1:113" ht="14.25" customHeight="1" outlineLevel="1">
      <c r="A23" s="8"/>
      <c r="B23" s="608" t="s">
        <v>160</v>
      </c>
      <c r="C23" s="28"/>
      <c r="D23" s="83">
        <v>0</v>
      </c>
      <c r="E23" s="84">
        <v>0</v>
      </c>
      <c r="F23" s="84">
        <v>0</v>
      </c>
      <c r="G23" s="85">
        <v>0</v>
      </c>
      <c r="H23" s="83">
        <v>0</v>
      </c>
      <c r="I23" s="84">
        <v>0</v>
      </c>
      <c r="J23" s="84">
        <v>0</v>
      </c>
      <c r="K23" s="85">
        <v>0</v>
      </c>
      <c r="L23" s="83">
        <v>0</v>
      </c>
      <c r="M23" s="84">
        <v>0</v>
      </c>
      <c r="N23" s="84">
        <v>0</v>
      </c>
      <c r="O23" s="85">
        <v>0</v>
      </c>
      <c r="P23" s="83">
        <v>0</v>
      </c>
      <c r="Q23" s="84">
        <v>0</v>
      </c>
      <c r="R23" s="84">
        <v>0</v>
      </c>
      <c r="S23" s="85">
        <v>0</v>
      </c>
      <c r="T23" s="83">
        <v>0</v>
      </c>
      <c r="U23" s="84">
        <v>0</v>
      </c>
      <c r="V23" s="84">
        <v>0</v>
      </c>
      <c r="W23" s="85">
        <v>0</v>
      </c>
      <c r="X23" s="83">
        <v>0</v>
      </c>
      <c r="Y23" s="84">
        <v>0</v>
      </c>
      <c r="Z23" s="84">
        <v>0</v>
      </c>
      <c r="AA23" s="85">
        <v>0</v>
      </c>
      <c r="AB23" s="83">
        <v>0</v>
      </c>
      <c r="AC23" s="84">
        <v>0</v>
      </c>
      <c r="AD23" s="84">
        <v>0</v>
      </c>
      <c r="AE23" s="85">
        <v>0</v>
      </c>
      <c r="AF23" s="83">
        <v>0</v>
      </c>
      <c r="AG23" s="84">
        <v>0</v>
      </c>
      <c r="AH23" s="84">
        <v>0</v>
      </c>
      <c r="AI23" s="85">
        <v>0</v>
      </c>
      <c r="AJ23" s="84">
        <v>0</v>
      </c>
      <c r="AK23" s="84">
        <v>0</v>
      </c>
      <c r="AL23" s="84">
        <v>0</v>
      </c>
      <c r="AM23" s="85">
        <v>0</v>
      </c>
      <c r="AN23" s="84">
        <v>0</v>
      </c>
      <c r="AO23" s="84">
        <v>0</v>
      </c>
      <c r="AP23" s="84">
        <v>0</v>
      </c>
      <c r="AQ23" s="85">
        <v>0</v>
      </c>
      <c r="AR23" s="84">
        <v>0</v>
      </c>
      <c r="AS23" s="84">
        <v>0</v>
      </c>
      <c r="AT23" s="84">
        <v>0</v>
      </c>
      <c r="AU23" s="85">
        <v>0</v>
      </c>
      <c r="AV23" s="84">
        <v>0</v>
      </c>
      <c r="AW23" s="84">
        <v>0</v>
      </c>
      <c r="AX23" s="84">
        <v>0</v>
      </c>
      <c r="AY23" s="85">
        <v>0</v>
      </c>
      <c r="AZ23" s="84">
        <v>0</v>
      </c>
      <c r="BA23" s="84">
        <v>0</v>
      </c>
      <c r="BB23" s="84">
        <v>0</v>
      </c>
      <c r="BC23" s="85">
        <v>0</v>
      </c>
      <c r="BD23" s="84">
        <v>0</v>
      </c>
      <c r="BE23" s="84">
        <v>0</v>
      </c>
      <c r="BF23" s="84">
        <v>18.91</v>
      </c>
      <c r="BG23" s="85">
        <v>14.831</v>
      </c>
      <c r="BH23" s="84">
        <v>68.653000000000006</v>
      </c>
      <c r="BI23" s="84">
        <v>68.822999999999993</v>
      </c>
      <c r="BJ23" s="84">
        <v>60.796999999999997</v>
      </c>
      <c r="BK23" s="85">
        <v>68.87</v>
      </c>
      <c r="BL23" s="84">
        <v>74.064999999999998</v>
      </c>
      <c r="BM23" s="84">
        <v>81.37</v>
      </c>
      <c r="BN23" s="84">
        <v>70.793000000000006</v>
      </c>
      <c r="BO23" s="82">
        <f t="shared" ref="BO23:BO24" si="97">BN23</f>
        <v>70.793000000000006</v>
      </c>
      <c r="BP23" s="81">
        <f t="shared" ref="BP23:BS24" si="98">BO23</f>
        <v>70.793000000000006</v>
      </c>
      <c r="BQ23" s="81">
        <f t="shared" si="98"/>
        <v>70.793000000000006</v>
      </c>
      <c r="BR23" s="81">
        <f t="shared" si="98"/>
        <v>70.793000000000006</v>
      </c>
      <c r="BS23" s="82">
        <f t="shared" si="98"/>
        <v>70.793000000000006</v>
      </c>
      <c r="BT23" s="81">
        <f t="shared" ref="BT23:BT24" si="99">BS23</f>
        <v>70.793000000000006</v>
      </c>
      <c r="BU23" s="81">
        <f t="shared" ref="BU23:BU24" si="100">BT23</f>
        <v>70.793000000000006</v>
      </c>
      <c r="BV23" s="81">
        <f t="shared" ref="BV23:BV24" si="101">BU23</f>
        <v>70.793000000000006</v>
      </c>
      <c r="BW23" s="82">
        <f t="shared" ref="BW23:BW24" si="102">BV23</f>
        <v>70.793000000000006</v>
      </c>
      <c r="BX23" s="107"/>
      <c r="BY23" s="81">
        <f t="shared" si="56"/>
        <v>0</v>
      </c>
      <c r="BZ23" s="81">
        <f t="shared" si="57"/>
        <v>0</v>
      </c>
      <c r="CA23" s="81">
        <f t="shared" si="58"/>
        <v>0</v>
      </c>
      <c r="CB23" s="81">
        <f t="shared" si="59"/>
        <v>0</v>
      </c>
      <c r="CC23" s="81">
        <f t="shared" si="60"/>
        <v>0</v>
      </c>
      <c r="CD23" s="81">
        <f t="shared" si="61"/>
        <v>0</v>
      </c>
      <c r="CE23" s="81">
        <f t="shared" si="62"/>
        <v>0</v>
      </c>
      <c r="CF23" s="81">
        <f t="shared" si="63"/>
        <v>0</v>
      </c>
      <c r="CG23" s="80">
        <f t="shared" si="64"/>
        <v>0</v>
      </c>
      <c r="CH23" s="81">
        <f t="shared" si="65"/>
        <v>0</v>
      </c>
      <c r="CI23" s="81">
        <f t="shared" si="66"/>
        <v>0</v>
      </c>
      <c r="CJ23" s="80">
        <f t="shared" si="67"/>
        <v>0</v>
      </c>
      <c r="CK23" s="81">
        <f t="shared" si="68"/>
        <v>0</v>
      </c>
      <c r="CL23" s="81">
        <f t="shared" si="69"/>
        <v>14.831</v>
      </c>
      <c r="CM23" s="81">
        <f t="shared" si="70"/>
        <v>68.87</v>
      </c>
      <c r="CN23" s="81">
        <f t="shared" si="71"/>
        <v>70.793000000000006</v>
      </c>
      <c r="CO23" s="81">
        <f t="shared" si="72"/>
        <v>70.793000000000006</v>
      </c>
      <c r="CP23" s="82">
        <f t="shared" si="73"/>
        <v>70.793000000000006</v>
      </c>
      <c r="CQ23" s="20"/>
      <c r="CR23" s="80">
        <f t="shared" si="74"/>
        <v>0</v>
      </c>
      <c r="CS23" s="81">
        <f t="shared" si="75"/>
        <v>0</v>
      </c>
      <c r="CT23" s="81">
        <f t="shared" si="76"/>
        <v>0</v>
      </c>
      <c r="CU23" s="81">
        <f t="shared" si="77"/>
        <v>0</v>
      </c>
      <c r="CV23" s="81">
        <f t="shared" si="78"/>
        <v>0</v>
      </c>
      <c r="CW23" s="81">
        <f t="shared" si="79"/>
        <v>0</v>
      </c>
      <c r="CX23" s="81">
        <f t="shared" si="80"/>
        <v>0</v>
      </c>
      <c r="CY23" s="81">
        <f t="shared" si="81"/>
        <v>0</v>
      </c>
      <c r="CZ23" s="81">
        <f t="shared" si="82"/>
        <v>0</v>
      </c>
      <c r="DA23" s="81">
        <f t="shared" si="83"/>
        <v>0</v>
      </c>
      <c r="DB23" s="81">
        <f t="shared" si="84"/>
        <v>0</v>
      </c>
      <c r="DC23" s="81">
        <f t="shared" si="85"/>
        <v>0</v>
      </c>
      <c r="DD23" s="81">
        <f t="shared" si="86"/>
        <v>18.91</v>
      </c>
      <c r="DE23" s="81">
        <f t="shared" si="87"/>
        <v>60.796999999999997</v>
      </c>
      <c r="DF23" s="81">
        <f t="shared" si="88"/>
        <v>70.793000000000006</v>
      </c>
      <c r="DG23" s="81">
        <f t="shared" si="89"/>
        <v>70.793000000000006</v>
      </c>
      <c r="DH23" s="81">
        <f t="shared" si="90"/>
        <v>70.793000000000006</v>
      </c>
      <c r="DI23" s="22"/>
    </row>
    <row r="24" spans="1:113" ht="14.25" customHeight="1">
      <c r="A24" s="8"/>
      <c r="B24" s="608" t="s">
        <v>369</v>
      </c>
      <c r="C24" s="28"/>
      <c r="D24" s="83">
        <v>12.528</v>
      </c>
      <c r="E24" s="84">
        <v>9.9079999999999995</v>
      </c>
      <c r="F24" s="84">
        <v>9.9450000000000003</v>
      </c>
      <c r="G24" s="85">
        <v>8.0570000000000004</v>
      </c>
      <c r="H24" s="83">
        <v>8.5609999999999999</v>
      </c>
      <c r="I24" s="84">
        <v>6.4550000000000001</v>
      </c>
      <c r="J24" s="84">
        <v>6.6970000000000001</v>
      </c>
      <c r="K24" s="85">
        <v>6.9480000000000004</v>
      </c>
      <c r="L24" s="83">
        <v>7.625</v>
      </c>
      <c r="M24" s="84">
        <v>7.5940000000000003</v>
      </c>
      <c r="N24" s="84">
        <v>7.4770000000000003</v>
      </c>
      <c r="O24" s="85">
        <v>7.7290000000000001</v>
      </c>
      <c r="P24" s="83">
        <v>7.9829999999999997</v>
      </c>
      <c r="Q24" s="84">
        <v>8.6319999999999997</v>
      </c>
      <c r="R24" s="84">
        <v>9.3970000000000002</v>
      </c>
      <c r="S24" s="85">
        <v>10.06</v>
      </c>
      <c r="T24" s="83">
        <v>8.7620000000000005</v>
      </c>
      <c r="U24" s="84">
        <v>9.4160000000000004</v>
      </c>
      <c r="V24" s="84">
        <v>10.259</v>
      </c>
      <c r="W24" s="85">
        <v>10.83</v>
      </c>
      <c r="X24" s="83">
        <v>11.313000000000001</v>
      </c>
      <c r="Y24" s="84">
        <v>12.224</v>
      </c>
      <c r="Z24" s="84">
        <v>35.698</v>
      </c>
      <c r="AA24" s="85">
        <v>34.499000000000002</v>
      </c>
      <c r="AB24" s="83">
        <v>34.540999999999997</v>
      </c>
      <c r="AC24" s="84">
        <v>32.954000000000001</v>
      </c>
      <c r="AD24" s="84">
        <v>31.22</v>
      </c>
      <c r="AE24" s="85">
        <v>34.253999999999998</v>
      </c>
      <c r="AF24" s="83">
        <v>18.97</v>
      </c>
      <c r="AG24" s="84">
        <v>19.202000000000002</v>
      </c>
      <c r="AH24" s="84">
        <v>19.015999999999998</v>
      </c>
      <c r="AI24" s="85">
        <v>19.225000000000001</v>
      </c>
      <c r="AJ24" s="84">
        <v>50.481000000000002</v>
      </c>
      <c r="AK24" s="84">
        <v>52.57</v>
      </c>
      <c r="AL24" s="84">
        <v>41.704000000000001</v>
      </c>
      <c r="AM24" s="85">
        <v>33.777000000000001</v>
      </c>
      <c r="AN24" s="84">
        <v>36.747999999999998</v>
      </c>
      <c r="AO24" s="84">
        <v>38.851999999999997</v>
      </c>
      <c r="AP24" s="84">
        <v>38.183999999999997</v>
      </c>
      <c r="AQ24" s="85">
        <v>38.768999999999998</v>
      </c>
      <c r="AR24" s="84">
        <v>37.387</v>
      </c>
      <c r="AS24" s="84">
        <v>41.183</v>
      </c>
      <c r="AT24" s="84">
        <v>40.427</v>
      </c>
      <c r="AU24" s="85">
        <v>41.557000000000002</v>
      </c>
      <c r="AV24" s="84">
        <v>47.468000000000004</v>
      </c>
      <c r="AW24" s="84">
        <v>47.149000000000001</v>
      </c>
      <c r="AX24" s="84">
        <v>47.344999999999999</v>
      </c>
      <c r="AY24" s="85">
        <v>45.956000000000003</v>
      </c>
      <c r="AZ24" s="84">
        <v>45.981000000000002</v>
      </c>
      <c r="BA24" s="84">
        <v>48.292999999999999</v>
      </c>
      <c r="BB24" s="84">
        <v>44.591000000000001</v>
      </c>
      <c r="BC24" s="85">
        <v>75.510000000000005</v>
      </c>
      <c r="BD24" s="84">
        <v>65.951999999999998</v>
      </c>
      <c r="BE24" s="84">
        <v>79.808999999999997</v>
      </c>
      <c r="BF24" s="84">
        <v>116.29</v>
      </c>
      <c r="BG24" s="85">
        <v>109.02500000000001</v>
      </c>
      <c r="BH24" s="84">
        <v>89.986999999999995</v>
      </c>
      <c r="BI24" s="84">
        <v>90.394000000000005</v>
      </c>
      <c r="BJ24" s="84">
        <v>82.611999999999995</v>
      </c>
      <c r="BK24" s="85">
        <v>75.075000000000003</v>
      </c>
      <c r="BL24" s="84">
        <v>75.027000000000001</v>
      </c>
      <c r="BM24" s="84">
        <v>73.638000000000005</v>
      </c>
      <c r="BN24" s="84">
        <v>75.81</v>
      </c>
      <c r="BO24" s="82">
        <f t="shared" si="97"/>
        <v>75.81</v>
      </c>
      <c r="BP24" s="81">
        <f t="shared" si="98"/>
        <v>75.81</v>
      </c>
      <c r="BQ24" s="81">
        <f t="shared" si="98"/>
        <v>75.81</v>
      </c>
      <c r="BR24" s="81">
        <f t="shared" si="98"/>
        <v>75.81</v>
      </c>
      <c r="BS24" s="82">
        <f t="shared" si="98"/>
        <v>75.81</v>
      </c>
      <c r="BT24" s="81">
        <f t="shared" si="99"/>
        <v>75.81</v>
      </c>
      <c r="BU24" s="81">
        <f t="shared" si="100"/>
        <v>75.81</v>
      </c>
      <c r="BV24" s="81">
        <f t="shared" si="101"/>
        <v>75.81</v>
      </c>
      <c r="BW24" s="82">
        <f t="shared" si="102"/>
        <v>75.81</v>
      </c>
      <c r="BX24" s="107"/>
      <c r="BY24" s="81">
        <f t="shared" si="56"/>
        <v>8.0570000000000004</v>
      </c>
      <c r="BZ24" s="81">
        <f t="shared" si="57"/>
        <v>6.9480000000000004</v>
      </c>
      <c r="CA24" s="81">
        <f t="shared" si="58"/>
        <v>7.7290000000000001</v>
      </c>
      <c r="CB24" s="81">
        <f t="shared" si="59"/>
        <v>10.06</v>
      </c>
      <c r="CC24" s="81">
        <f t="shared" si="60"/>
        <v>10.83</v>
      </c>
      <c r="CD24" s="81">
        <f t="shared" si="61"/>
        <v>34.499000000000002</v>
      </c>
      <c r="CE24" s="81">
        <f t="shared" si="62"/>
        <v>34.253999999999998</v>
      </c>
      <c r="CF24" s="81">
        <f t="shared" si="63"/>
        <v>19.225000000000001</v>
      </c>
      <c r="CG24" s="80">
        <f t="shared" si="64"/>
        <v>33.777000000000001</v>
      </c>
      <c r="CH24" s="81">
        <f t="shared" si="65"/>
        <v>38.768999999999998</v>
      </c>
      <c r="CI24" s="81">
        <f t="shared" si="66"/>
        <v>41.557000000000002</v>
      </c>
      <c r="CJ24" s="80">
        <f t="shared" si="67"/>
        <v>45.956000000000003</v>
      </c>
      <c r="CK24" s="81">
        <f t="shared" si="68"/>
        <v>75.510000000000005</v>
      </c>
      <c r="CL24" s="81">
        <f t="shared" si="69"/>
        <v>109.02500000000001</v>
      </c>
      <c r="CM24" s="81">
        <f t="shared" si="70"/>
        <v>75.075000000000003</v>
      </c>
      <c r="CN24" s="81">
        <f t="shared" si="71"/>
        <v>75.81</v>
      </c>
      <c r="CO24" s="81">
        <f t="shared" si="72"/>
        <v>75.81</v>
      </c>
      <c r="CP24" s="82">
        <f t="shared" si="73"/>
        <v>75.81</v>
      </c>
      <c r="CQ24" s="20"/>
      <c r="CR24" s="80">
        <f t="shared" si="74"/>
        <v>6.6970000000000001</v>
      </c>
      <c r="CS24" s="81">
        <f t="shared" si="75"/>
        <v>7.4770000000000003</v>
      </c>
      <c r="CT24" s="81">
        <f t="shared" si="76"/>
        <v>9.3970000000000002</v>
      </c>
      <c r="CU24" s="81">
        <f t="shared" si="77"/>
        <v>10.259</v>
      </c>
      <c r="CV24" s="81">
        <f t="shared" si="78"/>
        <v>35.698</v>
      </c>
      <c r="CW24" s="81">
        <f t="shared" si="79"/>
        <v>31.22</v>
      </c>
      <c r="CX24" s="81">
        <f t="shared" si="80"/>
        <v>19.015999999999998</v>
      </c>
      <c r="CY24" s="81">
        <f t="shared" si="81"/>
        <v>41.704000000000001</v>
      </c>
      <c r="CZ24" s="81">
        <f t="shared" si="82"/>
        <v>38.183999999999997</v>
      </c>
      <c r="DA24" s="81">
        <f t="shared" si="83"/>
        <v>40.427</v>
      </c>
      <c r="DB24" s="81">
        <f t="shared" si="84"/>
        <v>47.344999999999999</v>
      </c>
      <c r="DC24" s="81">
        <f t="shared" si="85"/>
        <v>44.591000000000001</v>
      </c>
      <c r="DD24" s="81">
        <f t="shared" si="86"/>
        <v>116.29</v>
      </c>
      <c r="DE24" s="81">
        <f t="shared" si="87"/>
        <v>82.611999999999995</v>
      </c>
      <c r="DF24" s="81">
        <f t="shared" si="88"/>
        <v>75.81</v>
      </c>
      <c r="DG24" s="81">
        <f t="shared" si="89"/>
        <v>75.81</v>
      </c>
      <c r="DH24" s="81">
        <f t="shared" si="90"/>
        <v>75.81</v>
      </c>
      <c r="DI24" s="22"/>
    </row>
    <row r="25" spans="1:113" ht="14.25" customHeight="1">
      <c r="A25" s="8"/>
      <c r="B25" s="664" t="s">
        <v>32</v>
      </c>
      <c r="C25" s="120"/>
      <c r="D25" s="123">
        <f t="shared" ref="D25:O25" si="103">SUM(D18:D24)+D16</f>
        <v>1334.7090000000001</v>
      </c>
      <c r="E25" s="121">
        <f t="shared" si="103"/>
        <v>1345.9829999999999</v>
      </c>
      <c r="F25" s="121">
        <f t="shared" si="103"/>
        <v>1410.453</v>
      </c>
      <c r="G25" s="122">
        <f t="shared" si="103"/>
        <v>1428.2750000000001</v>
      </c>
      <c r="H25" s="123">
        <f t="shared" si="103"/>
        <v>1432.395</v>
      </c>
      <c r="I25" s="121">
        <f t="shared" si="103"/>
        <v>1492.2910000000002</v>
      </c>
      <c r="J25" s="121">
        <f t="shared" si="103"/>
        <v>1581.538</v>
      </c>
      <c r="K25" s="122">
        <f t="shared" si="103"/>
        <v>1622.143</v>
      </c>
      <c r="L25" s="123">
        <f t="shared" si="103"/>
        <v>1644.7090000000003</v>
      </c>
      <c r="M25" s="121">
        <f t="shared" si="103"/>
        <v>1698.328</v>
      </c>
      <c r="N25" s="121">
        <f t="shared" si="103"/>
        <v>1785.3130000000001</v>
      </c>
      <c r="O25" s="122">
        <f t="shared" si="103"/>
        <v>1817.5540000000001</v>
      </c>
      <c r="P25" s="123">
        <f t="shared" ref="P25:AY25" si="104">SUM(P18:P24)+P16</f>
        <v>1892.0590000000002</v>
      </c>
      <c r="Q25" s="121">
        <f t="shared" si="104"/>
        <v>1958.0949999999998</v>
      </c>
      <c r="R25" s="121">
        <f t="shared" si="104"/>
        <v>2006.4699999999998</v>
      </c>
      <c r="S25" s="122">
        <f t="shared" si="104"/>
        <v>2350.5959999999995</v>
      </c>
      <c r="T25" s="123">
        <f t="shared" si="104"/>
        <v>2294.6909999999998</v>
      </c>
      <c r="U25" s="121">
        <f t="shared" si="104"/>
        <v>2291.2600000000002</v>
      </c>
      <c r="V25" s="121">
        <f t="shared" si="104"/>
        <v>2278.46</v>
      </c>
      <c r="W25" s="122">
        <f t="shared" si="104"/>
        <v>2269.5409999999997</v>
      </c>
      <c r="X25" s="123">
        <f t="shared" si="104"/>
        <v>2362.3419999999996</v>
      </c>
      <c r="Y25" s="121">
        <f t="shared" si="104"/>
        <v>2248.6790000000001</v>
      </c>
      <c r="Z25" s="121">
        <f t="shared" si="104"/>
        <v>2616.7479999999996</v>
      </c>
      <c r="AA25" s="122">
        <f t="shared" si="104"/>
        <v>2512.3069999999998</v>
      </c>
      <c r="AB25" s="123">
        <f t="shared" si="104"/>
        <v>2543.4379999999992</v>
      </c>
      <c r="AC25" s="121">
        <f t="shared" si="104"/>
        <v>2516.9839999999999</v>
      </c>
      <c r="AD25" s="121">
        <f t="shared" si="104"/>
        <v>2447.143</v>
      </c>
      <c r="AE25" s="122">
        <f t="shared" si="104"/>
        <v>2421.4389999999999</v>
      </c>
      <c r="AF25" s="123">
        <f t="shared" si="104"/>
        <v>2386.4090000000001</v>
      </c>
      <c r="AG25" s="121">
        <f t="shared" si="104"/>
        <v>2418.2849999999999</v>
      </c>
      <c r="AH25" s="121">
        <f t="shared" si="104"/>
        <v>2443.607</v>
      </c>
      <c r="AI25" s="122">
        <f t="shared" si="104"/>
        <v>2516.3129999999996</v>
      </c>
      <c r="AJ25" s="121">
        <f t="shared" si="104"/>
        <v>2693.2690000000002</v>
      </c>
      <c r="AK25" s="121">
        <f t="shared" si="104"/>
        <v>2808.37</v>
      </c>
      <c r="AL25" s="121">
        <f t="shared" si="104"/>
        <v>2828.7259999999997</v>
      </c>
      <c r="AM25" s="122">
        <f t="shared" si="104"/>
        <v>2968.0580000000004</v>
      </c>
      <c r="AN25" s="123">
        <f t="shared" si="104"/>
        <v>3029.299</v>
      </c>
      <c r="AO25" s="121">
        <f t="shared" si="104"/>
        <v>3033.7490000000003</v>
      </c>
      <c r="AP25" s="121">
        <f t="shared" si="104"/>
        <v>3021.1509999999998</v>
      </c>
      <c r="AQ25" s="122">
        <f t="shared" si="104"/>
        <v>3083.7759999999998</v>
      </c>
      <c r="AR25" s="123">
        <f t="shared" si="104"/>
        <v>3144.8399999999997</v>
      </c>
      <c r="AS25" s="121">
        <f t="shared" si="104"/>
        <v>3888.3759999999997</v>
      </c>
      <c r="AT25" s="121">
        <f t="shared" si="104"/>
        <v>3843.5240000000003</v>
      </c>
      <c r="AU25" s="122">
        <f t="shared" si="104"/>
        <v>3851.4049999999993</v>
      </c>
      <c r="AV25" s="123">
        <f t="shared" si="104"/>
        <v>3883.5749999999998</v>
      </c>
      <c r="AW25" s="121">
        <f t="shared" si="104"/>
        <v>3965.1509999999998</v>
      </c>
      <c r="AX25" s="121">
        <f t="shared" si="104"/>
        <v>4003.1080000000002</v>
      </c>
      <c r="AY25" s="122">
        <f t="shared" si="104"/>
        <v>4067.63</v>
      </c>
      <c r="AZ25" s="123">
        <f t="shared" ref="AZ25:BC25" si="105">SUM(AZ18:AZ24)+AZ16</f>
        <v>4501.7430000000004</v>
      </c>
      <c r="BA25" s="121">
        <f t="shared" si="105"/>
        <v>4610.6270000000004</v>
      </c>
      <c r="BB25" s="121">
        <f t="shared" si="105"/>
        <v>4628.9169999999995</v>
      </c>
      <c r="BC25" s="122">
        <f t="shared" si="105"/>
        <v>4780.7129999999997</v>
      </c>
      <c r="BD25" s="123">
        <f t="shared" ref="BD25:BI25" si="106">SUM(BD18:BD24)+BD16</f>
        <v>4856.9850000000006</v>
      </c>
      <c r="BE25" s="121">
        <f t="shared" si="106"/>
        <v>5786.3090000000002</v>
      </c>
      <c r="BF25" s="121">
        <f t="shared" si="106"/>
        <v>5446.5529999999999</v>
      </c>
      <c r="BG25" s="122">
        <f t="shared" si="106"/>
        <v>5567.5150000000003</v>
      </c>
      <c r="BH25" s="123">
        <f t="shared" si="106"/>
        <v>7358.7559999999994</v>
      </c>
      <c r="BI25" s="121">
        <f t="shared" si="106"/>
        <v>7074.3959999999997</v>
      </c>
      <c r="BJ25" s="121">
        <f>SUM(BJ18:BJ24)+BJ16</f>
        <v>7144.5810000000001</v>
      </c>
      <c r="BK25" s="122">
        <f t="shared" ref="BK25" si="107">SUM(BK18:BK24)+BK16</f>
        <v>7686.8810000000003</v>
      </c>
      <c r="BL25" s="123">
        <f t="shared" ref="BL25" si="108">SUM(BL18:BL24)+BL16</f>
        <v>7887.8909999999996</v>
      </c>
      <c r="BM25" s="121">
        <f t="shared" ref="BM25:BS25" si="109">SUM(BM18:BM24)+BM16</f>
        <v>8055.1980000000003</v>
      </c>
      <c r="BN25" s="121">
        <f>SUM(BN18:BN24)+BN16</f>
        <v>8123.7929999999997</v>
      </c>
      <c r="BO25" s="122">
        <f t="shared" si="109"/>
        <v>8409.7643953445131</v>
      </c>
      <c r="BP25" s="123">
        <f t="shared" si="109"/>
        <v>8695.2433013462505</v>
      </c>
      <c r="BQ25" s="121">
        <f t="shared" si="109"/>
        <v>8994.5177457206028</v>
      </c>
      <c r="BR25" s="121">
        <f t="shared" si="109"/>
        <v>9252.8848609520483</v>
      </c>
      <c r="BS25" s="122">
        <f t="shared" si="109"/>
        <v>9531.8740650824584</v>
      </c>
      <c r="BT25" s="123">
        <f t="shared" ref="BT25:BW25" si="110">SUM(BT18:BT24)+BT16</f>
        <v>9837.4281778988079</v>
      </c>
      <c r="BU25" s="121">
        <f t="shared" si="110"/>
        <v>10153.971163943213</v>
      </c>
      <c r="BV25" s="121">
        <f t="shared" si="110"/>
        <v>10456.118850451407</v>
      </c>
      <c r="BW25" s="122">
        <f t="shared" si="110"/>
        <v>10755.012140035009</v>
      </c>
      <c r="BX25" s="107"/>
      <c r="BY25" s="121">
        <f>SUM(BY18:BY24)+BY16</f>
        <v>1428.2750000000001</v>
      </c>
      <c r="BZ25" s="121">
        <f>SUM(BZ18:BZ24)+BZ16</f>
        <v>1622.143</v>
      </c>
      <c r="CA25" s="121">
        <f>SUM(CA18:CA24)+CA16</f>
        <v>1817.5540000000001</v>
      </c>
      <c r="CB25" s="121">
        <f t="shared" ref="CB25:CK25" si="111">SUM(CB18:CB24)+CB16</f>
        <v>2350.5959999999995</v>
      </c>
      <c r="CC25" s="121">
        <f t="shared" si="111"/>
        <v>2269.5409999999997</v>
      </c>
      <c r="CD25" s="121">
        <f t="shared" si="111"/>
        <v>2512.3069999999998</v>
      </c>
      <c r="CE25" s="121">
        <f t="shared" si="111"/>
        <v>2421.4389999999999</v>
      </c>
      <c r="CF25" s="121">
        <f t="shared" si="111"/>
        <v>2516.3129999999996</v>
      </c>
      <c r="CG25" s="123">
        <f t="shared" si="111"/>
        <v>2968.0580000000004</v>
      </c>
      <c r="CH25" s="121">
        <f t="shared" si="111"/>
        <v>3083.7759999999998</v>
      </c>
      <c r="CI25" s="121">
        <f t="shared" si="111"/>
        <v>3851.4049999999993</v>
      </c>
      <c r="CJ25" s="123">
        <f t="shared" si="111"/>
        <v>4067.63</v>
      </c>
      <c r="CK25" s="121">
        <f t="shared" si="111"/>
        <v>4780.7129999999997</v>
      </c>
      <c r="CL25" s="121">
        <f>SUM(CL18:CL24)+CL16</f>
        <v>5567.5150000000003</v>
      </c>
      <c r="CM25" s="121">
        <f>SUM(CM18:CM24)+CM16</f>
        <v>7686.8810000000003</v>
      </c>
      <c r="CN25" s="121">
        <f>SUM(CN18:CN24)+CN16</f>
        <v>8409.7643953445131</v>
      </c>
      <c r="CO25" s="121">
        <f>SUM(CO18:CO24)+CO16</f>
        <v>9531.8740650824584</v>
      </c>
      <c r="CP25" s="121">
        <f>SUM(CP18:CP24)+CP16</f>
        <v>10755.012140035009</v>
      </c>
      <c r="CQ25" s="20"/>
      <c r="CR25" s="123">
        <f>SUM(CR18:CR24)+CR16</f>
        <v>1581.538</v>
      </c>
      <c r="CS25" s="121">
        <f>SUM(CS18:CS24)+CS16</f>
        <v>1785.3130000000001</v>
      </c>
      <c r="CT25" s="121">
        <f>SUM(CT18:CT24)+CT16</f>
        <v>2006.4699999999998</v>
      </c>
      <c r="CU25" s="121">
        <f t="shared" ref="CU25:DD25" si="112">SUM(CU18:CU24)+CU16</f>
        <v>2278.46</v>
      </c>
      <c r="CV25" s="121">
        <f t="shared" si="112"/>
        <v>2616.7479999999996</v>
      </c>
      <c r="CW25" s="121">
        <f t="shared" si="112"/>
        <v>2447.143</v>
      </c>
      <c r="CX25" s="121">
        <f t="shared" si="112"/>
        <v>2443.607</v>
      </c>
      <c r="CY25" s="121">
        <f t="shared" si="112"/>
        <v>2828.7259999999997</v>
      </c>
      <c r="CZ25" s="121">
        <f t="shared" si="112"/>
        <v>3021.1509999999998</v>
      </c>
      <c r="DA25" s="121">
        <f t="shared" si="112"/>
        <v>3843.5240000000003</v>
      </c>
      <c r="DB25" s="121">
        <f t="shared" si="112"/>
        <v>4003.1080000000002</v>
      </c>
      <c r="DC25" s="121">
        <f t="shared" si="112"/>
        <v>4628.9169999999995</v>
      </c>
      <c r="DD25" s="121">
        <f t="shared" si="112"/>
        <v>5446.5529999999999</v>
      </c>
      <c r="DE25" s="121">
        <f>SUM(DE18:DE24)+DE16</f>
        <v>7144.5810000000001</v>
      </c>
      <c r="DF25" s="121">
        <f>SUM(DF18:DF24)+DF16</f>
        <v>8123.7929999999997</v>
      </c>
      <c r="DG25" s="121">
        <f>SUM(DG18:DG24)+DG16</f>
        <v>9252.8848609520483</v>
      </c>
      <c r="DH25" s="121">
        <f>SUM(DH18:DH24)+DH16</f>
        <v>10456.118850451407</v>
      </c>
      <c r="DI25" s="22"/>
    </row>
    <row r="26" spans="1:113" ht="14.25" customHeight="1">
      <c r="A26" s="8"/>
      <c r="B26" s="620"/>
      <c r="C26" s="74"/>
      <c r="D26" s="75"/>
      <c r="E26" s="76"/>
      <c r="F26" s="76"/>
      <c r="G26" s="77"/>
      <c r="H26" s="75"/>
      <c r="I26" s="76"/>
      <c r="J26" s="76"/>
      <c r="K26" s="77"/>
      <c r="L26" s="75"/>
      <c r="M26" s="76"/>
      <c r="N26" s="76"/>
      <c r="O26" s="77"/>
      <c r="P26" s="75"/>
      <c r="Q26" s="76"/>
      <c r="R26" s="76"/>
      <c r="S26" s="77"/>
      <c r="T26" s="75"/>
      <c r="U26" s="76"/>
      <c r="V26" s="76"/>
      <c r="W26" s="77"/>
      <c r="X26" s="75"/>
      <c r="Y26" s="76"/>
      <c r="Z26" s="76"/>
      <c r="AA26" s="77"/>
      <c r="AB26" s="75"/>
      <c r="AC26" s="76"/>
      <c r="AD26" s="76"/>
      <c r="AE26" s="77"/>
      <c r="AF26" s="75"/>
      <c r="AG26" s="76"/>
      <c r="AH26" s="76"/>
      <c r="AI26" s="77"/>
      <c r="AJ26" s="76"/>
      <c r="AK26" s="76"/>
      <c r="AL26" s="76"/>
      <c r="AM26" s="76"/>
      <c r="AN26" s="75"/>
      <c r="AO26" s="76"/>
      <c r="AP26" s="76"/>
      <c r="AQ26" s="77"/>
      <c r="AR26" s="75"/>
      <c r="AS26" s="76"/>
      <c r="AT26" s="76"/>
      <c r="AU26" s="77"/>
      <c r="AV26" s="75"/>
      <c r="AW26" s="76"/>
      <c r="AX26" s="76"/>
      <c r="AY26" s="77"/>
      <c r="AZ26" s="75"/>
      <c r="BA26" s="76"/>
      <c r="BB26" s="76"/>
      <c r="BC26" s="77"/>
      <c r="BD26" s="75"/>
      <c r="BE26" s="76"/>
      <c r="BF26" s="76"/>
      <c r="BG26" s="77"/>
      <c r="BH26" s="75"/>
      <c r="BI26" s="76"/>
      <c r="BJ26" s="76"/>
      <c r="BK26" s="147"/>
      <c r="BL26" s="75"/>
      <c r="BM26" s="76"/>
      <c r="BN26" s="76"/>
      <c r="BO26" s="147"/>
      <c r="BP26" s="148"/>
      <c r="BQ26" s="143"/>
      <c r="BR26" s="143"/>
      <c r="BS26" s="147"/>
      <c r="BT26" s="148"/>
      <c r="BU26" s="143"/>
      <c r="BV26" s="143"/>
      <c r="BW26" s="147"/>
      <c r="BX26" s="107"/>
      <c r="BY26" s="76"/>
      <c r="BZ26" s="76"/>
      <c r="CA26" s="76"/>
      <c r="CB26" s="76"/>
      <c r="CC26" s="76"/>
      <c r="CD26" s="76"/>
      <c r="CE26" s="76"/>
      <c r="CF26" s="76"/>
      <c r="CG26" s="75"/>
      <c r="CH26" s="76"/>
      <c r="CI26" s="76"/>
      <c r="CJ26" s="75"/>
      <c r="CK26" s="76"/>
      <c r="CL26" s="143"/>
      <c r="CM26" s="143"/>
      <c r="CN26" s="143"/>
      <c r="CO26" s="143"/>
      <c r="CP26" s="82"/>
      <c r="CQ26" s="20"/>
      <c r="CR26" s="75"/>
      <c r="CS26" s="76"/>
      <c r="CT26" s="76"/>
      <c r="CU26" s="76"/>
      <c r="CV26" s="76"/>
      <c r="CW26" s="76"/>
      <c r="CX26" s="76"/>
      <c r="CY26" s="76"/>
      <c r="CZ26" s="76"/>
      <c r="DA26" s="76"/>
      <c r="DB26" s="76"/>
      <c r="DC26" s="76"/>
      <c r="DD26" s="76"/>
      <c r="DE26" s="76"/>
      <c r="DF26" s="76"/>
      <c r="DG26" s="76"/>
      <c r="DH26" s="76"/>
      <c r="DI26" s="22"/>
    </row>
    <row r="27" spans="1:113" ht="14.25" customHeight="1">
      <c r="A27" s="8"/>
      <c r="B27" s="661" t="s">
        <v>33</v>
      </c>
      <c r="C27" s="102"/>
      <c r="D27" s="83"/>
      <c r="E27" s="84"/>
      <c r="F27" s="84"/>
      <c r="G27" s="85"/>
      <c r="H27" s="83"/>
      <c r="I27" s="84"/>
      <c r="J27" s="84"/>
      <c r="K27" s="85"/>
      <c r="L27" s="83"/>
      <c r="M27" s="84"/>
      <c r="N27" s="84"/>
      <c r="O27" s="85"/>
      <c r="P27" s="83"/>
      <c r="Q27" s="84"/>
      <c r="R27" s="84"/>
      <c r="S27" s="85"/>
      <c r="T27" s="83"/>
      <c r="U27" s="84"/>
      <c r="V27" s="84"/>
      <c r="W27" s="85"/>
      <c r="X27" s="83"/>
      <c r="Y27" s="84"/>
      <c r="Z27" s="84"/>
      <c r="AA27" s="85"/>
      <c r="AB27" s="83"/>
      <c r="AC27" s="84"/>
      <c r="AD27" s="84"/>
      <c r="AE27" s="85"/>
      <c r="AF27" s="83"/>
      <c r="AG27" s="84"/>
      <c r="AH27" s="84"/>
      <c r="AI27" s="85"/>
      <c r="AJ27" s="84"/>
      <c r="AK27" s="84"/>
      <c r="AL27" s="84"/>
      <c r="AM27" s="84"/>
      <c r="AN27" s="83"/>
      <c r="AO27" s="84"/>
      <c r="AP27" s="84"/>
      <c r="AQ27" s="85"/>
      <c r="AR27" s="83"/>
      <c r="AS27" s="84"/>
      <c r="AT27" s="84"/>
      <c r="AU27" s="1122"/>
      <c r="AV27" s="83"/>
      <c r="AW27" s="84"/>
      <c r="AX27" s="1121"/>
      <c r="AY27" s="1122"/>
      <c r="AZ27" s="83"/>
      <c r="BA27" s="1121"/>
      <c r="BB27" s="1121"/>
      <c r="BC27" s="1122"/>
      <c r="BD27" s="83"/>
      <c r="BE27" s="1121"/>
      <c r="BF27" s="1121"/>
      <c r="BG27" s="1122"/>
      <c r="BH27" s="83"/>
      <c r="BI27" s="1121"/>
      <c r="BJ27" s="1121"/>
      <c r="BK27" s="82"/>
      <c r="BL27" s="83"/>
      <c r="BM27" s="1121"/>
      <c r="BN27" s="1121"/>
      <c r="BO27" s="82"/>
      <c r="BP27" s="80"/>
      <c r="BQ27" s="81"/>
      <c r="BR27" s="81"/>
      <c r="BS27" s="82"/>
      <c r="BT27" s="80"/>
      <c r="BU27" s="81"/>
      <c r="BV27" s="81"/>
      <c r="BW27" s="82"/>
      <c r="BX27" s="107"/>
      <c r="BY27" s="84"/>
      <c r="BZ27" s="84"/>
      <c r="CA27" s="84"/>
      <c r="CB27" s="84"/>
      <c r="CC27" s="84"/>
      <c r="CD27" s="84"/>
      <c r="CE27" s="84"/>
      <c r="CF27" s="84"/>
      <c r="CG27" s="83"/>
      <c r="CH27" s="84"/>
      <c r="CI27" s="84"/>
      <c r="CJ27" s="83"/>
      <c r="CK27" s="84"/>
      <c r="CL27" s="81"/>
      <c r="CM27" s="81"/>
      <c r="CN27" s="81"/>
      <c r="CO27" s="81"/>
      <c r="CP27" s="82"/>
      <c r="CQ27" s="20"/>
      <c r="CR27" s="83"/>
      <c r="CS27" s="84"/>
      <c r="CT27" s="84"/>
      <c r="CU27" s="84"/>
      <c r="CV27" s="84"/>
      <c r="CW27" s="84"/>
      <c r="CX27" s="84"/>
      <c r="CY27" s="84"/>
      <c r="CZ27" s="84"/>
      <c r="DA27" s="84"/>
      <c r="DB27" s="84"/>
      <c r="DC27" s="84"/>
      <c r="DD27" s="84"/>
      <c r="DE27" s="84"/>
      <c r="DF27" s="84"/>
      <c r="DG27" s="84"/>
      <c r="DH27" s="84"/>
      <c r="DI27" s="22"/>
    </row>
    <row r="28" spans="1:113" ht="14.25" customHeight="1">
      <c r="A28" s="8"/>
      <c r="B28" s="608" t="s">
        <v>34</v>
      </c>
      <c r="C28" s="28"/>
      <c r="D28" s="83">
        <v>37.603999999999999</v>
      </c>
      <c r="E28" s="84">
        <v>33.962000000000003</v>
      </c>
      <c r="F28" s="84">
        <v>36.621000000000002</v>
      </c>
      <c r="G28" s="85">
        <v>34.143000000000001</v>
      </c>
      <c r="H28" s="83">
        <v>26.076000000000001</v>
      </c>
      <c r="I28" s="84">
        <v>27.968</v>
      </c>
      <c r="J28" s="84">
        <v>33.944000000000003</v>
      </c>
      <c r="K28" s="85">
        <v>61.183999999999997</v>
      </c>
      <c r="L28" s="83">
        <v>37.759</v>
      </c>
      <c r="M28" s="84">
        <v>38.28</v>
      </c>
      <c r="N28" s="84">
        <v>40.308999999999997</v>
      </c>
      <c r="O28" s="85">
        <v>34.328000000000003</v>
      </c>
      <c r="P28" s="83">
        <v>33.189</v>
      </c>
      <c r="Q28" s="84">
        <v>32.628999999999998</v>
      </c>
      <c r="R28" s="84">
        <v>36.356000000000002</v>
      </c>
      <c r="S28" s="85">
        <v>50.847000000000001</v>
      </c>
      <c r="T28" s="83">
        <v>41.453000000000003</v>
      </c>
      <c r="U28" s="84">
        <v>41.58</v>
      </c>
      <c r="V28" s="84">
        <v>34.741999999999997</v>
      </c>
      <c r="W28" s="85">
        <v>34.674999999999997</v>
      </c>
      <c r="X28" s="83">
        <v>48.472000000000001</v>
      </c>
      <c r="Y28" s="84">
        <v>39.654000000000003</v>
      </c>
      <c r="Z28" s="84">
        <v>35.595999999999997</v>
      </c>
      <c r="AA28" s="85">
        <v>39.317</v>
      </c>
      <c r="AB28" s="83">
        <v>47.768999999999998</v>
      </c>
      <c r="AC28" s="84">
        <v>60.514000000000003</v>
      </c>
      <c r="AD28" s="84">
        <v>29.273</v>
      </c>
      <c r="AE28" s="85">
        <v>29.228000000000002</v>
      </c>
      <c r="AF28" s="83">
        <v>28.885000000000002</v>
      </c>
      <c r="AG28" s="84">
        <v>33.926000000000002</v>
      </c>
      <c r="AH28" s="84">
        <v>38.387</v>
      </c>
      <c r="AI28" s="85">
        <v>44.238</v>
      </c>
      <c r="AJ28" s="84">
        <v>84.516999999999996</v>
      </c>
      <c r="AK28" s="84">
        <v>73.882000000000005</v>
      </c>
      <c r="AL28" s="84">
        <v>66.069999999999993</v>
      </c>
      <c r="AM28" s="85">
        <v>68.433000000000007</v>
      </c>
      <c r="AN28" s="83">
        <v>67.528000000000006</v>
      </c>
      <c r="AO28" s="84">
        <v>57.792000000000002</v>
      </c>
      <c r="AP28" s="84">
        <v>40.039000000000001</v>
      </c>
      <c r="AQ28" s="85">
        <v>50.286999999999999</v>
      </c>
      <c r="AR28" s="83">
        <v>52.646000000000001</v>
      </c>
      <c r="AS28" s="84">
        <v>82.265000000000001</v>
      </c>
      <c r="AT28" s="84">
        <v>54.051000000000002</v>
      </c>
      <c r="AU28" s="85">
        <v>75.551000000000002</v>
      </c>
      <c r="AV28" s="83">
        <v>77.692999999999998</v>
      </c>
      <c r="AW28" s="84">
        <v>77.768000000000001</v>
      </c>
      <c r="AX28" s="84">
        <v>62.75</v>
      </c>
      <c r="AY28" s="85">
        <v>74.05</v>
      </c>
      <c r="AZ28" s="83">
        <v>79.888999999999996</v>
      </c>
      <c r="BA28" s="84">
        <v>94.402000000000001</v>
      </c>
      <c r="BB28" s="84">
        <v>76.933000000000007</v>
      </c>
      <c r="BC28" s="85">
        <v>86.866</v>
      </c>
      <c r="BD28" s="83">
        <v>93.655000000000001</v>
      </c>
      <c r="BE28" s="84">
        <v>72.361999999999995</v>
      </c>
      <c r="BF28" s="84">
        <v>69.058999999999997</v>
      </c>
      <c r="BG28" s="85">
        <v>79.311999999999998</v>
      </c>
      <c r="BH28" s="83">
        <v>137.614</v>
      </c>
      <c r="BI28" s="84">
        <v>131.625</v>
      </c>
      <c r="BJ28" s="84">
        <v>135.16</v>
      </c>
      <c r="BK28" s="85">
        <v>149.233</v>
      </c>
      <c r="BL28" s="83">
        <v>171.857</v>
      </c>
      <c r="BM28" s="84">
        <v>182.59899999999999</v>
      </c>
      <c r="BN28" s="84">
        <v>162.71799999999999</v>
      </c>
      <c r="BO28" s="82">
        <f t="shared" ref="BO28" si="113">BO53/360*BO57*4</f>
        <v>190.91092930399998</v>
      </c>
      <c r="BP28" s="80">
        <f t="shared" ref="BP28:BW28" si="114">BP53/360*BP57*4</f>
        <v>197.97625717295006</v>
      </c>
      <c r="BQ28" s="81">
        <f t="shared" si="114"/>
        <v>203.28954327290285</v>
      </c>
      <c r="BR28" s="81">
        <f t="shared" si="114"/>
        <v>177.70749230377294</v>
      </c>
      <c r="BS28" s="82">
        <f t="shared" si="114"/>
        <v>176.175684791197</v>
      </c>
      <c r="BT28" s="80">
        <f t="shared" si="114"/>
        <v>182.33809464668678</v>
      </c>
      <c r="BU28" s="81">
        <f t="shared" si="114"/>
        <v>186.2076578774128</v>
      </c>
      <c r="BV28" s="81">
        <f t="shared" si="114"/>
        <v>184.22429372846955</v>
      </c>
      <c r="BW28" s="82">
        <f t="shared" si="114"/>
        <v>182.09447686637526</v>
      </c>
      <c r="BX28" s="107"/>
      <c r="BY28" s="81">
        <f t="shared" ref="BY28:BY33" si="115">G28</f>
        <v>34.143000000000001</v>
      </c>
      <c r="BZ28" s="81">
        <f t="shared" ref="BZ28:BZ33" si="116">K28</f>
        <v>61.183999999999997</v>
      </c>
      <c r="CA28" s="81">
        <f t="shared" ref="CA28:CA33" si="117">O28</f>
        <v>34.328000000000003</v>
      </c>
      <c r="CB28" s="81">
        <f t="shared" ref="CB28:CB33" si="118">S28</f>
        <v>50.847000000000001</v>
      </c>
      <c r="CC28" s="81">
        <f t="shared" ref="CC28:CC33" si="119">W28</f>
        <v>34.674999999999997</v>
      </c>
      <c r="CD28" s="81">
        <f t="shared" ref="CD28:CD33" si="120">AA28</f>
        <v>39.317</v>
      </c>
      <c r="CE28" s="81">
        <f t="shared" ref="CE28:CE33" si="121">AE28</f>
        <v>29.228000000000002</v>
      </c>
      <c r="CF28" s="81">
        <f t="shared" ref="CF28:CF33" si="122">AI28</f>
        <v>44.238</v>
      </c>
      <c r="CG28" s="80">
        <f t="shared" ref="CG28:CG33" si="123">AM28</f>
        <v>68.433000000000007</v>
      </c>
      <c r="CH28" s="81">
        <f t="shared" ref="CH28:CH33" si="124">AQ28</f>
        <v>50.286999999999999</v>
      </c>
      <c r="CI28" s="81">
        <f t="shared" ref="CI28:CI33" si="125">AU28</f>
        <v>75.551000000000002</v>
      </c>
      <c r="CJ28" s="80">
        <f t="shared" ref="CJ28:CJ33" si="126">AY28</f>
        <v>74.05</v>
      </c>
      <c r="CK28" s="81">
        <f t="shared" ref="CK28:CK33" si="127">BC28</f>
        <v>86.866</v>
      </c>
      <c r="CL28" s="81">
        <f t="shared" ref="CL28:CL33" si="128">BG28</f>
        <v>79.311999999999998</v>
      </c>
      <c r="CM28" s="81">
        <f t="shared" ref="CM28:CM33" si="129">BK28</f>
        <v>149.233</v>
      </c>
      <c r="CN28" s="81">
        <f t="shared" ref="CN28:CN33" si="130">BO28</f>
        <v>190.91092930399998</v>
      </c>
      <c r="CO28" s="81">
        <f t="shared" ref="CO28:CO33" si="131">BS28</f>
        <v>176.175684791197</v>
      </c>
      <c r="CP28" s="82">
        <f t="shared" ref="CP28:CP33" si="132">BW28</f>
        <v>182.09447686637526</v>
      </c>
      <c r="CQ28" s="20"/>
      <c r="CR28" s="80">
        <f t="shared" ref="CR28:CR33" si="133">J28</f>
        <v>33.944000000000003</v>
      </c>
      <c r="CS28" s="81">
        <f t="shared" ref="CS28:CS33" si="134">N28</f>
        <v>40.308999999999997</v>
      </c>
      <c r="CT28" s="81">
        <f t="shared" ref="CT28:CT33" si="135">R28</f>
        <v>36.356000000000002</v>
      </c>
      <c r="CU28" s="81">
        <f t="shared" ref="CU28:CU33" si="136">V28</f>
        <v>34.741999999999997</v>
      </c>
      <c r="CV28" s="81">
        <f t="shared" ref="CV28:CV33" si="137">Z28</f>
        <v>35.595999999999997</v>
      </c>
      <c r="CW28" s="81">
        <f t="shared" ref="CW28:CW33" si="138">AD28</f>
        <v>29.273</v>
      </c>
      <c r="CX28" s="81">
        <f t="shared" ref="CX28:CX33" si="139">AH28</f>
        <v>38.387</v>
      </c>
      <c r="CY28" s="81">
        <f t="shared" ref="CY28:CY33" si="140">AL28</f>
        <v>66.069999999999993</v>
      </c>
      <c r="CZ28" s="81">
        <f t="shared" ref="CZ28:CZ33" si="141">AP28</f>
        <v>40.039000000000001</v>
      </c>
      <c r="DA28" s="81">
        <f t="shared" ref="DA28:DA33" si="142">AT28</f>
        <v>54.051000000000002</v>
      </c>
      <c r="DB28" s="81">
        <f t="shared" ref="DB28:DB33" si="143">AX28</f>
        <v>62.75</v>
      </c>
      <c r="DC28" s="81">
        <f t="shared" ref="DC28:DC33" si="144">BB28</f>
        <v>76.933000000000007</v>
      </c>
      <c r="DD28" s="81">
        <f t="shared" ref="DD28:DD33" si="145">BF28</f>
        <v>69.058999999999997</v>
      </c>
      <c r="DE28" s="81">
        <f t="shared" ref="DE28:DE33" si="146">BJ28</f>
        <v>135.16</v>
      </c>
      <c r="DF28" s="81">
        <f t="shared" ref="DF28:DF33" si="147">BN28</f>
        <v>162.71799999999999</v>
      </c>
      <c r="DG28" s="81">
        <f t="shared" ref="DG28:DG33" si="148">BR28</f>
        <v>177.70749230377294</v>
      </c>
      <c r="DH28" s="81">
        <f t="shared" ref="DH28:DH33" si="149">BV28</f>
        <v>184.22429372846955</v>
      </c>
      <c r="DI28" s="22"/>
    </row>
    <row r="29" spans="1:113" ht="14.25" customHeight="1">
      <c r="A29" s="8"/>
      <c r="B29" s="608" t="s">
        <v>363</v>
      </c>
      <c r="C29" s="28"/>
      <c r="D29" s="84">
        <v>101.40600000000001</v>
      </c>
      <c r="E29" s="84">
        <v>103.40900000000001</v>
      </c>
      <c r="F29" s="84">
        <v>114.669</v>
      </c>
      <c r="G29" s="85">
        <v>109.999</v>
      </c>
      <c r="H29" s="84">
        <v>112.587</v>
      </c>
      <c r="I29" s="84">
        <v>116.89400000000001</v>
      </c>
      <c r="J29" s="84">
        <v>122.748</v>
      </c>
      <c r="K29" s="85">
        <v>124.051</v>
      </c>
      <c r="L29" s="84">
        <v>130.30500000000001</v>
      </c>
      <c r="M29" s="84">
        <v>111.407</v>
      </c>
      <c r="N29" s="84">
        <v>124.453</v>
      </c>
      <c r="O29" s="85">
        <v>135.15299999999999</v>
      </c>
      <c r="P29" s="84">
        <v>148.52600000000001</v>
      </c>
      <c r="Q29" s="84">
        <v>160.547</v>
      </c>
      <c r="R29" s="84">
        <v>171.27199999999999</v>
      </c>
      <c r="S29" s="85">
        <v>189.68700000000001</v>
      </c>
      <c r="T29" s="84">
        <v>204.83500000000001</v>
      </c>
      <c r="U29" s="84">
        <v>205.12</v>
      </c>
      <c r="V29" s="84">
        <v>218.494</v>
      </c>
      <c r="W29" s="85">
        <v>129.88200000000001</v>
      </c>
      <c r="X29" s="84">
        <v>47.881999999999998</v>
      </c>
      <c r="Y29" s="84">
        <v>52.823999999999998</v>
      </c>
      <c r="Z29" s="84">
        <v>47.859000000000002</v>
      </c>
      <c r="AA29" s="85">
        <v>56.323</v>
      </c>
      <c r="AB29" s="84">
        <v>49.627000000000002</v>
      </c>
      <c r="AC29" s="84">
        <v>57.457999999999998</v>
      </c>
      <c r="AD29" s="84">
        <v>48.05</v>
      </c>
      <c r="AE29" s="85">
        <v>42.485999999999997</v>
      </c>
      <c r="AF29" s="84">
        <v>36.875</v>
      </c>
      <c r="AG29" s="84">
        <v>50.162999999999997</v>
      </c>
      <c r="AH29" s="84">
        <v>49.164999999999999</v>
      </c>
      <c r="AI29" s="85">
        <v>60.210999999999999</v>
      </c>
      <c r="AJ29" s="84">
        <v>91.497</v>
      </c>
      <c r="AK29" s="84">
        <v>103.976</v>
      </c>
      <c r="AL29" s="84">
        <v>91.18</v>
      </c>
      <c r="AM29" s="84">
        <v>131.839</v>
      </c>
      <c r="AN29" s="83">
        <v>114.95699999999999</v>
      </c>
      <c r="AO29" s="84">
        <v>92.176000000000002</v>
      </c>
      <c r="AP29" s="84">
        <v>92.741</v>
      </c>
      <c r="AQ29" s="85">
        <v>88.876999999999995</v>
      </c>
      <c r="AR29" s="83">
        <v>86.55</v>
      </c>
      <c r="AS29" s="84">
        <v>120.086</v>
      </c>
      <c r="AT29" s="84">
        <v>119.617</v>
      </c>
      <c r="AU29" s="85">
        <v>127.108</v>
      </c>
      <c r="AV29" s="83">
        <v>124.154</v>
      </c>
      <c r="AW29" s="84">
        <v>101.70099999999999</v>
      </c>
      <c r="AX29" s="84">
        <v>96.176000000000002</v>
      </c>
      <c r="AY29" s="85">
        <v>96.730999999999995</v>
      </c>
      <c r="AZ29" s="83">
        <v>115.718</v>
      </c>
      <c r="BA29" s="84">
        <v>113.997</v>
      </c>
      <c r="BB29" s="84">
        <v>104.389</v>
      </c>
      <c r="BC29" s="85">
        <v>100.97799999999999</v>
      </c>
      <c r="BD29" s="83">
        <v>111.124</v>
      </c>
      <c r="BE29" s="84">
        <v>119.452</v>
      </c>
      <c r="BF29" s="84">
        <v>111.273</v>
      </c>
      <c r="BG29" s="85">
        <v>119.265</v>
      </c>
      <c r="BH29" s="83">
        <v>222.5</v>
      </c>
      <c r="BI29" s="84">
        <v>223.982</v>
      </c>
      <c r="BJ29" s="84">
        <v>222.13399999999999</v>
      </c>
      <c r="BK29" s="85">
        <v>212.45</v>
      </c>
      <c r="BL29" s="83">
        <v>244.53299999999999</v>
      </c>
      <c r="BM29" s="84">
        <v>221.244</v>
      </c>
      <c r="BN29" s="84">
        <v>258.40899999999999</v>
      </c>
      <c r="BO29" s="82">
        <f t="shared" ref="BM29:BO31" si="150">BN29</f>
        <v>258.40899999999999</v>
      </c>
      <c r="BP29" s="80">
        <f t="shared" ref="BP29:BS31" si="151">BO29</f>
        <v>258.40899999999999</v>
      </c>
      <c r="BQ29" s="81">
        <f t="shared" si="151"/>
        <v>258.40899999999999</v>
      </c>
      <c r="BR29" s="81">
        <f t="shared" si="151"/>
        <v>258.40899999999999</v>
      </c>
      <c r="BS29" s="82">
        <f t="shared" si="151"/>
        <v>258.40899999999999</v>
      </c>
      <c r="BT29" s="80">
        <f t="shared" ref="BT29:BT31" si="152">BS29</f>
        <v>258.40899999999999</v>
      </c>
      <c r="BU29" s="81">
        <f t="shared" ref="BU29:BU31" si="153">BT29</f>
        <v>258.40899999999999</v>
      </c>
      <c r="BV29" s="81">
        <f t="shared" ref="BV29:BV31" si="154">BU29</f>
        <v>258.40899999999999</v>
      </c>
      <c r="BW29" s="82">
        <f t="shared" ref="BW29:BW31" si="155">BV29</f>
        <v>258.40899999999999</v>
      </c>
      <c r="BX29" s="107"/>
      <c r="BY29" s="81">
        <f t="shared" si="115"/>
        <v>109.999</v>
      </c>
      <c r="BZ29" s="81">
        <f t="shared" si="116"/>
        <v>124.051</v>
      </c>
      <c r="CA29" s="81">
        <f t="shared" si="117"/>
        <v>135.15299999999999</v>
      </c>
      <c r="CB29" s="81">
        <f t="shared" si="118"/>
        <v>189.68700000000001</v>
      </c>
      <c r="CC29" s="81">
        <f t="shared" si="119"/>
        <v>129.88200000000001</v>
      </c>
      <c r="CD29" s="81">
        <f t="shared" si="120"/>
        <v>56.323</v>
      </c>
      <c r="CE29" s="81">
        <f t="shared" si="121"/>
        <v>42.485999999999997</v>
      </c>
      <c r="CF29" s="81">
        <f t="shared" si="122"/>
        <v>60.210999999999999</v>
      </c>
      <c r="CG29" s="80">
        <f t="shared" si="123"/>
        <v>131.839</v>
      </c>
      <c r="CH29" s="81">
        <f t="shared" si="124"/>
        <v>88.876999999999995</v>
      </c>
      <c r="CI29" s="81">
        <f t="shared" si="125"/>
        <v>127.108</v>
      </c>
      <c r="CJ29" s="80">
        <f t="shared" si="126"/>
        <v>96.730999999999995</v>
      </c>
      <c r="CK29" s="81">
        <f t="shared" si="127"/>
        <v>100.97799999999999</v>
      </c>
      <c r="CL29" s="81">
        <f t="shared" si="128"/>
        <v>119.265</v>
      </c>
      <c r="CM29" s="81">
        <f t="shared" si="129"/>
        <v>212.45</v>
      </c>
      <c r="CN29" s="81">
        <f t="shared" si="130"/>
        <v>258.40899999999999</v>
      </c>
      <c r="CO29" s="81">
        <f t="shared" si="131"/>
        <v>258.40899999999999</v>
      </c>
      <c r="CP29" s="82">
        <f t="shared" si="132"/>
        <v>258.40899999999999</v>
      </c>
      <c r="CQ29" s="20"/>
      <c r="CR29" s="80">
        <f t="shared" si="133"/>
        <v>122.748</v>
      </c>
      <c r="CS29" s="81">
        <f t="shared" si="134"/>
        <v>124.453</v>
      </c>
      <c r="CT29" s="81">
        <f t="shared" si="135"/>
        <v>171.27199999999999</v>
      </c>
      <c r="CU29" s="81">
        <f t="shared" si="136"/>
        <v>218.494</v>
      </c>
      <c r="CV29" s="81">
        <f t="shared" si="137"/>
        <v>47.859000000000002</v>
      </c>
      <c r="CW29" s="81">
        <f t="shared" si="138"/>
        <v>48.05</v>
      </c>
      <c r="CX29" s="81">
        <f t="shared" si="139"/>
        <v>49.164999999999999</v>
      </c>
      <c r="CY29" s="81">
        <f t="shared" si="140"/>
        <v>91.18</v>
      </c>
      <c r="CZ29" s="81">
        <f t="shared" si="141"/>
        <v>92.741</v>
      </c>
      <c r="DA29" s="81">
        <f t="shared" si="142"/>
        <v>119.617</v>
      </c>
      <c r="DB29" s="81">
        <f t="shared" si="143"/>
        <v>96.176000000000002</v>
      </c>
      <c r="DC29" s="81">
        <f t="shared" si="144"/>
        <v>104.389</v>
      </c>
      <c r="DD29" s="81">
        <f t="shared" si="145"/>
        <v>111.273</v>
      </c>
      <c r="DE29" s="81">
        <f t="shared" si="146"/>
        <v>222.13399999999999</v>
      </c>
      <c r="DF29" s="81">
        <f t="shared" si="147"/>
        <v>258.40899999999999</v>
      </c>
      <c r="DG29" s="81">
        <f t="shared" si="148"/>
        <v>258.40899999999999</v>
      </c>
      <c r="DH29" s="81">
        <f t="shared" si="149"/>
        <v>258.40899999999999</v>
      </c>
      <c r="DI29" s="22"/>
    </row>
    <row r="30" spans="1:113" ht="14.25" customHeight="1">
      <c r="A30" s="8"/>
      <c r="B30" s="608" t="s">
        <v>167</v>
      </c>
      <c r="C30" s="28"/>
      <c r="D30" s="84">
        <v>48.357999999999997</v>
      </c>
      <c r="E30" s="84">
        <v>46.148000000000003</v>
      </c>
      <c r="F30" s="84">
        <v>46.24</v>
      </c>
      <c r="G30" s="85">
        <v>70.988</v>
      </c>
      <c r="H30" s="84">
        <v>70.775000000000006</v>
      </c>
      <c r="I30" s="84">
        <v>70.671000000000006</v>
      </c>
      <c r="J30" s="84">
        <v>76.852000000000004</v>
      </c>
      <c r="K30" s="85">
        <v>84.816000000000003</v>
      </c>
      <c r="L30" s="84">
        <v>93.632000000000005</v>
      </c>
      <c r="M30" s="84">
        <v>100.99</v>
      </c>
      <c r="N30" s="84">
        <v>95.248000000000005</v>
      </c>
      <c r="O30" s="85">
        <v>91.73</v>
      </c>
      <c r="P30" s="84">
        <v>90.061999999999998</v>
      </c>
      <c r="Q30" s="84">
        <v>88.962999999999994</v>
      </c>
      <c r="R30" s="84">
        <v>84.673000000000002</v>
      </c>
      <c r="S30" s="85">
        <v>99.480999999999995</v>
      </c>
      <c r="T30" s="84">
        <v>110.911</v>
      </c>
      <c r="U30" s="84">
        <v>98.206999999999994</v>
      </c>
      <c r="V30" s="84">
        <v>92.135000000000005</v>
      </c>
      <c r="W30" s="85">
        <v>91.363</v>
      </c>
      <c r="X30" s="84">
        <v>89.932000000000002</v>
      </c>
      <c r="Y30" s="84">
        <v>93.382999999999996</v>
      </c>
      <c r="Z30" s="84">
        <v>93.349000000000004</v>
      </c>
      <c r="AA30" s="85">
        <v>95.441000000000003</v>
      </c>
      <c r="AB30" s="84">
        <v>97.125</v>
      </c>
      <c r="AC30" s="84">
        <v>103.50700000000001</v>
      </c>
      <c r="AD30" s="84">
        <v>98.421000000000006</v>
      </c>
      <c r="AE30" s="85">
        <v>83.930999999999997</v>
      </c>
      <c r="AF30" s="84">
        <v>83.430999999999997</v>
      </c>
      <c r="AG30" s="84">
        <v>86.260999999999996</v>
      </c>
      <c r="AH30" s="84">
        <v>97.582999999999998</v>
      </c>
      <c r="AI30" s="85">
        <v>98.941000000000003</v>
      </c>
      <c r="AJ30" s="84">
        <v>108.07</v>
      </c>
      <c r="AK30" s="84">
        <v>132.28200000000001</v>
      </c>
      <c r="AL30" s="84">
        <v>142.685</v>
      </c>
      <c r="AM30" s="84">
        <v>140.04400000000001</v>
      </c>
      <c r="AN30" s="83">
        <v>145.59800000000001</v>
      </c>
      <c r="AO30" s="84">
        <v>144.185</v>
      </c>
      <c r="AP30" s="84">
        <v>115.786</v>
      </c>
      <c r="AQ30" s="85">
        <v>108.709</v>
      </c>
      <c r="AR30" s="83">
        <v>110.79300000000001</v>
      </c>
      <c r="AS30" s="84">
        <v>123.122</v>
      </c>
      <c r="AT30" s="84">
        <v>122.611</v>
      </c>
      <c r="AU30" s="85">
        <v>138.952</v>
      </c>
      <c r="AV30" s="83">
        <v>149.81700000000001</v>
      </c>
      <c r="AW30" s="84">
        <v>151.04900000000001</v>
      </c>
      <c r="AX30" s="84">
        <v>143.315</v>
      </c>
      <c r="AY30" s="85">
        <v>147.798</v>
      </c>
      <c r="AZ30" s="83">
        <v>146.583</v>
      </c>
      <c r="BA30" s="84">
        <v>159.58500000000001</v>
      </c>
      <c r="BB30" s="84">
        <v>154.26400000000001</v>
      </c>
      <c r="BC30" s="85">
        <v>166.12799999999999</v>
      </c>
      <c r="BD30" s="83">
        <v>167.529</v>
      </c>
      <c r="BE30" s="84">
        <v>179.96199999999999</v>
      </c>
      <c r="BF30" s="84">
        <v>163.58199999999999</v>
      </c>
      <c r="BG30" s="85">
        <v>183.43199999999999</v>
      </c>
      <c r="BH30" s="83">
        <v>213.17099999999999</v>
      </c>
      <c r="BI30" s="84">
        <v>223.196</v>
      </c>
      <c r="BJ30" s="84">
        <v>294.25900000000001</v>
      </c>
      <c r="BK30" s="85">
        <v>292.815</v>
      </c>
      <c r="BL30" s="83">
        <v>308.79700000000003</v>
      </c>
      <c r="BM30" s="84">
        <v>324.363</v>
      </c>
      <c r="BN30" s="84">
        <v>335.70499999999998</v>
      </c>
      <c r="BO30" s="82">
        <f t="shared" si="150"/>
        <v>335.70499999999998</v>
      </c>
      <c r="BP30" s="80">
        <f t="shared" si="151"/>
        <v>335.70499999999998</v>
      </c>
      <c r="BQ30" s="81">
        <f t="shared" si="151"/>
        <v>335.70499999999998</v>
      </c>
      <c r="BR30" s="81">
        <f t="shared" si="151"/>
        <v>335.70499999999998</v>
      </c>
      <c r="BS30" s="82">
        <f t="shared" si="151"/>
        <v>335.70499999999998</v>
      </c>
      <c r="BT30" s="80">
        <f t="shared" si="152"/>
        <v>335.70499999999998</v>
      </c>
      <c r="BU30" s="81">
        <f t="shared" si="153"/>
        <v>335.70499999999998</v>
      </c>
      <c r="BV30" s="81">
        <f t="shared" si="154"/>
        <v>335.70499999999998</v>
      </c>
      <c r="BW30" s="82">
        <f t="shared" si="155"/>
        <v>335.70499999999998</v>
      </c>
      <c r="BX30" s="107"/>
      <c r="BY30" s="81">
        <f t="shared" si="115"/>
        <v>70.988</v>
      </c>
      <c r="BZ30" s="81">
        <f t="shared" si="116"/>
        <v>84.816000000000003</v>
      </c>
      <c r="CA30" s="81">
        <f t="shared" si="117"/>
        <v>91.73</v>
      </c>
      <c r="CB30" s="81">
        <f t="shared" si="118"/>
        <v>99.480999999999995</v>
      </c>
      <c r="CC30" s="81">
        <f t="shared" si="119"/>
        <v>91.363</v>
      </c>
      <c r="CD30" s="81">
        <f t="shared" si="120"/>
        <v>95.441000000000003</v>
      </c>
      <c r="CE30" s="81">
        <f t="shared" si="121"/>
        <v>83.930999999999997</v>
      </c>
      <c r="CF30" s="81">
        <f t="shared" si="122"/>
        <v>98.941000000000003</v>
      </c>
      <c r="CG30" s="80">
        <f t="shared" si="123"/>
        <v>140.04400000000001</v>
      </c>
      <c r="CH30" s="81">
        <f t="shared" si="124"/>
        <v>108.709</v>
      </c>
      <c r="CI30" s="81">
        <f t="shared" si="125"/>
        <v>138.952</v>
      </c>
      <c r="CJ30" s="80">
        <f t="shared" si="126"/>
        <v>147.798</v>
      </c>
      <c r="CK30" s="81">
        <f t="shared" si="127"/>
        <v>166.12799999999999</v>
      </c>
      <c r="CL30" s="81">
        <f t="shared" si="128"/>
        <v>183.43199999999999</v>
      </c>
      <c r="CM30" s="81">
        <f t="shared" si="129"/>
        <v>292.815</v>
      </c>
      <c r="CN30" s="81">
        <f t="shared" si="130"/>
        <v>335.70499999999998</v>
      </c>
      <c r="CO30" s="81">
        <f t="shared" si="131"/>
        <v>335.70499999999998</v>
      </c>
      <c r="CP30" s="82">
        <f t="shared" si="132"/>
        <v>335.70499999999998</v>
      </c>
      <c r="CQ30" s="20"/>
      <c r="CR30" s="80">
        <f t="shared" si="133"/>
        <v>76.852000000000004</v>
      </c>
      <c r="CS30" s="81">
        <f t="shared" si="134"/>
        <v>95.248000000000005</v>
      </c>
      <c r="CT30" s="81">
        <f t="shared" si="135"/>
        <v>84.673000000000002</v>
      </c>
      <c r="CU30" s="81">
        <f t="shared" si="136"/>
        <v>92.135000000000005</v>
      </c>
      <c r="CV30" s="81">
        <f t="shared" si="137"/>
        <v>93.349000000000004</v>
      </c>
      <c r="CW30" s="81">
        <f t="shared" si="138"/>
        <v>98.421000000000006</v>
      </c>
      <c r="CX30" s="81">
        <f t="shared" si="139"/>
        <v>97.582999999999998</v>
      </c>
      <c r="CY30" s="81">
        <f t="shared" si="140"/>
        <v>142.685</v>
      </c>
      <c r="CZ30" s="81">
        <f t="shared" si="141"/>
        <v>115.786</v>
      </c>
      <c r="DA30" s="81">
        <f t="shared" si="142"/>
        <v>122.611</v>
      </c>
      <c r="DB30" s="81">
        <f t="shared" si="143"/>
        <v>143.315</v>
      </c>
      <c r="DC30" s="81">
        <f t="shared" si="144"/>
        <v>154.26400000000001</v>
      </c>
      <c r="DD30" s="81">
        <f t="shared" si="145"/>
        <v>163.58199999999999</v>
      </c>
      <c r="DE30" s="81">
        <f t="shared" si="146"/>
        <v>294.25900000000001</v>
      </c>
      <c r="DF30" s="81">
        <f t="shared" si="147"/>
        <v>335.70499999999998</v>
      </c>
      <c r="DG30" s="81">
        <f t="shared" si="148"/>
        <v>335.70499999999998</v>
      </c>
      <c r="DH30" s="81">
        <f t="shared" si="149"/>
        <v>335.70499999999998</v>
      </c>
      <c r="DI30" s="22"/>
    </row>
    <row r="31" spans="1:113" ht="14.25" hidden="1" customHeight="1" outlineLevel="1">
      <c r="A31" s="8"/>
      <c r="B31" s="608" t="s">
        <v>406</v>
      </c>
      <c r="C31" s="28"/>
      <c r="D31" s="84">
        <v>0</v>
      </c>
      <c r="E31" s="84">
        <v>0</v>
      </c>
      <c r="F31" s="84">
        <v>0</v>
      </c>
      <c r="G31" s="85">
        <v>0</v>
      </c>
      <c r="H31" s="84">
        <v>0</v>
      </c>
      <c r="I31" s="84">
        <v>0</v>
      </c>
      <c r="J31" s="84">
        <v>0</v>
      </c>
      <c r="K31" s="85">
        <v>0</v>
      </c>
      <c r="L31" s="84">
        <v>0</v>
      </c>
      <c r="M31" s="84">
        <v>0</v>
      </c>
      <c r="N31" s="84">
        <v>0</v>
      </c>
      <c r="O31" s="85">
        <v>0</v>
      </c>
      <c r="P31" s="84">
        <v>0</v>
      </c>
      <c r="Q31" s="84">
        <v>0</v>
      </c>
      <c r="R31" s="84">
        <v>0</v>
      </c>
      <c r="S31" s="85">
        <v>0</v>
      </c>
      <c r="T31" s="84">
        <v>0</v>
      </c>
      <c r="U31" s="84">
        <v>0</v>
      </c>
      <c r="V31" s="84">
        <v>0</v>
      </c>
      <c r="W31" s="85">
        <v>0</v>
      </c>
      <c r="X31" s="84">
        <v>0</v>
      </c>
      <c r="Y31" s="84">
        <v>0</v>
      </c>
      <c r="Z31" s="84">
        <v>0</v>
      </c>
      <c r="AA31" s="85">
        <v>0</v>
      </c>
      <c r="AB31" s="84">
        <v>0</v>
      </c>
      <c r="AC31" s="84">
        <v>0</v>
      </c>
      <c r="AD31" s="84">
        <v>0</v>
      </c>
      <c r="AE31" s="85">
        <v>0</v>
      </c>
      <c r="AF31" s="84">
        <v>0</v>
      </c>
      <c r="AG31" s="84">
        <v>0</v>
      </c>
      <c r="AH31" s="84">
        <v>0</v>
      </c>
      <c r="AI31" s="85">
        <v>0</v>
      </c>
      <c r="AJ31" s="84">
        <v>0</v>
      </c>
      <c r="AK31" s="84">
        <v>0</v>
      </c>
      <c r="AL31" s="84">
        <v>0</v>
      </c>
      <c r="AM31" s="84">
        <v>0</v>
      </c>
      <c r="AN31" s="83">
        <v>0</v>
      </c>
      <c r="AO31" s="84">
        <v>0</v>
      </c>
      <c r="AP31" s="84">
        <v>0</v>
      </c>
      <c r="AQ31" s="85">
        <v>0</v>
      </c>
      <c r="AR31" s="83">
        <v>0</v>
      </c>
      <c r="AS31" s="84">
        <v>0</v>
      </c>
      <c r="AT31" s="84">
        <v>0</v>
      </c>
      <c r="AU31" s="85">
        <v>0</v>
      </c>
      <c r="AV31" s="83">
        <v>0</v>
      </c>
      <c r="AW31" s="84">
        <v>0</v>
      </c>
      <c r="AX31" s="84">
        <v>0</v>
      </c>
      <c r="AY31" s="85">
        <v>0</v>
      </c>
      <c r="AZ31" s="83">
        <v>0</v>
      </c>
      <c r="BA31" s="84">
        <v>0</v>
      </c>
      <c r="BB31" s="84">
        <v>0</v>
      </c>
      <c r="BC31" s="85">
        <v>0</v>
      </c>
      <c r="BD31" s="83">
        <v>0</v>
      </c>
      <c r="BE31" s="84">
        <v>0</v>
      </c>
      <c r="BF31" s="84">
        <v>0</v>
      </c>
      <c r="BG31" s="85">
        <v>0</v>
      </c>
      <c r="BH31" s="83">
        <v>0</v>
      </c>
      <c r="BI31" s="84">
        <v>0</v>
      </c>
      <c r="BJ31" s="84">
        <v>0</v>
      </c>
      <c r="BK31" s="85">
        <v>0</v>
      </c>
      <c r="BL31" s="83">
        <v>0</v>
      </c>
      <c r="BM31" s="84">
        <f t="shared" si="150"/>
        <v>0</v>
      </c>
      <c r="BN31" s="84">
        <v>0</v>
      </c>
      <c r="BO31" s="82">
        <f t="shared" si="150"/>
        <v>0</v>
      </c>
      <c r="BP31" s="80">
        <f t="shared" si="151"/>
        <v>0</v>
      </c>
      <c r="BQ31" s="81">
        <f t="shared" si="151"/>
        <v>0</v>
      </c>
      <c r="BR31" s="81">
        <f t="shared" si="151"/>
        <v>0</v>
      </c>
      <c r="BS31" s="82">
        <f t="shared" si="151"/>
        <v>0</v>
      </c>
      <c r="BT31" s="80">
        <f t="shared" si="152"/>
        <v>0</v>
      </c>
      <c r="BU31" s="81">
        <f t="shared" si="153"/>
        <v>0</v>
      </c>
      <c r="BV31" s="81">
        <f t="shared" si="154"/>
        <v>0</v>
      </c>
      <c r="BW31" s="82">
        <f t="shared" si="155"/>
        <v>0</v>
      </c>
      <c r="BX31" s="107"/>
      <c r="BY31" s="81">
        <f t="shared" si="115"/>
        <v>0</v>
      </c>
      <c r="BZ31" s="81">
        <f t="shared" si="116"/>
        <v>0</v>
      </c>
      <c r="CA31" s="81">
        <f t="shared" si="117"/>
        <v>0</v>
      </c>
      <c r="CB31" s="81">
        <f t="shared" si="118"/>
        <v>0</v>
      </c>
      <c r="CC31" s="81">
        <f t="shared" si="119"/>
        <v>0</v>
      </c>
      <c r="CD31" s="81">
        <f t="shared" si="120"/>
        <v>0</v>
      </c>
      <c r="CE31" s="81">
        <f t="shared" si="121"/>
        <v>0</v>
      </c>
      <c r="CF31" s="81">
        <f t="shared" si="122"/>
        <v>0</v>
      </c>
      <c r="CG31" s="80">
        <f t="shared" si="123"/>
        <v>0</v>
      </c>
      <c r="CH31" s="81">
        <f t="shared" si="124"/>
        <v>0</v>
      </c>
      <c r="CI31" s="81">
        <f t="shared" si="125"/>
        <v>0</v>
      </c>
      <c r="CJ31" s="80">
        <f t="shared" si="126"/>
        <v>0</v>
      </c>
      <c r="CK31" s="81">
        <f t="shared" si="127"/>
        <v>0</v>
      </c>
      <c r="CL31" s="81">
        <f t="shared" si="128"/>
        <v>0</v>
      </c>
      <c r="CM31" s="81">
        <f t="shared" si="129"/>
        <v>0</v>
      </c>
      <c r="CN31" s="81">
        <f t="shared" si="130"/>
        <v>0</v>
      </c>
      <c r="CO31" s="81">
        <f t="shared" si="131"/>
        <v>0</v>
      </c>
      <c r="CP31" s="82">
        <f t="shared" si="132"/>
        <v>0</v>
      </c>
      <c r="CQ31" s="20"/>
      <c r="CR31" s="80">
        <f t="shared" si="133"/>
        <v>0</v>
      </c>
      <c r="CS31" s="81">
        <f t="shared" si="134"/>
        <v>0</v>
      </c>
      <c r="CT31" s="81">
        <f t="shared" si="135"/>
        <v>0</v>
      </c>
      <c r="CU31" s="81">
        <f t="shared" si="136"/>
        <v>0</v>
      </c>
      <c r="CV31" s="81">
        <f t="shared" si="137"/>
        <v>0</v>
      </c>
      <c r="CW31" s="81">
        <f t="shared" si="138"/>
        <v>0</v>
      </c>
      <c r="CX31" s="81">
        <f t="shared" si="139"/>
        <v>0</v>
      </c>
      <c r="CY31" s="81">
        <f t="shared" si="140"/>
        <v>0</v>
      </c>
      <c r="CZ31" s="81">
        <f t="shared" si="141"/>
        <v>0</v>
      </c>
      <c r="DA31" s="81">
        <f t="shared" si="142"/>
        <v>0</v>
      </c>
      <c r="DB31" s="81">
        <f t="shared" si="143"/>
        <v>0</v>
      </c>
      <c r="DC31" s="81">
        <f t="shared" si="144"/>
        <v>0</v>
      </c>
      <c r="DD31" s="81">
        <f t="shared" si="145"/>
        <v>0</v>
      </c>
      <c r="DE31" s="81">
        <f t="shared" si="146"/>
        <v>0</v>
      </c>
      <c r="DF31" s="81">
        <f t="shared" si="147"/>
        <v>0</v>
      </c>
      <c r="DG31" s="81">
        <f t="shared" si="148"/>
        <v>0</v>
      </c>
      <c r="DH31" s="81">
        <f t="shared" si="149"/>
        <v>0</v>
      </c>
      <c r="DI31" s="22"/>
    </row>
    <row r="32" spans="1:113" ht="14.25" customHeight="1" collapsed="1">
      <c r="A32" s="8"/>
      <c r="B32" s="608" t="s">
        <v>405</v>
      </c>
      <c r="C32" s="28"/>
      <c r="D32" s="84">
        <v>0</v>
      </c>
      <c r="E32" s="84">
        <v>0</v>
      </c>
      <c r="F32" s="84">
        <v>0</v>
      </c>
      <c r="G32" s="85">
        <v>0</v>
      </c>
      <c r="H32" s="84">
        <v>0</v>
      </c>
      <c r="I32" s="84">
        <v>0</v>
      </c>
      <c r="J32" s="84">
        <v>0</v>
      </c>
      <c r="K32" s="85">
        <v>0</v>
      </c>
      <c r="L32" s="84">
        <v>0</v>
      </c>
      <c r="M32" s="84">
        <v>42.274999999999999</v>
      </c>
      <c r="N32" s="84">
        <v>44.252000000000002</v>
      </c>
      <c r="O32" s="85">
        <v>45.454000000000001</v>
      </c>
      <c r="P32" s="84">
        <v>45.454000000000001</v>
      </c>
      <c r="Q32" s="84">
        <v>45.454000000000001</v>
      </c>
      <c r="R32" s="84">
        <v>45.454000000000001</v>
      </c>
      <c r="S32" s="85">
        <v>268.95400000000001</v>
      </c>
      <c r="T32" s="84">
        <v>137.5</v>
      </c>
      <c r="U32" s="84">
        <v>80.8</v>
      </c>
      <c r="V32" s="84">
        <v>29.5</v>
      </c>
      <c r="W32" s="85">
        <v>0</v>
      </c>
      <c r="X32" s="84">
        <v>0</v>
      </c>
      <c r="Y32" s="84">
        <v>0</v>
      </c>
      <c r="Z32" s="84">
        <v>0</v>
      </c>
      <c r="AA32" s="85">
        <v>0</v>
      </c>
      <c r="AB32" s="84">
        <v>0</v>
      </c>
      <c r="AC32" s="84">
        <v>0</v>
      </c>
      <c r="AD32" s="84">
        <v>0</v>
      </c>
      <c r="AE32" s="85">
        <v>0</v>
      </c>
      <c r="AF32" s="84">
        <v>0</v>
      </c>
      <c r="AG32" s="84">
        <v>0</v>
      </c>
      <c r="AH32" s="84">
        <v>0</v>
      </c>
      <c r="AI32" s="85">
        <v>0</v>
      </c>
      <c r="AJ32" s="84">
        <v>0</v>
      </c>
      <c r="AK32" s="84">
        <v>0</v>
      </c>
      <c r="AL32" s="84">
        <v>0</v>
      </c>
      <c r="AM32" s="84">
        <v>0</v>
      </c>
      <c r="AN32" s="83">
        <v>0</v>
      </c>
      <c r="AO32" s="84">
        <v>0</v>
      </c>
      <c r="AP32" s="84">
        <v>0</v>
      </c>
      <c r="AQ32" s="85">
        <v>0</v>
      </c>
      <c r="AR32" s="83">
        <v>0</v>
      </c>
      <c r="AS32" s="84">
        <v>0</v>
      </c>
      <c r="AT32" s="84">
        <v>0</v>
      </c>
      <c r="AU32" s="85">
        <v>0</v>
      </c>
      <c r="AV32" s="83">
        <v>0</v>
      </c>
      <c r="AW32" s="84">
        <v>8.375</v>
      </c>
      <c r="AX32" s="84">
        <v>14.159000000000001</v>
      </c>
      <c r="AY32" s="85">
        <v>17.5</v>
      </c>
      <c r="AZ32" s="83">
        <v>17.5</v>
      </c>
      <c r="BA32" s="84">
        <v>17.5</v>
      </c>
      <c r="BB32" s="84">
        <v>17.5</v>
      </c>
      <c r="BC32" s="85">
        <v>0</v>
      </c>
      <c r="BD32" s="83">
        <v>0</v>
      </c>
      <c r="BE32" s="84">
        <v>0</v>
      </c>
      <c r="BF32" s="84">
        <v>0</v>
      </c>
      <c r="BG32" s="85">
        <v>0</v>
      </c>
      <c r="BH32" s="83">
        <v>0</v>
      </c>
      <c r="BI32" s="84">
        <v>0</v>
      </c>
      <c r="BJ32" s="84">
        <v>0</v>
      </c>
      <c r="BK32" s="85">
        <v>0</v>
      </c>
      <c r="BL32" s="83">
        <v>0</v>
      </c>
      <c r="BM32" s="84">
        <f>BL32+CFS!BM39</f>
        <v>0</v>
      </c>
      <c r="BN32" s="84">
        <v>0</v>
      </c>
      <c r="BO32" s="714">
        <f>BN32+CFS!BO39</f>
        <v>0</v>
      </c>
      <c r="BP32" s="712">
        <f>BO32+CFS!BP39</f>
        <v>0</v>
      </c>
      <c r="BQ32" s="713">
        <f>BP32+CFS!BQ39</f>
        <v>0</v>
      </c>
      <c r="BR32" s="713">
        <f>BQ32+CFS!BR39</f>
        <v>0</v>
      </c>
      <c r="BS32" s="714">
        <f>BR32+CFS!BS39</f>
        <v>0</v>
      </c>
      <c r="BT32" s="712">
        <f>BS32+CFS!BT39</f>
        <v>0</v>
      </c>
      <c r="BU32" s="713">
        <f>BT32+CFS!BU39</f>
        <v>0</v>
      </c>
      <c r="BV32" s="713">
        <f>BU32+CFS!BV39</f>
        <v>0</v>
      </c>
      <c r="BW32" s="714">
        <f>BV32+CFS!BW39</f>
        <v>0</v>
      </c>
      <c r="BX32" s="107"/>
      <c r="BY32" s="81">
        <f t="shared" si="115"/>
        <v>0</v>
      </c>
      <c r="BZ32" s="81">
        <f t="shared" si="116"/>
        <v>0</v>
      </c>
      <c r="CA32" s="81">
        <f t="shared" si="117"/>
        <v>45.454000000000001</v>
      </c>
      <c r="CB32" s="81">
        <f t="shared" si="118"/>
        <v>268.95400000000001</v>
      </c>
      <c r="CC32" s="81">
        <f t="shared" si="119"/>
        <v>0</v>
      </c>
      <c r="CD32" s="81">
        <f t="shared" si="120"/>
        <v>0</v>
      </c>
      <c r="CE32" s="81">
        <f t="shared" si="121"/>
        <v>0</v>
      </c>
      <c r="CF32" s="81">
        <f t="shared" si="122"/>
        <v>0</v>
      </c>
      <c r="CG32" s="80">
        <f t="shared" si="123"/>
        <v>0</v>
      </c>
      <c r="CH32" s="81">
        <f t="shared" si="124"/>
        <v>0</v>
      </c>
      <c r="CI32" s="81">
        <f t="shared" si="125"/>
        <v>0</v>
      </c>
      <c r="CJ32" s="80">
        <f t="shared" si="126"/>
        <v>17.5</v>
      </c>
      <c r="CK32" s="81">
        <f t="shared" si="127"/>
        <v>0</v>
      </c>
      <c r="CL32" s="81">
        <f t="shared" si="128"/>
        <v>0</v>
      </c>
      <c r="CM32" s="81">
        <f t="shared" si="129"/>
        <v>0</v>
      </c>
      <c r="CN32" s="81">
        <f t="shared" si="130"/>
        <v>0</v>
      </c>
      <c r="CO32" s="81">
        <f t="shared" si="131"/>
        <v>0</v>
      </c>
      <c r="CP32" s="714">
        <f t="shared" si="132"/>
        <v>0</v>
      </c>
      <c r="CQ32" s="20"/>
      <c r="CR32" s="80">
        <f t="shared" si="133"/>
        <v>0</v>
      </c>
      <c r="CS32" s="81">
        <f t="shared" si="134"/>
        <v>44.252000000000002</v>
      </c>
      <c r="CT32" s="81">
        <f t="shared" si="135"/>
        <v>45.454000000000001</v>
      </c>
      <c r="CU32" s="81">
        <f t="shared" si="136"/>
        <v>29.5</v>
      </c>
      <c r="CV32" s="81">
        <f t="shared" si="137"/>
        <v>0</v>
      </c>
      <c r="CW32" s="81">
        <f t="shared" si="138"/>
        <v>0</v>
      </c>
      <c r="CX32" s="81">
        <f t="shared" si="139"/>
        <v>0</v>
      </c>
      <c r="CY32" s="81">
        <f t="shared" si="140"/>
        <v>0</v>
      </c>
      <c r="CZ32" s="81">
        <f t="shared" si="141"/>
        <v>0</v>
      </c>
      <c r="DA32" s="81">
        <f t="shared" si="142"/>
        <v>0</v>
      </c>
      <c r="DB32" s="81">
        <f t="shared" si="143"/>
        <v>14.159000000000001</v>
      </c>
      <c r="DC32" s="81">
        <f t="shared" si="144"/>
        <v>17.5</v>
      </c>
      <c r="DD32" s="81">
        <f t="shared" si="145"/>
        <v>0</v>
      </c>
      <c r="DE32" s="81">
        <f t="shared" si="146"/>
        <v>0</v>
      </c>
      <c r="DF32" s="81">
        <f t="shared" si="147"/>
        <v>0</v>
      </c>
      <c r="DG32" s="81">
        <f t="shared" si="148"/>
        <v>0</v>
      </c>
      <c r="DH32" s="81">
        <f t="shared" si="149"/>
        <v>0</v>
      </c>
      <c r="DI32" s="22"/>
    </row>
    <row r="33" spans="1:113" ht="14.25" customHeight="1" outlineLevel="1">
      <c r="A33" s="8"/>
      <c r="B33" s="662" t="s">
        <v>173</v>
      </c>
      <c r="C33" s="108"/>
      <c r="D33" s="347">
        <v>0</v>
      </c>
      <c r="E33" s="347">
        <v>0</v>
      </c>
      <c r="F33" s="347">
        <v>0</v>
      </c>
      <c r="G33" s="153">
        <v>0</v>
      </c>
      <c r="H33" s="347">
        <v>0</v>
      </c>
      <c r="I33" s="347">
        <v>0</v>
      </c>
      <c r="J33" s="347">
        <v>0</v>
      </c>
      <c r="K33" s="153">
        <v>0</v>
      </c>
      <c r="L33" s="347">
        <v>0</v>
      </c>
      <c r="M33" s="347">
        <v>0</v>
      </c>
      <c r="N33" s="347">
        <v>0</v>
      </c>
      <c r="O33" s="153">
        <v>0</v>
      </c>
      <c r="P33" s="347">
        <v>0</v>
      </c>
      <c r="Q33" s="347">
        <v>0</v>
      </c>
      <c r="R33" s="347">
        <v>0</v>
      </c>
      <c r="S33" s="153">
        <v>0</v>
      </c>
      <c r="T33" s="347">
        <v>0</v>
      </c>
      <c r="U33" s="347">
        <v>0</v>
      </c>
      <c r="V33" s="347">
        <v>0</v>
      </c>
      <c r="W33" s="153">
        <v>0</v>
      </c>
      <c r="X33" s="347">
        <v>0</v>
      </c>
      <c r="Y33" s="347">
        <v>0</v>
      </c>
      <c r="Z33" s="347">
        <v>0</v>
      </c>
      <c r="AA33" s="153">
        <v>0</v>
      </c>
      <c r="AB33" s="347">
        <v>0</v>
      </c>
      <c r="AC33" s="347">
        <v>0</v>
      </c>
      <c r="AD33" s="347">
        <v>0</v>
      </c>
      <c r="AE33" s="153">
        <v>0</v>
      </c>
      <c r="AF33" s="347">
        <v>0</v>
      </c>
      <c r="AG33" s="347">
        <v>0</v>
      </c>
      <c r="AH33" s="347">
        <v>0</v>
      </c>
      <c r="AI33" s="153">
        <v>0</v>
      </c>
      <c r="AJ33" s="347">
        <v>0</v>
      </c>
      <c r="AK33" s="347">
        <v>0</v>
      </c>
      <c r="AL33" s="347">
        <v>0</v>
      </c>
      <c r="AM33" s="347">
        <v>0</v>
      </c>
      <c r="AN33" s="449">
        <v>0</v>
      </c>
      <c r="AO33" s="347">
        <v>0</v>
      </c>
      <c r="AP33" s="347">
        <v>0</v>
      </c>
      <c r="AQ33" s="153">
        <v>0</v>
      </c>
      <c r="AR33" s="449">
        <v>0</v>
      </c>
      <c r="AS33" s="347">
        <v>0</v>
      </c>
      <c r="AT33" s="347">
        <v>0</v>
      </c>
      <c r="AU33" s="153">
        <v>0</v>
      </c>
      <c r="AV33" s="449">
        <v>0</v>
      </c>
      <c r="AW33" s="347">
        <v>0</v>
      </c>
      <c r="AX33" s="347">
        <v>0</v>
      </c>
      <c r="AY33" s="153">
        <v>0</v>
      </c>
      <c r="AZ33" s="449">
        <v>0</v>
      </c>
      <c r="BA33" s="347">
        <v>0</v>
      </c>
      <c r="BB33" s="347">
        <v>0</v>
      </c>
      <c r="BC33" s="153">
        <v>0</v>
      </c>
      <c r="BD33" s="449">
        <v>0</v>
      </c>
      <c r="BE33" s="347">
        <v>0</v>
      </c>
      <c r="BF33" s="347">
        <v>0</v>
      </c>
      <c r="BG33" s="153">
        <v>0</v>
      </c>
      <c r="BH33" s="449">
        <v>0</v>
      </c>
      <c r="BI33" s="347">
        <v>0</v>
      </c>
      <c r="BJ33" s="347">
        <v>0</v>
      </c>
      <c r="BK33" s="153">
        <v>49.951999999999998</v>
      </c>
      <c r="BL33" s="449">
        <v>11.256</v>
      </c>
      <c r="BM33" s="347">
        <v>5.98</v>
      </c>
      <c r="BN33" s="347">
        <v>0</v>
      </c>
      <c r="BO33" s="110">
        <f t="shared" ref="BO33" si="156">BN33</f>
        <v>0</v>
      </c>
      <c r="BP33" s="297">
        <f t="shared" ref="BP33:BW33" si="157">BO33</f>
        <v>0</v>
      </c>
      <c r="BQ33" s="109">
        <f t="shared" si="157"/>
        <v>0</v>
      </c>
      <c r="BR33" s="109">
        <f t="shared" si="157"/>
        <v>0</v>
      </c>
      <c r="BS33" s="110">
        <f t="shared" si="157"/>
        <v>0</v>
      </c>
      <c r="BT33" s="297">
        <f t="shared" si="157"/>
        <v>0</v>
      </c>
      <c r="BU33" s="109">
        <f t="shared" si="157"/>
        <v>0</v>
      </c>
      <c r="BV33" s="109">
        <f t="shared" si="157"/>
        <v>0</v>
      </c>
      <c r="BW33" s="110">
        <f t="shared" si="157"/>
        <v>0</v>
      </c>
      <c r="BX33" s="107"/>
      <c r="BY33" s="109">
        <f t="shared" si="115"/>
        <v>0</v>
      </c>
      <c r="BZ33" s="109">
        <f t="shared" si="116"/>
        <v>0</v>
      </c>
      <c r="CA33" s="109">
        <f t="shared" si="117"/>
        <v>0</v>
      </c>
      <c r="CB33" s="109">
        <f t="shared" si="118"/>
        <v>0</v>
      </c>
      <c r="CC33" s="109">
        <f t="shared" si="119"/>
        <v>0</v>
      </c>
      <c r="CD33" s="109">
        <f t="shared" si="120"/>
        <v>0</v>
      </c>
      <c r="CE33" s="109">
        <f t="shared" si="121"/>
        <v>0</v>
      </c>
      <c r="CF33" s="109">
        <f t="shared" si="122"/>
        <v>0</v>
      </c>
      <c r="CG33" s="297">
        <f t="shared" si="123"/>
        <v>0</v>
      </c>
      <c r="CH33" s="109">
        <f t="shared" si="124"/>
        <v>0</v>
      </c>
      <c r="CI33" s="109">
        <f t="shared" si="125"/>
        <v>0</v>
      </c>
      <c r="CJ33" s="297">
        <f t="shared" si="126"/>
        <v>0</v>
      </c>
      <c r="CK33" s="109">
        <f t="shared" si="127"/>
        <v>0</v>
      </c>
      <c r="CL33" s="109">
        <f t="shared" si="128"/>
        <v>0</v>
      </c>
      <c r="CM33" s="109">
        <f t="shared" si="129"/>
        <v>49.951999999999998</v>
      </c>
      <c r="CN33" s="109">
        <f t="shared" si="130"/>
        <v>0</v>
      </c>
      <c r="CO33" s="109">
        <f t="shared" si="131"/>
        <v>0</v>
      </c>
      <c r="CP33" s="109">
        <f t="shared" si="132"/>
        <v>0</v>
      </c>
      <c r="CQ33" s="20"/>
      <c r="CR33" s="297">
        <f t="shared" si="133"/>
        <v>0</v>
      </c>
      <c r="CS33" s="109">
        <f t="shared" si="134"/>
        <v>0</v>
      </c>
      <c r="CT33" s="109">
        <f t="shared" si="135"/>
        <v>0</v>
      </c>
      <c r="CU33" s="109">
        <f t="shared" si="136"/>
        <v>0</v>
      </c>
      <c r="CV33" s="109">
        <f t="shared" si="137"/>
        <v>0</v>
      </c>
      <c r="CW33" s="109">
        <f t="shared" si="138"/>
        <v>0</v>
      </c>
      <c r="CX33" s="109">
        <f t="shared" si="139"/>
        <v>0</v>
      </c>
      <c r="CY33" s="109">
        <f t="shared" si="140"/>
        <v>0</v>
      </c>
      <c r="CZ33" s="109">
        <f t="shared" si="141"/>
        <v>0</v>
      </c>
      <c r="DA33" s="109">
        <f t="shared" si="142"/>
        <v>0</v>
      </c>
      <c r="DB33" s="109">
        <f t="shared" si="143"/>
        <v>0</v>
      </c>
      <c r="DC33" s="109">
        <f t="shared" si="144"/>
        <v>0</v>
      </c>
      <c r="DD33" s="109">
        <f t="shared" si="145"/>
        <v>0</v>
      </c>
      <c r="DE33" s="109">
        <f t="shared" si="146"/>
        <v>0</v>
      </c>
      <c r="DF33" s="109">
        <f t="shared" si="147"/>
        <v>0</v>
      </c>
      <c r="DG33" s="109">
        <f t="shared" si="148"/>
        <v>0</v>
      </c>
      <c r="DH33" s="109">
        <f t="shared" si="149"/>
        <v>0</v>
      </c>
      <c r="DI33" s="22"/>
    </row>
    <row r="34" spans="1:113" ht="14.25" customHeight="1">
      <c r="A34" s="8"/>
      <c r="B34" s="661" t="s">
        <v>35</v>
      </c>
      <c r="C34" s="124"/>
      <c r="D34" s="114">
        <f t="shared" ref="D34:O34" si="158">SUM(D28:D33)</f>
        <v>187.36799999999999</v>
      </c>
      <c r="E34" s="112">
        <f t="shared" si="158"/>
        <v>183.51900000000001</v>
      </c>
      <c r="F34" s="112">
        <f t="shared" si="158"/>
        <v>197.53</v>
      </c>
      <c r="G34" s="113">
        <f t="shared" si="158"/>
        <v>215.13</v>
      </c>
      <c r="H34" s="114">
        <f t="shared" si="158"/>
        <v>209.43800000000002</v>
      </c>
      <c r="I34" s="112">
        <f t="shared" si="158"/>
        <v>215.53300000000002</v>
      </c>
      <c r="J34" s="112">
        <f t="shared" si="158"/>
        <v>233.54400000000001</v>
      </c>
      <c r="K34" s="113">
        <f t="shared" si="158"/>
        <v>270.05100000000004</v>
      </c>
      <c r="L34" s="114">
        <f t="shared" si="158"/>
        <v>261.69600000000003</v>
      </c>
      <c r="M34" s="112">
        <f t="shared" si="158"/>
        <v>292.952</v>
      </c>
      <c r="N34" s="112">
        <f t="shared" si="158"/>
        <v>304.262</v>
      </c>
      <c r="O34" s="113">
        <f t="shared" si="158"/>
        <v>306.66500000000002</v>
      </c>
      <c r="P34" s="114">
        <f t="shared" ref="P34:AY34" si="159">SUM(P28:P33)</f>
        <v>317.23099999999999</v>
      </c>
      <c r="Q34" s="112">
        <f t="shared" si="159"/>
        <v>327.59300000000002</v>
      </c>
      <c r="R34" s="112">
        <f t="shared" si="159"/>
        <v>337.755</v>
      </c>
      <c r="S34" s="113">
        <f t="shared" si="159"/>
        <v>608.96900000000005</v>
      </c>
      <c r="T34" s="114">
        <f t="shared" si="159"/>
        <v>494.69900000000001</v>
      </c>
      <c r="U34" s="112">
        <f t="shared" si="159"/>
        <v>425.70699999999999</v>
      </c>
      <c r="V34" s="112">
        <f t="shared" si="159"/>
        <v>374.87099999999998</v>
      </c>
      <c r="W34" s="113">
        <f t="shared" si="159"/>
        <v>255.92000000000002</v>
      </c>
      <c r="X34" s="114">
        <f t="shared" si="159"/>
        <v>186.286</v>
      </c>
      <c r="Y34" s="112">
        <f t="shared" si="159"/>
        <v>185.86099999999999</v>
      </c>
      <c r="Z34" s="112">
        <f t="shared" si="159"/>
        <v>176.804</v>
      </c>
      <c r="AA34" s="113">
        <f t="shared" si="159"/>
        <v>191.08100000000002</v>
      </c>
      <c r="AB34" s="114">
        <f t="shared" si="159"/>
        <v>194.52100000000002</v>
      </c>
      <c r="AC34" s="112">
        <f t="shared" si="159"/>
        <v>221.47900000000001</v>
      </c>
      <c r="AD34" s="112">
        <f t="shared" si="159"/>
        <v>175.744</v>
      </c>
      <c r="AE34" s="113">
        <f t="shared" si="159"/>
        <v>155.64499999999998</v>
      </c>
      <c r="AF34" s="114">
        <f t="shared" si="159"/>
        <v>149.191</v>
      </c>
      <c r="AG34" s="112">
        <f t="shared" si="159"/>
        <v>170.35</v>
      </c>
      <c r="AH34" s="112">
        <f t="shared" si="159"/>
        <v>185.13499999999999</v>
      </c>
      <c r="AI34" s="113">
        <f t="shared" si="159"/>
        <v>203.39</v>
      </c>
      <c r="AJ34" s="112">
        <f t="shared" si="159"/>
        <v>284.084</v>
      </c>
      <c r="AK34" s="112">
        <f t="shared" si="159"/>
        <v>310.14</v>
      </c>
      <c r="AL34" s="112">
        <f t="shared" si="159"/>
        <v>299.935</v>
      </c>
      <c r="AM34" s="113">
        <f t="shared" si="159"/>
        <v>340.31600000000003</v>
      </c>
      <c r="AN34" s="114">
        <f t="shared" si="159"/>
        <v>328.08300000000003</v>
      </c>
      <c r="AO34" s="112">
        <f t="shared" si="159"/>
        <v>294.15300000000002</v>
      </c>
      <c r="AP34" s="112">
        <f t="shared" si="159"/>
        <v>248.566</v>
      </c>
      <c r="AQ34" s="113">
        <f t="shared" si="159"/>
        <v>247.87299999999999</v>
      </c>
      <c r="AR34" s="114">
        <f t="shared" si="159"/>
        <v>249.989</v>
      </c>
      <c r="AS34" s="112">
        <f t="shared" si="159"/>
        <v>325.47300000000001</v>
      </c>
      <c r="AT34" s="112">
        <f t="shared" si="159"/>
        <v>296.279</v>
      </c>
      <c r="AU34" s="113">
        <f t="shared" si="159"/>
        <v>341.61099999999999</v>
      </c>
      <c r="AV34" s="114">
        <f t="shared" si="159"/>
        <v>351.66399999999999</v>
      </c>
      <c r="AW34" s="112">
        <f t="shared" si="159"/>
        <v>338.89300000000003</v>
      </c>
      <c r="AX34" s="112">
        <f t="shared" si="159"/>
        <v>316.39999999999998</v>
      </c>
      <c r="AY34" s="113">
        <f t="shared" si="159"/>
        <v>336.07900000000001</v>
      </c>
      <c r="AZ34" s="114">
        <f t="shared" ref="AZ34:BC34" si="160">SUM(AZ28:AZ33)</f>
        <v>359.69</v>
      </c>
      <c r="BA34" s="112">
        <f t="shared" si="160"/>
        <v>385.48400000000004</v>
      </c>
      <c r="BB34" s="112">
        <f t="shared" si="160"/>
        <v>353.08600000000001</v>
      </c>
      <c r="BC34" s="113">
        <f t="shared" si="160"/>
        <v>353.97199999999998</v>
      </c>
      <c r="BD34" s="114">
        <f t="shared" ref="BD34:BI34" si="161">SUM(BD28:BD33)</f>
        <v>372.30799999999999</v>
      </c>
      <c r="BE34" s="112">
        <f t="shared" si="161"/>
        <v>371.77599999999995</v>
      </c>
      <c r="BF34" s="112">
        <f t="shared" si="161"/>
        <v>343.91399999999999</v>
      </c>
      <c r="BG34" s="113">
        <f t="shared" si="161"/>
        <v>382.00900000000001</v>
      </c>
      <c r="BH34" s="114">
        <f t="shared" si="161"/>
        <v>573.28500000000008</v>
      </c>
      <c r="BI34" s="112">
        <f t="shared" si="161"/>
        <v>578.803</v>
      </c>
      <c r="BJ34" s="112">
        <f t="shared" ref="BJ34:BL34" si="162">SUM(BJ28:BJ33)</f>
        <v>651.553</v>
      </c>
      <c r="BK34" s="113">
        <f t="shared" si="162"/>
        <v>704.45</v>
      </c>
      <c r="BL34" s="114">
        <f t="shared" si="162"/>
        <v>736.44299999999998</v>
      </c>
      <c r="BM34" s="112">
        <f t="shared" ref="BM34:BS34" si="163">SUM(BM28:BM33)</f>
        <v>734.18599999999992</v>
      </c>
      <c r="BN34" s="112">
        <f t="shared" si="163"/>
        <v>756.83199999999988</v>
      </c>
      <c r="BO34" s="113">
        <f t="shared" si="163"/>
        <v>785.0249293039999</v>
      </c>
      <c r="BP34" s="114">
        <f t="shared" si="163"/>
        <v>792.09025717295003</v>
      </c>
      <c r="BQ34" s="112">
        <f t="shared" si="163"/>
        <v>797.40354327290288</v>
      </c>
      <c r="BR34" s="112">
        <f t="shared" si="163"/>
        <v>771.82149230377286</v>
      </c>
      <c r="BS34" s="113">
        <f t="shared" si="163"/>
        <v>770.28968479119703</v>
      </c>
      <c r="BT34" s="114">
        <f t="shared" ref="BT34:BW34" si="164">SUM(BT28:BT33)</f>
        <v>776.45209464668676</v>
      </c>
      <c r="BU34" s="112">
        <f t="shared" si="164"/>
        <v>780.32165787741269</v>
      </c>
      <c r="BV34" s="112">
        <f t="shared" si="164"/>
        <v>778.33829372846958</v>
      </c>
      <c r="BW34" s="113">
        <f t="shared" si="164"/>
        <v>776.20847686637524</v>
      </c>
      <c r="BX34" s="107"/>
      <c r="BY34" s="112">
        <f>SUM(BY28:BY33)</f>
        <v>215.13</v>
      </c>
      <c r="BZ34" s="112">
        <f>SUM(BZ28:BZ33)</f>
        <v>270.05100000000004</v>
      </c>
      <c r="CA34" s="112">
        <f>SUM(CA28:CA33)</f>
        <v>306.66500000000002</v>
      </c>
      <c r="CB34" s="112">
        <f t="shared" ref="CB34:CK34" si="165">SUM(CB28:CB33)</f>
        <v>608.96900000000005</v>
      </c>
      <c r="CC34" s="112">
        <f t="shared" si="165"/>
        <v>255.92000000000002</v>
      </c>
      <c r="CD34" s="112">
        <f t="shared" si="165"/>
        <v>191.08100000000002</v>
      </c>
      <c r="CE34" s="112">
        <f t="shared" si="165"/>
        <v>155.64499999999998</v>
      </c>
      <c r="CF34" s="112">
        <f t="shared" si="165"/>
        <v>203.39</v>
      </c>
      <c r="CG34" s="114">
        <f t="shared" si="165"/>
        <v>340.31600000000003</v>
      </c>
      <c r="CH34" s="112">
        <f t="shared" si="165"/>
        <v>247.87299999999999</v>
      </c>
      <c r="CI34" s="112">
        <f t="shared" si="165"/>
        <v>341.61099999999999</v>
      </c>
      <c r="CJ34" s="114">
        <f t="shared" si="165"/>
        <v>336.07900000000001</v>
      </c>
      <c r="CK34" s="112">
        <f t="shared" si="165"/>
        <v>353.97199999999998</v>
      </c>
      <c r="CL34" s="112">
        <f>SUM(CL28:CL33)</f>
        <v>382.00900000000001</v>
      </c>
      <c r="CM34" s="112">
        <f>SUM(CM28:CM33)</f>
        <v>704.45</v>
      </c>
      <c r="CN34" s="112">
        <f>SUM(CN28:CN33)</f>
        <v>785.0249293039999</v>
      </c>
      <c r="CO34" s="112">
        <f>SUM(CO28:CO33)</f>
        <v>770.28968479119703</v>
      </c>
      <c r="CP34" s="116">
        <f>SUM(CP28:CP33)</f>
        <v>776.20847686637524</v>
      </c>
      <c r="CQ34" s="20"/>
      <c r="CR34" s="128">
        <f>SUM(CR28:CR33)</f>
        <v>233.54400000000001</v>
      </c>
      <c r="CS34" s="115">
        <f>SUM(CS28:CS33)</f>
        <v>304.262</v>
      </c>
      <c r="CT34" s="115">
        <f>SUM(CT28:CT33)</f>
        <v>337.755</v>
      </c>
      <c r="CU34" s="115">
        <f t="shared" ref="CU34:DC34" si="166">SUM(CU28:CU33)</f>
        <v>374.87099999999998</v>
      </c>
      <c r="CV34" s="115">
        <f t="shared" si="166"/>
        <v>176.804</v>
      </c>
      <c r="CW34" s="115">
        <f t="shared" si="166"/>
        <v>175.744</v>
      </c>
      <c r="CX34" s="115">
        <f t="shared" si="166"/>
        <v>185.13499999999999</v>
      </c>
      <c r="CY34" s="115">
        <f t="shared" si="166"/>
        <v>299.935</v>
      </c>
      <c r="CZ34" s="115">
        <f t="shared" si="166"/>
        <v>248.566</v>
      </c>
      <c r="DA34" s="115">
        <f t="shared" si="166"/>
        <v>296.279</v>
      </c>
      <c r="DB34" s="115">
        <f t="shared" si="166"/>
        <v>316.39999999999998</v>
      </c>
      <c r="DC34" s="115">
        <f t="shared" si="166"/>
        <v>353.08600000000001</v>
      </c>
      <c r="DD34" s="115">
        <f>SUM(DD28:DD33)</f>
        <v>343.91399999999999</v>
      </c>
      <c r="DE34" s="115">
        <f>SUM(DE28:DE33)</f>
        <v>651.553</v>
      </c>
      <c r="DF34" s="115">
        <f>SUM(DF28:DF33)</f>
        <v>756.83199999999988</v>
      </c>
      <c r="DG34" s="115">
        <f>SUM(DG28:DG33)</f>
        <v>771.82149230377286</v>
      </c>
      <c r="DH34" s="115">
        <f>SUM(DH28:DH33)</f>
        <v>778.33829372846958</v>
      </c>
      <c r="DI34" s="22"/>
    </row>
    <row r="35" spans="1:113" ht="14.25" customHeight="1">
      <c r="A35" s="8"/>
      <c r="B35" s="612"/>
      <c r="C35" s="24"/>
      <c r="D35" s="83"/>
      <c r="E35" s="84"/>
      <c r="F35" s="84"/>
      <c r="G35" s="85"/>
      <c r="H35" s="83"/>
      <c r="I35" s="84"/>
      <c r="J35" s="84"/>
      <c r="K35" s="85"/>
      <c r="L35" s="83"/>
      <c r="M35" s="84"/>
      <c r="N35" s="84"/>
      <c r="O35" s="85"/>
      <c r="P35" s="83"/>
      <c r="Q35" s="84"/>
      <c r="R35" s="84"/>
      <c r="S35" s="85"/>
      <c r="T35" s="83"/>
      <c r="U35" s="84"/>
      <c r="V35" s="84"/>
      <c r="W35" s="85"/>
      <c r="X35" s="83"/>
      <c r="Y35" s="84"/>
      <c r="Z35" s="84"/>
      <c r="AA35" s="85"/>
      <c r="AB35" s="83"/>
      <c r="AC35" s="84"/>
      <c r="AD35" s="84"/>
      <c r="AE35" s="85"/>
      <c r="AF35" s="83"/>
      <c r="AG35" s="84"/>
      <c r="AH35" s="84"/>
      <c r="AI35" s="85"/>
      <c r="AJ35" s="84"/>
      <c r="AK35" s="84"/>
      <c r="AL35" s="84"/>
      <c r="AM35" s="84"/>
      <c r="AN35" s="83"/>
      <c r="AO35" s="84"/>
      <c r="AP35" s="84"/>
      <c r="AQ35" s="85"/>
      <c r="AR35" s="83"/>
      <c r="AS35" s="84"/>
      <c r="AT35" s="84"/>
      <c r="AU35" s="85"/>
      <c r="AV35" s="83"/>
      <c r="AW35" s="84"/>
      <c r="AX35" s="84"/>
      <c r="AY35" s="85"/>
      <c r="AZ35" s="83"/>
      <c r="BA35" s="84"/>
      <c r="BB35" s="84"/>
      <c r="BC35" s="85"/>
      <c r="BD35" s="83"/>
      <c r="BE35" s="84"/>
      <c r="BF35" s="84"/>
      <c r="BG35" s="85"/>
      <c r="BH35" s="83"/>
      <c r="BI35" s="84"/>
      <c r="BJ35" s="84"/>
      <c r="BK35" s="82"/>
      <c r="BL35" s="83"/>
      <c r="BM35" s="84"/>
      <c r="BN35" s="84"/>
      <c r="BO35" s="82"/>
      <c r="BP35" s="80"/>
      <c r="BQ35" s="81"/>
      <c r="BR35" s="81"/>
      <c r="BS35" s="82"/>
      <c r="BT35" s="80"/>
      <c r="BU35" s="81"/>
      <c r="BV35" s="81"/>
      <c r="BW35" s="82"/>
      <c r="BX35" s="107"/>
      <c r="BY35" s="84"/>
      <c r="BZ35" s="84"/>
      <c r="CA35" s="84"/>
      <c r="CB35" s="84"/>
      <c r="CC35" s="84"/>
      <c r="CD35" s="84"/>
      <c r="CE35" s="84"/>
      <c r="CF35" s="84"/>
      <c r="CG35" s="83"/>
      <c r="CH35" s="84"/>
      <c r="CI35" s="84"/>
      <c r="CJ35" s="83"/>
      <c r="CK35" s="84"/>
      <c r="CL35" s="81"/>
      <c r="CM35" s="81"/>
      <c r="CN35" s="81"/>
      <c r="CO35" s="81"/>
      <c r="CP35" s="82"/>
      <c r="CQ35" s="20"/>
      <c r="CR35" s="83"/>
      <c r="CS35" s="84"/>
      <c r="CT35" s="84"/>
      <c r="CU35" s="84"/>
      <c r="CV35" s="84"/>
      <c r="CW35" s="84"/>
      <c r="CX35" s="84"/>
      <c r="CY35" s="84"/>
      <c r="CZ35" s="84"/>
      <c r="DA35" s="84"/>
      <c r="DB35" s="84"/>
      <c r="DC35" s="84"/>
      <c r="DD35" s="84"/>
      <c r="DE35" s="84"/>
      <c r="DF35" s="84"/>
      <c r="DG35" s="84"/>
      <c r="DH35" s="84"/>
      <c r="DI35" s="22"/>
    </row>
    <row r="36" spans="1:113" ht="14.25" customHeight="1">
      <c r="A36" s="8"/>
      <c r="B36" s="608" t="s">
        <v>508</v>
      </c>
      <c r="C36" s="28"/>
      <c r="D36" s="83">
        <v>0</v>
      </c>
      <c r="E36" s="84">
        <v>0</v>
      </c>
      <c r="F36" s="84">
        <v>0</v>
      </c>
      <c r="G36" s="85">
        <v>0</v>
      </c>
      <c r="H36" s="83">
        <v>0</v>
      </c>
      <c r="I36" s="84">
        <v>0</v>
      </c>
      <c r="J36" s="84">
        <v>0</v>
      </c>
      <c r="K36" s="85">
        <v>0</v>
      </c>
      <c r="L36" s="83">
        <v>0</v>
      </c>
      <c r="M36" s="84">
        <v>0</v>
      </c>
      <c r="N36" s="84">
        <v>0</v>
      </c>
      <c r="O36" s="85">
        <v>0</v>
      </c>
      <c r="P36" s="83">
        <v>0</v>
      </c>
      <c r="Q36" s="84">
        <v>0</v>
      </c>
      <c r="R36" s="84">
        <v>0</v>
      </c>
      <c r="S36" s="85">
        <v>0</v>
      </c>
      <c r="T36" s="83">
        <v>0</v>
      </c>
      <c r="U36" s="84">
        <v>0</v>
      </c>
      <c r="V36" s="84">
        <v>0</v>
      </c>
      <c r="W36" s="85">
        <v>0</v>
      </c>
      <c r="X36" s="83">
        <v>107.89</v>
      </c>
      <c r="Y36" s="84">
        <v>106.03100000000001</v>
      </c>
      <c r="Z36" s="84">
        <f>1150.103</f>
        <v>1150.1030000000001</v>
      </c>
      <c r="AA36" s="85">
        <v>1150.1279999999999</v>
      </c>
      <c r="AB36" s="83">
        <v>1150.2270000000001</v>
      </c>
      <c r="AC36" s="84">
        <v>1149.5039999999999</v>
      </c>
      <c r="AD36" s="84">
        <v>1148.9749999999999</v>
      </c>
      <c r="AE36" s="85">
        <v>1149.184</v>
      </c>
      <c r="AF36" s="83">
        <v>335.53899999999999</v>
      </c>
      <c r="AG36" s="84">
        <v>337.40300000000002</v>
      </c>
      <c r="AH36" s="84">
        <v>339</v>
      </c>
      <c r="AI36" s="85">
        <v>340.67200000000003</v>
      </c>
      <c r="AJ36" s="84">
        <v>342.22300000000001</v>
      </c>
      <c r="AK36" s="84">
        <v>344.08499999999998</v>
      </c>
      <c r="AL36" s="84">
        <v>345.58100000000002</v>
      </c>
      <c r="AM36" s="85">
        <v>347.334</v>
      </c>
      <c r="AN36" s="84">
        <v>349.10899999999998</v>
      </c>
      <c r="AO36" s="84">
        <v>351.37099999999998</v>
      </c>
      <c r="AP36" s="84">
        <v>353.34100000000001</v>
      </c>
      <c r="AQ36" s="85">
        <v>355.05</v>
      </c>
      <c r="AR36" s="84">
        <v>357.35500000000002</v>
      </c>
      <c r="AS36" s="84">
        <v>359.65600000000001</v>
      </c>
      <c r="AT36" s="84">
        <v>361.40899999999999</v>
      </c>
      <c r="AU36" s="85">
        <v>363.38499999999999</v>
      </c>
      <c r="AV36" s="84">
        <v>365.56200000000001</v>
      </c>
      <c r="AW36" s="84">
        <v>367.53300000000002</v>
      </c>
      <c r="AX36" s="84">
        <v>369.61799999999999</v>
      </c>
      <c r="AY36" s="85">
        <v>371.87299999999999</v>
      </c>
      <c r="AZ36" s="84">
        <v>374.22699999999998</v>
      </c>
      <c r="BA36" s="84">
        <v>376.72899999999998</v>
      </c>
      <c r="BB36" s="84">
        <v>379.26299999999998</v>
      </c>
      <c r="BC36" s="85">
        <f>1174.036+190.87</f>
        <v>1364.9059999999999</v>
      </c>
      <c r="BD36" s="84">
        <f>1169.583+192.162</f>
        <v>1361.7450000000001</v>
      </c>
      <c r="BE36" s="84">
        <f>1197.792+193.63</f>
        <v>1391.422</v>
      </c>
      <c r="BF36" s="84">
        <f>1203.048+194.974</f>
        <v>1398.0219999999999</v>
      </c>
      <c r="BG36" s="85">
        <f>1234.733+196.304</f>
        <v>1431.037</v>
      </c>
      <c r="BH36" s="84">
        <f>1227.444+195.315</f>
        <v>1422.759</v>
      </c>
      <c r="BI36" s="84">
        <f>1238.731+196.868</f>
        <v>1435.5989999999999</v>
      </c>
      <c r="BJ36" s="84">
        <f>1250.178+198.393</f>
        <v>1448.5710000000001</v>
      </c>
      <c r="BK36" s="85">
        <f>BJ36</f>
        <v>1448.5710000000001</v>
      </c>
      <c r="BL36" s="84">
        <f>BK36</f>
        <v>1448.5710000000001</v>
      </c>
      <c r="BM36" s="84">
        <v>0</v>
      </c>
      <c r="BN36" s="84">
        <v>0</v>
      </c>
      <c r="BO36" s="714">
        <f>BN36+CFS!BO41+CFS!BO15</f>
        <v>0</v>
      </c>
      <c r="BP36" s="712">
        <f>BO36+CFS!BP41+CFS!BP15</f>
        <v>0</v>
      </c>
      <c r="BQ36" s="713">
        <f>BP36+CFS!BQ41+CFS!BQ15</f>
        <v>0</v>
      </c>
      <c r="BR36" s="713">
        <f>BQ36+CFS!BR41+CFS!BR15</f>
        <v>0</v>
      </c>
      <c r="BS36" s="714">
        <f>BR36+CFS!BS41+CFS!BS15</f>
        <v>0</v>
      </c>
      <c r="BT36" s="712">
        <f>BS36+CFS!BT41+CFS!BT15</f>
        <v>0</v>
      </c>
      <c r="BU36" s="713">
        <f>BT36+CFS!BU41+CFS!BU15</f>
        <v>0</v>
      </c>
      <c r="BV36" s="713">
        <f>BU36+CFS!BV41+CFS!BV15</f>
        <v>0</v>
      </c>
      <c r="BW36" s="714">
        <f>BV36+CFS!BW41+CFS!BW15</f>
        <v>0</v>
      </c>
      <c r="BX36" s="107"/>
      <c r="BY36" s="81">
        <f>G36</f>
        <v>0</v>
      </c>
      <c r="BZ36" s="81">
        <f>K36</f>
        <v>0</v>
      </c>
      <c r="CA36" s="81">
        <f>O36</f>
        <v>0</v>
      </c>
      <c r="CB36" s="81">
        <f>S36</f>
        <v>0</v>
      </c>
      <c r="CC36" s="81">
        <f>W36</f>
        <v>0</v>
      </c>
      <c r="CD36" s="81">
        <f>AA36</f>
        <v>1150.1279999999999</v>
      </c>
      <c r="CE36" s="81">
        <f>AE36</f>
        <v>1149.184</v>
      </c>
      <c r="CF36" s="81">
        <f>AI36</f>
        <v>340.67200000000003</v>
      </c>
      <c r="CG36" s="80">
        <f>AM36</f>
        <v>347.334</v>
      </c>
      <c r="CH36" s="81">
        <f>AQ36</f>
        <v>355.05</v>
      </c>
      <c r="CI36" s="81">
        <f>AU36</f>
        <v>363.38499999999999</v>
      </c>
      <c r="CJ36" s="80">
        <f>AY36</f>
        <v>371.87299999999999</v>
      </c>
      <c r="CK36" s="81">
        <f>BC36</f>
        <v>1364.9059999999999</v>
      </c>
      <c r="CL36" s="81">
        <f>BG36</f>
        <v>1431.037</v>
      </c>
      <c r="CM36" s="81">
        <f>BK36</f>
        <v>1448.5710000000001</v>
      </c>
      <c r="CN36" s="81">
        <f>BO36</f>
        <v>0</v>
      </c>
      <c r="CO36" s="81">
        <f>BS36</f>
        <v>0</v>
      </c>
      <c r="CP36" s="81">
        <f t="shared" ref="CP36:CP43" si="167">BW36</f>
        <v>0</v>
      </c>
      <c r="CQ36" s="20"/>
      <c r="CR36" s="80">
        <f>J36</f>
        <v>0</v>
      </c>
      <c r="CS36" s="81">
        <f>N36</f>
        <v>0</v>
      </c>
      <c r="CT36" s="81">
        <f>R36</f>
        <v>0</v>
      </c>
      <c r="CU36" s="81">
        <f>V36</f>
        <v>0</v>
      </c>
      <c r="CV36" s="81">
        <f>Z36</f>
        <v>1150.1030000000001</v>
      </c>
      <c r="CW36" s="81">
        <f>AD36</f>
        <v>1148.9749999999999</v>
      </c>
      <c r="CX36" s="81">
        <f>AH36</f>
        <v>339</v>
      </c>
      <c r="CY36" s="81">
        <f>AL36</f>
        <v>345.58100000000002</v>
      </c>
      <c r="CZ36" s="81">
        <f>AP36</f>
        <v>353.34100000000001</v>
      </c>
      <c r="DA36" s="81">
        <f>AT36</f>
        <v>361.40899999999999</v>
      </c>
      <c r="DB36" s="81">
        <f>AX36</f>
        <v>369.61799999999999</v>
      </c>
      <c r="DC36" s="81">
        <f>BB36</f>
        <v>379.26299999999998</v>
      </c>
      <c r="DD36" s="81">
        <f>BF36</f>
        <v>1398.0219999999999</v>
      </c>
      <c r="DE36" s="81">
        <f>BJ36</f>
        <v>1448.5710000000001</v>
      </c>
      <c r="DF36" s="81">
        <f>BN36</f>
        <v>0</v>
      </c>
      <c r="DG36" s="81">
        <f>BR36</f>
        <v>0</v>
      </c>
      <c r="DH36" s="81">
        <f t="shared" ref="DH36:DH40" si="168">BV36</f>
        <v>0</v>
      </c>
      <c r="DI36" s="22"/>
    </row>
    <row r="37" spans="1:113" ht="14.25" customHeight="1">
      <c r="A37" s="8"/>
      <c r="B37" s="608" t="s">
        <v>364</v>
      </c>
      <c r="C37" s="28"/>
      <c r="D37" s="83">
        <v>0</v>
      </c>
      <c r="E37" s="84">
        <v>0</v>
      </c>
      <c r="F37" s="84">
        <v>0</v>
      </c>
      <c r="G37" s="85">
        <v>0</v>
      </c>
      <c r="H37" s="83">
        <v>0</v>
      </c>
      <c r="I37" s="84">
        <v>0</v>
      </c>
      <c r="J37" s="84">
        <v>0</v>
      </c>
      <c r="K37" s="85">
        <v>0</v>
      </c>
      <c r="L37" s="83">
        <v>0</v>
      </c>
      <c r="M37" s="84">
        <v>0</v>
      </c>
      <c r="N37" s="84">
        <v>0</v>
      </c>
      <c r="O37" s="85">
        <v>0</v>
      </c>
      <c r="P37" s="83">
        <v>0</v>
      </c>
      <c r="Q37" s="84">
        <v>0</v>
      </c>
      <c r="R37" s="84">
        <v>0</v>
      </c>
      <c r="S37" s="85">
        <v>0</v>
      </c>
      <c r="T37" s="83">
        <v>0</v>
      </c>
      <c r="U37" s="84">
        <v>0</v>
      </c>
      <c r="V37" s="84">
        <v>0</v>
      </c>
      <c r="W37" s="85">
        <v>0</v>
      </c>
      <c r="X37" s="83">
        <v>0</v>
      </c>
      <c r="Y37" s="84">
        <v>0</v>
      </c>
      <c r="Z37" s="84">
        <v>0</v>
      </c>
      <c r="AA37" s="85">
        <v>0</v>
      </c>
      <c r="AB37" s="83">
        <v>0</v>
      </c>
      <c r="AC37" s="84">
        <v>0</v>
      </c>
      <c r="AD37" s="84">
        <v>0</v>
      </c>
      <c r="AE37" s="85">
        <v>0</v>
      </c>
      <c r="AF37" s="83">
        <v>0</v>
      </c>
      <c r="AG37" s="84">
        <v>0</v>
      </c>
      <c r="AH37" s="84">
        <v>0</v>
      </c>
      <c r="AI37" s="85">
        <v>0</v>
      </c>
      <c r="AJ37" s="84">
        <v>0</v>
      </c>
      <c r="AK37" s="84">
        <v>0</v>
      </c>
      <c r="AL37" s="84">
        <v>0</v>
      </c>
      <c r="AM37" s="85">
        <v>0</v>
      </c>
      <c r="AN37" s="84">
        <v>0</v>
      </c>
      <c r="AO37" s="84">
        <v>0</v>
      </c>
      <c r="AP37" s="84">
        <v>0</v>
      </c>
      <c r="AQ37" s="85">
        <v>0</v>
      </c>
      <c r="AR37" s="84">
        <v>0</v>
      </c>
      <c r="AS37" s="84">
        <v>600</v>
      </c>
      <c r="AT37" s="84">
        <v>610</v>
      </c>
      <c r="AU37" s="85">
        <v>620</v>
      </c>
      <c r="AV37" s="84">
        <f>260+348.688</f>
        <v>608.68799999999999</v>
      </c>
      <c r="AW37" s="84">
        <f>290+340.379</f>
        <v>630.37900000000002</v>
      </c>
      <c r="AX37" s="84">
        <f>300+335.694</f>
        <v>635.69399999999996</v>
      </c>
      <c r="AY37" s="85">
        <f>300+331.385</f>
        <v>631.38499999999999</v>
      </c>
      <c r="AZ37" s="84">
        <f>634.375+327.076</f>
        <v>961.45100000000002</v>
      </c>
      <c r="BA37" s="84">
        <f>624.375+322.767</f>
        <v>947.14200000000005</v>
      </c>
      <c r="BB37" s="84">
        <f>644.375+318.457</f>
        <v>962.83199999999999</v>
      </c>
      <c r="BC37" s="85">
        <v>461.952</v>
      </c>
      <c r="BD37" s="84">
        <v>496.952</v>
      </c>
      <c r="BE37" s="84">
        <v>1296.452</v>
      </c>
      <c r="BF37" s="84">
        <v>1008.452</v>
      </c>
      <c r="BG37" s="85">
        <v>1052</v>
      </c>
      <c r="BH37" s="84">
        <v>1913.7449999999999</v>
      </c>
      <c r="BI37" s="84">
        <v>1669.8340000000001</v>
      </c>
      <c r="BJ37" s="84">
        <v>1675.423</v>
      </c>
      <c r="BK37" s="85">
        <f>2900.524-BK36</f>
        <v>1451.9529999999997</v>
      </c>
      <c r="BL37" s="84">
        <f>2983.908-BL36</f>
        <v>1535.3369999999998</v>
      </c>
      <c r="BM37" s="84">
        <v>3011.8519999999999</v>
      </c>
      <c r="BN37" s="84">
        <v>3039.623</v>
      </c>
      <c r="BO37" s="714">
        <f>BN37+CFS!BO40</f>
        <v>3039.623</v>
      </c>
      <c r="BP37" s="712">
        <f>BO37+CFS!BP40</f>
        <v>3039.623</v>
      </c>
      <c r="BQ37" s="713">
        <f>BP37+CFS!BQ40</f>
        <v>3039.623</v>
      </c>
      <c r="BR37" s="713">
        <f>BQ37+CFS!BR40</f>
        <v>3039.623</v>
      </c>
      <c r="BS37" s="714">
        <f>BR37+CFS!BS40</f>
        <v>3039.623</v>
      </c>
      <c r="BT37" s="712">
        <f>BS37+CFS!BT40</f>
        <v>3039.623</v>
      </c>
      <c r="BU37" s="713">
        <f>BT37+CFS!BU40</f>
        <v>3039.623</v>
      </c>
      <c r="BV37" s="713">
        <f>BU37+CFS!BV40</f>
        <v>3039.623</v>
      </c>
      <c r="BW37" s="714">
        <f>BV37+CFS!BW40</f>
        <v>3039.623</v>
      </c>
      <c r="BX37" s="107"/>
      <c r="BY37" s="81">
        <f>G37</f>
        <v>0</v>
      </c>
      <c r="BZ37" s="81">
        <f>K37</f>
        <v>0</v>
      </c>
      <c r="CA37" s="81">
        <f>O37</f>
        <v>0</v>
      </c>
      <c r="CB37" s="81">
        <f>S37</f>
        <v>0</v>
      </c>
      <c r="CC37" s="81">
        <f>W37</f>
        <v>0</v>
      </c>
      <c r="CD37" s="81">
        <f>AA37</f>
        <v>0</v>
      </c>
      <c r="CE37" s="81">
        <f>AE37</f>
        <v>0</v>
      </c>
      <c r="CF37" s="81">
        <f>AI37</f>
        <v>0</v>
      </c>
      <c r="CG37" s="80">
        <f>AM37</f>
        <v>0</v>
      </c>
      <c r="CH37" s="81">
        <f>AQ37</f>
        <v>0</v>
      </c>
      <c r="CI37" s="81">
        <f>AU37</f>
        <v>620</v>
      </c>
      <c r="CJ37" s="80">
        <f>AY37</f>
        <v>631.38499999999999</v>
      </c>
      <c r="CK37" s="81">
        <f>BC37</f>
        <v>461.952</v>
      </c>
      <c r="CL37" s="81">
        <f>BG37</f>
        <v>1052</v>
      </c>
      <c r="CM37" s="81">
        <f>BK37</f>
        <v>1451.9529999999997</v>
      </c>
      <c r="CN37" s="81">
        <f>BO37</f>
        <v>3039.623</v>
      </c>
      <c r="CO37" s="81">
        <f>BS37</f>
        <v>3039.623</v>
      </c>
      <c r="CP37" s="81">
        <f t="shared" si="167"/>
        <v>3039.623</v>
      </c>
      <c r="CQ37" s="20"/>
      <c r="CR37" s="80">
        <f>J37</f>
        <v>0</v>
      </c>
      <c r="CS37" s="81">
        <f>N37</f>
        <v>0</v>
      </c>
      <c r="CT37" s="81">
        <f>R37</f>
        <v>0</v>
      </c>
      <c r="CU37" s="81">
        <f>V37</f>
        <v>0</v>
      </c>
      <c r="CV37" s="81">
        <f>Z37</f>
        <v>0</v>
      </c>
      <c r="CW37" s="81">
        <f>AD37</f>
        <v>0</v>
      </c>
      <c r="CX37" s="81">
        <f>AH37</f>
        <v>0</v>
      </c>
      <c r="CY37" s="81">
        <f>AL37</f>
        <v>0</v>
      </c>
      <c r="CZ37" s="81">
        <f>AP37</f>
        <v>0</v>
      </c>
      <c r="DA37" s="81">
        <f>AT37</f>
        <v>610</v>
      </c>
      <c r="DB37" s="81">
        <f>AX37</f>
        <v>635.69399999999996</v>
      </c>
      <c r="DC37" s="81">
        <f>BB37</f>
        <v>962.83199999999999</v>
      </c>
      <c r="DD37" s="81">
        <f>BF37</f>
        <v>1008.452</v>
      </c>
      <c r="DE37" s="81">
        <f>BJ37</f>
        <v>1675.423</v>
      </c>
      <c r="DF37" s="81">
        <f>BN37</f>
        <v>3039.623</v>
      </c>
      <c r="DG37" s="81">
        <f>BR37</f>
        <v>3039.623</v>
      </c>
      <c r="DH37" s="81">
        <f t="shared" si="168"/>
        <v>3039.623</v>
      </c>
      <c r="DI37" s="22"/>
    </row>
    <row r="38" spans="1:113" ht="14.25" customHeight="1">
      <c r="A38" s="8"/>
      <c r="B38" s="608" t="s">
        <v>365</v>
      </c>
      <c r="C38" s="28"/>
      <c r="D38" s="83">
        <v>31.178999999999998</v>
      </c>
      <c r="E38" s="84">
        <v>30.864000000000001</v>
      </c>
      <c r="F38" s="84">
        <v>36.616</v>
      </c>
      <c r="G38" s="85">
        <v>33.188000000000002</v>
      </c>
      <c r="H38" s="83">
        <v>27.545999999999999</v>
      </c>
      <c r="I38" s="84">
        <v>25.581</v>
      </c>
      <c r="J38" s="84">
        <v>26.452999999999999</v>
      </c>
      <c r="K38" s="85">
        <v>30.704000000000001</v>
      </c>
      <c r="L38" s="83">
        <v>27.091999999999999</v>
      </c>
      <c r="M38" s="84">
        <v>24.747</v>
      </c>
      <c r="N38" s="84">
        <v>40.895000000000003</v>
      </c>
      <c r="O38" s="85">
        <v>24.556000000000001</v>
      </c>
      <c r="P38" s="83">
        <v>20.952999999999999</v>
      </c>
      <c r="Q38" s="84">
        <v>17.300999999999998</v>
      </c>
      <c r="R38" s="84">
        <v>19.032</v>
      </c>
      <c r="S38" s="85">
        <v>14.637</v>
      </c>
      <c r="T38" s="83">
        <v>11.347</v>
      </c>
      <c r="U38" s="84">
        <v>15.034000000000001</v>
      </c>
      <c r="V38" s="84">
        <v>13.205</v>
      </c>
      <c r="W38" s="85">
        <v>8.327</v>
      </c>
      <c r="X38" s="83">
        <v>6.1859999999999999</v>
      </c>
      <c r="Y38" s="84">
        <v>13.83</v>
      </c>
      <c r="Z38" s="84">
        <f>111.512+14.112</f>
        <v>125.624</v>
      </c>
      <c r="AA38" s="85">
        <f>112.311+21.46</f>
        <v>133.77100000000002</v>
      </c>
      <c r="AB38" s="83">
        <f>117.674+27.353</f>
        <v>145.02700000000002</v>
      </c>
      <c r="AC38" s="84">
        <f>122.83+32.941</f>
        <v>155.77100000000002</v>
      </c>
      <c r="AD38" s="84">
        <f>68.637+33.98</f>
        <v>102.61699999999999</v>
      </c>
      <c r="AE38" s="85">
        <f>70.051+51.959</f>
        <v>122.01</v>
      </c>
      <c r="AF38" s="83">
        <f>72.737+367.788</f>
        <v>440.52499999999998</v>
      </c>
      <c r="AG38" s="84">
        <f>75.522+372.7</f>
        <v>448.22199999999998</v>
      </c>
      <c r="AH38" s="84">
        <f>53.967+377.647</f>
        <v>431.61399999999998</v>
      </c>
      <c r="AI38" s="85">
        <f>57.14+376.713</f>
        <v>433.85300000000001</v>
      </c>
      <c r="AJ38" s="84">
        <f>96.221+395.356</f>
        <v>491.577</v>
      </c>
      <c r="AK38" s="84">
        <f>100.527+402.378</f>
        <v>502.90499999999997</v>
      </c>
      <c r="AL38" s="84">
        <f>106.201+415.807</f>
        <v>522.00800000000004</v>
      </c>
      <c r="AM38" s="84">
        <f>58.125+399.527</f>
        <v>457.65199999999999</v>
      </c>
      <c r="AN38" s="83">
        <f>61.742+401.126</f>
        <v>462.86799999999999</v>
      </c>
      <c r="AO38" s="84">
        <f>65.04+409.372</f>
        <v>474.41200000000003</v>
      </c>
      <c r="AP38" s="84">
        <f>71.386+397.709</f>
        <v>469.09500000000003</v>
      </c>
      <c r="AQ38" s="85">
        <f>70.49+411.368</f>
        <v>481.858</v>
      </c>
      <c r="AR38" s="83">
        <f>73.261+416.98</f>
        <v>490.24099999999999</v>
      </c>
      <c r="AS38" s="84">
        <f>179.807+434.603</f>
        <v>614.41</v>
      </c>
      <c r="AT38" s="84">
        <f>181.418+445.492</f>
        <v>626.91000000000008</v>
      </c>
      <c r="AU38" s="85">
        <f>182.723+388.25</f>
        <v>570.97299999999996</v>
      </c>
      <c r="AV38" s="83">
        <f>186.588+379.512</f>
        <v>566.1</v>
      </c>
      <c r="AW38" s="84">
        <f>192.007+379.761</f>
        <v>571.76800000000003</v>
      </c>
      <c r="AX38" s="84">
        <f>179.246+388.62</f>
        <v>567.86599999999999</v>
      </c>
      <c r="AY38" s="85">
        <f>179.966+375.316</f>
        <v>555.28199999999993</v>
      </c>
      <c r="AZ38" s="83">
        <f>144.549+453.069</f>
        <v>597.61800000000005</v>
      </c>
      <c r="BA38" s="84">
        <f>139.343+469.37</f>
        <v>608.71299999999997</v>
      </c>
      <c r="BB38" s="84">
        <f>138.388+468.842</f>
        <v>607.23</v>
      </c>
      <c r="BC38" s="85">
        <f>114.336</f>
        <v>114.336</v>
      </c>
      <c r="BD38" s="83">
        <v>98.001000000000005</v>
      </c>
      <c r="BE38" s="84">
        <v>107.459</v>
      </c>
      <c r="BF38" s="84">
        <v>106.081</v>
      </c>
      <c r="BG38" s="85">
        <v>111.06100000000001</v>
      </c>
      <c r="BH38" s="83">
        <v>290.74200000000002</v>
      </c>
      <c r="BI38" s="84">
        <v>292.95699999999999</v>
      </c>
      <c r="BJ38" s="84">
        <v>266.76299999999998</v>
      </c>
      <c r="BK38" s="85">
        <v>184.94499999999999</v>
      </c>
      <c r="BL38" s="83">
        <v>187.255</v>
      </c>
      <c r="BM38" s="84">
        <v>194.34200000000001</v>
      </c>
      <c r="BN38" s="84">
        <v>694.77700000000004</v>
      </c>
      <c r="BO38" s="82">
        <f t="shared" ref="BO38:BO39" si="169">BN38</f>
        <v>694.77700000000004</v>
      </c>
      <c r="BP38" s="80">
        <f t="shared" ref="BP38:BS39" si="170">BO38</f>
        <v>694.77700000000004</v>
      </c>
      <c r="BQ38" s="81">
        <f t="shared" si="170"/>
        <v>694.77700000000004</v>
      </c>
      <c r="BR38" s="81">
        <f t="shared" si="170"/>
        <v>694.77700000000004</v>
      </c>
      <c r="BS38" s="82">
        <f t="shared" si="170"/>
        <v>694.77700000000004</v>
      </c>
      <c r="BT38" s="80">
        <f t="shared" ref="BT38:BT39" si="171">BS38</f>
        <v>694.77700000000004</v>
      </c>
      <c r="BU38" s="81">
        <f t="shared" ref="BU38:BU39" si="172">BT38</f>
        <v>694.77700000000004</v>
      </c>
      <c r="BV38" s="81">
        <f t="shared" ref="BV38:BV39" si="173">BU38</f>
        <v>694.77700000000004</v>
      </c>
      <c r="BW38" s="82">
        <f t="shared" ref="BW38:BW39" si="174">BV38</f>
        <v>694.77700000000004</v>
      </c>
      <c r="BX38" s="107"/>
      <c r="BY38" s="81">
        <f>G38</f>
        <v>33.188000000000002</v>
      </c>
      <c r="BZ38" s="81">
        <f>K38</f>
        <v>30.704000000000001</v>
      </c>
      <c r="CA38" s="81">
        <f>O38</f>
        <v>24.556000000000001</v>
      </c>
      <c r="CB38" s="81">
        <f>S38</f>
        <v>14.637</v>
      </c>
      <c r="CC38" s="81">
        <f>W38</f>
        <v>8.327</v>
      </c>
      <c r="CD38" s="81">
        <f>AA38</f>
        <v>133.77100000000002</v>
      </c>
      <c r="CE38" s="81">
        <f>AE38</f>
        <v>122.01</v>
      </c>
      <c r="CF38" s="81">
        <f>AI38</f>
        <v>433.85300000000001</v>
      </c>
      <c r="CG38" s="80">
        <f>AM38</f>
        <v>457.65199999999999</v>
      </c>
      <c r="CH38" s="81">
        <f>AQ38</f>
        <v>481.858</v>
      </c>
      <c r="CI38" s="81">
        <f>AU38</f>
        <v>570.97299999999996</v>
      </c>
      <c r="CJ38" s="80">
        <f>AY38</f>
        <v>555.28199999999993</v>
      </c>
      <c r="CK38" s="81">
        <f>BC38</f>
        <v>114.336</v>
      </c>
      <c r="CL38" s="81">
        <f>BG38</f>
        <v>111.06100000000001</v>
      </c>
      <c r="CM38" s="81">
        <f>BK38</f>
        <v>184.94499999999999</v>
      </c>
      <c r="CN38" s="81">
        <f>BO38</f>
        <v>694.77700000000004</v>
      </c>
      <c r="CO38" s="81">
        <f>BS38</f>
        <v>694.77700000000004</v>
      </c>
      <c r="CP38" s="82">
        <f t="shared" si="167"/>
        <v>694.77700000000004</v>
      </c>
      <c r="CQ38" s="20"/>
      <c r="CR38" s="80">
        <f>J38</f>
        <v>26.452999999999999</v>
      </c>
      <c r="CS38" s="81">
        <f>N38</f>
        <v>40.895000000000003</v>
      </c>
      <c r="CT38" s="81">
        <f>R38</f>
        <v>19.032</v>
      </c>
      <c r="CU38" s="81">
        <f>V38</f>
        <v>13.205</v>
      </c>
      <c r="CV38" s="81">
        <f>Z38</f>
        <v>125.624</v>
      </c>
      <c r="CW38" s="81">
        <f>AD38</f>
        <v>102.61699999999999</v>
      </c>
      <c r="CX38" s="81">
        <f>AH38</f>
        <v>431.61399999999998</v>
      </c>
      <c r="CY38" s="81">
        <f>AL38</f>
        <v>522.00800000000004</v>
      </c>
      <c r="CZ38" s="81">
        <f>AP38</f>
        <v>469.09500000000003</v>
      </c>
      <c r="DA38" s="81">
        <f>AT38</f>
        <v>626.91000000000008</v>
      </c>
      <c r="DB38" s="81">
        <f>AX38</f>
        <v>567.86599999999999</v>
      </c>
      <c r="DC38" s="81">
        <f>BB38</f>
        <v>607.23</v>
      </c>
      <c r="DD38" s="81">
        <f>BF38</f>
        <v>106.081</v>
      </c>
      <c r="DE38" s="81">
        <f>BJ38</f>
        <v>266.76299999999998</v>
      </c>
      <c r="DF38" s="81">
        <f>BN38</f>
        <v>694.77700000000004</v>
      </c>
      <c r="DG38" s="81">
        <f>BR38</f>
        <v>694.77700000000004</v>
      </c>
      <c r="DH38" s="81">
        <f t="shared" si="168"/>
        <v>694.77700000000004</v>
      </c>
      <c r="DI38" s="22"/>
    </row>
    <row r="39" spans="1:113" ht="14.25" customHeight="1">
      <c r="A39" s="8"/>
      <c r="B39" s="608" t="s">
        <v>366</v>
      </c>
      <c r="C39" s="28"/>
      <c r="D39" s="83">
        <v>1.137</v>
      </c>
      <c r="E39" s="84">
        <v>1.0660000000000001</v>
      </c>
      <c r="F39" s="84">
        <v>1.0589999999999999</v>
      </c>
      <c r="G39" s="85">
        <v>1.008</v>
      </c>
      <c r="H39" s="83">
        <v>0.98</v>
      </c>
      <c r="I39" s="84">
        <v>0.94199999999999995</v>
      </c>
      <c r="J39" s="84">
        <v>0.94799999999999995</v>
      </c>
      <c r="K39" s="85">
        <v>0.871</v>
      </c>
      <c r="L39" s="83">
        <v>0.79200000000000004</v>
      </c>
      <c r="M39" s="84">
        <v>0.71399999999999997</v>
      </c>
      <c r="N39" s="84">
        <v>0.71599999999999997</v>
      </c>
      <c r="O39" s="85">
        <v>0.59899999999999998</v>
      </c>
      <c r="P39" s="83">
        <v>0.55900000000000005</v>
      </c>
      <c r="Q39" s="84">
        <v>0.56100000000000005</v>
      </c>
      <c r="R39" s="84">
        <v>0.55200000000000005</v>
      </c>
      <c r="S39" s="85">
        <v>0.80100000000000005</v>
      </c>
      <c r="T39" s="83">
        <v>0.83599999999999997</v>
      </c>
      <c r="U39" s="84">
        <v>0.85399999999999998</v>
      </c>
      <c r="V39" s="84">
        <v>0.89200000000000002</v>
      </c>
      <c r="W39" s="85">
        <v>0.92600000000000005</v>
      </c>
      <c r="X39" s="83">
        <v>0.93600000000000005</v>
      </c>
      <c r="Y39" s="84">
        <v>0.98399999999999999</v>
      </c>
      <c r="Z39" s="84">
        <v>1.022</v>
      </c>
      <c r="AA39" s="85">
        <v>1.1040000000000001</v>
      </c>
      <c r="AB39" s="83">
        <v>1.135</v>
      </c>
      <c r="AC39" s="84">
        <v>1.0620000000000001</v>
      </c>
      <c r="AD39" s="84">
        <v>1.2829999999999999</v>
      </c>
      <c r="AE39" s="85">
        <v>3.8340000000000001</v>
      </c>
      <c r="AF39" s="83">
        <v>3.9460000000000002</v>
      </c>
      <c r="AG39" s="84">
        <v>3.9929999999999999</v>
      </c>
      <c r="AH39" s="84">
        <v>3.9830000000000001</v>
      </c>
      <c r="AI39" s="85">
        <v>5.0179999999999998</v>
      </c>
      <c r="AJ39" s="84">
        <v>7.92</v>
      </c>
      <c r="AK39" s="84">
        <v>14.074</v>
      </c>
      <c r="AL39" s="84">
        <v>11.257</v>
      </c>
      <c r="AM39" s="84">
        <v>10.318</v>
      </c>
      <c r="AN39" s="83">
        <v>10.016999999999999</v>
      </c>
      <c r="AO39" s="84">
        <v>9.8740000000000006</v>
      </c>
      <c r="AP39" s="84">
        <v>8.8439999999999994</v>
      </c>
      <c r="AQ39" s="85">
        <v>8.3219999999999992</v>
      </c>
      <c r="AR39" s="83">
        <v>29.265000000000001</v>
      </c>
      <c r="AS39" s="84">
        <v>24.739000000000001</v>
      </c>
      <c r="AT39" s="84">
        <v>21.84</v>
      </c>
      <c r="AU39" s="85">
        <v>21.966000000000001</v>
      </c>
      <c r="AV39" s="83">
        <v>37.301000000000002</v>
      </c>
      <c r="AW39" s="84">
        <v>38.039000000000001</v>
      </c>
      <c r="AX39" s="84">
        <v>38.421999999999997</v>
      </c>
      <c r="AY39" s="85">
        <v>37.549999999999997</v>
      </c>
      <c r="AZ39" s="83">
        <v>39.112000000000002</v>
      </c>
      <c r="BA39" s="84">
        <v>40.350999999999999</v>
      </c>
      <c r="BB39" s="84">
        <v>44.228000000000002</v>
      </c>
      <c r="BC39" s="85">
        <f>381.192+43.329</f>
        <v>424.52100000000002</v>
      </c>
      <c r="BD39" s="83">
        <f>380.403+48.694</f>
        <v>429.09700000000004</v>
      </c>
      <c r="BE39" s="84">
        <f>448.777+41.042</f>
        <v>489.81899999999996</v>
      </c>
      <c r="BF39" s="84">
        <f>41.073+422.667</f>
        <v>463.73999999999995</v>
      </c>
      <c r="BG39" s="85">
        <f>399.218+41.271</f>
        <v>440.48900000000003</v>
      </c>
      <c r="BH39" s="83">
        <f>468.563+157.113</f>
        <v>625.67599999999993</v>
      </c>
      <c r="BI39" s="84">
        <f>416.452+161.239</f>
        <v>577.69100000000003</v>
      </c>
      <c r="BJ39" s="84">
        <f>386.824+148.549</f>
        <v>535.37300000000005</v>
      </c>
      <c r="BK39" s="85">
        <f>409.045+217.206</f>
        <v>626.25099999999998</v>
      </c>
      <c r="BL39" s="83">
        <f>347.216+220.515</f>
        <v>567.73099999999999</v>
      </c>
      <c r="BM39" s="84">
        <f>240.459+328.235</f>
        <v>568.69399999999996</v>
      </c>
      <c r="BN39" s="84">
        <f>208.823+238.663</f>
        <v>447.48599999999999</v>
      </c>
      <c r="BO39" s="82">
        <f t="shared" si="169"/>
        <v>447.48599999999999</v>
      </c>
      <c r="BP39" s="80">
        <f t="shared" si="170"/>
        <v>447.48599999999999</v>
      </c>
      <c r="BQ39" s="81">
        <f t="shared" si="170"/>
        <v>447.48599999999999</v>
      </c>
      <c r="BR39" s="81">
        <f t="shared" si="170"/>
        <v>447.48599999999999</v>
      </c>
      <c r="BS39" s="82">
        <f t="shared" si="170"/>
        <v>447.48599999999999</v>
      </c>
      <c r="BT39" s="80">
        <f t="shared" si="171"/>
        <v>447.48599999999999</v>
      </c>
      <c r="BU39" s="81">
        <f t="shared" si="172"/>
        <v>447.48599999999999</v>
      </c>
      <c r="BV39" s="81">
        <f t="shared" si="173"/>
        <v>447.48599999999999</v>
      </c>
      <c r="BW39" s="82">
        <f t="shared" si="174"/>
        <v>447.48599999999999</v>
      </c>
      <c r="BX39" s="107"/>
      <c r="BY39" s="81">
        <f>G39</f>
        <v>1.008</v>
      </c>
      <c r="BZ39" s="81">
        <f>K39</f>
        <v>0.871</v>
      </c>
      <c r="CA39" s="81">
        <f>O39</f>
        <v>0.59899999999999998</v>
      </c>
      <c r="CB39" s="81">
        <f>S39</f>
        <v>0.80100000000000005</v>
      </c>
      <c r="CC39" s="81">
        <f>W39</f>
        <v>0.92600000000000005</v>
      </c>
      <c r="CD39" s="81">
        <f>AA39</f>
        <v>1.1040000000000001</v>
      </c>
      <c r="CE39" s="81">
        <f>AE39</f>
        <v>3.8340000000000001</v>
      </c>
      <c r="CF39" s="81">
        <f>AI39</f>
        <v>5.0179999999999998</v>
      </c>
      <c r="CG39" s="80">
        <f>AM39</f>
        <v>10.318</v>
      </c>
      <c r="CH39" s="81">
        <f>AQ39</f>
        <v>8.3219999999999992</v>
      </c>
      <c r="CI39" s="81">
        <f>AU39</f>
        <v>21.966000000000001</v>
      </c>
      <c r="CJ39" s="80">
        <f>AY39</f>
        <v>37.549999999999997</v>
      </c>
      <c r="CK39" s="81">
        <f>BC39</f>
        <v>424.52100000000002</v>
      </c>
      <c r="CL39" s="81">
        <f>BG39</f>
        <v>440.48900000000003</v>
      </c>
      <c r="CM39" s="81">
        <f>BK39</f>
        <v>626.25099999999998</v>
      </c>
      <c r="CN39" s="81">
        <f>BO39</f>
        <v>447.48599999999999</v>
      </c>
      <c r="CO39" s="81">
        <f>BS39</f>
        <v>447.48599999999999</v>
      </c>
      <c r="CP39" s="82">
        <f t="shared" si="167"/>
        <v>447.48599999999999</v>
      </c>
      <c r="CQ39" s="20"/>
      <c r="CR39" s="80">
        <f>J39</f>
        <v>0.94799999999999995</v>
      </c>
      <c r="CS39" s="81">
        <f>N39</f>
        <v>0.71599999999999997</v>
      </c>
      <c r="CT39" s="81">
        <f>R39</f>
        <v>0.55200000000000005</v>
      </c>
      <c r="CU39" s="81">
        <f>V39</f>
        <v>0.89200000000000002</v>
      </c>
      <c r="CV39" s="81">
        <f>Z39</f>
        <v>1.022</v>
      </c>
      <c r="CW39" s="81">
        <f>AD39</f>
        <v>1.2829999999999999</v>
      </c>
      <c r="CX39" s="81">
        <f>AH39</f>
        <v>3.9830000000000001</v>
      </c>
      <c r="CY39" s="81">
        <f>AL39</f>
        <v>11.257</v>
      </c>
      <c r="CZ39" s="81">
        <f>AP39</f>
        <v>8.8439999999999994</v>
      </c>
      <c r="DA39" s="81">
        <f>AT39</f>
        <v>21.84</v>
      </c>
      <c r="DB39" s="81">
        <f>AX39</f>
        <v>38.421999999999997</v>
      </c>
      <c r="DC39" s="81">
        <f>BB39</f>
        <v>44.228000000000002</v>
      </c>
      <c r="DD39" s="81">
        <f>BF39</f>
        <v>463.73999999999995</v>
      </c>
      <c r="DE39" s="81">
        <f>BJ39</f>
        <v>535.37300000000005</v>
      </c>
      <c r="DF39" s="81">
        <f>BN39</f>
        <v>447.48599999999999</v>
      </c>
      <c r="DG39" s="81">
        <f>BR39</f>
        <v>447.48599999999999</v>
      </c>
      <c r="DH39" s="81">
        <f t="shared" si="168"/>
        <v>447.48599999999999</v>
      </c>
      <c r="DI39" s="22"/>
    </row>
    <row r="40" spans="1:113" ht="14.25" customHeight="1">
      <c r="A40" s="8"/>
      <c r="B40" s="608" t="s">
        <v>147</v>
      </c>
      <c r="C40" s="28"/>
      <c r="D40" s="83">
        <v>0</v>
      </c>
      <c r="E40" s="84">
        <v>0</v>
      </c>
      <c r="F40" s="84">
        <v>0</v>
      </c>
      <c r="G40" s="85">
        <v>0</v>
      </c>
      <c r="H40" s="83">
        <v>0</v>
      </c>
      <c r="I40" s="84">
        <v>0</v>
      </c>
      <c r="J40" s="84">
        <v>0</v>
      </c>
      <c r="K40" s="85">
        <v>0</v>
      </c>
      <c r="L40" s="83">
        <v>0</v>
      </c>
      <c r="M40" s="84">
        <v>0</v>
      </c>
      <c r="N40" s="84">
        <v>0</v>
      </c>
      <c r="O40" s="85">
        <v>0</v>
      </c>
      <c r="P40" s="83">
        <v>0</v>
      </c>
      <c r="Q40" s="84">
        <v>0</v>
      </c>
      <c r="R40" s="84">
        <v>0</v>
      </c>
      <c r="S40" s="85">
        <v>0</v>
      </c>
      <c r="T40" s="83">
        <v>0</v>
      </c>
      <c r="U40" s="84">
        <v>0</v>
      </c>
      <c r="V40" s="84">
        <v>0</v>
      </c>
      <c r="W40" s="85">
        <v>0</v>
      </c>
      <c r="X40" s="83">
        <v>0</v>
      </c>
      <c r="Y40" s="84">
        <v>0</v>
      </c>
      <c r="Z40" s="84">
        <v>0</v>
      </c>
      <c r="AA40" s="85">
        <v>0</v>
      </c>
      <c r="AB40" s="83">
        <v>0</v>
      </c>
      <c r="AC40" s="84">
        <v>0</v>
      </c>
      <c r="AD40" s="84">
        <v>0</v>
      </c>
      <c r="AE40" s="85">
        <v>0</v>
      </c>
      <c r="AF40" s="83">
        <v>0</v>
      </c>
      <c r="AG40" s="84">
        <v>0</v>
      </c>
      <c r="AH40" s="84">
        <v>0</v>
      </c>
      <c r="AI40" s="85">
        <v>0</v>
      </c>
      <c r="AJ40" s="84">
        <v>0</v>
      </c>
      <c r="AK40" s="84">
        <v>0</v>
      </c>
      <c r="AL40" s="84">
        <v>0</v>
      </c>
      <c r="AM40" s="84">
        <v>0</v>
      </c>
      <c r="AN40" s="83">
        <v>0</v>
      </c>
      <c r="AO40" s="84">
        <v>0</v>
      </c>
      <c r="AP40" s="84">
        <v>0</v>
      </c>
      <c r="AQ40" s="85">
        <v>0</v>
      </c>
      <c r="AR40" s="83">
        <v>0</v>
      </c>
      <c r="AS40" s="84">
        <v>0</v>
      </c>
      <c r="AT40" s="84">
        <v>0</v>
      </c>
      <c r="AU40" s="85">
        <v>0</v>
      </c>
      <c r="AV40" s="83">
        <v>0</v>
      </c>
      <c r="AW40" s="84">
        <v>0</v>
      </c>
      <c r="AX40" s="84">
        <v>0</v>
      </c>
      <c r="AY40" s="85">
        <v>0</v>
      </c>
      <c r="AZ40" s="83">
        <v>0</v>
      </c>
      <c r="BA40" s="84">
        <v>48.786999999999999</v>
      </c>
      <c r="BB40" s="84">
        <v>25.989000000000001</v>
      </c>
      <c r="BC40" s="85">
        <v>16.372</v>
      </c>
      <c r="BD40" s="83">
        <v>0</v>
      </c>
      <c r="BE40" s="84">
        <v>0</v>
      </c>
      <c r="BF40" s="84">
        <v>0</v>
      </c>
      <c r="BG40" s="85">
        <v>0</v>
      </c>
      <c r="BH40" s="83">
        <v>0</v>
      </c>
      <c r="BI40" s="84">
        <v>0</v>
      </c>
      <c r="BJ40" s="84">
        <v>0</v>
      </c>
      <c r="BK40" s="85">
        <v>0</v>
      </c>
      <c r="BL40" s="83">
        <v>0</v>
      </c>
      <c r="BM40" s="84">
        <f>BL40+CFS!BM45</f>
        <v>0</v>
      </c>
      <c r="BN40" s="84">
        <v>0</v>
      </c>
      <c r="BO40" s="714">
        <f>BN40+CFS!BO45</f>
        <v>0</v>
      </c>
      <c r="BP40" s="712">
        <f>BO40+CFS!BP45</f>
        <v>0</v>
      </c>
      <c r="BQ40" s="713">
        <f>BP40+CFS!BQ45</f>
        <v>0</v>
      </c>
      <c r="BR40" s="713">
        <f>BQ40+CFS!BR45</f>
        <v>0</v>
      </c>
      <c r="BS40" s="714">
        <f>BR40+CFS!BS45</f>
        <v>0</v>
      </c>
      <c r="BT40" s="712">
        <f>BS40+CFS!BT45</f>
        <v>0</v>
      </c>
      <c r="BU40" s="713">
        <f>BT40+CFS!BU45</f>
        <v>0</v>
      </c>
      <c r="BV40" s="713">
        <f>BU40+CFS!BV45</f>
        <v>0</v>
      </c>
      <c r="BW40" s="714">
        <f>BV40+CFS!BW45</f>
        <v>0</v>
      </c>
      <c r="BX40" s="107"/>
      <c r="BY40" s="81">
        <f>G40</f>
        <v>0</v>
      </c>
      <c r="BZ40" s="81">
        <f>K40</f>
        <v>0</v>
      </c>
      <c r="CA40" s="81">
        <f>O40</f>
        <v>0</v>
      </c>
      <c r="CB40" s="81">
        <f>S40</f>
        <v>0</v>
      </c>
      <c r="CC40" s="81">
        <f>W40</f>
        <v>0</v>
      </c>
      <c r="CD40" s="81">
        <f>AA40</f>
        <v>0</v>
      </c>
      <c r="CE40" s="81">
        <f>AE40</f>
        <v>0</v>
      </c>
      <c r="CF40" s="81">
        <f>AI40</f>
        <v>0</v>
      </c>
      <c r="CG40" s="80">
        <f>AM40</f>
        <v>0</v>
      </c>
      <c r="CH40" s="81">
        <f>AQ40</f>
        <v>0</v>
      </c>
      <c r="CI40" s="81">
        <f>AU40</f>
        <v>0</v>
      </c>
      <c r="CJ40" s="80">
        <f>AY40</f>
        <v>0</v>
      </c>
      <c r="CK40" s="81">
        <f>BC40</f>
        <v>16.372</v>
      </c>
      <c r="CL40" s="81">
        <f>BG40</f>
        <v>0</v>
      </c>
      <c r="CM40" s="81">
        <f>BK40</f>
        <v>0</v>
      </c>
      <c r="CN40" s="81">
        <f>BO40</f>
        <v>0</v>
      </c>
      <c r="CO40" s="81">
        <f>BS40</f>
        <v>0</v>
      </c>
      <c r="CP40" s="714">
        <f t="shared" si="167"/>
        <v>0</v>
      </c>
      <c r="CQ40" s="20"/>
      <c r="CR40" s="80">
        <f>J40</f>
        <v>0</v>
      </c>
      <c r="CS40" s="81">
        <f>N40</f>
        <v>0</v>
      </c>
      <c r="CT40" s="81">
        <f>R40</f>
        <v>0</v>
      </c>
      <c r="CU40" s="81">
        <f>V40</f>
        <v>0</v>
      </c>
      <c r="CV40" s="81">
        <f>Z40</f>
        <v>0</v>
      </c>
      <c r="CW40" s="81">
        <f>AD40</f>
        <v>0</v>
      </c>
      <c r="CX40" s="81">
        <f>AH40</f>
        <v>0</v>
      </c>
      <c r="CY40" s="81">
        <f>AL40</f>
        <v>0</v>
      </c>
      <c r="CZ40" s="81">
        <f>AP40</f>
        <v>0</v>
      </c>
      <c r="DA40" s="81">
        <f>AT40</f>
        <v>0</v>
      </c>
      <c r="DB40" s="81">
        <f>AX40</f>
        <v>0</v>
      </c>
      <c r="DC40" s="81">
        <f>BB40</f>
        <v>25.989000000000001</v>
      </c>
      <c r="DD40" s="81">
        <f>BF40</f>
        <v>0</v>
      </c>
      <c r="DE40" s="81">
        <f>BJ40</f>
        <v>0</v>
      </c>
      <c r="DF40" s="81">
        <f>BN40</f>
        <v>0</v>
      </c>
      <c r="DG40" s="81">
        <f>BR40</f>
        <v>0</v>
      </c>
      <c r="DH40" s="81">
        <f t="shared" si="168"/>
        <v>0</v>
      </c>
      <c r="DI40" s="22"/>
    </row>
    <row r="41" spans="1:113" ht="14.25" customHeight="1">
      <c r="A41" s="8"/>
      <c r="B41" s="612"/>
      <c r="C41" s="24"/>
      <c r="D41" s="83"/>
      <c r="E41" s="84"/>
      <c r="F41" s="84"/>
      <c r="G41" s="85"/>
      <c r="H41" s="83"/>
      <c r="I41" s="84"/>
      <c r="J41" s="84"/>
      <c r="K41" s="85"/>
      <c r="L41" s="83"/>
      <c r="M41" s="84"/>
      <c r="N41" s="84"/>
      <c r="O41" s="85"/>
      <c r="P41" s="83"/>
      <c r="Q41" s="84"/>
      <c r="R41" s="84"/>
      <c r="S41" s="85"/>
      <c r="T41" s="83"/>
      <c r="U41" s="84"/>
      <c r="V41" s="84"/>
      <c r="W41" s="85"/>
      <c r="X41" s="83"/>
      <c r="Y41" s="84"/>
      <c r="Z41" s="84"/>
      <c r="AA41" s="85"/>
      <c r="AB41" s="83"/>
      <c r="AC41" s="84"/>
      <c r="AD41" s="84"/>
      <c r="AE41" s="85"/>
      <c r="AF41" s="83"/>
      <c r="AG41" s="84"/>
      <c r="AH41" s="84"/>
      <c r="AI41" s="85"/>
      <c r="AJ41" s="84"/>
      <c r="AK41" s="84"/>
      <c r="AL41" s="84"/>
      <c r="AM41" s="84"/>
      <c r="AN41" s="340"/>
      <c r="AO41" s="84"/>
      <c r="AP41" s="84"/>
      <c r="AQ41" s="85"/>
      <c r="AR41" s="340"/>
      <c r="AS41" s="84"/>
      <c r="AT41" s="84"/>
      <c r="AU41" s="85"/>
      <c r="AV41" s="340"/>
      <c r="AW41" s="84"/>
      <c r="AX41" s="84"/>
      <c r="AY41" s="85"/>
      <c r="AZ41" s="340"/>
      <c r="BA41" s="84"/>
      <c r="BB41" s="84"/>
      <c r="BC41" s="85"/>
      <c r="BD41" s="340"/>
      <c r="BE41" s="84"/>
      <c r="BF41" s="84"/>
      <c r="BG41" s="85"/>
      <c r="BH41" s="340"/>
      <c r="BI41" s="84"/>
      <c r="BJ41" s="84"/>
      <c r="BK41" s="85"/>
      <c r="BL41" s="340"/>
      <c r="BM41" s="84"/>
      <c r="BN41" s="84"/>
      <c r="BO41" s="85"/>
      <c r="BP41" s="83"/>
      <c r="BQ41" s="84"/>
      <c r="BR41" s="84"/>
      <c r="BS41" s="85"/>
      <c r="BT41" s="83"/>
      <c r="BU41" s="84"/>
      <c r="BV41" s="84"/>
      <c r="BW41" s="85"/>
      <c r="BX41" s="107"/>
      <c r="BY41" s="84"/>
      <c r="BZ41" s="84"/>
      <c r="CA41" s="84"/>
      <c r="CB41" s="84"/>
      <c r="CC41" s="84"/>
      <c r="CD41" s="84"/>
      <c r="CE41" s="84"/>
      <c r="CF41" s="84"/>
      <c r="CG41" s="83"/>
      <c r="CH41" s="84"/>
      <c r="CI41" s="84"/>
      <c r="CJ41" s="83"/>
      <c r="CK41" s="84"/>
      <c r="CL41" s="81"/>
      <c r="CM41" s="81"/>
      <c r="CN41" s="81"/>
      <c r="CO41" s="81"/>
      <c r="CP41" s="85">
        <f t="shared" si="167"/>
        <v>0</v>
      </c>
      <c r="CQ41" s="20"/>
      <c r="CR41" s="83"/>
      <c r="CS41" s="84"/>
      <c r="CT41" s="84"/>
      <c r="CU41" s="84"/>
      <c r="CV41" s="84"/>
      <c r="CW41" s="84"/>
      <c r="CX41" s="84"/>
      <c r="CY41" s="84"/>
      <c r="CZ41" s="84"/>
      <c r="DA41" s="84"/>
      <c r="DB41" s="84"/>
      <c r="DC41" s="84"/>
      <c r="DD41" s="84"/>
      <c r="DE41" s="84"/>
      <c r="DF41" s="84"/>
      <c r="DG41" s="84"/>
      <c r="DH41" s="84"/>
      <c r="DI41" s="22"/>
    </row>
    <row r="42" spans="1:113" ht="14.25" customHeight="1">
      <c r="A42" s="8"/>
      <c r="B42" s="661" t="s">
        <v>36</v>
      </c>
      <c r="C42" s="124"/>
      <c r="D42" s="127">
        <v>1115.0250000000001</v>
      </c>
      <c r="E42" s="125">
        <v>1130.5340000000001</v>
      </c>
      <c r="F42" s="125">
        <v>1175.248</v>
      </c>
      <c r="G42" s="126">
        <v>1178.9490000000001</v>
      </c>
      <c r="H42" s="127">
        <v>1194.431</v>
      </c>
      <c r="I42" s="125">
        <v>1250.2349999999999</v>
      </c>
      <c r="J42" s="125">
        <v>1320.5930000000001</v>
      </c>
      <c r="K42" s="126">
        <v>1320.5170000000001</v>
      </c>
      <c r="L42" s="127">
        <v>1355.1289999999999</v>
      </c>
      <c r="M42" s="125">
        <v>1379.915</v>
      </c>
      <c r="N42" s="125">
        <v>1439.44</v>
      </c>
      <c r="O42" s="126">
        <v>1485.7339999999999</v>
      </c>
      <c r="P42" s="127">
        <v>1553.316</v>
      </c>
      <c r="Q42" s="125">
        <v>1612.64</v>
      </c>
      <c r="R42" s="125">
        <v>1649.1310000000001</v>
      </c>
      <c r="S42" s="126">
        <v>1726.1890000000001</v>
      </c>
      <c r="T42" s="127">
        <v>1787.809</v>
      </c>
      <c r="U42" s="125">
        <v>1849.665</v>
      </c>
      <c r="V42" s="125">
        <v>1889.492</v>
      </c>
      <c r="W42" s="126">
        <v>2004.3679999999999</v>
      </c>
      <c r="X42" s="127">
        <v>2061.0439999999999</v>
      </c>
      <c r="Y42" s="125">
        <v>1941.973</v>
      </c>
      <c r="Z42" s="125">
        <v>1163.1949999999999</v>
      </c>
      <c r="AA42" s="126">
        <v>1036.223</v>
      </c>
      <c r="AB42" s="127">
        <v>1052.528</v>
      </c>
      <c r="AC42" s="125">
        <v>989.16800000000001</v>
      </c>
      <c r="AD42" s="125">
        <v>1018.524</v>
      </c>
      <c r="AE42" s="126">
        <v>990.76599999999996</v>
      </c>
      <c r="AF42" s="127">
        <v>1457.2080000000001</v>
      </c>
      <c r="AG42" s="125">
        <v>1458.317</v>
      </c>
      <c r="AH42" s="125">
        <v>1483.875</v>
      </c>
      <c r="AI42" s="126">
        <v>1533.38</v>
      </c>
      <c r="AJ42" s="125">
        <v>1567.4649999999999</v>
      </c>
      <c r="AK42" s="125">
        <v>1637.1659999999999</v>
      </c>
      <c r="AL42" s="125">
        <v>1649.9449999999999</v>
      </c>
      <c r="AM42" s="125">
        <v>1812.4380000000001</v>
      </c>
      <c r="AN42" s="127">
        <v>1879.222</v>
      </c>
      <c r="AO42" s="125">
        <v>1903.9390000000001</v>
      </c>
      <c r="AP42" s="125">
        <v>1941.3050000000001</v>
      </c>
      <c r="AQ42" s="126">
        <v>1990.673</v>
      </c>
      <c r="AR42" s="127">
        <v>2017.99</v>
      </c>
      <c r="AS42" s="125">
        <v>1964.098</v>
      </c>
      <c r="AT42" s="125">
        <v>1927.086</v>
      </c>
      <c r="AU42" s="126">
        <v>1933.47</v>
      </c>
      <c r="AV42" s="127">
        <v>1954.26</v>
      </c>
      <c r="AW42" s="125">
        <v>2018.539</v>
      </c>
      <c r="AX42" s="125">
        <v>2075.1080000000002</v>
      </c>
      <c r="AY42" s="126">
        <v>2135.4609999999998</v>
      </c>
      <c r="AZ42" s="127">
        <v>2169.645</v>
      </c>
      <c r="BA42" s="125">
        <v>2203.4209999999998</v>
      </c>
      <c r="BB42" s="125">
        <v>2256.2890000000002</v>
      </c>
      <c r="BC42" s="126">
        <v>2044.654</v>
      </c>
      <c r="BD42" s="127">
        <v>2098.8820000000001</v>
      </c>
      <c r="BE42" s="125">
        <v>2129.3809999999999</v>
      </c>
      <c r="BF42" s="125">
        <v>2126.3440000000001</v>
      </c>
      <c r="BG42" s="126">
        <v>2150.9189999999999</v>
      </c>
      <c r="BH42" s="127">
        <v>2532.549</v>
      </c>
      <c r="BI42" s="125">
        <v>2519.5120000000002</v>
      </c>
      <c r="BJ42" s="125">
        <v>2566.8980000000001</v>
      </c>
      <c r="BK42" s="126">
        <v>3270.7109999999998</v>
      </c>
      <c r="BL42" s="127">
        <v>3412.5540000000001</v>
      </c>
      <c r="BM42" s="125">
        <v>3546.1239999999998</v>
      </c>
      <c r="BN42" s="125">
        <v>3185.0749999999998</v>
      </c>
      <c r="BO42" s="116">
        <f t="shared" ref="BO42" si="175">BO71</f>
        <v>3442.8534660405126</v>
      </c>
      <c r="BP42" s="128">
        <f t="shared" ref="BP42:BW42" si="176">BP71</f>
        <v>3721.2670441733007</v>
      </c>
      <c r="BQ42" s="115">
        <f t="shared" si="176"/>
        <v>4015.2282024476999</v>
      </c>
      <c r="BR42" s="115">
        <f t="shared" si="176"/>
        <v>4299.1773686482748</v>
      </c>
      <c r="BS42" s="116">
        <f t="shared" si="176"/>
        <v>4579.6983802912609</v>
      </c>
      <c r="BT42" s="128">
        <f t="shared" si="176"/>
        <v>4879.090083252122</v>
      </c>
      <c r="BU42" s="115">
        <f t="shared" si="176"/>
        <v>5191.7635060658013</v>
      </c>
      <c r="BV42" s="115">
        <f t="shared" si="176"/>
        <v>5495.8945567229384</v>
      </c>
      <c r="BW42" s="116">
        <f t="shared" si="176"/>
        <v>5796.9176631686341</v>
      </c>
      <c r="BX42" s="107"/>
      <c r="BY42" s="81">
        <f>G42</f>
        <v>1178.9490000000001</v>
      </c>
      <c r="BZ42" s="81">
        <f>K42</f>
        <v>1320.5170000000001</v>
      </c>
      <c r="CA42" s="81">
        <f>O42</f>
        <v>1485.7339999999999</v>
      </c>
      <c r="CB42" s="81">
        <f>S42</f>
        <v>1726.1890000000001</v>
      </c>
      <c r="CC42" s="81">
        <f>W42</f>
        <v>2004.3679999999999</v>
      </c>
      <c r="CD42" s="81">
        <f>AA42</f>
        <v>1036.223</v>
      </c>
      <c r="CE42" s="81">
        <f>AE42</f>
        <v>990.76599999999996</v>
      </c>
      <c r="CF42" s="81">
        <f>AI42</f>
        <v>1533.38</v>
      </c>
      <c r="CG42" s="80">
        <f>AM42</f>
        <v>1812.4380000000001</v>
      </c>
      <c r="CH42" s="81">
        <f>AQ42</f>
        <v>1990.673</v>
      </c>
      <c r="CI42" s="81">
        <f>AU42</f>
        <v>1933.47</v>
      </c>
      <c r="CJ42" s="80">
        <f>AY42</f>
        <v>2135.4609999999998</v>
      </c>
      <c r="CK42" s="81">
        <f>BC42</f>
        <v>2044.654</v>
      </c>
      <c r="CL42" s="81">
        <f>BG42</f>
        <v>2150.9189999999999</v>
      </c>
      <c r="CM42" s="81">
        <f>BK42</f>
        <v>3270.7109999999998</v>
      </c>
      <c r="CN42" s="81">
        <f>BO42</f>
        <v>3442.8534660405126</v>
      </c>
      <c r="CO42" s="81">
        <f>BS42</f>
        <v>4579.6983802912609</v>
      </c>
      <c r="CP42" s="82">
        <f t="shared" si="167"/>
        <v>5796.9176631686341</v>
      </c>
      <c r="CQ42" s="20"/>
      <c r="CR42" s="80">
        <f>J42</f>
        <v>1320.5930000000001</v>
      </c>
      <c r="CS42" s="81">
        <f>N42</f>
        <v>1439.44</v>
      </c>
      <c r="CT42" s="81">
        <f>R42</f>
        <v>1649.1310000000001</v>
      </c>
      <c r="CU42" s="81">
        <f>V42</f>
        <v>1889.492</v>
      </c>
      <c r="CV42" s="81">
        <f>Z42</f>
        <v>1163.1949999999999</v>
      </c>
      <c r="CW42" s="81">
        <f>AD42</f>
        <v>1018.524</v>
      </c>
      <c r="CX42" s="81">
        <f>AH42</f>
        <v>1483.875</v>
      </c>
      <c r="CY42" s="81">
        <f>AL42</f>
        <v>1649.9449999999999</v>
      </c>
      <c r="CZ42" s="81">
        <f>AP42</f>
        <v>1941.3050000000001</v>
      </c>
      <c r="DA42" s="81">
        <f>AT42</f>
        <v>1927.086</v>
      </c>
      <c r="DB42" s="81">
        <f>AX42</f>
        <v>2075.1080000000002</v>
      </c>
      <c r="DC42" s="81">
        <f>BB42</f>
        <v>2256.2890000000002</v>
      </c>
      <c r="DD42" s="81">
        <f>BF42</f>
        <v>2126.3440000000001</v>
      </c>
      <c r="DE42" s="81">
        <f>BJ42</f>
        <v>2566.8980000000001</v>
      </c>
      <c r="DF42" s="81">
        <f>BN42</f>
        <v>3185.0749999999998</v>
      </c>
      <c r="DG42" s="81">
        <f>BR42</f>
        <v>4299.1773686482748</v>
      </c>
      <c r="DH42" s="81">
        <f>BV42</f>
        <v>5495.8945567229384</v>
      </c>
      <c r="DI42" s="22"/>
    </row>
    <row r="43" spans="1:113" ht="14.25" customHeight="1">
      <c r="A43" s="8"/>
      <c r="B43" s="617"/>
      <c r="C43" s="24"/>
      <c r="D43" s="83"/>
      <c r="E43" s="84"/>
      <c r="F43" s="84"/>
      <c r="G43" s="84"/>
      <c r="H43" s="83"/>
      <c r="I43" s="84"/>
      <c r="J43" s="84"/>
      <c r="K43" s="84"/>
      <c r="L43" s="83"/>
      <c r="M43" s="84"/>
      <c r="N43" s="84"/>
      <c r="O43" s="84"/>
      <c r="P43" s="83"/>
      <c r="Q43" s="84"/>
      <c r="R43" s="84"/>
      <c r="S43" s="84"/>
      <c r="T43" s="83"/>
      <c r="U43" s="84"/>
      <c r="V43" s="84"/>
      <c r="W43" s="84"/>
      <c r="X43" s="83"/>
      <c r="Y43" s="84"/>
      <c r="Z43" s="84"/>
      <c r="AA43" s="84"/>
      <c r="AB43" s="83"/>
      <c r="AC43" s="84"/>
      <c r="AD43" s="84"/>
      <c r="AE43" s="84"/>
      <c r="AF43" s="83"/>
      <c r="AG43" s="84"/>
      <c r="AH43" s="84"/>
      <c r="AI43" s="84"/>
      <c r="AJ43" s="83"/>
      <c r="AK43" s="84"/>
      <c r="AL43" s="84"/>
      <c r="AM43" s="84"/>
      <c r="AN43" s="83"/>
      <c r="AO43" s="84"/>
      <c r="AP43" s="84"/>
      <c r="AQ43" s="85"/>
      <c r="AR43" s="83"/>
      <c r="AS43" s="84"/>
      <c r="AT43" s="84"/>
      <c r="AU43" s="85"/>
      <c r="AV43" s="83"/>
      <c r="AW43" s="84"/>
      <c r="AX43" s="84"/>
      <c r="AY43" s="85"/>
      <c r="AZ43" s="83"/>
      <c r="BA43" s="84"/>
      <c r="BB43" s="84"/>
      <c r="BC43" s="85"/>
      <c r="BD43" s="83"/>
      <c r="BE43" s="84"/>
      <c r="BF43" s="84"/>
      <c r="BG43" s="85"/>
      <c r="BH43" s="83"/>
      <c r="BI43" s="84"/>
      <c r="BJ43" s="84"/>
      <c r="BK43" s="85"/>
      <c r="BL43" s="83"/>
      <c r="BM43" s="84"/>
      <c r="BN43" s="84"/>
      <c r="BO43" s="85"/>
      <c r="BP43" s="83"/>
      <c r="BQ43" s="84"/>
      <c r="BR43" s="84"/>
      <c r="BS43" s="85"/>
      <c r="BT43" s="83"/>
      <c r="BU43" s="84"/>
      <c r="BV43" s="84"/>
      <c r="BW43" s="85"/>
      <c r="BX43" s="107"/>
      <c r="BY43" s="84"/>
      <c r="BZ43" s="84"/>
      <c r="CA43" s="84"/>
      <c r="CB43" s="84"/>
      <c r="CC43" s="84"/>
      <c r="CD43" s="84"/>
      <c r="CE43" s="84"/>
      <c r="CF43" s="84"/>
      <c r="CG43" s="83"/>
      <c r="CH43" s="84"/>
      <c r="CI43" s="84"/>
      <c r="CJ43" s="83"/>
      <c r="CK43" s="84"/>
      <c r="CL43" s="81"/>
      <c r="CM43" s="81"/>
      <c r="CN43" s="81"/>
      <c r="CO43" s="81"/>
      <c r="CP43" s="82">
        <f t="shared" si="167"/>
        <v>0</v>
      </c>
      <c r="CQ43" s="20"/>
      <c r="CR43" s="83"/>
      <c r="CS43" s="84"/>
      <c r="CT43" s="84"/>
      <c r="CU43" s="84"/>
      <c r="CV43" s="84"/>
      <c r="CW43" s="84"/>
      <c r="CX43" s="84"/>
      <c r="CY43" s="84"/>
      <c r="CZ43" s="84"/>
      <c r="DA43" s="84"/>
      <c r="DB43" s="84"/>
      <c r="DC43" s="84"/>
      <c r="DD43" s="84"/>
      <c r="DE43" s="84"/>
      <c r="DF43" s="84"/>
      <c r="DG43" s="84"/>
      <c r="DH43" s="84"/>
      <c r="DI43" s="22"/>
    </row>
    <row r="44" spans="1:113" ht="14.25" customHeight="1">
      <c r="A44" s="8"/>
      <c r="B44" s="664" t="s">
        <v>37</v>
      </c>
      <c r="C44" s="129"/>
      <c r="D44" s="123">
        <f t="shared" ref="D44:O44" si="177">D42+D34+SUM(D36:D40)</f>
        <v>1334.7090000000001</v>
      </c>
      <c r="E44" s="121">
        <f t="shared" si="177"/>
        <v>1345.9830000000002</v>
      </c>
      <c r="F44" s="121">
        <f t="shared" si="177"/>
        <v>1410.453</v>
      </c>
      <c r="G44" s="122">
        <f t="shared" si="177"/>
        <v>1428.2750000000001</v>
      </c>
      <c r="H44" s="123">
        <f t="shared" si="177"/>
        <v>1432.3950000000002</v>
      </c>
      <c r="I44" s="121">
        <f t="shared" si="177"/>
        <v>1492.2909999999999</v>
      </c>
      <c r="J44" s="121">
        <f t="shared" si="177"/>
        <v>1581.5380000000002</v>
      </c>
      <c r="K44" s="122">
        <f t="shared" si="177"/>
        <v>1622.1430000000003</v>
      </c>
      <c r="L44" s="123">
        <f t="shared" si="177"/>
        <v>1644.7089999999998</v>
      </c>
      <c r="M44" s="121">
        <f t="shared" si="177"/>
        <v>1698.328</v>
      </c>
      <c r="N44" s="121">
        <f t="shared" si="177"/>
        <v>1785.3130000000001</v>
      </c>
      <c r="O44" s="122">
        <f t="shared" si="177"/>
        <v>1817.5539999999999</v>
      </c>
      <c r="P44" s="123">
        <f t="shared" ref="P44:AT44" si="178">P42+P34+SUM(P36:P40)</f>
        <v>1892.059</v>
      </c>
      <c r="Q44" s="121">
        <f t="shared" si="178"/>
        <v>1958.0950000000003</v>
      </c>
      <c r="R44" s="121">
        <f t="shared" si="178"/>
        <v>2006.47</v>
      </c>
      <c r="S44" s="122">
        <f t="shared" si="178"/>
        <v>2350.5960000000005</v>
      </c>
      <c r="T44" s="123">
        <f t="shared" si="178"/>
        <v>2294.6909999999998</v>
      </c>
      <c r="U44" s="121">
        <f t="shared" si="178"/>
        <v>2291.2599999999998</v>
      </c>
      <c r="V44" s="121">
        <f t="shared" si="178"/>
        <v>2278.46</v>
      </c>
      <c r="W44" s="122">
        <f t="shared" si="178"/>
        <v>2269.5410000000002</v>
      </c>
      <c r="X44" s="123">
        <f t="shared" si="178"/>
        <v>2362.3420000000001</v>
      </c>
      <c r="Y44" s="121">
        <f t="shared" si="178"/>
        <v>2248.6789999999996</v>
      </c>
      <c r="Z44" s="121">
        <f t="shared" si="178"/>
        <v>2616.748</v>
      </c>
      <c r="AA44" s="122">
        <f t="shared" si="178"/>
        <v>2512.3069999999998</v>
      </c>
      <c r="AB44" s="123">
        <f t="shared" si="178"/>
        <v>2543.4380000000001</v>
      </c>
      <c r="AC44" s="121">
        <f t="shared" si="178"/>
        <v>2516.9839999999995</v>
      </c>
      <c r="AD44" s="121">
        <f t="shared" si="178"/>
        <v>2447.143</v>
      </c>
      <c r="AE44" s="122">
        <f t="shared" si="178"/>
        <v>2421.4390000000003</v>
      </c>
      <c r="AF44" s="123">
        <f t="shared" si="178"/>
        <v>2386.4090000000001</v>
      </c>
      <c r="AG44" s="121">
        <f t="shared" si="178"/>
        <v>2418.2849999999999</v>
      </c>
      <c r="AH44" s="121">
        <f t="shared" si="178"/>
        <v>2443.607</v>
      </c>
      <c r="AI44" s="122">
        <f t="shared" si="178"/>
        <v>2516.3130000000001</v>
      </c>
      <c r="AJ44" s="121">
        <f t="shared" si="178"/>
        <v>2693.2689999999998</v>
      </c>
      <c r="AK44" s="121">
        <f t="shared" si="178"/>
        <v>2808.37</v>
      </c>
      <c r="AL44" s="121">
        <f t="shared" si="178"/>
        <v>2828.7259999999997</v>
      </c>
      <c r="AM44" s="122">
        <f t="shared" si="178"/>
        <v>2968.058</v>
      </c>
      <c r="AN44" s="123">
        <f t="shared" si="178"/>
        <v>3029.299</v>
      </c>
      <c r="AO44" s="121">
        <f t="shared" si="178"/>
        <v>3033.7490000000003</v>
      </c>
      <c r="AP44" s="121">
        <f>AP42+AP34+SUM(AP36:AP40)</f>
        <v>3021.1510000000003</v>
      </c>
      <c r="AQ44" s="122">
        <f t="shared" si="178"/>
        <v>3083.7759999999998</v>
      </c>
      <c r="AR44" s="123">
        <f t="shared" si="178"/>
        <v>3144.8399999999997</v>
      </c>
      <c r="AS44" s="121">
        <f t="shared" si="178"/>
        <v>3888.3759999999997</v>
      </c>
      <c r="AT44" s="121">
        <f t="shared" si="178"/>
        <v>3843.5239999999994</v>
      </c>
      <c r="AU44" s="122">
        <f t="shared" ref="AU44:AZ44" si="179">AU42+AU34+SUM(AU36:AU40)</f>
        <v>3851.4049999999997</v>
      </c>
      <c r="AV44" s="123">
        <f t="shared" si="179"/>
        <v>3883.5749999999998</v>
      </c>
      <c r="AW44" s="121">
        <f t="shared" si="179"/>
        <v>3965.1509999999998</v>
      </c>
      <c r="AX44" s="121">
        <f t="shared" si="179"/>
        <v>4003.1080000000002</v>
      </c>
      <c r="AY44" s="122">
        <f t="shared" si="179"/>
        <v>4067.63</v>
      </c>
      <c r="AZ44" s="123">
        <f t="shared" si="179"/>
        <v>4501.7430000000004</v>
      </c>
      <c r="BA44" s="121">
        <f t="shared" ref="BA44:BO44" si="180">BA42+BA34+SUM(BA36:BA40)</f>
        <v>4610.6269999999995</v>
      </c>
      <c r="BB44" s="121">
        <f t="shared" si="180"/>
        <v>4628.9170000000004</v>
      </c>
      <c r="BC44" s="122">
        <f t="shared" si="180"/>
        <v>4780.7129999999997</v>
      </c>
      <c r="BD44" s="123">
        <f t="shared" si="180"/>
        <v>4856.9850000000006</v>
      </c>
      <c r="BE44" s="121">
        <f t="shared" si="180"/>
        <v>5786.3089999999993</v>
      </c>
      <c r="BF44" s="121">
        <f t="shared" si="180"/>
        <v>5446.5529999999999</v>
      </c>
      <c r="BG44" s="122">
        <f>BG42+BG34+SUM(BG36:BG40)</f>
        <v>5567.5150000000003</v>
      </c>
      <c r="BH44" s="123">
        <f>BH42+BH34+SUM(BH36:BH40)</f>
        <v>7358.7560000000003</v>
      </c>
      <c r="BI44" s="121">
        <f t="shared" ref="BI44:BJ44" si="181">BI42+BI34+SUM(BI36:BI40)</f>
        <v>7074.3960000000006</v>
      </c>
      <c r="BJ44" s="121">
        <f t="shared" si="181"/>
        <v>7144.5810000000001</v>
      </c>
      <c r="BK44" s="122">
        <f>BK42+BK34+SUM(BK36:BK40)</f>
        <v>7686.8810000000003</v>
      </c>
      <c r="BL44" s="123">
        <f>BL42+BL34+SUM(BL36:BL40)</f>
        <v>7887.8910000000005</v>
      </c>
      <c r="BM44" s="121">
        <f t="shared" si="180"/>
        <v>8055.1979999999994</v>
      </c>
      <c r="BN44" s="121">
        <f t="shared" si="180"/>
        <v>8123.7929999999997</v>
      </c>
      <c r="BO44" s="122">
        <f t="shared" si="180"/>
        <v>8409.7643953445131</v>
      </c>
      <c r="BP44" s="123">
        <f t="shared" ref="BP44:BW44" si="182">BP42+BP34+SUM(BP36:BP40)</f>
        <v>8695.2433013462505</v>
      </c>
      <c r="BQ44" s="121">
        <f t="shared" si="182"/>
        <v>8994.5177457206028</v>
      </c>
      <c r="BR44" s="121">
        <f t="shared" si="182"/>
        <v>9252.8848609520483</v>
      </c>
      <c r="BS44" s="122">
        <f t="shared" si="182"/>
        <v>9531.8740650824584</v>
      </c>
      <c r="BT44" s="123">
        <f t="shared" si="182"/>
        <v>9837.4281778988079</v>
      </c>
      <c r="BU44" s="121">
        <f t="shared" si="182"/>
        <v>10153.971163943213</v>
      </c>
      <c r="BV44" s="121">
        <f t="shared" si="182"/>
        <v>10456.118850451408</v>
      </c>
      <c r="BW44" s="122">
        <f t="shared" si="182"/>
        <v>10755.012140035011</v>
      </c>
      <c r="BX44" s="107"/>
      <c r="BY44" s="121">
        <f>BY42+BY34+SUM(BY36:BY40)</f>
        <v>1428.2750000000001</v>
      </c>
      <c r="BZ44" s="121">
        <f>BZ42+BZ34+SUM(BZ36:BZ40)</f>
        <v>1622.1430000000003</v>
      </c>
      <c r="CA44" s="121">
        <f>CA42+CA34+SUM(CA36:CA40)</f>
        <v>1817.5539999999999</v>
      </c>
      <c r="CB44" s="121">
        <f t="shared" ref="CB44:CK44" si="183">CB42+CB34+SUM(CB36:CB40)</f>
        <v>2350.5960000000005</v>
      </c>
      <c r="CC44" s="121">
        <f t="shared" si="183"/>
        <v>2269.5410000000002</v>
      </c>
      <c r="CD44" s="121">
        <f t="shared" si="183"/>
        <v>2512.3069999999998</v>
      </c>
      <c r="CE44" s="121">
        <f t="shared" si="183"/>
        <v>2421.4390000000003</v>
      </c>
      <c r="CF44" s="121">
        <f t="shared" si="183"/>
        <v>2516.3130000000001</v>
      </c>
      <c r="CG44" s="123">
        <f t="shared" si="183"/>
        <v>2968.058</v>
      </c>
      <c r="CH44" s="121">
        <f t="shared" si="183"/>
        <v>3083.7759999999998</v>
      </c>
      <c r="CI44" s="121">
        <f t="shared" si="183"/>
        <v>3851.4049999999997</v>
      </c>
      <c r="CJ44" s="123">
        <f t="shared" si="183"/>
        <v>4067.63</v>
      </c>
      <c r="CK44" s="121">
        <f t="shared" si="183"/>
        <v>4780.7129999999997</v>
      </c>
      <c r="CL44" s="121">
        <f>CL42+CL34+SUM(CL36:CL40)</f>
        <v>5567.5150000000003</v>
      </c>
      <c r="CM44" s="121">
        <f>CM42+CM34+SUM(CM36:CM40)</f>
        <v>7686.8810000000003</v>
      </c>
      <c r="CN44" s="121">
        <f>CN42+CN34+SUM(CN36:CN40)</f>
        <v>8409.7643953445131</v>
      </c>
      <c r="CO44" s="121">
        <f>CO42+CO34+SUM(CO36:CO40)</f>
        <v>9531.8740650824584</v>
      </c>
      <c r="CP44" s="121">
        <f>CP42+CP34+SUM(CP36:CP40)</f>
        <v>10755.012140035011</v>
      </c>
      <c r="CQ44" s="20"/>
      <c r="CR44" s="123">
        <f>CR42+CR34+SUM(CR36:CR40)</f>
        <v>1581.5380000000002</v>
      </c>
      <c r="CS44" s="121">
        <f>CS42+CS34+SUM(CS36:CS40)</f>
        <v>1785.3130000000001</v>
      </c>
      <c r="CT44" s="121">
        <f>CT42+CT34+SUM(CT36:CT40)</f>
        <v>2006.47</v>
      </c>
      <c r="CU44" s="121">
        <f t="shared" ref="CU44:DC44" si="184">CU42+CU34+SUM(CU36:CU40)</f>
        <v>2278.46</v>
      </c>
      <c r="CV44" s="121">
        <f t="shared" si="184"/>
        <v>2616.748</v>
      </c>
      <c r="CW44" s="121">
        <f t="shared" si="184"/>
        <v>2447.143</v>
      </c>
      <c r="CX44" s="121">
        <f t="shared" si="184"/>
        <v>2443.607</v>
      </c>
      <c r="CY44" s="121">
        <f t="shared" si="184"/>
        <v>2828.7259999999997</v>
      </c>
      <c r="CZ44" s="121">
        <f t="shared" si="184"/>
        <v>3021.1510000000003</v>
      </c>
      <c r="DA44" s="121">
        <f t="shared" si="184"/>
        <v>3843.5239999999994</v>
      </c>
      <c r="DB44" s="121">
        <f t="shared" si="184"/>
        <v>4003.1080000000002</v>
      </c>
      <c r="DC44" s="121">
        <f t="shared" si="184"/>
        <v>4628.9170000000004</v>
      </c>
      <c r="DD44" s="121">
        <f>DD42+DD34+SUM(DD36:DD40)</f>
        <v>5446.5529999999999</v>
      </c>
      <c r="DE44" s="121">
        <f>DE42+DE34+SUM(DE36:DE40)</f>
        <v>7144.5810000000001</v>
      </c>
      <c r="DF44" s="121">
        <f>DF42+DF34+SUM(DF36:DF40)</f>
        <v>8123.7929999999997</v>
      </c>
      <c r="DG44" s="121">
        <f>DG42+DG34+SUM(DG36:DG40)</f>
        <v>9252.8848609520483</v>
      </c>
      <c r="DH44" s="121">
        <f>DH42+DH34+SUM(DH36:DH40)</f>
        <v>10456.118850451408</v>
      </c>
      <c r="DI44" s="22"/>
    </row>
    <row r="45" spans="1:113" ht="14.25" customHeight="1">
      <c r="A45" s="8"/>
      <c r="B45" s="665"/>
      <c r="C45" s="68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70"/>
      <c r="AK45" s="103"/>
      <c r="AL45" s="70"/>
      <c r="AM45" s="70"/>
      <c r="AN45" s="130"/>
      <c r="AO45" s="103"/>
      <c r="AP45" s="70"/>
      <c r="AQ45" s="130"/>
      <c r="AR45" s="130"/>
      <c r="AS45" s="70"/>
      <c r="AT45" s="70"/>
      <c r="AU45" s="130"/>
      <c r="AV45" s="130"/>
      <c r="AW45" s="70"/>
      <c r="AX45" s="130"/>
      <c r="AY45" s="130"/>
      <c r="AZ45" s="130"/>
      <c r="BA45" s="130"/>
      <c r="BB45" s="130"/>
      <c r="BC45" s="130"/>
      <c r="BD45" s="130"/>
      <c r="BE45" s="130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70"/>
      <c r="BR45" s="70"/>
      <c r="BS45" s="130"/>
      <c r="BT45" s="130"/>
      <c r="BU45" s="70"/>
      <c r="BV45" s="70"/>
      <c r="BW45" s="130"/>
      <c r="BX45" s="14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40"/>
      <c r="CM45" s="103"/>
      <c r="CN45" s="103"/>
      <c r="CO45" s="103"/>
      <c r="CP45" s="103"/>
      <c r="CQ45" s="8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8"/>
    </row>
    <row r="46" spans="1:113" ht="14.25" customHeight="1">
      <c r="A46" s="8"/>
      <c r="B46" s="666" t="s">
        <v>38</v>
      </c>
      <c r="C46" s="132"/>
      <c r="D46" s="135">
        <f t="shared" ref="D46:O46" si="185">IF(ROUND(D44-D25,4)=0,0,D44-D25)</f>
        <v>0</v>
      </c>
      <c r="E46" s="133">
        <f t="shared" si="185"/>
        <v>0</v>
      </c>
      <c r="F46" s="133">
        <f t="shared" si="185"/>
        <v>0</v>
      </c>
      <c r="G46" s="134">
        <f t="shared" si="185"/>
        <v>0</v>
      </c>
      <c r="H46" s="135">
        <f t="shared" si="185"/>
        <v>0</v>
      </c>
      <c r="I46" s="133">
        <f t="shared" si="185"/>
        <v>0</v>
      </c>
      <c r="J46" s="133">
        <f t="shared" si="185"/>
        <v>0</v>
      </c>
      <c r="K46" s="134">
        <f t="shared" si="185"/>
        <v>0</v>
      </c>
      <c r="L46" s="135">
        <f t="shared" si="185"/>
        <v>0</v>
      </c>
      <c r="M46" s="133">
        <f t="shared" si="185"/>
        <v>0</v>
      </c>
      <c r="N46" s="133">
        <f t="shared" si="185"/>
        <v>0</v>
      </c>
      <c r="O46" s="134">
        <f t="shared" si="185"/>
        <v>0</v>
      </c>
      <c r="P46" s="135">
        <f>IF(ROUND(P44-P25,4)=0,0,P44-P25)</f>
        <v>0</v>
      </c>
      <c r="Q46" s="133">
        <f t="shared" ref="Q46:AT46" si="186">IF(ROUND(Q44-Q25,4)=0,0,Q44-Q25)</f>
        <v>0</v>
      </c>
      <c r="R46" s="133">
        <f t="shared" si="186"/>
        <v>0</v>
      </c>
      <c r="S46" s="134">
        <f t="shared" si="186"/>
        <v>0</v>
      </c>
      <c r="T46" s="135">
        <f t="shared" si="186"/>
        <v>0</v>
      </c>
      <c r="U46" s="133">
        <f t="shared" si="186"/>
        <v>0</v>
      </c>
      <c r="V46" s="133">
        <f t="shared" si="186"/>
        <v>0</v>
      </c>
      <c r="W46" s="134">
        <f t="shared" si="186"/>
        <v>0</v>
      </c>
      <c r="X46" s="135">
        <f t="shared" si="186"/>
        <v>0</v>
      </c>
      <c r="Y46" s="133">
        <f t="shared" si="186"/>
        <v>0</v>
      </c>
      <c r="Z46" s="133">
        <f t="shared" si="186"/>
        <v>0</v>
      </c>
      <c r="AA46" s="134">
        <f t="shared" si="186"/>
        <v>0</v>
      </c>
      <c r="AB46" s="135">
        <f t="shared" si="186"/>
        <v>0</v>
      </c>
      <c r="AC46" s="133">
        <f t="shared" si="186"/>
        <v>0</v>
      </c>
      <c r="AD46" s="133">
        <f t="shared" si="186"/>
        <v>0</v>
      </c>
      <c r="AE46" s="134">
        <f t="shared" si="186"/>
        <v>0</v>
      </c>
      <c r="AF46" s="135">
        <f t="shared" si="186"/>
        <v>0</v>
      </c>
      <c r="AG46" s="133">
        <f t="shared" si="186"/>
        <v>0</v>
      </c>
      <c r="AH46" s="133">
        <f t="shared" si="186"/>
        <v>0</v>
      </c>
      <c r="AI46" s="134">
        <f t="shared" si="186"/>
        <v>0</v>
      </c>
      <c r="AJ46" s="133">
        <f t="shared" si="186"/>
        <v>0</v>
      </c>
      <c r="AK46" s="133">
        <f t="shared" si="186"/>
        <v>0</v>
      </c>
      <c r="AL46" s="133">
        <f t="shared" si="186"/>
        <v>0</v>
      </c>
      <c r="AM46" s="133">
        <f t="shared" si="186"/>
        <v>0</v>
      </c>
      <c r="AN46" s="135">
        <f t="shared" si="186"/>
        <v>0</v>
      </c>
      <c r="AO46" s="133">
        <f t="shared" si="186"/>
        <v>0</v>
      </c>
      <c r="AP46" s="133">
        <f t="shared" si="186"/>
        <v>0</v>
      </c>
      <c r="AQ46" s="134">
        <f t="shared" si="186"/>
        <v>0</v>
      </c>
      <c r="AR46" s="135">
        <f t="shared" si="186"/>
        <v>0</v>
      </c>
      <c r="AS46" s="133">
        <f t="shared" si="186"/>
        <v>0</v>
      </c>
      <c r="AT46" s="133">
        <f t="shared" si="186"/>
        <v>0</v>
      </c>
      <c r="AU46" s="134">
        <f t="shared" ref="AU46:AZ46" si="187">IF(ROUND(AU44-AU25,4)=0,0,AU44-AU25)</f>
        <v>0</v>
      </c>
      <c r="AV46" s="135">
        <f t="shared" si="187"/>
        <v>0</v>
      </c>
      <c r="AW46" s="133">
        <f t="shared" si="187"/>
        <v>0</v>
      </c>
      <c r="AX46" s="133">
        <f t="shared" si="187"/>
        <v>0</v>
      </c>
      <c r="AY46" s="134">
        <f t="shared" si="187"/>
        <v>0</v>
      </c>
      <c r="AZ46" s="135">
        <f t="shared" si="187"/>
        <v>0</v>
      </c>
      <c r="BA46" s="133">
        <f t="shared" ref="BA46:BF46" si="188">IF(ROUND(BA44-BA25,4)=0,0,BA44-BA25)</f>
        <v>0</v>
      </c>
      <c r="BB46" s="133">
        <f t="shared" si="188"/>
        <v>0</v>
      </c>
      <c r="BC46" s="134">
        <f t="shared" si="188"/>
        <v>0</v>
      </c>
      <c r="BD46" s="135">
        <f t="shared" si="188"/>
        <v>0</v>
      </c>
      <c r="BE46" s="133">
        <f t="shared" si="188"/>
        <v>0</v>
      </c>
      <c r="BF46" s="133">
        <f t="shared" si="188"/>
        <v>0</v>
      </c>
      <c r="BG46" s="134">
        <f>IF(ROUND(BG44-BG25,4)=0,0,BG44-BG25)</f>
        <v>0</v>
      </c>
      <c r="BH46" s="135">
        <f>IF(ROUND(BH44-BH25,4)=0,0,BH44-BH25)</f>
        <v>0</v>
      </c>
      <c r="BI46" s="133">
        <f t="shared" ref="BI46:BJ46" si="189">IF(ROUND(BI44-BI25,4)=0,0,BI44-BI25)</f>
        <v>0</v>
      </c>
      <c r="BJ46" s="133">
        <f t="shared" si="189"/>
        <v>0</v>
      </c>
      <c r="BK46" s="134">
        <f>IF(ROUND(BK44-BK25,4)=0,0,BK44-BK25)</f>
        <v>0</v>
      </c>
      <c r="BL46" s="135">
        <f t="shared" ref="BL46:BO46" si="190">IF(ROUND(BL44-BL25,4)=0,0,BL44-BL25)</f>
        <v>0</v>
      </c>
      <c r="BM46" s="133">
        <f t="shared" si="190"/>
        <v>0</v>
      </c>
      <c r="BN46" s="133">
        <f t="shared" si="190"/>
        <v>0</v>
      </c>
      <c r="BO46" s="134">
        <f t="shared" si="190"/>
        <v>0</v>
      </c>
      <c r="BP46" s="135">
        <f t="shared" ref="BP46:BW46" si="191">IF(ROUND(BP44-BP25,4)=0,0,BP44-BP25)</f>
        <v>0</v>
      </c>
      <c r="BQ46" s="133">
        <f t="shared" si="191"/>
        <v>0</v>
      </c>
      <c r="BR46" s="133">
        <f t="shared" si="191"/>
        <v>0</v>
      </c>
      <c r="BS46" s="134">
        <f t="shared" si="191"/>
        <v>0</v>
      </c>
      <c r="BT46" s="135">
        <f t="shared" si="191"/>
        <v>0</v>
      </c>
      <c r="BU46" s="133">
        <f t="shared" si="191"/>
        <v>0</v>
      </c>
      <c r="BV46" s="133">
        <f t="shared" si="191"/>
        <v>0</v>
      </c>
      <c r="BW46" s="134">
        <f t="shared" si="191"/>
        <v>0</v>
      </c>
      <c r="BX46" s="20"/>
      <c r="BY46" s="133">
        <f>IF(ROUND(BY44-BY25,4)=0,0,BY44-BY25)</f>
        <v>0</v>
      </c>
      <c r="BZ46" s="133">
        <f>IF(ROUND(BZ44-BZ25,4)=0,0,BZ44-BZ25)</f>
        <v>0</v>
      </c>
      <c r="CA46" s="133">
        <f>IF(ROUND(CA44-CA25,4)=0,0,CA44-CA25)</f>
        <v>0</v>
      </c>
      <c r="CB46" s="133">
        <f t="shared" ref="CB46:CK46" si="192">IF(ROUND(CB44-CB25,4)=0,0,CB44-CB25)</f>
        <v>0</v>
      </c>
      <c r="CC46" s="133">
        <f t="shared" si="192"/>
        <v>0</v>
      </c>
      <c r="CD46" s="133">
        <f t="shared" si="192"/>
        <v>0</v>
      </c>
      <c r="CE46" s="133">
        <f t="shared" si="192"/>
        <v>0</v>
      </c>
      <c r="CF46" s="133">
        <f t="shared" si="192"/>
        <v>0</v>
      </c>
      <c r="CG46" s="133">
        <f t="shared" si="192"/>
        <v>0</v>
      </c>
      <c r="CH46" s="133">
        <f t="shared" si="192"/>
        <v>0</v>
      </c>
      <c r="CI46" s="133">
        <f t="shared" si="192"/>
        <v>0</v>
      </c>
      <c r="CJ46" s="133">
        <f t="shared" si="192"/>
        <v>0</v>
      </c>
      <c r="CK46" s="133">
        <f t="shared" si="192"/>
        <v>0</v>
      </c>
      <c r="CL46" s="133">
        <f>IF(ROUND(CL44-CL25,4)=0,0,CL44-CL25)</f>
        <v>0</v>
      </c>
      <c r="CM46" s="133">
        <f>IF(ROUND(CM44-CM25,4)=0,0,CM44-CM25)</f>
        <v>0</v>
      </c>
      <c r="CN46" s="133">
        <f>IF(ROUND(CN44-CN25,4)=0,0,CN44-CN25)</f>
        <v>0</v>
      </c>
      <c r="CO46" s="133">
        <f>IF(ROUND(CO44-CO25,4)=0,0,CO44-CO25)</f>
        <v>0</v>
      </c>
      <c r="CP46" s="133">
        <f>IF(ROUND(CP44-CP25,4)=0,0,CP44-CP25)</f>
        <v>0</v>
      </c>
      <c r="CQ46" s="20"/>
      <c r="CR46" s="135">
        <f>IF(ROUND(CR44-CR25,4)=0,0,CR44-CR25)</f>
        <v>0</v>
      </c>
      <c r="CS46" s="133">
        <f>IF(ROUND(CS44-CS25,4)=0,0,CS44-CS25)</f>
        <v>0</v>
      </c>
      <c r="CT46" s="133">
        <f>IF(ROUND(CT44-CT25,4)=0,0,CT44-CT25)</f>
        <v>0</v>
      </c>
      <c r="CU46" s="133">
        <f t="shared" ref="CU46:DC46" si="193">IF(ROUND(CU44-CU25,4)=0,0,CU44-CU25)</f>
        <v>0</v>
      </c>
      <c r="CV46" s="133">
        <f t="shared" si="193"/>
        <v>0</v>
      </c>
      <c r="CW46" s="133">
        <f t="shared" si="193"/>
        <v>0</v>
      </c>
      <c r="CX46" s="133">
        <f t="shared" si="193"/>
        <v>0</v>
      </c>
      <c r="CY46" s="133">
        <f t="shared" si="193"/>
        <v>0</v>
      </c>
      <c r="CZ46" s="133">
        <f t="shared" si="193"/>
        <v>0</v>
      </c>
      <c r="DA46" s="133">
        <f t="shared" si="193"/>
        <v>0</v>
      </c>
      <c r="DB46" s="133">
        <f t="shared" si="193"/>
        <v>0</v>
      </c>
      <c r="DC46" s="133">
        <f t="shared" si="193"/>
        <v>0</v>
      </c>
      <c r="DD46" s="133">
        <f>IF(ROUND(DD44-DD25,4)=0,0,DD44-DD25)</f>
        <v>0</v>
      </c>
      <c r="DE46" s="133">
        <f>IF(ROUND(DE44-DE25,4)=0,0,DE44-DE25)</f>
        <v>0</v>
      </c>
      <c r="DF46" s="133">
        <f>IF(ROUND(DF44-DF25,4)=0,0,DF44-DF25)</f>
        <v>0</v>
      </c>
      <c r="DG46" s="133">
        <f>IF(ROUND(DG44-DG25,4)=0,0,DG44-DG25)</f>
        <v>0</v>
      </c>
      <c r="DH46" s="133">
        <f>IF(ROUND(DH44-DH25,4)=0,0,DH44-DH25)</f>
        <v>0</v>
      </c>
      <c r="DI46" s="22"/>
    </row>
    <row r="47" spans="1:113" ht="14.25" customHeight="1">
      <c r="A47" s="8"/>
      <c r="B47" s="667"/>
      <c r="C47" s="68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136"/>
      <c r="AM47" s="136"/>
      <c r="AN47" s="136"/>
      <c r="AO47" s="70"/>
      <c r="AP47" s="136"/>
      <c r="AQ47" s="137"/>
      <c r="AR47" s="136"/>
      <c r="AS47" s="136"/>
      <c r="AT47" s="136"/>
      <c r="AU47" s="137"/>
      <c r="AV47" s="136"/>
      <c r="AW47" s="136"/>
      <c r="AX47" s="136"/>
      <c r="AY47" s="137"/>
      <c r="AZ47" s="136"/>
      <c r="BA47" s="136"/>
      <c r="BB47" s="136"/>
      <c r="BC47" s="137"/>
      <c r="BD47" s="136"/>
      <c r="BE47" s="136"/>
      <c r="BF47" s="136"/>
      <c r="BG47" s="137"/>
      <c r="BH47" s="136"/>
      <c r="BI47" s="136"/>
      <c r="BJ47" s="136"/>
      <c r="BK47" s="137"/>
      <c r="BL47" s="136"/>
      <c r="BM47" s="136"/>
      <c r="BN47" s="136"/>
      <c r="BO47" s="137"/>
      <c r="BP47" s="136"/>
      <c r="BQ47" s="136"/>
      <c r="BR47" s="136"/>
      <c r="BS47" s="137"/>
      <c r="BT47" s="136"/>
      <c r="BU47" s="136"/>
      <c r="BV47" s="136"/>
      <c r="BW47" s="137"/>
      <c r="BX47" s="14"/>
      <c r="BY47" s="103"/>
      <c r="BZ47" s="103"/>
      <c r="CA47" s="103"/>
      <c r="CB47" s="103"/>
      <c r="CC47" s="103"/>
      <c r="CD47" s="103"/>
      <c r="CE47" s="103"/>
      <c r="CF47" s="103"/>
      <c r="CG47" s="103"/>
      <c r="CH47" s="71"/>
      <c r="CI47" s="138"/>
      <c r="CJ47" s="138"/>
      <c r="CK47" s="138"/>
      <c r="CL47" s="138"/>
      <c r="CM47" s="138"/>
      <c r="CN47" s="138"/>
      <c r="CO47" s="138"/>
      <c r="CP47" s="71"/>
      <c r="CQ47" s="8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71"/>
      <c r="DC47" s="138"/>
      <c r="DD47" s="138"/>
      <c r="DE47" s="138"/>
      <c r="DF47" s="138"/>
      <c r="DG47" s="138"/>
      <c r="DH47" s="138"/>
      <c r="DI47" s="8"/>
    </row>
    <row r="48" spans="1:113" ht="14.25" customHeight="1">
      <c r="A48" s="8"/>
      <c r="B48" s="619"/>
      <c r="C48" s="68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136"/>
      <c r="AN48" s="70"/>
      <c r="AO48" s="70"/>
      <c r="AP48" s="70"/>
      <c r="AQ48" s="139"/>
      <c r="AR48" s="70"/>
      <c r="AS48" s="70"/>
      <c r="AT48" s="70"/>
      <c r="AU48" s="139"/>
      <c r="AV48" s="70"/>
      <c r="AW48" s="70"/>
      <c r="AX48" s="70"/>
      <c r="AY48" s="139"/>
      <c r="AZ48" s="70"/>
      <c r="BA48" s="70"/>
      <c r="BB48" s="70"/>
      <c r="BC48" s="139"/>
      <c r="BD48" s="70"/>
      <c r="BE48" s="70"/>
      <c r="BF48" s="70"/>
      <c r="BG48" s="139"/>
      <c r="BH48" s="70"/>
      <c r="BI48" s="70"/>
      <c r="BJ48" s="70"/>
      <c r="BK48" s="139"/>
      <c r="BL48" s="70"/>
      <c r="BM48" s="70"/>
      <c r="BN48" s="70"/>
      <c r="BO48" s="139"/>
      <c r="BP48" s="70"/>
      <c r="BQ48" s="70"/>
      <c r="BR48" s="70"/>
      <c r="BS48" s="139"/>
      <c r="BT48" s="70"/>
      <c r="BU48" s="70"/>
      <c r="BV48" s="70"/>
      <c r="BW48" s="139"/>
      <c r="BX48" s="14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40"/>
      <c r="CJ48" s="140"/>
      <c r="CK48" s="140"/>
      <c r="CL48" s="140"/>
      <c r="CM48" s="140"/>
      <c r="CN48" s="140"/>
      <c r="CO48" s="140"/>
      <c r="CP48" s="103"/>
      <c r="CQ48" s="8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40"/>
      <c r="DD48" s="140"/>
      <c r="DE48" s="140"/>
      <c r="DF48" s="140"/>
      <c r="DG48" s="140"/>
      <c r="DH48" s="140"/>
      <c r="DI48" s="8"/>
    </row>
    <row r="49" spans="1:113" ht="14.25" customHeight="1">
      <c r="A49" s="8"/>
      <c r="B49" s="668" t="s">
        <v>39</v>
      </c>
      <c r="C49" s="142"/>
      <c r="D49" s="17" t="str">
        <f t="shared" ref="D49:O49" si="194">D7</f>
        <v>F1Q03A</v>
      </c>
      <c r="E49" s="18" t="str">
        <f t="shared" si="194"/>
        <v>F2Q03A</v>
      </c>
      <c r="F49" s="18" t="str">
        <f t="shared" si="194"/>
        <v>F3Q03A</v>
      </c>
      <c r="G49" s="19" t="str">
        <f t="shared" si="194"/>
        <v>F4Q03A</v>
      </c>
      <c r="H49" s="17" t="str">
        <f t="shared" si="194"/>
        <v>F1Q04A</v>
      </c>
      <c r="I49" s="18" t="str">
        <f t="shared" si="194"/>
        <v>F2Q04A</v>
      </c>
      <c r="J49" s="18" t="str">
        <f t="shared" si="194"/>
        <v>F3Q04A</v>
      </c>
      <c r="K49" s="19" t="str">
        <f t="shared" si="194"/>
        <v>F4Q04A</v>
      </c>
      <c r="L49" s="17" t="str">
        <f t="shared" si="194"/>
        <v>F1Q05A</v>
      </c>
      <c r="M49" s="18" t="str">
        <f t="shared" si="194"/>
        <v>F2Q05A</v>
      </c>
      <c r="N49" s="18" t="str">
        <f t="shared" si="194"/>
        <v>F3Q05A</v>
      </c>
      <c r="O49" s="19" t="str">
        <f t="shared" si="194"/>
        <v>F4Q05A</v>
      </c>
      <c r="P49" s="17" t="str">
        <f t="shared" ref="P49:W49" si="195">P7</f>
        <v>F1Q06A</v>
      </c>
      <c r="Q49" s="18" t="str">
        <f t="shared" si="195"/>
        <v>F2Q06A</v>
      </c>
      <c r="R49" s="18" t="str">
        <f t="shared" si="195"/>
        <v>F3Q06A</v>
      </c>
      <c r="S49" s="19" t="str">
        <f t="shared" si="195"/>
        <v>F4Q06A</v>
      </c>
      <c r="T49" s="17" t="str">
        <f>T7</f>
        <v>F1Q07A</v>
      </c>
      <c r="U49" s="18" t="str">
        <f t="shared" si="195"/>
        <v>F2Q07A</v>
      </c>
      <c r="V49" s="18" t="str">
        <f t="shared" si="195"/>
        <v>F3Q07A</v>
      </c>
      <c r="W49" s="19" t="str">
        <f t="shared" si="195"/>
        <v>F4Q07A</v>
      </c>
      <c r="X49" s="17" t="str">
        <f t="shared" ref="X49:AI49" si="196">X7</f>
        <v>F1Q08A</v>
      </c>
      <c r="Y49" s="18" t="str">
        <f t="shared" si="196"/>
        <v>F2Q08A</v>
      </c>
      <c r="Z49" s="18" t="str">
        <f t="shared" si="196"/>
        <v>F3Q08A</v>
      </c>
      <c r="AA49" s="19" t="str">
        <f t="shared" si="196"/>
        <v>F4Q08A</v>
      </c>
      <c r="AB49" s="17" t="str">
        <f t="shared" si="196"/>
        <v>F1Q09A</v>
      </c>
      <c r="AC49" s="18" t="str">
        <f t="shared" si="196"/>
        <v>F2Q09A</v>
      </c>
      <c r="AD49" s="18" t="str">
        <f t="shared" si="196"/>
        <v>F3Q09A</v>
      </c>
      <c r="AE49" s="19" t="str">
        <f t="shared" si="196"/>
        <v>F4Q09A</v>
      </c>
      <c r="AF49" s="17" t="str">
        <f t="shared" si="196"/>
        <v>F1Q10A</v>
      </c>
      <c r="AG49" s="18" t="str">
        <f t="shared" si="196"/>
        <v>F2Q10A</v>
      </c>
      <c r="AH49" s="18" t="str">
        <f t="shared" si="196"/>
        <v>F3Q10A</v>
      </c>
      <c r="AI49" s="19" t="str">
        <f t="shared" si="196"/>
        <v>F4Q10A</v>
      </c>
      <c r="AJ49" s="17" t="str">
        <f>AJ7</f>
        <v>F1Q11A</v>
      </c>
      <c r="AK49" s="18" t="str">
        <f t="shared" ref="AK49:BC49" si="197">AK7</f>
        <v>F2Q11A</v>
      </c>
      <c r="AL49" s="18" t="str">
        <f t="shared" si="197"/>
        <v>F3Q11A</v>
      </c>
      <c r="AM49" s="19" t="str">
        <f t="shared" si="197"/>
        <v>F4Q11A</v>
      </c>
      <c r="AN49" s="17" t="str">
        <f>AN7</f>
        <v>F1Q12A</v>
      </c>
      <c r="AO49" s="18" t="str">
        <f>AO7</f>
        <v>F2Q12A</v>
      </c>
      <c r="AP49" s="18" t="str">
        <f>AP7</f>
        <v>F3Q12A</v>
      </c>
      <c r="AQ49" s="19" t="str">
        <f>AQ7</f>
        <v>F4Q12A</v>
      </c>
      <c r="AR49" s="17" t="str">
        <f>AR7</f>
        <v>F1Q13A</v>
      </c>
      <c r="AS49" s="18" t="str">
        <f t="shared" si="197"/>
        <v>F2Q13A</v>
      </c>
      <c r="AT49" s="18" t="str">
        <f>AT7</f>
        <v>F3Q13A</v>
      </c>
      <c r="AU49" s="19" t="str">
        <f>AU7</f>
        <v>F4Q13A</v>
      </c>
      <c r="AV49" s="17" t="str">
        <f t="shared" si="197"/>
        <v>F1Q14A</v>
      </c>
      <c r="AW49" s="18" t="str">
        <f t="shared" si="197"/>
        <v>F2Q14A</v>
      </c>
      <c r="AX49" s="18" t="str">
        <f t="shared" si="197"/>
        <v>F3Q14A</v>
      </c>
      <c r="AY49" s="19" t="str">
        <f t="shared" si="197"/>
        <v>F4Q14A</v>
      </c>
      <c r="AZ49" s="17" t="str">
        <f t="shared" si="197"/>
        <v>F1Q15A</v>
      </c>
      <c r="BA49" s="18" t="str">
        <f t="shared" si="197"/>
        <v>F2Q15A</v>
      </c>
      <c r="BB49" s="18" t="str">
        <f t="shared" si="197"/>
        <v>F3Q15A</v>
      </c>
      <c r="BC49" s="19" t="str">
        <f t="shared" si="197"/>
        <v>F4Q15A</v>
      </c>
      <c r="BD49" s="17" t="str">
        <f t="shared" ref="BD49:BO49" si="198">BD7</f>
        <v>F1Q16A</v>
      </c>
      <c r="BE49" s="18" t="str">
        <f t="shared" si="198"/>
        <v>F2Q16A</v>
      </c>
      <c r="BF49" s="18" t="str">
        <f t="shared" si="198"/>
        <v>F3Q16A</v>
      </c>
      <c r="BG49" s="19" t="str">
        <f t="shared" si="198"/>
        <v>F4Q16A</v>
      </c>
      <c r="BH49" s="17" t="str">
        <f>BH7</f>
        <v>F1Q17A</v>
      </c>
      <c r="BI49" s="1327" t="str">
        <f t="shared" ref="BI49:BJ49" si="199">BI7</f>
        <v>F2Q17A</v>
      </c>
      <c r="BJ49" s="1327" t="str">
        <f t="shared" si="199"/>
        <v>F3Q17A</v>
      </c>
      <c r="BK49" s="19" t="str">
        <f t="shared" si="198"/>
        <v>F4Q17A</v>
      </c>
      <c r="BL49" s="17" t="str">
        <f t="shared" si="198"/>
        <v>F1Q18A</v>
      </c>
      <c r="BM49" s="18" t="str">
        <f t="shared" si="198"/>
        <v>F2Q18A</v>
      </c>
      <c r="BN49" s="18" t="str">
        <f t="shared" si="198"/>
        <v>F3Q18A</v>
      </c>
      <c r="BO49" s="19" t="str">
        <f t="shared" si="198"/>
        <v>F4Q18E</v>
      </c>
      <c r="BP49" s="17" t="str">
        <f t="shared" ref="BP49:BW49" si="200">BP7</f>
        <v>F1Q19E</v>
      </c>
      <c r="BQ49" s="18" t="str">
        <f t="shared" si="200"/>
        <v>F2Q19E</v>
      </c>
      <c r="BR49" s="18" t="str">
        <f t="shared" si="200"/>
        <v>F3Q19E</v>
      </c>
      <c r="BS49" s="19" t="str">
        <f t="shared" si="200"/>
        <v>F4Q19E</v>
      </c>
      <c r="BT49" s="1373" t="str">
        <f t="shared" si="200"/>
        <v>F1Q20E</v>
      </c>
      <c r="BU49" s="1374" t="str">
        <f t="shared" si="200"/>
        <v>F2Q20E</v>
      </c>
      <c r="BV49" s="1374" t="str">
        <f t="shared" si="200"/>
        <v>F3Q20E</v>
      </c>
      <c r="BW49" s="1375" t="str">
        <f t="shared" si="200"/>
        <v>F4Q20E</v>
      </c>
      <c r="BX49" s="20"/>
      <c r="BY49" s="17" t="str">
        <f>BY7</f>
        <v>FY2003A</v>
      </c>
      <c r="BZ49" s="18" t="str">
        <f>BZ7</f>
        <v>FY2004A</v>
      </c>
      <c r="CA49" s="18" t="str">
        <f>CA7</f>
        <v>FY2005A</v>
      </c>
      <c r="CB49" s="18" t="str">
        <f t="shared" ref="CB49:CH49" si="201">CB7</f>
        <v>FY2006A</v>
      </c>
      <c r="CC49" s="18" t="str">
        <f t="shared" si="201"/>
        <v>FY2007A</v>
      </c>
      <c r="CD49" s="18" t="str">
        <f t="shared" si="201"/>
        <v>FY2008A</v>
      </c>
      <c r="CE49" s="18" t="str">
        <f t="shared" si="201"/>
        <v>FY2009A</v>
      </c>
      <c r="CF49" s="18" t="str">
        <f t="shared" si="201"/>
        <v>FY2010A</v>
      </c>
      <c r="CG49" s="17" t="str">
        <f t="shared" si="201"/>
        <v>FY2011A</v>
      </c>
      <c r="CH49" s="18" t="str">
        <f t="shared" si="201"/>
        <v>FY2012A</v>
      </c>
      <c r="CI49" s="18" t="str">
        <f t="shared" ref="CI49:CO49" si="202">CI7</f>
        <v>FY2013A</v>
      </c>
      <c r="CJ49" s="18" t="str">
        <f t="shared" si="202"/>
        <v>FY2014A</v>
      </c>
      <c r="CK49" s="18" t="str">
        <f t="shared" si="202"/>
        <v>FY2015A</v>
      </c>
      <c r="CL49" s="18" t="str">
        <f t="shared" si="202"/>
        <v>FY2016A</v>
      </c>
      <c r="CM49" s="18" t="str">
        <f t="shared" si="202"/>
        <v>FY2017A</v>
      </c>
      <c r="CN49" s="18" t="str">
        <f t="shared" si="202"/>
        <v>FY2018E</v>
      </c>
      <c r="CO49" s="1374" t="str">
        <f t="shared" si="202"/>
        <v>FY2019E</v>
      </c>
      <c r="CP49" s="1374" t="str">
        <f t="shared" ref="CP49" si="203">CP7</f>
        <v>FY2020E</v>
      </c>
      <c r="CQ49" s="20"/>
      <c r="CR49" s="17" t="str">
        <f>CR5</f>
        <v>CY2003</v>
      </c>
      <c r="CS49" s="18" t="str">
        <f>CS5</f>
        <v>CY2004</v>
      </c>
      <c r="CT49" s="18" t="str">
        <f>CT5</f>
        <v>CY2005</v>
      </c>
      <c r="CU49" s="18" t="str">
        <f t="shared" ref="CU49:DA49" si="204">CU5</f>
        <v>CY2006</v>
      </c>
      <c r="CV49" s="18" t="str">
        <f t="shared" si="204"/>
        <v>CY2007</v>
      </c>
      <c r="CW49" s="18" t="str">
        <f t="shared" si="204"/>
        <v>CY2008</v>
      </c>
      <c r="CX49" s="18" t="str">
        <f t="shared" si="204"/>
        <v>CY2009</v>
      </c>
      <c r="CY49" s="18" t="str">
        <f t="shared" si="204"/>
        <v>CY2010</v>
      </c>
      <c r="CZ49" s="18" t="str">
        <f t="shared" si="204"/>
        <v>CY2011</v>
      </c>
      <c r="DA49" s="18" t="str">
        <f t="shared" si="204"/>
        <v>CY2012</v>
      </c>
      <c r="DB49" s="18" t="str">
        <f t="shared" ref="DB49:DG49" si="205">DB5</f>
        <v>CY2013</v>
      </c>
      <c r="DC49" s="18" t="str">
        <f t="shared" si="205"/>
        <v>CY2014</v>
      </c>
      <c r="DD49" s="18" t="str">
        <f t="shared" si="205"/>
        <v>CY2015</v>
      </c>
      <c r="DE49" s="524" t="str">
        <f t="shared" si="205"/>
        <v>CY2016</v>
      </c>
      <c r="DF49" s="524" t="str">
        <f t="shared" si="205"/>
        <v>CY2017</v>
      </c>
      <c r="DG49" s="1353" t="str">
        <f t="shared" si="205"/>
        <v>CY2018</v>
      </c>
      <c r="DH49" s="1345" t="str">
        <f t="shared" ref="DH49" si="206">DH5</f>
        <v>CY2019</v>
      </c>
      <c r="DI49" s="22"/>
    </row>
    <row r="50" spans="1:113" ht="14.25" customHeight="1">
      <c r="A50" s="8"/>
      <c r="B50" s="612" t="s">
        <v>40</v>
      </c>
      <c r="C50" s="24"/>
      <c r="D50" s="80">
        <f t="shared" ref="D50:O50" si="207">D11/(D56*4)*360</f>
        <v>47.820926217437666</v>
      </c>
      <c r="E50" s="81">
        <f t="shared" si="207"/>
        <v>48.523846070824689</v>
      </c>
      <c r="F50" s="81">
        <f t="shared" si="207"/>
        <v>50.17943083702545</v>
      </c>
      <c r="G50" s="82">
        <f t="shared" si="207"/>
        <v>53.767427003870573</v>
      </c>
      <c r="H50" s="80">
        <f t="shared" si="207"/>
        <v>49.199977678986627</v>
      </c>
      <c r="I50" s="81">
        <f t="shared" si="207"/>
        <v>48.494533670453336</v>
      </c>
      <c r="J50" s="81">
        <f t="shared" si="207"/>
        <v>46.612967572639867</v>
      </c>
      <c r="K50" s="82">
        <f t="shared" si="207"/>
        <v>50.699129090871111</v>
      </c>
      <c r="L50" s="80">
        <f t="shared" si="207"/>
        <v>47.59351427564328</v>
      </c>
      <c r="M50" s="81">
        <f t="shared" si="207"/>
        <v>49.222815300823761</v>
      </c>
      <c r="N50" s="81">
        <f t="shared" si="207"/>
        <v>46.209880029603084</v>
      </c>
      <c r="O50" s="82">
        <f t="shared" si="207"/>
        <v>48.912789607992949</v>
      </c>
      <c r="P50" s="80">
        <f t="shared" ref="P50:AT50" si="208">P11/(P56*4)*360</f>
        <v>53.793169722734497</v>
      </c>
      <c r="Q50" s="81">
        <f t="shared" si="208"/>
        <v>47.71269434838846</v>
      </c>
      <c r="R50" s="81">
        <f t="shared" si="208"/>
        <v>42.903029425788432</v>
      </c>
      <c r="S50" s="82">
        <f t="shared" si="208"/>
        <v>50.743975854870293</v>
      </c>
      <c r="T50" s="80">
        <f t="shared" si="208"/>
        <v>47.028416686662318</v>
      </c>
      <c r="U50" s="81">
        <f t="shared" si="208"/>
        <v>41.353766226010876</v>
      </c>
      <c r="V50" s="81">
        <f t="shared" si="208"/>
        <v>43.057680355691538</v>
      </c>
      <c r="W50" s="82">
        <f t="shared" si="208"/>
        <v>43.421193294496781</v>
      </c>
      <c r="X50" s="80">
        <f t="shared" si="208"/>
        <v>43.392711078796687</v>
      </c>
      <c r="Y50" s="81">
        <f t="shared" si="208"/>
        <v>43.812918765730899</v>
      </c>
      <c r="Z50" s="81">
        <f t="shared" si="208"/>
        <v>40.758669833729215</v>
      </c>
      <c r="AA50" s="82">
        <f t="shared" si="208"/>
        <v>47.802801649655549</v>
      </c>
      <c r="AB50" s="80">
        <f t="shared" si="208"/>
        <v>45.559454380024754</v>
      </c>
      <c r="AC50" s="81">
        <f t="shared" si="208"/>
        <v>40.339925696869926</v>
      </c>
      <c r="AD50" s="81">
        <f t="shared" si="208"/>
        <v>36.791784186588679</v>
      </c>
      <c r="AE50" s="82">
        <f t="shared" si="208"/>
        <v>45.986216688888504</v>
      </c>
      <c r="AF50" s="80">
        <f t="shared" si="208"/>
        <v>45.732084644128754</v>
      </c>
      <c r="AG50" s="81">
        <f t="shared" si="208"/>
        <v>42.347779282717362</v>
      </c>
      <c r="AH50" s="81">
        <f t="shared" si="208"/>
        <v>40.938468366526862</v>
      </c>
      <c r="AI50" s="82">
        <f t="shared" si="208"/>
        <v>44.610243867347663</v>
      </c>
      <c r="AJ50" s="80">
        <f t="shared" si="208"/>
        <v>48.764186209310459</v>
      </c>
      <c r="AK50" s="81">
        <f t="shared" si="208"/>
        <v>47.735402371615947</v>
      </c>
      <c r="AL50" s="81">
        <f t="shared" si="208"/>
        <v>45.820908912958373</v>
      </c>
      <c r="AM50" s="82">
        <f t="shared" si="208"/>
        <v>42.917957287787686</v>
      </c>
      <c r="AN50" s="80">
        <f t="shared" si="208"/>
        <v>47.162963576114734</v>
      </c>
      <c r="AO50" s="81">
        <f t="shared" si="208"/>
        <v>37.629872989589018</v>
      </c>
      <c r="AP50" s="81">
        <f t="shared" si="208"/>
        <v>40.816299869970464</v>
      </c>
      <c r="AQ50" s="82">
        <f t="shared" si="208"/>
        <v>45.197972329018533</v>
      </c>
      <c r="AR50" s="80">
        <f t="shared" si="208"/>
        <v>44.646782190870518</v>
      </c>
      <c r="AS50" s="81">
        <f t="shared" si="208"/>
        <v>54.112283393077966</v>
      </c>
      <c r="AT50" s="81">
        <f t="shared" si="208"/>
        <v>38.397536816753878</v>
      </c>
      <c r="AU50" s="82">
        <f t="shared" ref="AU50:AZ50" si="209">AU11/(AU56*4)*360</f>
        <v>48.114003682487734</v>
      </c>
      <c r="AV50" s="80">
        <f t="shared" si="209"/>
        <v>45.168412591401754</v>
      </c>
      <c r="AW50" s="81">
        <f t="shared" si="209"/>
        <v>42.106099632816353</v>
      </c>
      <c r="AX50" s="81">
        <f t="shared" si="209"/>
        <v>41.844406391747448</v>
      </c>
      <c r="AY50" s="82">
        <f t="shared" si="209"/>
        <v>44.217992476448345</v>
      </c>
      <c r="AZ50" s="80">
        <f t="shared" si="209"/>
        <v>48.788203662106056</v>
      </c>
      <c r="BA50" s="81">
        <f t="shared" ref="BA50:BF50" si="210">BA11/(BA56*4)*360</f>
        <v>47.364579500332269</v>
      </c>
      <c r="BB50" s="81">
        <f t="shared" si="210"/>
        <v>41.295889996406345</v>
      </c>
      <c r="BC50" s="82">
        <f t="shared" si="210"/>
        <v>45.38662057005893</v>
      </c>
      <c r="BD50" s="80">
        <f t="shared" si="210"/>
        <v>46.695152373247033</v>
      </c>
      <c r="BE50" s="81">
        <f t="shared" si="210"/>
        <v>46.723477117277532</v>
      </c>
      <c r="BF50" s="81">
        <f t="shared" si="210"/>
        <v>41.308018595561343</v>
      </c>
      <c r="BG50" s="82">
        <f>BG11/(BG56*4)*360</f>
        <v>46.837284791965565</v>
      </c>
      <c r="BH50" s="80">
        <f>BH11/(BH56*4)*360</f>
        <v>49.031086637536895</v>
      </c>
      <c r="BI50" s="81">
        <f t="shared" ref="BI50:BJ50" si="211">BI11/(BI56*4)*360</f>
        <v>46.586478211172363</v>
      </c>
      <c r="BJ50" s="81">
        <f t="shared" si="211"/>
        <v>51.246539288513674</v>
      </c>
      <c r="BK50" s="82">
        <f>BK11/(BK56*4)*360</f>
        <v>47.69601380798656</v>
      </c>
      <c r="BL50" s="80">
        <f>BL11/(BL56*4)*360</f>
        <v>48.970118532188231</v>
      </c>
      <c r="BM50" s="81">
        <f t="shared" ref="BM50:BN50" si="212">BM11/(BM56*4)*360</f>
        <v>48.498714109425684</v>
      </c>
      <c r="BN50" s="81">
        <f t="shared" si="212"/>
        <v>50.072319089121457</v>
      </c>
      <c r="BO50" s="1222">
        <v>47</v>
      </c>
      <c r="BP50" s="1220">
        <v>45</v>
      </c>
      <c r="BQ50" s="1221">
        <v>45</v>
      </c>
      <c r="BR50" s="1221">
        <v>45</v>
      </c>
      <c r="BS50" s="1222">
        <v>45</v>
      </c>
      <c r="BT50" s="1220">
        <v>43</v>
      </c>
      <c r="BU50" s="1221">
        <v>43</v>
      </c>
      <c r="BV50" s="1221">
        <v>43</v>
      </c>
      <c r="BW50" s="1222">
        <v>43</v>
      </c>
      <c r="BX50" s="107"/>
      <c r="BY50" s="143">
        <f>BY11/BY56*360</f>
        <v>52.711163506083238</v>
      </c>
      <c r="BZ50" s="81">
        <f>BZ11/BZ56*360</f>
        <v>55.545004719274658</v>
      </c>
      <c r="CA50" s="81">
        <f>CA11/CA56*360</f>
        <v>48.0693700586585</v>
      </c>
      <c r="CB50" s="81">
        <f t="shared" ref="CB50:CK50" si="213">CB11/CB56*360</f>
        <v>54.068691109858563</v>
      </c>
      <c r="CC50" s="81">
        <f t="shared" si="213"/>
        <v>43.13022100260563</v>
      </c>
      <c r="CD50" s="81">
        <f t="shared" si="213"/>
        <v>48.076722179472192</v>
      </c>
      <c r="CE50" s="81">
        <f t="shared" si="213"/>
        <v>35.28075483478856</v>
      </c>
      <c r="CF50" s="143">
        <f t="shared" si="213"/>
        <v>52.346356395129831</v>
      </c>
      <c r="CG50" s="148">
        <f t="shared" si="213"/>
        <v>43.862628218705559</v>
      </c>
      <c r="CH50" s="143">
        <f t="shared" si="213"/>
        <v>44.298310554839006</v>
      </c>
      <c r="CI50" s="143">
        <f t="shared" si="213"/>
        <v>52.341044610504532</v>
      </c>
      <c r="CJ50" s="143">
        <f t="shared" si="213"/>
        <v>45.186946883752569</v>
      </c>
      <c r="CK50" s="143">
        <f t="shared" si="213"/>
        <v>45.931842782328758</v>
      </c>
      <c r="CL50" s="143">
        <f>CL11/CL56*360</f>
        <v>48.068147465107003</v>
      </c>
      <c r="CM50" s="143">
        <f>CM11/CM56*360</f>
        <v>50.535221038045869</v>
      </c>
      <c r="CN50" s="143">
        <f>CN11/CN56*360</f>
        <v>46.740475494701734</v>
      </c>
      <c r="CO50" s="143">
        <f>CO11/CO56*360</f>
        <v>44.577325499582223</v>
      </c>
      <c r="CP50" s="143">
        <f>CP11/CP56*360</f>
        <v>42.665102277496445</v>
      </c>
      <c r="CQ50" s="20"/>
      <c r="CR50" s="148">
        <f>CR11/CR56*360</f>
        <v>49.718580405812382</v>
      </c>
      <c r="CS50" s="143">
        <f>CS11/CS56*360</f>
        <v>45.717884768002961</v>
      </c>
      <c r="CT50" s="143">
        <f>CT11/CT56*360</f>
        <v>45.354206326704201</v>
      </c>
      <c r="CU50" s="143">
        <f t="shared" ref="CU50:DC50" si="214">CU11/CU56*360</f>
        <v>42.025845098559593</v>
      </c>
      <c r="CV50" s="143">
        <f t="shared" si="214"/>
        <v>39.84785606122913</v>
      </c>
      <c r="CW50" s="143">
        <f t="shared" si="214"/>
        <v>28.552857151511112</v>
      </c>
      <c r="CX50" s="143">
        <f t="shared" si="214"/>
        <v>48.584254094490618</v>
      </c>
      <c r="CY50" s="143">
        <f t="shared" si="214"/>
        <v>48.66746556553376</v>
      </c>
      <c r="CZ50" s="143">
        <f t="shared" si="214"/>
        <v>37.731943127962083</v>
      </c>
      <c r="DA50" s="143">
        <f t="shared" si="214"/>
        <v>42.875166902622802</v>
      </c>
      <c r="DB50" s="143">
        <f t="shared" si="214"/>
        <v>43.222309482397264</v>
      </c>
      <c r="DC50" s="143">
        <f t="shared" si="214"/>
        <v>41.642980469794914</v>
      </c>
      <c r="DD50" s="143">
        <f>DD11/DD56*360</f>
        <v>41.355508885568256</v>
      </c>
      <c r="DE50" s="143">
        <f>DE11/DE56*360</f>
        <v>55.843272415134031</v>
      </c>
      <c r="DF50" s="143">
        <f>DF11/DF56*360</f>
        <v>51.30658405199901</v>
      </c>
      <c r="DG50" s="143">
        <f>DG11/DG56*360</f>
        <v>45.472903028446332</v>
      </c>
      <c r="DH50" s="143">
        <f>DH11/DH56*360</f>
        <v>43.485005632976176</v>
      </c>
      <c r="DI50" s="22"/>
    </row>
    <row r="51" spans="1:113" ht="14.25" customHeight="1">
      <c r="A51" s="8"/>
      <c r="B51" s="612" t="s">
        <v>41</v>
      </c>
      <c r="C51" s="24"/>
      <c r="D51" s="80">
        <f t="shared" ref="D51:O51" si="215">360/D52</f>
        <v>3.3883736915050648</v>
      </c>
      <c r="E51" s="81">
        <f t="shared" si="215"/>
        <v>3.3200060775759157</v>
      </c>
      <c r="F51" s="81">
        <f t="shared" si="215"/>
        <v>3.174934281244346</v>
      </c>
      <c r="G51" s="82">
        <f t="shared" si="215"/>
        <v>2.8528101305401385</v>
      </c>
      <c r="H51" s="80">
        <f t="shared" si="215"/>
        <v>3.9067293396252549</v>
      </c>
      <c r="I51" s="81">
        <f t="shared" si="215"/>
        <v>2.9785545000867071</v>
      </c>
      <c r="J51" s="81">
        <f t="shared" si="215"/>
        <v>3.3666961268520925</v>
      </c>
      <c r="K51" s="82">
        <f t="shared" si="215"/>
        <v>3.6100048670038305</v>
      </c>
      <c r="L51" s="80">
        <f t="shared" si="215"/>
        <v>4.032724261661607</v>
      </c>
      <c r="M51" s="81">
        <f t="shared" si="215"/>
        <v>4.1958293944280705</v>
      </c>
      <c r="N51" s="81">
        <f t="shared" si="215"/>
        <v>3.6250409165302782</v>
      </c>
      <c r="O51" s="82">
        <f t="shared" si="215"/>
        <v>3.4217183402745643</v>
      </c>
      <c r="P51" s="80">
        <f t="shared" ref="P51:BW51" si="216">360/P52</f>
        <v>3.5062741359219567</v>
      </c>
      <c r="Q51" s="81">
        <f t="shared" si="216"/>
        <v>3.3655217462304727</v>
      </c>
      <c r="R51" s="81">
        <f t="shared" si="216"/>
        <v>3.3017036087195457</v>
      </c>
      <c r="S51" s="82">
        <f t="shared" si="216"/>
        <v>3.429753790513284</v>
      </c>
      <c r="T51" s="80">
        <f t="shared" si="216"/>
        <v>3.5689717254505235</v>
      </c>
      <c r="U51" s="81">
        <f t="shared" si="216"/>
        <v>3.6050142876581845</v>
      </c>
      <c r="V51" s="81">
        <f t="shared" si="216"/>
        <v>3.3252031185884285</v>
      </c>
      <c r="W51" s="82">
        <f t="shared" si="216"/>
        <v>3.4232879428873613</v>
      </c>
      <c r="X51" s="80">
        <f t="shared" si="216"/>
        <v>3.410505223524849</v>
      </c>
      <c r="Y51" s="81">
        <f t="shared" si="216"/>
        <v>3.3369452671627053</v>
      </c>
      <c r="Z51" s="81">
        <f t="shared" si="216"/>
        <v>3.1907757149381815</v>
      </c>
      <c r="AA51" s="82">
        <f t="shared" si="216"/>
        <v>3.270615264734944</v>
      </c>
      <c r="AB51" s="80">
        <f t="shared" si="216"/>
        <v>3.3251721013052671</v>
      </c>
      <c r="AC51" s="81">
        <f t="shared" si="216"/>
        <v>3.3288287933141487</v>
      </c>
      <c r="AD51" s="81">
        <f t="shared" si="216"/>
        <v>2.5603879597682204</v>
      </c>
      <c r="AE51" s="82">
        <f t="shared" si="216"/>
        <v>2.7157174359364311</v>
      </c>
      <c r="AF51" s="80">
        <f t="shared" si="216"/>
        <v>3.3902627511591961</v>
      </c>
      <c r="AG51" s="81">
        <f t="shared" si="216"/>
        <v>3.8107901264165385</v>
      </c>
      <c r="AH51" s="81">
        <f t="shared" si="216"/>
        <v>3.6921194495673144</v>
      </c>
      <c r="AI51" s="82">
        <f t="shared" si="216"/>
        <v>3.7587901766184308</v>
      </c>
      <c r="AJ51" s="80">
        <f t="shared" si="216"/>
        <v>4.6728531401946478</v>
      </c>
      <c r="AK51" s="81">
        <f t="shared" si="216"/>
        <v>3.776597085892333</v>
      </c>
      <c r="AL51" s="81">
        <f t="shared" si="216"/>
        <v>3.4085028558566157</v>
      </c>
      <c r="AM51" s="82">
        <f t="shared" si="216"/>
        <v>3.4157964601769919</v>
      </c>
      <c r="AN51" s="80">
        <f t="shared" si="216"/>
        <v>3.0576473784297735</v>
      </c>
      <c r="AO51" s="81">
        <f t="shared" si="216"/>
        <v>2.7252824256886643</v>
      </c>
      <c r="AP51" s="81">
        <f t="shared" si="216"/>
        <v>2.6378888516568511</v>
      </c>
      <c r="AQ51" s="82">
        <f t="shared" si="216"/>
        <v>2.7330148473384335</v>
      </c>
      <c r="AR51" s="80">
        <f t="shared" si="216"/>
        <v>2.6919690628089996</v>
      </c>
      <c r="AS51" s="81">
        <f t="shared" si="216"/>
        <v>2.6125874705553214</v>
      </c>
      <c r="AT51" s="81">
        <f t="shared" si="216"/>
        <v>3.2970022248216702</v>
      </c>
      <c r="AU51" s="82">
        <f t="shared" si="216"/>
        <v>3.1260491718042025</v>
      </c>
      <c r="AV51" s="80">
        <f t="shared" si="216"/>
        <v>3.0642783521254331</v>
      </c>
      <c r="AW51" s="81">
        <f t="shared" si="216"/>
        <v>2.9631148136840118</v>
      </c>
      <c r="AX51" s="81">
        <f t="shared" si="216"/>
        <v>2.9079521827629269</v>
      </c>
      <c r="AY51" s="82">
        <f t="shared" si="216"/>
        <v>3.087608716338377</v>
      </c>
      <c r="AZ51" s="80">
        <f t="shared" si="216"/>
        <v>3.3626131831156316</v>
      </c>
      <c r="BA51" s="81">
        <f t="shared" si="216"/>
        <v>3.4638979350561754</v>
      </c>
      <c r="BB51" s="81">
        <f t="shared" si="216"/>
        <v>3.2845446018910494</v>
      </c>
      <c r="BC51" s="82">
        <f t="shared" si="216"/>
        <v>3.2860271384403981</v>
      </c>
      <c r="BD51" s="80">
        <f t="shared" si="216"/>
        <v>2.9626922190391518</v>
      </c>
      <c r="BE51" s="81">
        <f t="shared" si="216"/>
        <v>2.6439520563008583</v>
      </c>
      <c r="BF51" s="81">
        <f t="shared" si="216"/>
        <v>3.0999361550306079</v>
      </c>
      <c r="BG51" s="82">
        <f t="shared" si="216"/>
        <v>3.3227580137868094</v>
      </c>
      <c r="BH51" s="80">
        <f t="shared" si="216"/>
        <v>3.4791206544361737</v>
      </c>
      <c r="BI51" s="81">
        <f t="shared" si="216"/>
        <v>4.3395700393228003</v>
      </c>
      <c r="BJ51" s="81">
        <f t="shared" si="216"/>
        <v>3.518504925908803</v>
      </c>
      <c r="BK51" s="82">
        <f t="shared" si="216"/>
        <v>3.5459082171226406</v>
      </c>
      <c r="BL51" s="80">
        <f t="shared" si="216"/>
        <v>3.6332047146140387</v>
      </c>
      <c r="BM51" s="81">
        <f t="shared" si="216"/>
        <v>3.4844475958497738</v>
      </c>
      <c r="BN51" s="81">
        <f t="shared" si="216"/>
        <v>3.1794195846550255</v>
      </c>
      <c r="BO51" s="1224">
        <f t="shared" si="216"/>
        <v>3.1304347826086958</v>
      </c>
      <c r="BP51" s="1223">
        <f t="shared" si="216"/>
        <v>3.1304347826086958</v>
      </c>
      <c r="BQ51" s="1218">
        <f t="shared" si="216"/>
        <v>3.1304347826086958</v>
      </c>
      <c r="BR51" s="1218">
        <f t="shared" si="216"/>
        <v>3.1304347826086958</v>
      </c>
      <c r="BS51" s="1224">
        <f t="shared" si="216"/>
        <v>3.1304347826086958</v>
      </c>
      <c r="BT51" s="1223">
        <f t="shared" si="216"/>
        <v>3.1304347826086958</v>
      </c>
      <c r="BU51" s="1218">
        <f t="shared" si="216"/>
        <v>3.1304347826086958</v>
      </c>
      <c r="BV51" s="1218">
        <f t="shared" si="216"/>
        <v>3.1304347826086958</v>
      </c>
      <c r="BW51" s="1224">
        <f t="shared" si="216"/>
        <v>3.1304347826086958</v>
      </c>
      <c r="BX51" s="107"/>
      <c r="BY51" s="81">
        <f>360/BY52</f>
        <v>2.8836863909950754</v>
      </c>
      <c r="BZ51" s="81">
        <f>360/BZ52</f>
        <v>3.6451325178758767</v>
      </c>
      <c r="CA51" s="81">
        <f>360/CA52</f>
        <v>3.451227551932452</v>
      </c>
      <c r="CB51" s="81">
        <f t="shared" ref="CB51:CP51" si="217">360/CB52</f>
        <v>3.2328157363704442</v>
      </c>
      <c r="CC51" s="81">
        <f t="shared" si="217"/>
        <v>3.3814056127438548</v>
      </c>
      <c r="CD51" s="81">
        <f t="shared" si="217"/>
        <v>3.2548349287722509</v>
      </c>
      <c r="CE51" s="81">
        <f t="shared" si="217"/>
        <v>2.9008779997979217</v>
      </c>
      <c r="CF51" s="81">
        <f t="shared" si="217"/>
        <v>3.4982526400170531</v>
      </c>
      <c r="CG51" s="80">
        <f t="shared" si="217"/>
        <v>3.3427815492787003</v>
      </c>
      <c r="CH51" s="81">
        <f t="shared" si="217"/>
        <v>2.6817675783577308</v>
      </c>
      <c r="CI51" s="81">
        <f t="shared" si="217"/>
        <v>3.0246835822991276</v>
      </c>
      <c r="CJ51" s="81">
        <f t="shared" si="217"/>
        <v>3.0125842819657511</v>
      </c>
      <c r="CK51" s="81">
        <f t="shared" si="217"/>
        <v>3.2380907563657924</v>
      </c>
      <c r="CL51" s="81">
        <f t="shared" si="217"/>
        <v>3.1113586586357087</v>
      </c>
      <c r="CM51" s="81">
        <f t="shared" si="217"/>
        <v>3.9021862081460754</v>
      </c>
      <c r="CN51" s="81">
        <f t="shared" si="217"/>
        <v>3.1429991766399854</v>
      </c>
      <c r="CO51" s="81">
        <f t="shared" si="217"/>
        <v>3.1132318844651832</v>
      </c>
      <c r="CP51" s="81">
        <f t="shared" si="217"/>
        <v>3.1150485055409871</v>
      </c>
      <c r="CQ51" s="20"/>
      <c r="CR51" s="80">
        <f>360/CR52</f>
        <v>14.015866909279955</v>
      </c>
      <c r="CS51" s="81">
        <f>360/CS52</f>
        <v>14.710638297872341</v>
      </c>
      <c r="CT51" s="81">
        <f>360/CT52</f>
        <v>12.809672101117425</v>
      </c>
      <c r="CU51" s="81">
        <f t="shared" ref="CU51:DH51" si="218">360/CU52</f>
        <v>13.458054985638082</v>
      </c>
      <c r="CV51" s="81">
        <f t="shared" si="218"/>
        <v>13.223932500540862</v>
      </c>
      <c r="CW51" s="81">
        <f t="shared" si="218"/>
        <v>11.700063732061624</v>
      </c>
      <c r="CX51" s="81">
        <f t="shared" si="218"/>
        <v>13.946091644204852</v>
      </c>
      <c r="CY51" s="81">
        <f t="shared" si="218"/>
        <v>12.783523254832446</v>
      </c>
      <c r="CZ51" s="81">
        <f t="shared" si="218"/>
        <v>10.956378842614056</v>
      </c>
      <c r="DA51" s="81">
        <f t="shared" si="218"/>
        <v>10.737753924019666</v>
      </c>
      <c r="DB51" s="81">
        <f t="shared" si="218"/>
        <v>11.492784811509342</v>
      </c>
      <c r="DC51" s="81">
        <f t="shared" si="218"/>
        <v>12.901938488391885</v>
      </c>
      <c r="DD51" s="81">
        <f t="shared" si="218"/>
        <v>11.799764649916751</v>
      </c>
      <c r="DE51" s="81">
        <f t="shared" si="218"/>
        <v>14.638447349732372</v>
      </c>
      <c r="DF51" s="81">
        <f t="shared" si="218"/>
        <v>12.66962725714227</v>
      </c>
      <c r="DG51" s="81">
        <f t="shared" si="218"/>
        <v>12.402953888038803</v>
      </c>
      <c r="DH51" s="81">
        <f t="shared" si="218"/>
        <v>12.386624070638995</v>
      </c>
      <c r="DI51" s="22"/>
    </row>
    <row r="52" spans="1:113" ht="14.25" customHeight="1">
      <c r="A52" s="8"/>
      <c r="B52" s="612" t="s">
        <v>42</v>
      </c>
      <c r="C52" s="24"/>
      <c r="D52" s="80">
        <f t="shared" ref="D52:O52" si="219">(D12/D57)*90</f>
        <v>106.24566024182928</v>
      </c>
      <c r="E52" s="81">
        <f t="shared" si="219"/>
        <v>108.43353644185255</v>
      </c>
      <c r="F52" s="81">
        <f t="shared" si="219"/>
        <v>113.38817377312952</v>
      </c>
      <c r="G52" s="82">
        <f t="shared" si="219"/>
        <v>126.19136343708902</v>
      </c>
      <c r="H52" s="80">
        <f t="shared" si="219"/>
        <v>92.148692346967721</v>
      </c>
      <c r="I52" s="81">
        <f t="shared" si="219"/>
        <v>120.86399627387051</v>
      </c>
      <c r="J52" s="81">
        <f t="shared" si="219"/>
        <v>106.92975737510501</v>
      </c>
      <c r="K52" s="82">
        <f t="shared" si="219"/>
        <v>99.722857243343995</v>
      </c>
      <c r="L52" s="80">
        <f t="shared" si="219"/>
        <v>89.269678917166758</v>
      </c>
      <c r="M52" s="81">
        <f t="shared" si="219"/>
        <v>85.799484716435018</v>
      </c>
      <c r="N52" s="81">
        <f t="shared" si="219"/>
        <v>99.309223892726536</v>
      </c>
      <c r="O52" s="82">
        <f t="shared" si="219"/>
        <v>105.21029617274489</v>
      </c>
      <c r="P52" s="80">
        <f t="shared" ref="P52:AT52" si="220">(P12/P57)*90</f>
        <v>102.67309002219243</v>
      </c>
      <c r="Q52" s="81">
        <f t="shared" si="220"/>
        <v>106.96706993595133</v>
      </c>
      <c r="R52" s="81">
        <f t="shared" si="220"/>
        <v>109.03462050599201</v>
      </c>
      <c r="S52" s="82">
        <f t="shared" si="220"/>
        <v>104.96380264838886</v>
      </c>
      <c r="T52" s="80">
        <f t="shared" si="220"/>
        <v>100.86938975526795</v>
      </c>
      <c r="U52" s="81">
        <f t="shared" si="220"/>
        <v>99.860907967123708</v>
      </c>
      <c r="V52" s="81">
        <f t="shared" si="220"/>
        <v>108.26406302446344</v>
      </c>
      <c r="W52" s="82">
        <f t="shared" si="220"/>
        <v>105.162056480811</v>
      </c>
      <c r="X52" s="80">
        <f t="shared" si="220"/>
        <v>105.5562083637363</v>
      </c>
      <c r="Y52" s="81">
        <f t="shared" si="220"/>
        <v>107.8831000144321</v>
      </c>
      <c r="Z52" s="81">
        <f t="shared" si="220"/>
        <v>112.82522877261358</v>
      </c>
      <c r="AA52" s="82">
        <f t="shared" si="220"/>
        <v>110.07103277528884</v>
      </c>
      <c r="AB52" s="80">
        <f t="shared" si="220"/>
        <v>108.26507291417643</v>
      </c>
      <c r="AC52" s="81">
        <f t="shared" si="220"/>
        <v>108.14614459086903</v>
      </c>
      <c r="AD52" s="81">
        <f t="shared" si="220"/>
        <v>140.6036919625997</v>
      </c>
      <c r="AE52" s="82">
        <f t="shared" si="220"/>
        <v>132.56165580270141</v>
      </c>
      <c r="AF52" s="80">
        <f t="shared" si="220"/>
        <v>106.18645999544108</v>
      </c>
      <c r="AG52" s="81">
        <f t="shared" si="220"/>
        <v>94.468597864906457</v>
      </c>
      <c r="AH52" s="81">
        <f t="shared" si="220"/>
        <v>97.504971038298606</v>
      </c>
      <c r="AI52" s="82">
        <f t="shared" si="220"/>
        <v>95.775497722480338</v>
      </c>
      <c r="AJ52" s="80">
        <f t="shared" si="220"/>
        <v>77.040726339840461</v>
      </c>
      <c r="AK52" s="81">
        <f t="shared" si="220"/>
        <v>95.323909808858872</v>
      </c>
      <c r="AL52" s="81">
        <f t="shared" si="220"/>
        <v>105.61821867962783</v>
      </c>
      <c r="AM52" s="82">
        <f t="shared" si="220"/>
        <v>105.3926966073811</v>
      </c>
      <c r="AN52" s="80">
        <f t="shared" si="220"/>
        <v>117.73757907456113</v>
      </c>
      <c r="AO52" s="81">
        <f t="shared" si="220"/>
        <v>132.09640094788705</v>
      </c>
      <c r="AP52" s="81">
        <f t="shared" si="220"/>
        <v>136.47277055433361</v>
      </c>
      <c r="AQ52" s="82">
        <f t="shared" si="220"/>
        <v>131.72266530150344</v>
      </c>
      <c r="AR52" s="80">
        <f t="shared" si="220"/>
        <v>133.73110596759585</v>
      </c>
      <c r="AS52" s="81">
        <f t="shared" si="220"/>
        <v>137.79442949080661</v>
      </c>
      <c r="AT52" s="81">
        <f t="shared" si="220"/>
        <v>109.19009920276042</v>
      </c>
      <c r="AU52" s="82">
        <f t="shared" ref="AU52:AZ52" si="221">(AU12/AU57)*90</f>
        <v>115.1613363113625</v>
      </c>
      <c r="AV52" s="80">
        <f t="shared" si="221"/>
        <v>117.48279974314285</v>
      </c>
      <c r="AW52" s="81">
        <f t="shared" si="221"/>
        <v>121.49377349047623</v>
      </c>
      <c r="AX52" s="81">
        <f t="shared" si="221"/>
        <v>123.79845931921545</v>
      </c>
      <c r="AY52" s="82">
        <f t="shared" si="221"/>
        <v>116.59508476414953</v>
      </c>
      <c r="AZ52" s="80">
        <f t="shared" si="221"/>
        <v>107.05959335662919</v>
      </c>
      <c r="BA52" s="81">
        <f t="shared" ref="BA52:BF52" si="222">(BA12/BA57)*90</f>
        <v>103.92915921587677</v>
      </c>
      <c r="BB52" s="81">
        <f t="shared" si="222"/>
        <v>109.60423548297472</v>
      </c>
      <c r="BC52" s="82">
        <f t="shared" si="222"/>
        <v>109.55478601764131</v>
      </c>
      <c r="BD52" s="80">
        <f t="shared" si="222"/>
        <v>121.51110320759331</v>
      </c>
      <c r="BE52" s="81">
        <f t="shared" si="222"/>
        <v>136.15980635582116</v>
      </c>
      <c r="BF52" s="81">
        <f t="shared" si="222"/>
        <v>116.1314240023261</v>
      </c>
      <c r="BG52" s="82">
        <f>(BG12/BG57)*90</f>
        <v>108.34373087245163</v>
      </c>
      <c r="BH52" s="80">
        <f>(BH12/BH57)*90</f>
        <v>103.47442234892587</v>
      </c>
      <c r="BI52" s="81">
        <f t="shared" ref="BI52:BJ52" si="223">(BI12/BI57)*90</f>
        <v>82.957527298298615</v>
      </c>
      <c r="BJ52" s="81">
        <f t="shared" si="223"/>
        <v>102.31618473775896</v>
      </c>
      <c r="BK52" s="82">
        <f>(BK12/BK57)*90</f>
        <v>101.52547047371837</v>
      </c>
      <c r="BL52" s="80">
        <f>(BL12/BL57)*90</f>
        <v>99.086076419518079</v>
      </c>
      <c r="BM52" s="81">
        <f t="shared" ref="BM52:BN52" si="224">(BM12/BM57)*90</f>
        <v>103.31623308922359</v>
      </c>
      <c r="BN52" s="81">
        <f t="shared" si="224"/>
        <v>113.22821364549809</v>
      </c>
      <c r="BO52" s="1226">
        <v>115</v>
      </c>
      <c r="BP52" s="1225">
        <f t="shared" ref="BP52:BW52" si="225">BO52</f>
        <v>115</v>
      </c>
      <c r="BQ52" s="1217">
        <f t="shared" si="225"/>
        <v>115</v>
      </c>
      <c r="BR52" s="1217">
        <f t="shared" si="225"/>
        <v>115</v>
      </c>
      <c r="BS52" s="1217">
        <f t="shared" si="225"/>
        <v>115</v>
      </c>
      <c r="BT52" s="1225">
        <f t="shared" si="225"/>
        <v>115</v>
      </c>
      <c r="BU52" s="1217">
        <f t="shared" si="225"/>
        <v>115</v>
      </c>
      <c r="BV52" s="1217">
        <f t="shared" si="225"/>
        <v>115</v>
      </c>
      <c r="BW52" s="1217">
        <f t="shared" si="225"/>
        <v>115</v>
      </c>
      <c r="BX52" s="107"/>
      <c r="BY52" s="81">
        <f>(BY12/BY57)*365</f>
        <v>124.84020492803123</v>
      </c>
      <c r="BZ52" s="81">
        <f>(BZ12/BZ57)*365</f>
        <v>98.761841506322611</v>
      </c>
      <c r="CA52" s="81">
        <f>(CA12/CA57)*365</f>
        <v>104.31071106813127</v>
      </c>
      <c r="CB52" s="81">
        <f t="shared" ref="CB52:CK52" si="226">(CB12/CB57)*365</f>
        <v>111.3580325503427</v>
      </c>
      <c r="CC52" s="81">
        <f t="shared" si="226"/>
        <v>106.46460118337492</v>
      </c>
      <c r="CD52" s="81">
        <f t="shared" si="226"/>
        <v>110.6046874505537</v>
      </c>
      <c r="CE52" s="81">
        <f t="shared" si="226"/>
        <v>124.10035858973662</v>
      </c>
      <c r="CF52" s="81">
        <f t="shared" si="226"/>
        <v>102.9085194939623</v>
      </c>
      <c r="CG52" s="80">
        <f t="shared" si="226"/>
        <v>107.69474304346336</v>
      </c>
      <c r="CH52" s="81">
        <f t="shared" si="226"/>
        <v>134.23982111844975</v>
      </c>
      <c r="CI52" s="81">
        <f t="shared" si="226"/>
        <v>119.02071413577622</v>
      </c>
      <c r="CJ52" s="81">
        <f t="shared" si="226"/>
        <v>119.49873142307416</v>
      </c>
      <c r="CK52" s="81">
        <f t="shared" si="226"/>
        <v>111.17662446374386</v>
      </c>
      <c r="CL52" s="81">
        <f>(CL12/CL57)*365</f>
        <v>115.70507919451994</v>
      </c>
      <c r="CM52" s="81">
        <f>(CM12/CM57)*365</f>
        <v>92.25597672619412</v>
      </c>
      <c r="CN52" s="81">
        <f>(CN12/CN57)*365</f>
        <v>114.54027817622816</v>
      </c>
      <c r="CO52" s="81">
        <f>(CO12/CO57)*365</f>
        <v>115.63545966375833</v>
      </c>
      <c r="CP52" s="81">
        <f>(CP12/CP57)*365</f>
        <v>115.56802385569247</v>
      </c>
      <c r="CQ52" s="20"/>
      <c r="CR52" s="80">
        <f>(CR12/CR57)*90</f>
        <v>25.685175403716393</v>
      </c>
      <c r="CS52" s="81">
        <f>(CS12/CS57)*90</f>
        <v>24.472085623372866</v>
      </c>
      <c r="CT52" s="81">
        <f>(CT12/CT57)*90</f>
        <v>28.103763871410585</v>
      </c>
      <c r="CU52" s="81">
        <f t="shared" ref="CU52:DC52" si="227">(CU12/CU57)*90</f>
        <v>26.749779249986581</v>
      </c>
      <c r="CV52" s="81">
        <f t="shared" si="227"/>
        <v>27.22336944666618</v>
      </c>
      <c r="CW52" s="81">
        <f t="shared" si="227"/>
        <v>30.769063164458998</v>
      </c>
      <c r="CX52" s="81">
        <f t="shared" si="227"/>
        <v>25.813683803633552</v>
      </c>
      <c r="CY52" s="81">
        <f t="shared" si="227"/>
        <v>28.161250449003742</v>
      </c>
      <c r="CZ52" s="81">
        <f t="shared" si="227"/>
        <v>32.857571390266791</v>
      </c>
      <c r="DA52" s="81">
        <f t="shared" si="227"/>
        <v>33.526564544816317</v>
      </c>
      <c r="DB52" s="81">
        <f t="shared" si="227"/>
        <v>31.324000745187657</v>
      </c>
      <c r="DC52" s="81">
        <f t="shared" si="227"/>
        <v>27.902783781204562</v>
      </c>
      <c r="DD52" s="81">
        <f>(DD12/DD57)*90</f>
        <v>30.509083077562895</v>
      </c>
      <c r="DE52" s="81">
        <f>(DE12/DE57)*90</f>
        <v>24.592772129387185</v>
      </c>
      <c r="DF52" s="81">
        <f>(DF12/DF57)*90</f>
        <v>28.41441130772467</v>
      </c>
      <c r="DG52" s="81">
        <f>(DG12/DG57)*90</f>
        <v>29.025343740669538</v>
      </c>
      <c r="DH52" s="81">
        <f>(DH12/DH57)*90</f>
        <v>29.063609095341548</v>
      </c>
      <c r="DI52" s="22"/>
    </row>
    <row r="53" spans="1:113" ht="14.25" customHeight="1">
      <c r="A53" s="8"/>
      <c r="B53" s="612" t="s">
        <v>43</v>
      </c>
      <c r="C53" s="24"/>
      <c r="D53" s="80">
        <f t="shared" ref="D53:O53" si="228">(D28/D57)*90</f>
        <v>45.018556207350642</v>
      </c>
      <c r="E53" s="81">
        <f t="shared" si="228"/>
        <v>39.966787834409907</v>
      </c>
      <c r="F53" s="81">
        <f t="shared" si="228"/>
        <v>44.19267900241352</v>
      </c>
      <c r="G53" s="82">
        <f t="shared" si="228"/>
        <v>42.098723147742234</v>
      </c>
      <c r="H53" s="80">
        <f t="shared" si="228"/>
        <v>22.189822431497134</v>
      </c>
      <c r="I53" s="81">
        <f t="shared" si="228"/>
        <v>32.56637168141593</v>
      </c>
      <c r="J53" s="81">
        <f t="shared" si="228"/>
        <v>37.73978356475763</v>
      </c>
      <c r="K53" s="82">
        <f t="shared" si="228"/>
        <v>64.555973692540348</v>
      </c>
      <c r="L53" s="80">
        <f t="shared" si="228"/>
        <v>37.21483639230803</v>
      </c>
      <c r="M53" s="81">
        <f t="shared" si="228"/>
        <v>36.527879385476638</v>
      </c>
      <c r="N53" s="81">
        <f t="shared" si="228"/>
        <v>40.947785453067851</v>
      </c>
      <c r="O53" s="82">
        <f t="shared" si="228"/>
        <v>34.818554749132225</v>
      </c>
      <c r="P53" s="80">
        <f t="shared" ref="P53:AO53" si="229">(P28/P57)*90</f>
        <v>32.816352090703347</v>
      </c>
      <c r="Q53" s="81">
        <f t="shared" si="229"/>
        <v>31.664294494403826</v>
      </c>
      <c r="R53" s="81">
        <f t="shared" si="229"/>
        <v>34.578657028723605</v>
      </c>
      <c r="S53" s="82">
        <f t="shared" si="229"/>
        <v>46.399833715247503</v>
      </c>
      <c r="T53" s="80">
        <f t="shared" si="229"/>
        <v>35.847626185465977</v>
      </c>
      <c r="U53" s="81">
        <f t="shared" si="229"/>
        <v>35.312768346654337</v>
      </c>
      <c r="V53" s="81">
        <f t="shared" si="229"/>
        <v>30.868363377890102</v>
      </c>
      <c r="W53" s="82">
        <f t="shared" si="229"/>
        <v>30.130340333091958</v>
      </c>
      <c r="X53" s="80">
        <f t="shared" si="229"/>
        <v>41.339941436788685</v>
      </c>
      <c r="Y53" s="81">
        <f t="shared" si="229"/>
        <v>34.337422427478714</v>
      </c>
      <c r="Z53" s="81">
        <f t="shared" si="229"/>
        <v>32.180245698271271</v>
      </c>
      <c r="AA53" s="82">
        <f t="shared" si="229"/>
        <v>34.765090780476299</v>
      </c>
      <c r="AB53" s="80">
        <f t="shared" si="229"/>
        <v>41.111259861343534</v>
      </c>
      <c r="AC53" s="81">
        <f t="shared" si="229"/>
        <v>51.597396568548504</v>
      </c>
      <c r="AD53" s="81">
        <f t="shared" si="229"/>
        <v>30.15106604561737</v>
      </c>
      <c r="AE53" s="82">
        <f t="shared" si="229"/>
        <v>29.461729722464888</v>
      </c>
      <c r="AF53" s="80">
        <f t="shared" si="229"/>
        <v>26.935470501688876</v>
      </c>
      <c r="AG53" s="81">
        <f t="shared" si="229"/>
        <v>29.551978784564614</v>
      </c>
      <c r="AH53" s="81">
        <f t="shared" si="229"/>
        <v>33.18665168150774</v>
      </c>
      <c r="AI53" s="82">
        <f t="shared" si="229"/>
        <v>36.343736592757573</v>
      </c>
      <c r="AJ53" s="80">
        <f t="shared" si="229"/>
        <v>50.817934020122664</v>
      </c>
      <c r="AK53" s="81">
        <f t="shared" si="229"/>
        <v>42.28110335355386</v>
      </c>
      <c r="AL53" s="81">
        <f t="shared" si="229"/>
        <v>39.268426370462336</v>
      </c>
      <c r="AM53" s="82">
        <f t="shared" si="229"/>
        <v>39.891252250735128</v>
      </c>
      <c r="AN53" s="80">
        <f t="shared" si="229"/>
        <v>39.270866314721609</v>
      </c>
      <c r="AO53" s="81">
        <f t="shared" si="229"/>
        <v>36.145351948241476</v>
      </c>
      <c r="AP53" s="81">
        <f t="shared" ref="AP53:AU53" si="230">(AP28/AP57)*90</f>
        <v>25.082203413425397</v>
      </c>
      <c r="AQ53" s="82">
        <f t="shared" si="230"/>
        <v>30.486002586624984</v>
      </c>
      <c r="AR53" s="80">
        <f t="shared" si="230"/>
        <v>31.787863540303913</v>
      </c>
      <c r="AS53" s="81">
        <f t="shared" si="230"/>
        <v>39.152472462097371</v>
      </c>
      <c r="AT53" s="81">
        <f t="shared" si="230"/>
        <v>22.561045176909275</v>
      </c>
      <c r="AU53" s="82">
        <f t="shared" si="230"/>
        <v>35.903150691441354</v>
      </c>
      <c r="AV53" s="80">
        <f t="shared" ref="AV53:BA53" si="231">(AV28/AV57)*90</f>
        <v>35.635721493440968</v>
      </c>
      <c r="AW53" s="81">
        <f t="shared" si="231"/>
        <v>34.342070400282623</v>
      </c>
      <c r="AX53" s="81">
        <f t="shared" si="231"/>
        <v>28.286718890870112</v>
      </c>
      <c r="AY53" s="82">
        <f t="shared" si="231"/>
        <v>32.862750125740874</v>
      </c>
      <c r="AZ53" s="80">
        <f t="shared" si="231"/>
        <v>32.335433559546132</v>
      </c>
      <c r="BA53" s="81">
        <f t="shared" si="231"/>
        <v>35.580282173801976</v>
      </c>
      <c r="BB53" s="81">
        <f t="shared" ref="BB53:BG53" si="232">(BB28/BB57)*90</f>
        <v>30.535565444033328</v>
      </c>
      <c r="BC53" s="82">
        <f t="shared" si="232"/>
        <v>34.053969291081344</v>
      </c>
      <c r="BD53" s="80">
        <f t="shared" si="232"/>
        <v>37.472825482917287</v>
      </c>
      <c r="BE53" s="81">
        <f t="shared" si="232"/>
        <v>27.085979512645508</v>
      </c>
      <c r="BF53" s="81">
        <f t="shared" si="232"/>
        <v>25.099585665479388</v>
      </c>
      <c r="BG53" s="82">
        <f t="shared" si="232"/>
        <v>28.006968313009086</v>
      </c>
      <c r="BH53" s="80">
        <f>(BH28/BH57)*90</f>
        <v>27.466585055918884</v>
      </c>
      <c r="BI53" s="81">
        <f t="shared" ref="BI53:BK53" si="233">(BI28/BI57)*90</f>
        <v>25.71118823291944</v>
      </c>
      <c r="BJ53" s="81">
        <f t="shared" si="233"/>
        <v>32.956297225465782</v>
      </c>
      <c r="BK53" s="82">
        <f t="shared" si="233"/>
        <v>36.315622972096044</v>
      </c>
      <c r="BL53" s="80">
        <f>(BL28/BL57)*90</f>
        <v>39.894377640558986</v>
      </c>
      <c r="BM53" s="81">
        <f t="shared" ref="BM53:BN53" si="234">(BM28/BM57)*90</f>
        <v>41.286563077039027</v>
      </c>
      <c r="BN53" s="81">
        <f t="shared" si="234"/>
        <v>37.827124650648585</v>
      </c>
      <c r="BO53" s="1217">
        <v>45</v>
      </c>
      <c r="BP53" s="1225">
        <f>BO53</f>
        <v>45</v>
      </c>
      <c r="BQ53" s="1217">
        <f>BP53</f>
        <v>45</v>
      </c>
      <c r="BR53" s="1217">
        <v>40</v>
      </c>
      <c r="BS53" s="1217">
        <f t="shared" ref="BS53:BW53" si="235">BR53</f>
        <v>40</v>
      </c>
      <c r="BT53" s="1225">
        <f t="shared" si="235"/>
        <v>40</v>
      </c>
      <c r="BU53" s="1217">
        <f t="shared" si="235"/>
        <v>40</v>
      </c>
      <c r="BV53" s="1217">
        <f t="shared" si="235"/>
        <v>40</v>
      </c>
      <c r="BW53" s="1217">
        <f t="shared" si="235"/>
        <v>40</v>
      </c>
      <c r="BX53" s="107"/>
      <c r="BY53" s="81">
        <f>(BY28/BY57)*365</f>
        <v>41.647962917784831</v>
      </c>
      <c r="BZ53" s="81">
        <f>(BZ28/BZ57)*365</f>
        <v>63.933856473356776</v>
      </c>
      <c r="CA53" s="81">
        <f>(CA28/CA57)*365</f>
        <v>34.520843837216674</v>
      </c>
      <c r="CB53" s="81">
        <f t="shared" ref="CB53:CK53" si="236">(CB28/CB57)*365</f>
        <v>49.226438665733028</v>
      </c>
      <c r="CC53" s="81">
        <f t="shared" si="236"/>
        <v>30.503536868997266</v>
      </c>
      <c r="CD53" s="81">
        <f t="shared" si="236"/>
        <v>34.933641513246144</v>
      </c>
      <c r="CE53" s="81">
        <f t="shared" si="236"/>
        <v>27.581212689991805</v>
      </c>
      <c r="CF53" s="81">
        <f t="shared" si="236"/>
        <v>39.050490100051512</v>
      </c>
      <c r="CG53" s="80">
        <f t="shared" si="236"/>
        <v>40.762579373303815</v>
      </c>
      <c r="CH53" s="81">
        <f t="shared" si="236"/>
        <v>31.068575210483729</v>
      </c>
      <c r="CI53" s="81">
        <f t="shared" si="236"/>
        <v>37.106365485949269</v>
      </c>
      <c r="CJ53" s="81">
        <f t="shared" si="236"/>
        <v>33.681153532700129</v>
      </c>
      <c r="CK53" s="81">
        <f t="shared" si="236"/>
        <v>34.558100955669495</v>
      </c>
      <c r="CL53" s="81">
        <f>(CL28/CL57)*365</f>
        <v>29.909884591939004</v>
      </c>
      <c r="CM53" s="81">
        <f>(CM28/CM57)*365</f>
        <v>32.999928511320967</v>
      </c>
      <c r="CN53" s="81">
        <f>(CN28/CN57)*365</f>
        <v>44.820108851567539</v>
      </c>
      <c r="CO53" s="81">
        <f>(CO28/CO57)*365</f>
        <v>40.221029448263771</v>
      </c>
      <c r="CP53" s="81">
        <f>(CP28/CP57)*365</f>
        <v>40.197573515023471</v>
      </c>
      <c r="CQ53" s="20"/>
      <c r="CR53" s="80">
        <f>(CR28/CR57)*90</f>
        <v>9.065324605185852</v>
      </c>
      <c r="CS53" s="81">
        <f>(CS28/CS57)*90</f>
        <v>10.090479740103691</v>
      </c>
      <c r="CT53" s="81">
        <f>(CT28/CT57)*90</f>
        <v>8.9126775295405878</v>
      </c>
      <c r="CU53" s="81">
        <f t="shared" ref="CU53:DC53" si="237">(CU28/CU57)*90</f>
        <v>7.6269251596473842</v>
      </c>
      <c r="CV53" s="81">
        <f t="shared" si="237"/>
        <v>7.7647058823529402</v>
      </c>
      <c r="CW53" s="81">
        <f t="shared" si="237"/>
        <v>6.5981201679977755</v>
      </c>
      <c r="CX53" s="81">
        <f t="shared" si="237"/>
        <v>8.7859082863711269</v>
      </c>
      <c r="CY53" s="81">
        <f t="shared" si="237"/>
        <v>10.470238975637585</v>
      </c>
      <c r="CZ53" s="81">
        <f t="shared" si="237"/>
        <v>6.0388624480493363</v>
      </c>
      <c r="DA53" s="81">
        <f t="shared" si="237"/>
        <v>6.927316147204702</v>
      </c>
      <c r="DB53" s="81">
        <f t="shared" si="237"/>
        <v>7.1572231875021393</v>
      </c>
      <c r="DC53" s="81">
        <f t="shared" si="237"/>
        <v>7.7736711219890093</v>
      </c>
      <c r="DD53" s="81">
        <f>(DD28/DD57)*90</f>
        <v>6.5939546583462141</v>
      </c>
      <c r="DE53" s="81">
        <f>(DE28/DE57)*90</f>
        <v>7.9213929836374302</v>
      </c>
      <c r="DF53" s="81">
        <f>(DF28/DF57)*90</f>
        <v>9.4926471398485681</v>
      </c>
      <c r="DG53" s="81">
        <f>(DG28/DG57)*90</f>
        <v>10.095771735885057</v>
      </c>
      <c r="DH53" s="81">
        <f>(DH28/DH57)*90</f>
        <v>10.109081424466627</v>
      </c>
      <c r="DI53" s="22"/>
    </row>
    <row r="54" spans="1:113" ht="14.25" customHeight="1">
      <c r="A54" s="8"/>
      <c r="B54" s="612" t="s">
        <v>407</v>
      </c>
      <c r="C54" s="24"/>
      <c r="D54" s="90">
        <f t="shared" ref="D54:O54" si="238">D15/D56/4</f>
        <v>2.6413255979281975E-2</v>
      </c>
      <c r="E54" s="90">
        <f t="shared" si="238"/>
        <v>0.12026316420631018</v>
      </c>
      <c r="F54" s="90">
        <f t="shared" si="238"/>
        <v>0.12028434264423135</v>
      </c>
      <c r="G54" s="91">
        <f t="shared" si="238"/>
        <v>0.12273433291997041</v>
      </c>
      <c r="H54" s="90">
        <f t="shared" si="238"/>
        <v>0.11830602109335767</v>
      </c>
      <c r="I54" s="90">
        <f t="shared" si="238"/>
        <v>0.11653787258288524</v>
      </c>
      <c r="J54" s="90">
        <f t="shared" si="238"/>
        <v>0.10951328055201245</v>
      </c>
      <c r="K54" s="91">
        <f t="shared" si="238"/>
        <v>0.10565908189052024</v>
      </c>
      <c r="L54" s="90">
        <f t="shared" si="238"/>
        <v>9.2327576078016685E-2</v>
      </c>
      <c r="M54" s="90">
        <f t="shared" si="238"/>
        <v>9.1480738035469938E-2</v>
      </c>
      <c r="N54" s="90">
        <f t="shared" si="238"/>
        <v>9.881490281618821E-2</v>
      </c>
      <c r="O54" s="91">
        <f t="shared" si="238"/>
        <v>2.2624385461570615E-2</v>
      </c>
      <c r="P54" s="90">
        <f t="shared" ref="P54:AS54" si="239">P15/P56/4</f>
        <v>1.9740123646048314E-2</v>
      </c>
      <c r="Q54" s="90">
        <f t="shared" si="239"/>
        <v>2.3540682276130893E-2</v>
      </c>
      <c r="R54" s="90">
        <f t="shared" si="239"/>
        <v>2.1826680743818543E-2</v>
      </c>
      <c r="S54" s="91">
        <f t="shared" si="239"/>
        <v>2.1377825967342577E-2</v>
      </c>
      <c r="T54" s="90">
        <f t="shared" si="239"/>
        <v>2.0274645124677686E-2</v>
      </c>
      <c r="U54" s="90">
        <f t="shared" si="239"/>
        <v>2.4783155553233256E-2</v>
      </c>
      <c r="V54" s="90">
        <f t="shared" si="239"/>
        <v>2.6957737725295219E-2</v>
      </c>
      <c r="W54" s="91">
        <f t="shared" si="239"/>
        <v>2.5848645884977692E-2</v>
      </c>
      <c r="X54" s="90">
        <f t="shared" si="239"/>
        <v>4.5590785846284343E-2</v>
      </c>
      <c r="Y54" s="90">
        <f t="shared" si="239"/>
        <v>9.1190889513506831E-2</v>
      </c>
      <c r="Z54" s="90">
        <f t="shared" si="239"/>
        <v>5.8740102929532856E-2</v>
      </c>
      <c r="AA54" s="91">
        <f t="shared" si="239"/>
        <v>6.4201591287852605E-2</v>
      </c>
      <c r="AB54" s="90">
        <f t="shared" si="239"/>
        <v>5.9665065704100358E-2</v>
      </c>
      <c r="AC54" s="90">
        <f t="shared" si="239"/>
        <v>5.8649047481331526E-2</v>
      </c>
      <c r="AD54" s="90">
        <f t="shared" si="239"/>
        <v>7.6569216198495049E-2</v>
      </c>
      <c r="AE54" s="91">
        <f t="shared" si="239"/>
        <v>9.1171581444477151E-2</v>
      </c>
      <c r="AF54" s="90">
        <f t="shared" si="239"/>
        <v>7.6298659231195803E-2</v>
      </c>
      <c r="AG54" s="90">
        <f t="shared" si="239"/>
        <v>6.201882988251177E-2</v>
      </c>
      <c r="AH54" s="90">
        <f t="shared" si="239"/>
        <v>5.032807008424664E-2</v>
      </c>
      <c r="AI54" s="91">
        <f t="shared" si="239"/>
        <v>4.6204409754693893E-2</v>
      </c>
      <c r="AJ54" s="90">
        <f t="shared" si="239"/>
        <v>6.8662233111655591E-2</v>
      </c>
      <c r="AK54" s="90">
        <f t="shared" si="239"/>
        <v>3.3668523115800049E-2</v>
      </c>
      <c r="AL54" s="90">
        <f t="shared" si="239"/>
        <v>3.6500473052329376E-2</v>
      </c>
      <c r="AM54" s="91">
        <f t="shared" si="239"/>
        <v>3.8441649012461027E-2</v>
      </c>
      <c r="AN54" s="90">
        <f t="shared" si="239"/>
        <v>4.623878859407167E-2</v>
      </c>
      <c r="AO54" s="90">
        <f t="shared" si="239"/>
        <v>3.3373262634981596E-2</v>
      </c>
      <c r="AP54" s="90">
        <f t="shared" si="239"/>
        <v>3.7697930464582141E-2</v>
      </c>
      <c r="AQ54" s="91">
        <f t="shared" si="239"/>
        <v>3.8744685182835616E-2</v>
      </c>
      <c r="AR54" s="54">
        <f t="shared" si="239"/>
        <v>3.6076465209266925E-2</v>
      </c>
      <c r="AS54" s="90">
        <f t="shared" si="239"/>
        <v>4.2452608675234406E-2</v>
      </c>
      <c r="AT54" s="90">
        <f t="shared" ref="AT54:AY54" si="240">AT15/AT56/4</f>
        <v>4.5350645479957784E-2</v>
      </c>
      <c r="AU54" s="91">
        <f t="shared" si="240"/>
        <v>3.9148517705698556E-2</v>
      </c>
      <c r="AV54" s="54">
        <f t="shared" si="240"/>
        <v>3.0615265605282719E-2</v>
      </c>
      <c r="AW54" s="90">
        <f t="shared" si="240"/>
        <v>2.977506195843457E-2</v>
      </c>
      <c r="AX54" s="90">
        <f t="shared" si="240"/>
        <v>3.168768087699949E-2</v>
      </c>
      <c r="AY54" s="91">
        <f t="shared" si="240"/>
        <v>1.0254690058858816E-2</v>
      </c>
      <c r="AZ54" s="54">
        <f t="shared" ref="AZ54:BE54" si="241">AZ15/AZ56/4</f>
        <v>1.6067565932279024E-2</v>
      </c>
      <c r="BA54" s="90">
        <f t="shared" si="241"/>
        <v>1.641943237716547E-2</v>
      </c>
      <c r="BB54" s="90">
        <f t="shared" si="241"/>
        <v>2.6802027576554255E-2</v>
      </c>
      <c r="BC54" s="91">
        <f t="shared" si="241"/>
        <v>2.144348287117066E-2</v>
      </c>
      <c r="BD54" s="54">
        <f t="shared" si="241"/>
        <v>1.7496422899436655E-2</v>
      </c>
      <c r="BE54" s="90">
        <f t="shared" si="241"/>
        <v>1.1370709893588921E-2</v>
      </c>
      <c r="BF54" s="90">
        <f>BF15/BF56/4</f>
        <v>2.6506725345335561E-2</v>
      </c>
      <c r="BG54" s="91">
        <f>BG15/BG56/4</f>
        <v>2.4067431850789096E-2</v>
      </c>
      <c r="BH54" s="54">
        <f>BH15/BH56/4</f>
        <v>2.0479140267021596E-2</v>
      </c>
      <c r="BI54" s="1347">
        <f t="shared" ref="BI54" si="242">BI15/BI56/4</f>
        <v>3.5624320031582668E-2</v>
      </c>
      <c r="BJ54" s="1347">
        <f>BJ15/BJ56/4</f>
        <v>1.8316602066718923E-2</v>
      </c>
      <c r="BK54" s="1348">
        <f>BK15/BK56/4</f>
        <v>2.9549412518029922E-2</v>
      </c>
      <c r="BL54" s="54">
        <f>BL15/BL56/4</f>
        <v>2.8987307396766519E-2</v>
      </c>
      <c r="BM54" s="1347">
        <f t="shared" ref="BM54" si="243">BM15/BM56/4</f>
        <v>2.0268708151745956E-2</v>
      </c>
      <c r="BN54" s="1347">
        <f>BN15/BN56/4</f>
        <v>1.3460755075663468E-2</v>
      </c>
      <c r="BO54" s="1219">
        <v>0.03</v>
      </c>
      <c r="BP54" s="1227">
        <v>0.03</v>
      </c>
      <c r="BQ54" s="1219">
        <v>0.03</v>
      </c>
      <c r="BR54" s="1219">
        <v>0.03</v>
      </c>
      <c r="BS54" s="1219">
        <v>0.03</v>
      </c>
      <c r="BT54" s="1227">
        <v>0.03</v>
      </c>
      <c r="BU54" s="1219">
        <v>0.03</v>
      </c>
      <c r="BV54" s="1219">
        <v>0.03</v>
      </c>
      <c r="BW54" s="1219">
        <v>0.03</v>
      </c>
      <c r="BX54" s="145"/>
      <c r="BY54" s="90">
        <f>BY15/BY56</f>
        <v>0.12032321148432294</v>
      </c>
      <c r="BZ54" s="90">
        <f>BZ15/BZ56</f>
        <v>0.11575808712067044</v>
      </c>
      <c r="CA54" s="90">
        <f>CA15/CA56</f>
        <v>2.2234265635183766E-2</v>
      </c>
      <c r="CB54" s="90">
        <f t="shared" ref="CB54:CK54" si="244">CB15/CB56</f>
        <v>2.2778488467959126E-2</v>
      </c>
      <c r="CC54" s="90">
        <f t="shared" si="244"/>
        <v>2.5675430015841553E-2</v>
      </c>
      <c r="CD54" s="90">
        <f t="shared" si="244"/>
        <v>6.4569480476221269E-2</v>
      </c>
      <c r="CE54" s="90">
        <f t="shared" si="244"/>
        <v>6.9947093812998379E-2</v>
      </c>
      <c r="CF54" s="90">
        <f t="shared" si="244"/>
        <v>5.4216975527814383E-2</v>
      </c>
      <c r="CG54" s="144">
        <f t="shared" si="244"/>
        <v>3.9287791528403955E-2</v>
      </c>
      <c r="CH54" s="90">
        <f t="shared" si="244"/>
        <v>3.7973475537458723E-2</v>
      </c>
      <c r="CI54" s="90">
        <f t="shared" si="244"/>
        <v>4.2587898633239404E-2</v>
      </c>
      <c r="CJ54" s="90">
        <f t="shared" si="244"/>
        <v>1.0479402366487037E-2</v>
      </c>
      <c r="CK54" s="90">
        <f t="shared" si="244"/>
        <v>2.170108000052165E-2</v>
      </c>
      <c r="CL54" s="90">
        <f>CL15/CL56</f>
        <v>2.4699913080969058E-2</v>
      </c>
      <c r="CM54" s="90">
        <f>CM15/CM56</f>
        <v>3.1308404495911886E-2</v>
      </c>
      <c r="CN54" s="90">
        <f>CN15/CN56</f>
        <v>2.9834346060447908E-2</v>
      </c>
      <c r="CO54" s="1347">
        <f>CO15/CO56</f>
        <v>2.9718216999721478E-2</v>
      </c>
      <c r="CP54" s="1347">
        <f>CP15/CP56</f>
        <v>2.9766350426160312E-2</v>
      </c>
      <c r="CQ54" s="20"/>
      <c r="CR54" s="144">
        <f>CR15/CR56</f>
        <v>0.11680965894618235</v>
      </c>
      <c r="CS54" s="90">
        <f>CS15/CS56</f>
        <v>9.7762823392266385E-2</v>
      </c>
      <c r="CT54" s="90">
        <f>CT15/CT56</f>
        <v>2.3073703538687946E-2</v>
      </c>
      <c r="CU54" s="90">
        <f t="shared" ref="CU54:DC54" si="245">CU15/CU56</f>
        <v>2.6311721869176328E-2</v>
      </c>
      <c r="CV54" s="90">
        <f t="shared" si="245"/>
        <v>5.7427466993067222E-2</v>
      </c>
      <c r="CW54" s="90">
        <f t="shared" si="245"/>
        <v>5.9422774422441239E-2</v>
      </c>
      <c r="CX54" s="90">
        <f t="shared" si="245"/>
        <v>5.9727484750202266E-2</v>
      </c>
      <c r="CY54" s="90">
        <f t="shared" si="245"/>
        <v>3.8768011319338158E-2</v>
      </c>
      <c r="CZ54" s="90">
        <f t="shared" si="245"/>
        <v>3.4849218887133576E-2</v>
      </c>
      <c r="DA54" s="90">
        <f t="shared" si="245"/>
        <v>5.0639094465207084E-2</v>
      </c>
      <c r="DB54" s="90">
        <f t="shared" si="245"/>
        <v>3.2731131057823513E-2</v>
      </c>
      <c r="DC54" s="90">
        <f t="shared" si="245"/>
        <v>2.7027297656461217E-2</v>
      </c>
      <c r="DD54" s="90">
        <f>DD15/DD56</f>
        <v>2.6537199139929978E-2</v>
      </c>
      <c r="DE54" s="90">
        <f>DE15/DE56</f>
        <v>1.9959572161015248E-2</v>
      </c>
      <c r="DF54" s="90">
        <f>DF15/DF56</f>
        <v>1.3792557929335911E-2</v>
      </c>
      <c r="DG54" s="1347">
        <f>DG15/DG56</f>
        <v>3.0315268685630885E-2</v>
      </c>
      <c r="DH54" s="1347">
        <f>DH15/DH56</f>
        <v>3.0338376023006628E-2</v>
      </c>
      <c r="DI54" s="22"/>
    </row>
    <row r="55" spans="1:113" ht="14.25" customHeight="1">
      <c r="A55" s="8"/>
      <c r="B55" s="612"/>
      <c r="C55" s="24"/>
      <c r="D55" s="105"/>
      <c r="E55" s="103"/>
      <c r="F55" s="103"/>
      <c r="G55" s="103"/>
      <c r="H55" s="105"/>
      <c r="I55" s="103"/>
      <c r="J55" s="103"/>
      <c r="K55" s="103"/>
      <c r="L55" s="105"/>
      <c r="M55" s="103"/>
      <c r="N55" s="103"/>
      <c r="O55" s="103"/>
      <c r="P55" s="105"/>
      <c r="Q55" s="103"/>
      <c r="R55" s="103"/>
      <c r="S55" s="103"/>
      <c r="T55" s="105"/>
      <c r="U55" s="103"/>
      <c r="V55" s="103"/>
      <c r="W55" s="103"/>
      <c r="X55" s="105"/>
      <c r="Y55" s="103"/>
      <c r="Z55" s="103"/>
      <c r="AA55" s="103"/>
      <c r="AB55" s="105"/>
      <c r="AC55" s="103"/>
      <c r="AD55" s="103"/>
      <c r="AE55" s="103"/>
      <c r="AF55" s="105"/>
      <c r="AG55" s="103"/>
      <c r="AH55" s="103"/>
      <c r="AI55" s="103"/>
      <c r="AJ55" s="105"/>
      <c r="AK55" s="103"/>
      <c r="AL55" s="103"/>
      <c r="AM55" s="103"/>
      <c r="AN55" s="105"/>
      <c r="AO55" s="103"/>
      <c r="AP55" s="103"/>
      <c r="AQ55" s="103"/>
      <c r="AR55" s="105"/>
      <c r="AS55" s="103"/>
      <c r="AT55" s="103"/>
      <c r="AU55" s="103"/>
      <c r="AV55" s="105"/>
      <c r="AW55" s="103"/>
      <c r="AX55" s="103"/>
      <c r="AY55" s="103"/>
      <c r="AZ55" s="105"/>
      <c r="BA55" s="103"/>
      <c r="BB55" s="103"/>
      <c r="BC55" s="103"/>
      <c r="BD55" s="105"/>
      <c r="BE55" s="103"/>
      <c r="BF55" s="103"/>
      <c r="BG55" s="103"/>
      <c r="BH55" s="105"/>
      <c r="BI55" s="103"/>
      <c r="BJ55" s="103"/>
      <c r="BK55" s="103"/>
      <c r="BL55" s="105"/>
      <c r="BM55" s="103"/>
      <c r="BN55" s="103"/>
      <c r="BO55" s="104"/>
      <c r="BP55" s="105"/>
      <c r="BQ55" s="103"/>
      <c r="BR55" s="103"/>
      <c r="BS55" s="104"/>
      <c r="BT55" s="105"/>
      <c r="BU55" s="103"/>
      <c r="BV55" s="103"/>
      <c r="BW55" s="104"/>
      <c r="BX55" s="20"/>
      <c r="BY55" s="103"/>
      <c r="BZ55" s="103"/>
      <c r="CA55" s="103"/>
      <c r="CB55" s="103"/>
      <c r="CC55" s="103"/>
      <c r="CD55" s="103"/>
      <c r="CE55" s="103"/>
      <c r="CF55" s="103"/>
      <c r="CG55" s="105"/>
      <c r="CH55" s="103"/>
      <c r="CI55" s="103"/>
      <c r="CJ55" s="103"/>
      <c r="CK55" s="103"/>
      <c r="CL55" s="103"/>
      <c r="CM55" s="103"/>
      <c r="CN55" s="103"/>
      <c r="CO55" s="103"/>
      <c r="CP55" s="103"/>
      <c r="CQ55" s="20"/>
      <c r="CR55" s="105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22"/>
    </row>
    <row r="56" spans="1:113" ht="14.25" customHeight="1">
      <c r="A56" s="8"/>
      <c r="B56" s="612" t="s">
        <v>44</v>
      </c>
      <c r="C56" s="24"/>
      <c r="D56" s="712">
        <f>+IS!D8</f>
        <v>157.54400000000001</v>
      </c>
      <c r="E56" s="713">
        <f>+IS!E8</f>
        <v>166.77799999999999</v>
      </c>
      <c r="F56" s="713">
        <f>+IS!F8</f>
        <v>167.47399999999999</v>
      </c>
      <c r="G56" s="714">
        <f>+IS!G8</f>
        <v>159.66600000000003</v>
      </c>
      <c r="H56" s="712">
        <f>+IS!H8</f>
        <v>161.28299999999999</v>
      </c>
      <c r="I56" s="713">
        <f>+IS!I8</f>
        <v>168.48599999999999</v>
      </c>
      <c r="J56" s="713">
        <f>+IS!J8</f>
        <v>177.96700000000001</v>
      </c>
      <c r="K56" s="714">
        <f>+IS!K8</f>
        <v>191.52400000000003</v>
      </c>
      <c r="L56" s="712">
        <f>+IS!L8</f>
        <v>212.77500000000001</v>
      </c>
      <c r="M56" s="713">
        <f>+IS!M8</f>
        <v>220.69399999999999</v>
      </c>
      <c r="N56" s="713">
        <f>+IS!N8</f>
        <v>205.38399999999999</v>
      </c>
      <c r="O56" s="714">
        <f>+IS!O8</f>
        <v>208.08300000000006</v>
      </c>
      <c r="P56" s="712">
        <f>+IS!P8</f>
        <v>218.52699999999999</v>
      </c>
      <c r="Q56" s="713">
        <f>+IS!Q8</f>
        <v>227.298</v>
      </c>
      <c r="R56" s="713">
        <f>+IS!R8</f>
        <v>234.89599999999999</v>
      </c>
      <c r="S56" s="714">
        <f>+IS!S8</f>
        <v>247.172</v>
      </c>
      <c r="T56" s="712">
        <f>+IS!T8</f>
        <v>262.55700000000002</v>
      </c>
      <c r="U56" s="713">
        <f>+IS!U8</f>
        <v>267.93400000000003</v>
      </c>
      <c r="V56" s="713">
        <f>+IS!V8</f>
        <v>251.00399999999999</v>
      </c>
      <c r="W56" s="714">
        <f>+IS!W8</f>
        <v>258.17599999999999</v>
      </c>
      <c r="X56" s="712">
        <f>+IS!X8</f>
        <v>264.072</v>
      </c>
      <c r="Y56" s="713">
        <f>+IS!Y8</f>
        <v>258.64699999999999</v>
      </c>
      <c r="Z56" s="713">
        <f>+IS!Z8</f>
        <v>252.6</v>
      </c>
      <c r="AA56" s="714">
        <f>+IS!AA8</f>
        <v>260.41800000000001</v>
      </c>
      <c r="AB56" s="712">
        <f>+IS!AB8</f>
        <v>268.17200000000003</v>
      </c>
      <c r="AC56" s="713">
        <f>+IS!AC8</f>
        <v>269.70600000000002</v>
      </c>
      <c r="AD56" s="713">
        <f>+IS!AD8</f>
        <v>192.166</v>
      </c>
      <c r="AE56" s="714">
        <f>+IS!AE8</f>
        <v>173.25299999999999</v>
      </c>
      <c r="AF56" s="712">
        <f>+IS!AF8</f>
        <v>192.94900000000001</v>
      </c>
      <c r="AG56" s="713">
        <f>+IS!AG8</f>
        <v>226.661</v>
      </c>
      <c r="AH56" s="713">
        <f>+IS!AH8</f>
        <v>250.09899999999999</v>
      </c>
      <c r="AI56" s="714">
        <f>+IS!AI8</f>
        <v>278.0200000000001</v>
      </c>
      <c r="AJ56" s="712">
        <f>+IS!AJ8</f>
        <v>357.125</v>
      </c>
      <c r="AK56" s="713">
        <f>+IS!AK8</f>
        <v>382.27100000000002</v>
      </c>
      <c r="AL56" s="713">
        <f>+IS!AL8</f>
        <v>367.82400000000001</v>
      </c>
      <c r="AM56" s="714">
        <f>+IS!AM8</f>
        <v>379.9849999999999</v>
      </c>
      <c r="AN56" s="712">
        <f>+IS!AN8</f>
        <v>374.50700000000001</v>
      </c>
      <c r="AO56" s="713">
        <f>+IS!AO8</f>
        <v>340.60199999999998</v>
      </c>
      <c r="AP56" s="713">
        <f>+IS!AP8</f>
        <v>329.15600000000001</v>
      </c>
      <c r="AQ56" s="714">
        <f>+IS!AQ8</f>
        <v>338.911</v>
      </c>
      <c r="AR56" s="712">
        <f>+IS!AR8</f>
        <v>352.13400000000001</v>
      </c>
      <c r="AS56" s="713">
        <f>+IS!AS8</f>
        <v>383.298</v>
      </c>
      <c r="AT56" s="713">
        <f>+IS!AT8</f>
        <v>416.04700000000003</v>
      </c>
      <c r="AU56" s="714">
        <f>+IS!AU8</f>
        <v>430.14400000000001</v>
      </c>
      <c r="AV56" s="712">
        <f>+IS!AV8</f>
        <v>462.79199999999997</v>
      </c>
      <c r="AW56" s="713">
        <f>+IS!AW8</f>
        <v>492.66899999999998</v>
      </c>
      <c r="AX56" s="713">
        <f>+IS!AX8</f>
        <v>482.37200000000001</v>
      </c>
      <c r="AY56" s="714">
        <f>+IS!AY8</f>
        <v>493.38400000000019</v>
      </c>
      <c r="AZ56" s="712">
        <f>+IS!AZ8</f>
        <v>528.87599999999998</v>
      </c>
      <c r="BA56" s="713">
        <f>+IS!BA8</f>
        <v>546.24300000000005</v>
      </c>
      <c r="BB56" s="713">
        <f>+IS!BB8</f>
        <v>528.71</v>
      </c>
      <c r="BC56" s="714">
        <f>+IS!BC8</f>
        <v>543.20699999999999</v>
      </c>
      <c r="BD56" s="712">
        <f>+IS!BD8</f>
        <v>533.952</v>
      </c>
      <c r="BE56" s="713">
        <f>+IS!BE8</f>
        <v>541.39099999999996</v>
      </c>
      <c r="BF56" s="713">
        <f>+IS!BF8</f>
        <v>540.34400000000005</v>
      </c>
      <c r="BG56" s="714">
        <f>+IS!BG8</f>
        <v>557.6</v>
      </c>
      <c r="BH56" s="712">
        <f>+IS!BH8</f>
        <v>799.41099999999994</v>
      </c>
      <c r="BI56" s="713">
        <f>+IS!BI8</f>
        <v>871.36400000000003</v>
      </c>
      <c r="BJ56" s="713">
        <f>+IS!BJ8</f>
        <v>834.36599999999999</v>
      </c>
      <c r="BK56" s="714">
        <f>+IS!BK8</f>
        <v>902.66600000000005</v>
      </c>
      <c r="BL56" s="712">
        <f>+IS!BL8</f>
        <v>972.14099999999996</v>
      </c>
      <c r="BM56" s="713">
        <f>+IS!BM8</f>
        <v>1012.139</v>
      </c>
      <c r="BN56" s="713">
        <f>+IS!BN8</f>
        <v>994.20500000000004</v>
      </c>
      <c r="BO56" s="714">
        <f>+IS!BO8</f>
        <v>985.53216599999996</v>
      </c>
      <c r="BP56" s="712">
        <f>+IS!BP8</f>
        <v>1029.1018515000001</v>
      </c>
      <c r="BQ56" s="713">
        <f>+IS!BQ8</f>
        <v>1061.3265526545001</v>
      </c>
      <c r="BR56" s="713">
        <f>+IS!BR8</f>
        <v>1039.7374200049585</v>
      </c>
      <c r="BS56" s="714">
        <f>+IS!BS8</f>
        <v>1030.3623180237353</v>
      </c>
      <c r="BT56" s="712">
        <f>+IS!BT8</f>
        <v>1071.4096212196996</v>
      </c>
      <c r="BU56" s="713">
        <f>+IS!BU8</f>
        <v>1098.9462959489163</v>
      </c>
      <c r="BV56" s="713">
        <f>+IS!BV8</f>
        <v>1083.0117619537671</v>
      </c>
      <c r="BW56" s="714">
        <f>+IS!BW8</f>
        <v>1073.2236018299827</v>
      </c>
      <c r="BX56" s="20"/>
      <c r="BY56" s="712">
        <f>IS!BY8</f>
        <v>651.46199999999999</v>
      </c>
      <c r="BZ56" s="713">
        <f>IS!BZ8</f>
        <v>699.26</v>
      </c>
      <c r="CA56" s="713">
        <f>IS!CA8</f>
        <v>846.93600000000004</v>
      </c>
      <c r="CB56" s="713">
        <f>IS!CB8</f>
        <v>927.89300000000003</v>
      </c>
      <c r="CC56" s="713">
        <f>IS!CC8</f>
        <v>1039.671</v>
      </c>
      <c r="CD56" s="713">
        <f>IS!CD8</f>
        <v>1035.7370000000001</v>
      </c>
      <c r="CE56" s="713">
        <f>IS!CE8</f>
        <v>903.29700000000003</v>
      </c>
      <c r="CF56" s="713">
        <f>IS!CF8</f>
        <v>947.72900000000016</v>
      </c>
      <c r="CG56" s="712">
        <f>IS!CG8</f>
        <v>1487.2049999999999</v>
      </c>
      <c r="CH56" s="713">
        <f>IS!CH8</f>
        <v>1383.1759999999999</v>
      </c>
      <c r="CI56" s="713">
        <f>IS!CI8</f>
        <v>1581.623</v>
      </c>
      <c r="CJ56" s="713">
        <f>+IS!CJ8</f>
        <v>1931.2170000000003</v>
      </c>
      <c r="CK56" s="713">
        <f>+IS!CK8</f>
        <v>2147.0360000000001</v>
      </c>
      <c r="CL56" s="713">
        <f>+IS!CL8</f>
        <v>2173.2869999999998</v>
      </c>
      <c r="CM56" s="713">
        <f>+IS!CM8</f>
        <v>3407.8070000000002</v>
      </c>
      <c r="CN56" s="713">
        <f>+IS!CN8</f>
        <v>3964.0171660000001</v>
      </c>
      <c r="CO56" s="713">
        <f>+IS!CO8</f>
        <v>4160.5281421831942</v>
      </c>
      <c r="CP56" s="713">
        <f>+IS!CP8</f>
        <v>4326.5912809523652</v>
      </c>
      <c r="CQ56" s="20"/>
      <c r="CR56" s="713">
        <f>+IS!CR8</f>
        <v>667.40200000000004</v>
      </c>
      <c r="CS56" s="713">
        <f>+IS!CS8</f>
        <v>830.37700000000007</v>
      </c>
      <c r="CT56" s="713">
        <f>+IS!CT8</f>
        <v>888.80399999999997</v>
      </c>
      <c r="CU56" s="713">
        <f>+IS!CU8</f>
        <v>1028.6669999999999</v>
      </c>
      <c r="CV56" s="713">
        <f>+IS!CV8</f>
        <v>1033.4949999999999</v>
      </c>
      <c r="CW56" s="713">
        <f>+IS!CW8</f>
        <v>990.46199999999999</v>
      </c>
      <c r="CX56" s="713">
        <f>+IS!CX8</f>
        <v>842.96199999999999</v>
      </c>
      <c r="CY56" s="713">
        <f>+IS!CY8</f>
        <v>1385.2400000000002</v>
      </c>
      <c r="CZ56" s="713">
        <f>+IS!CZ8</f>
        <v>1424.25</v>
      </c>
      <c r="DA56" s="713">
        <f>+IS!DA8</f>
        <v>1490.39</v>
      </c>
      <c r="DB56" s="713">
        <f>+IS!DB8</f>
        <v>1867.9770000000001</v>
      </c>
      <c r="DC56" s="713">
        <f>+IS!DC8</f>
        <v>2097.2130000000002</v>
      </c>
      <c r="DD56" s="713">
        <f>+IS!DD8</f>
        <v>2158.8940000000002</v>
      </c>
      <c r="DE56" s="713">
        <f>+IS!DE8</f>
        <v>3062.741</v>
      </c>
      <c r="DF56" s="713">
        <f>+IS!DF8</f>
        <v>3881.1509999999998</v>
      </c>
      <c r="DG56" s="713">
        <f>+IS!DG8</f>
        <v>4115.6979901594586</v>
      </c>
      <c r="DH56" s="713">
        <f>+IS!DH8</f>
        <v>4283.729997146118</v>
      </c>
      <c r="DI56" s="22"/>
    </row>
    <row r="57" spans="1:113" ht="14.25" customHeight="1">
      <c r="A57" s="8"/>
      <c r="B57" s="617" t="s">
        <v>45</v>
      </c>
      <c r="C57" s="63"/>
      <c r="D57" s="1206">
        <f>+IS!D13</f>
        <v>75.177000000000007</v>
      </c>
      <c r="E57" s="1207">
        <f>+IS!E13</f>
        <v>76.477999999999994</v>
      </c>
      <c r="F57" s="1207">
        <f>+IS!F13</f>
        <v>74.58</v>
      </c>
      <c r="G57" s="1208">
        <f>+IS!G13</f>
        <v>72.991999999999976</v>
      </c>
      <c r="H57" s="1206">
        <f>+IS!H13</f>
        <v>105.762</v>
      </c>
      <c r="I57" s="1207">
        <f>+IS!I13</f>
        <v>77.292000000000002</v>
      </c>
      <c r="J57" s="1207">
        <f>+IS!J13</f>
        <v>80.947999999999993</v>
      </c>
      <c r="K57" s="1208">
        <f>+IS!K13</f>
        <v>85.299000000000007</v>
      </c>
      <c r="L57" s="1206">
        <f>+IS!L13</f>
        <v>91.316000000000003</v>
      </c>
      <c r="M57" s="1207">
        <f>+IS!M13</f>
        <v>94.316999999999993</v>
      </c>
      <c r="N57" s="1207">
        <f>+IS!N13</f>
        <v>88.596000000000004</v>
      </c>
      <c r="O57" s="1208">
        <f>+IS!O13</f>
        <v>88.731999999999999</v>
      </c>
      <c r="P57" s="1206">
        <f>+IS!P13</f>
        <v>91.022000000000006</v>
      </c>
      <c r="Q57" s="1207">
        <f>+IS!Q13</f>
        <v>92.742000000000004</v>
      </c>
      <c r="R57" s="1207">
        <f>+IS!R13</f>
        <v>94.626000000000005</v>
      </c>
      <c r="S57" s="1208">
        <f>+IS!S13</f>
        <v>98.626000000000005</v>
      </c>
      <c r="T57" s="1206">
        <f>+IS!T13</f>
        <v>104.07299999999999</v>
      </c>
      <c r="U57" s="1207">
        <f>+IS!U13</f>
        <v>105.973</v>
      </c>
      <c r="V57" s="1207">
        <f>+IS!V13</f>
        <v>101.294</v>
      </c>
      <c r="W57" s="1208">
        <f>+IS!W13</f>
        <v>103.575</v>
      </c>
      <c r="X57" s="1206">
        <f>+IS!X13</f>
        <v>105.527</v>
      </c>
      <c r="Y57" s="1207">
        <f>+IS!Y13</f>
        <v>103.935</v>
      </c>
      <c r="Z57" s="1207">
        <f>+IS!Z13</f>
        <v>99.552999999999997</v>
      </c>
      <c r="AA57" s="1208">
        <f>+IS!AA13</f>
        <v>101.78400000000001</v>
      </c>
      <c r="AB57" s="1206">
        <f>+IS!AB13</f>
        <v>104.575</v>
      </c>
      <c r="AC57" s="1207">
        <f>+IS!AC13</f>
        <v>105.553</v>
      </c>
      <c r="AD57" s="1207">
        <f>+IS!AD13</f>
        <v>87.379000000000005</v>
      </c>
      <c r="AE57" s="1208">
        <f>+IS!AE13</f>
        <v>89.286000000000001</v>
      </c>
      <c r="AF57" s="1206">
        <f>+IS!AF13</f>
        <v>96.513999999999996</v>
      </c>
      <c r="AG57" s="1207">
        <f>+IS!AG13</f>
        <v>103.321</v>
      </c>
      <c r="AH57" s="1207">
        <f>+IS!AH13</f>
        <v>104.10299999999999</v>
      </c>
      <c r="AI57" s="1208">
        <f>+IS!AI13</f>
        <v>109.54900000000002</v>
      </c>
      <c r="AJ57" s="1206">
        <f>+IS!AJ13</f>
        <v>149.68199999999999</v>
      </c>
      <c r="AK57" s="1207">
        <f>+IS!AK13</f>
        <v>157.26599999999999</v>
      </c>
      <c r="AL57" s="1207">
        <f>+IS!AL13</f>
        <v>151.42699999999999</v>
      </c>
      <c r="AM57" s="1208">
        <f>+IS!AM13</f>
        <v>154.39400000000003</v>
      </c>
      <c r="AN57" s="1206">
        <f>+IS!AN13</f>
        <v>154.75899999999999</v>
      </c>
      <c r="AO57" s="1207">
        <f>+IS!AO13</f>
        <v>143.899</v>
      </c>
      <c r="AP57" s="1207">
        <f>+IS!AP13</f>
        <v>143.66800000000001</v>
      </c>
      <c r="AQ57" s="1208">
        <f>+IS!AQ13</f>
        <v>148.45600000000005</v>
      </c>
      <c r="AR57" s="1206">
        <f>+IS!AR13</f>
        <v>149.05500000000001</v>
      </c>
      <c r="AS57" s="1207">
        <f>+IS!AS13</f>
        <v>189.10300000000001</v>
      </c>
      <c r="AT57" s="1207">
        <f>+IS!AT13</f>
        <v>215.619</v>
      </c>
      <c r="AU57" s="1208">
        <f>+IS!AU13</f>
        <v>189.38699999999992</v>
      </c>
      <c r="AV57" s="1206">
        <f>+IS!AV13</f>
        <v>196.21799999999999</v>
      </c>
      <c r="AW57" s="1207">
        <f>+IS!AW13</f>
        <v>203.80600000000001</v>
      </c>
      <c r="AX57" s="1207">
        <f>+IS!AX13</f>
        <v>199.65199999999999</v>
      </c>
      <c r="AY57" s="1208">
        <f>+IS!AY13</f>
        <v>202.79800000000006</v>
      </c>
      <c r="AZ57" s="1206">
        <f>+IS!AZ13</f>
        <v>222.357</v>
      </c>
      <c r="BA57" s="1207">
        <f>+IS!BA13</f>
        <v>238.78899999999999</v>
      </c>
      <c r="BB57" s="1207">
        <f>+IS!BB13</f>
        <v>226.751</v>
      </c>
      <c r="BC57" s="1208">
        <f>+IS!BC13</f>
        <v>229.57499999999999</v>
      </c>
      <c r="BD57" s="1206">
        <f>+IS!BD13</f>
        <v>224.935</v>
      </c>
      <c r="BE57" s="1207">
        <f>+IS!BE13</f>
        <v>240.441</v>
      </c>
      <c r="BF57" s="1207">
        <f>+IS!BF13</f>
        <v>247.626</v>
      </c>
      <c r="BG57" s="1208">
        <f>+IS!BG13</f>
        <v>254.86799999999999</v>
      </c>
      <c r="BH57" s="1206">
        <f>+IS!BH13</f>
        <v>450.92099999999999</v>
      </c>
      <c r="BI57" s="1207">
        <f>+IS!BI13</f>
        <v>460.74299999999999</v>
      </c>
      <c r="BJ57" s="1207">
        <f>+IS!BJ13</f>
        <v>369.10700000000003</v>
      </c>
      <c r="BK57" s="1208">
        <f>+IS!BK13</f>
        <v>369.84</v>
      </c>
      <c r="BL57" s="1206">
        <f>+IS!BL13</f>
        <v>387.702</v>
      </c>
      <c r="BM57" s="1207">
        <f>+IS!BM13</f>
        <v>398.04500000000002</v>
      </c>
      <c r="BN57" s="1207">
        <f>+IS!BN13</f>
        <v>387.14600000000002</v>
      </c>
      <c r="BO57" s="1208">
        <f>+IS!BO13</f>
        <v>381.82185860799996</v>
      </c>
      <c r="BP57" s="1206">
        <f>+IS!BP13</f>
        <v>395.95251434590011</v>
      </c>
      <c r="BQ57" s="1207">
        <f>+IS!BQ13</f>
        <v>406.57908654580569</v>
      </c>
      <c r="BR57" s="1207">
        <f>+IS!BR13</f>
        <v>399.84185768348914</v>
      </c>
      <c r="BS57" s="1208">
        <f>+IS!BS13</f>
        <v>396.39529078019325</v>
      </c>
      <c r="BT57" s="1206">
        <f>+IS!BT13</f>
        <v>410.26071295504528</v>
      </c>
      <c r="BU57" s="1207">
        <f>+IS!BU13</f>
        <v>418.96723022417882</v>
      </c>
      <c r="BV57" s="1207">
        <f>+IS!BV13</f>
        <v>414.50466088905648</v>
      </c>
      <c r="BW57" s="1208">
        <f>+IS!BW13</f>
        <v>409.71257294934435</v>
      </c>
      <c r="BX57" s="20"/>
      <c r="BY57" s="1206">
        <f>IS!BY13</f>
        <v>299.22699999999998</v>
      </c>
      <c r="BZ57" s="1207">
        <f>IS!BZ13</f>
        <v>349.30100000000004</v>
      </c>
      <c r="CA57" s="1207">
        <f>IS!CA13</f>
        <v>362.96100000000001</v>
      </c>
      <c r="CB57" s="1207">
        <f>IS!CB13</f>
        <v>377.01599999999996</v>
      </c>
      <c r="CC57" s="1207">
        <f>IS!CC13</f>
        <v>414.91499999999996</v>
      </c>
      <c r="CD57" s="1207">
        <f>IS!CD13</f>
        <v>410.79899999999998</v>
      </c>
      <c r="CE57" s="1207">
        <f>IS!CE13</f>
        <v>386.79300000000001</v>
      </c>
      <c r="CF57" s="1207">
        <f>IS!CF13</f>
        <v>413.48700000000002</v>
      </c>
      <c r="CG57" s="1206">
        <f>IS!CG13</f>
        <v>612.76900000000001</v>
      </c>
      <c r="CH57" s="1207">
        <f>IS!CH13</f>
        <v>590.78200000000004</v>
      </c>
      <c r="CI57" s="1207">
        <f>IS!CI13</f>
        <v>743.16399999999999</v>
      </c>
      <c r="CJ57" s="1207">
        <f>+IS!CJ13</f>
        <v>802.47399999999993</v>
      </c>
      <c r="CK57" s="1207">
        <f>+IS!CK13</f>
        <v>917.47199999999998</v>
      </c>
      <c r="CL57" s="1207">
        <f>+IS!CL13</f>
        <v>967.86999999999989</v>
      </c>
      <c r="CM57" s="1207">
        <f>+IS!CM13</f>
        <v>1650.6109999999999</v>
      </c>
      <c r="CN57" s="1207">
        <f>+IS!CN13</f>
        <v>1554.714858608</v>
      </c>
      <c r="CO57" s="1207">
        <f>+IS!CO13</f>
        <v>1598.7687493553881</v>
      </c>
      <c r="CP57" s="1207">
        <f>+IS!CP13</f>
        <v>1653.4451770176249</v>
      </c>
      <c r="CQ57" s="20"/>
      <c r="CR57" s="1207">
        <f>+IS!CR13</f>
        <v>336.99399999999991</v>
      </c>
      <c r="CS57" s="1207">
        <f>+IS!CS13</f>
        <v>359.52800000000002</v>
      </c>
      <c r="CT57" s="1207">
        <f>+IS!CT13</f>
        <v>367.12200000000007</v>
      </c>
      <c r="CU57" s="1207">
        <f>+IS!CU13</f>
        <v>409.96600000000001</v>
      </c>
      <c r="CV57" s="1207">
        <f>+IS!CV13</f>
        <v>412.59000000000003</v>
      </c>
      <c r="CW57" s="1207">
        <f>+IS!CW13</f>
        <v>399.29100000000005</v>
      </c>
      <c r="CX57" s="1207">
        <f>+IS!CX13</f>
        <v>393.22399999999999</v>
      </c>
      <c r="CY57" s="1207">
        <f>+IS!CY13</f>
        <v>567.92399999999998</v>
      </c>
      <c r="CZ57" s="1207">
        <f>+IS!CZ13</f>
        <v>596.72</v>
      </c>
      <c r="DA57" s="1207">
        <f>+IS!DA13</f>
        <v>702.23300000000006</v>
      </c>
      <c r="DB57" s="1207">
        <f>+IS!DB13</f>
        <v>789.06299999999987</v>
      </c>
      <c r="DC57" s="1207">
        <f>+IS!DC13</f>
        <v>890.69500000000005</v>
      </c>
      <c r="DD57" s="1207">
        <f>+IS!DD13</f>
        <v>942.577</v>
      </c>
      <c r="DE57" s="1207">
        <f>+IS!DE13</f>
        <v>1535.6389999999999</v>
      </c>
      <c r="DF57" s="1207">
        <f>+IS!DF13</f>
        <v>1542.7329999999999</v>
      </c>
      <c r="DG57" s="1207">
        <f>+IS!DG13</f>
        <v>1584.1953171831951</v>
      </c>
      <c r="DH57" s="1207">
        <f>+IS!DH13</f>
        <v>1640.1278948484737</v>
      </c>
      <c r="DI57" s="22"/>
    </row>
    <row r="58" spans="1:113" ht="14.25" customHeight="1">
      <c r="A58" s="8"/>
      <c r="B58" s="61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14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  <c r="DG58" s="68"/>
      <c r="DH58" s="68"/>
      <c r="DI58" s="8"/>
    </row>
    <row r="59" spans="1:113" ht="14.25" customHeight="1">
      <c r="A59" s="8"/>
      <c r="B59" s="619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72"/>
      <c r="AR59" s="68"/>
      <c r="AS59" s="68"/>
      <c r="AT59" s="68"/>
      <c r="AU59" s="72"/>
      <c r="AV59" s="68"/>
      <c r="AW59" s="68"/>
      <c r="AX59" s="68"/>
      <c r="AY59" s="72"/>
      <c r="AZ59" s="68"/>
      <c r="BA59" s="68"/>
      <c r="BB59" s="68"/>
      <c r="BC59" s="72"/>
      <c r="BD59" s="68"/>
      <c r="BE59" s="68"/>
      <c r="BF59" s="68"/>
      <c r="BG59" s="72"/>
      <c r="BH59" s="68"/>
      <c r="BI59" s="68"/>
      <c r="BJ59" s="68"/>
      <c r="BK59" s="72"/>
      <c r="BL59" s="68"/>
      <c r="BM59" s="68"/>
      <c r="BN59" s="68"/>
      <c r="BO59" s="72"/>
      <c r="BP59" s="68"/>
      <c r="BQ59" s="68"/>
      <c r="BR59" s="68"/>
      <c r="BS59" s="72"/>
      <c r="BT59" s="68"/>
      <c r="BU59" s="68"/>
      <c r="BV59" s="68"/>
      <c r="BW59" s="72"/>
      <c r="BX59" s="14"/>
      <c r="BY59" s="68"/>
      <c r="BZ59" s="68"/>
      <c r="CA59" s="68"/>
      <c r="CB59" s="68"/>
      <c r="CC59" s="68"/>
      <c r="CD59" s="68"/>
      <c r="CE59" s="68"/>
      <c r="CF59" s="68"/>
      <c r="CG59" s="68"/>
      <c r="CH59" s="68"/>
      <c r="CI59" s="68"/>
      <c r="CJ59" s="68"/>
      <c r="CK59" s="68"/>
      <c r="CL59" s="68"/>
      <c r="CM59" s="68"/>
      <c r="CN59" s="68"/>
      <c r="CO59" s="68"/>
      <c r="CP59" s="68"/>
      <c r="CQ59" s="8"/>
      <c r="CR59" s="68"/>
      <c r="CS59" s="68"/>
      <c r="CT59" s="68"/>
      <c r="CU59" s="68"/>
      <c r="CV59" s="68"/>
      <c r="CW59" s="68"/>
      <c r="CX59" s="68"/>
      <c r="CY59" s="68"/>
      <c r="CZ59" s="68"/>
      <c r="DA59" s="68"/>
      <c r="DB59" s="68"/>
      <c r="DC59" s="68"/>
      <c r="DD59" s="68"/>
      <c r="DE59" s="68"/>
      <c r="DF59" s="68"/>
      <c r="DG59" s="68"/>
      <c r="DH59" s="68"/>
      <c r="DI59" s="8"/>
    </row>
    <row r="60" spans="1:113" ht="14.25" customHeight="1">
      <c r="A60" s="8"/>
      <c r="B60" s="668" t="s">
        <v>46</v>
      </c>
      <c r="C60" s="142"/>
      <c r="D60" s="17" t="str">
        <f t="shared" ref="D60:O60" si="246">D49</f>
        <v>F1Q03A</v>
      </c>
      <c r="E60" s="18" t="str">
        <f t="shared" si="246"/>
        <v>F2Q03A</v>
      </c>
      <c r="F60" s="18" t="str">
        <f t="shared" si="246"/>
        <v>F3Q03A</v>
      </c>
      <c r="G60" s="19" t="str">
        <f t="shared" si="246"/>
        <v>F4Q03A</v>
      </c>
      <c r="H60" s="17" t="str">
        <f t="shared" si="246"/>
        <v>F1Q04A</v>
      </c>
      <c r="I60" s="18" t="str">
        <f t="shared" si="246"/>
        <v>F2Q04A</v>
      </c>
      <c r="J60" s="18" t="str">
        <f t="shared" si="246"/>
        <v>F3Q04A</v>
      </c>
      <c r="K60" s="19" t="str">
        <f t="shared" si="246"/>
        <v>F4Q04A</v>
      </c>
      <c r="L60" s="17" t="str">
        <f t="shared" si="246"/>
        <v>F1Q05A</v>
      </c>
      <c r="M60" s="18" t="str">
        <f t="shared" si="246"/>
        <v>F2Q05A</v>
      </c>
      <c r="N60" s="18" t="str">
        <f t="shared" si="246"/>
        <v>F3Q05A</v>
      </c>
      <c r="O60" s="19" t="str">
        <f t="shared" si="246"/>
        <v>F4Q05A</v>
      </c>
      <c r="P60" s="17" t="str">
        <f t="shared" ref="P60:AM60" si="247">P49</f>
        <v>F1Q06A</v>
      </c>
      <c r="Q60" s="18" t="str">
        <f t="shared" si="247"/>
        <v>F2Q06A</v>
      </c>
      <c r="R60" s="18" t="str">
        <f t="shared" si="247"/>
        <v>F3Q06A</v>
      </c>
      <c r="S60" s="19" t="str">
        <f t="shared" si="247"/>
        <v>F4Q06A</v>
      </c>
      <c r="T60" s="17" t="str">
        <f>T49</f>
        <v>F1Q07A</v>
      </c>
      <c r="U60" s="18" t="str">
        <f t="shared" si="247"/>
        <v>F2Q07A</v>
      </c>
      <c r="V60" s="18" t="str">
        <f t="shared" si="247"/>
        <v>F3Q07A</v>
      </c>
      <c r="W60" s="19" t="str">
        <f t="shared" si="247"/>
        <v>F4Q07A</v>
      </c>
      <c r="X60" s="17" t="str">
        <f t="shared" si="247"/>
        <v>F1Q08A</v>
      </c>
      <c r="Y60" s="18" t="str">
        <f t="shared" si="247"/>
        <v>F2Q08A</v>
      </c>
      <c r="Z60" s="18" t="str">
        <f t="shared" si="247"/>
        <v>F3Q08A</v>
      </c>
      <c r="AA60" s="19" t="str">
        <f t="shared" si="247"/>
        <v>F4Q08A</v>
      </c>
      <c r="AB60" s="17" t="str">
        <f t="shared" si="247"/>
        <v>F1Q09A</v>
      </c>
      <c r="AC60" s="18" t="str">
        <f t="shared" si="247"/>
        <v>F2Q09A</v>
      </c>
      <c r="AD60" s="18" t="str">
        <f t="shared" si="247"/>
        <v>F3Q09A</v>
      </c>
      <c r="AE60" s="19" t="str">
        <f t="shared" si="247"/>
        <v>F4Q09A</v>
      </c>
      <c r="AF60" s="17" t="str">
        <f t="shared" si="247"/>
        <v>F1Q10A</v>
      </c>
      <c r="AG60" s="18" t="str">
        <f t="shared" si="247"/>
        <v>F2Q10A</v>
      </c>
      <c r="AH60" s="18" t="str">
        <f t="shared" si="247"/>
        <v>F3Q10A</v>
      </c>
      <c r="AI60" s="19" t="str">
        <f t="shared" si="247"/>
        <v>F4Q10A</v>
      </c>
      <c r="AJ60" s="17" t="str">
        <f t="shared" si="247"/>
        <v>F1Q11A</v>
      </c>
      <c r="AK60" s="18" t="str">
        <f t="shared" si="247"/>
        <v>F2Q11A</v>
      </c>
      <c r="AL60" s="18" t="str">
        <f t="shared" si="247"/>
        <v>F3Q11A</v>
      </c>
      <c r="AM60" s="19" t="str">
        <f t="shared" si="247"/>
        <v>F4Q11A</v>
      </c>
      <c r="AN60" s="18" t="str">
        <f>AN49</f>
        <v>F1Q12A</v>
      </c>
      <c r="AO60" s="18" t="str">
        <f>AO49</f>
        <v>F2Q12A</v>
      </c>
      <c r="AP60" s="18" t="str">
        <f>AP49</f>
        <v>F3Q12A</v>
      </c>
      <c r="AQ60" s="19" t="str">
        <f>AQ49</f>
        <v>F4Q12A</v>
      </c>
      <c r="AR60" s="17" t="str">
        <f>AR49</f>
        <v>F1Q13A</v>
      </c>
      <c r="AS60" s="18" t="str">
        <f t="shared" ref="AS60:BC60" si="248">AS49</f>
        <v>F2Q13A</v>
      </c>
      <c r="AT60" s="18" t="str">
        <f>AT49</f>
        <v>F3Q13A</v>
      </c>
      <c r="AU60" s="19" t="str">
        <f t="shared" si="248"/>
        <v>F4Q13A</v>
      </c>
      <c r="AV60" s="17" t="str">
        <f t="shared" si="248"/>
        <v>F1Q14A</v>
      </c>
      <c r="AW60" s="18" t="str">
        <f t="shared" si="248"/>
        <v>F2Q14A</v>
      </c>
      <c r="AX60" s="18" t="str">
        <f t="shared" si="248"/>
        <v>F3Q14A</v>
      </c>
      <c r="AY60" s="19" t="str">
        <f t="shared" si="248"/>
        <v>F4Q14A</v>
      </c>
      <c r="AZ60" s="17" t="str">
        <f t="shared" si="248"/>
        <v>F1Q15A</v>
      </c>
      <c r="BA60" s="18" t="str">
        <f t="shared" si="248"/>
        <v>F2Q15A</v>
      </c>
      <c r="BB60" s="18" t="str">
        <f t="shared" si="248"/>
        <v>F3Q15A</v>
      </c>
      <c r="BC60" s="19" t="str">
        <f t="shared" si="248"/>
        <v>F4Q15A</v>
      </c>
      <c r="BD60" s="17" t="str">
        <f t="shared" ref="BD60:BK60" si="249">BD49</f>
        <v>F1Q16A</v>
      </c>
      <c r="BE60" s="18" t="str">
        <f t="shared" si="249"/>
        <v>F2Q16A</v>
      </c>
      <c r="BF60" s="18" t="str">
        <f t="shared" si="249"/>
        <v>F3Q16A</v>
      </c>
      <c r="BG60" s="19" t="str">
        <f t="shared" si="249"/>
        <v>F4Q16A</v>
      </c>
      <c r="BH60" s="17" t="str">
        <f>BH49</f>
        <v>F1Q17A</v>
      </c>
      <c r="BI60" s="1327" t="str">
        <f t="shared" ref="BI60:BJ60" si="250">BI49</f>
        <v>F2Q17A</v>
      </c>
      <c r="BJ60" s="1374" t="str">
        <f t="shared" si="250"/>
        <v>F3Q17A</v>
      </c>
      <c r="BK60" s="19" t="str">
        <f t="shared" si="249"/>
        <v>F4Q17A</v>
      </c>
      <c r="BL60" s="17" t="str">
        <f t="shared" ref="BL60:BS60" si="251">BL49</f>
        <v>F1Q18A</v>
      </c>
      <c r="BM60" s="18" t="str">
        <f t="shared" si="251"/>
        <v>F2Q18A</v>
      </c>
      <c r="BN60" s="18" t="str">
        <f t="shared" si="251"/>
        <v>F3Q18A</v>
      </c>
      <c r="BO60" s="19" t="str">
        <f t="shared" si="251"/>
        <v>F4Q18E</v>
      </c>
      <c r="BP60" s="17" t="str">
        <f t="shared" si="251"/>
        <v>F1Q19E</v>
      </c>
      <c r="BQ60" s="18" t="str">
        <f t="shared" si="251"/>
        <v>F2Q19E</v>
      </c>
      <c r="BR60" s="18" t="str">
        <f t="shared" si="251"/>
        <v>F3Q19E</v>
      </c>
      <c r="BS60" s="19" t="str">
        <f t="shared" si="251"/>
        <v>F4Q19E</v>
      </c>
      <c r="BT60" s="1373" t="str">
        <f t="shared" ref="BT60:BW60" si="252">BT49</f>
        <v>F1Q20E</v>
      </c>
      <c r="BU60" s="1374" t="str">
        <f t="shared" si="252"/>
        <v>F2Q20E</v>
      </c>
      <c r="BV60" s="1374" t="str">
        <f t="shared" si="252"/>
        <v>F3Q20E</v>
      </c>
      <c r="BW60" s="1375" t="str">
        <f t="shared" si="252"/>
        <v>F4Q20E</v>
      </c>
      <c r="BX60" s="20"/>
      <c r="BY60" s="17" t="str">
        <f>BY49</f>
        <v>FY2003A</v>
      </c>
      <c r="BZ60" s="18" t="str">
        <f>BZ49</f>
        <v>FY2004A</v>
      </c>
      <c r="CA60" s="18" t="str">
        <f>CA49</f>
        <v>FY2005A</v>
      </c>
      <c r="CB60" s="18" t="str">
        <f t="shared" ref="CB60:CH60" si="253">CB49</f>
        <v>FY2006A</v>
      </c>
      <c r="CC60" s="18" t="str">
        <f t="shared" si="253"/>
        <v>FY2007A</v>
      </c>
      <c r="CD60" s="18" t="str">
        <f t="shared" si="253"/>
        <v>FY2008A</v>
      </c>
      <c r="CE60" s="18" t="str">
        <f t="shared" si="253"/>
        <v>FY2009A</v>
      </c>
      <c r="CF60" s="18" t="str">
        <f t="shared" si="253"/>
        <v>FY2010A</v>
      </c>
      <c r="CG60" s="17" t="str">
        <f t="shared" si="253"/>
        <v>FY2011A</v>
      </c>
      <c r="CH60" s="18" t="str">
        <f t="shared" si="253"/>
        <v>FY2012A</v>
      </c>
      <c r="CI60" s="18" t="str">
        <f t="shared" ref="CI60:CO60" si="254">CI49</f>
        <v>FY2013A</v>
      </c>
      <c r="CJ60" s="18" t="str">
        <f t="shared" si="254"/>
        <v>FY2014A</v>
      </c>
      <c r="CK60" s="18" t="str">
        <f t="shared" si="254"/>
        <v>FY2015A</v>
      </c>
      <c r="CL60" s="18" t="str">
        <f t="shared" si="254"/>
        <v>FY2016A</v>
      </c>
      <c r="CM60" s="18" t="str">
        <f t="shared" si="254"/>
        <v>FY2017A</v>
      </c>
      <c r="CN60" s="18" t="str">
        <f t="shared" si="254"/>
        <v>FY2018E</v>
      </c>
      <c r="CO60" s="1374" t="str">
        <f t="shared" si="254"/>
        <v>FY2019E</v>
      </c>
      <c r="CP60" s="1374" t="str">
        <f t="shared" ref="CP60" si="255">CP49</f>
        <v>FY2020E</v>
      </c>
      <c r="CQ60" s="20"/>
      <c r="CR60" s="17" t="str">
        <f>CR49</f>
        <v>CY2003</v>
      </c>
      <c r="CS60" s="18" t="str">
        <f>CS49</f>
        <v>CY2004</v>
      </c>
      <c r="CT60" s="18" t="str">
        <f>CT49</f>
        <v>CY2005</v>
      </c>
      <c r="CU60" s="18" t="str">
        <f t="shared" ref="CU60:DA60" si="256">CU49</f>
        <v>CY2006</v>
      </c>
      <c r="CV60" s="18" t="str">
        <f t="shared" si="256"/>
        <v>CY2007</v>
      </c>
      <c r="CW60" s="18" t="str">
        <f t="shared" si="256"/>
        <v>CY2008</v>
      </c>
      <c r="CX60" s="18" t="str">
        <f t="shared" si="256"/>
        <v>CY2009</v>
      </c>
      <c r="CY60" s="18" t="str">
        <f t="shared" si="256"/>
        <v>CY2010</v>
      </c>
      <c r="CZ60" s="18" t="str">
        <f t="shared" si="256"/>
        <v>CY2011</v>
      </c>
      <c r="DA60" s="18" t="str">
        <f t="shared" si="256"/>
        <v>CY2012</v>
      </c>
      <c r="DB60" s="18" t="str">
        <f t="shared" ref="DB60:DG60" si="257">DB49</f>
        <v>CY2013</v>
      </c>
      <c r="DC60" s="524" t="str">
        <f t="shared" si="257"/>
        <v>CY2014</v>
      </c>
      <c r="DD60" s="18" t="str">
        <f t="shared" si="257"/>
        <v>CY2015</v>
      </c>
      <c r="DE60" s="524" t="str">
        <f t="shared" si="257"/>
        <v>CY2016</v>
      </c>
      <c r="DF60" s="524" t="str">
        <f t="shared" si="257"/>
        <v>CY2017</v>
      </c>
      <c r="DG60" s="1353" t="str">
        <f t="shared" si="257"/>
        <v>CY2018</v>
      </c>
      <c r="DH60" s="1345" t="str">
        <f t="shared" ref="DH60" si="258">DH49</f>
        <v>CY2019</v>
      </c>
      <c r="DI60" s="22"/>
    </row>
    <row r="61" spans="1:113" ht="14.25" customHeight="1">
      <c r="A61" s="8"/>
      <c r="B61" s="669" t="s">
        <v>47</v>
      </c>
      <c r="C61" s="146"/>
      <c r="D61" s="75">
        <v>0</v>
      </c>
      <c r="E61" s="76">
        <v>0</v>
      </c>
      <c r="F61" s="76">
        <v>0</v>
      </c>
      <c r="G61" s="77">
        <v>0</v>
      </c>
      <c r="H61" s="75">
        <v>0</v>
      </c>
      <c r="I61" s="76">
        <v>0</v>
      </c>
      <c r="J61" s="76">
        <v>0</v>
      </c>
      <c r="K61" s="77">
        <v>0</v>
      </c>
      <c r="L61" s="75">
        <v>0</v>
      </c>
      <c r="M61" s="76">
        <v>0</v>
      </c>
      <c r="N61" s="76">
        <v>0</v>
      </c>
      <c r="O61" s="77">
        <v>0</v>
      </c>
      <c r="P61" s="75">
        <v>0</v>
      </c>
      <c r="Q61" s="76">
        <v>0</v>
      </c>
      <c r="R61" s="76">
        <v>0</v>
      </c>
      <c r="S61" s="77">
        <v>0</v>
      </c>
      <c r="T61" s="75">
        <v>0</v>
      </c>
      <c r="U61" s="76">
        <v>0</v>
      </c>
      <c r="V61" s="76">
        <v>0</v>
      </c>
      <c r="W61" s="77">
        <v>0</v>
      </c>
      <c r="X61" s="75">
        <v>0</v>
      </c>
      <c r="Y61" s="76">
        <v>0</v>
      </c>
      <c r="Z61" s="76">
        <v>0</v>
      </c>
      <c r="AA61" s="77">
        <v>0</v>
      </c>
      <c r="AB61" s="75">
        <v>0</v>
      </c>
      <c r="AC61" s="76">
        <v>0</v>
      </c>
      <c r="AD61" s="76">
        <v>0</v>
      </c>
      <c r="AE61" s="77">
        <v>0</v>
      </c>
      <c r="AF61" s="75">
        <v>0</v>
      </c>
      <c r="AG61" s="76">
        <v>0</v>
      </c>
      <c r="AH61" s="76">
        <v>0</v>
      </c>
      <c r="AI61" s="77">
        <v>0</v>
      </c>
      <c r="AJ61" s="76">
        <v>0</v>
      </c>
      <c r="AK61" s="76">
        <v>0</v>
      </c>
      <c r="AL61" s="76">
        <v>0</v>
      </c>
      <c r="AM61" s="77">
        <v>0</v>
      </c>
      <c r="AN61" s="84">
        <v>0</v>
      </c>
      <c r="AO61" s="76">
        <v>0</v>
      </c>
      <c r="AP61" s="76">
        <v>0</v>
      </c>
      <c r="AQ61" s="77">
        <v>0</v>
      </c>
      <c r="AR61" s="84">
        <v>0</v>
      </c>
      <c r="AS61" s="76">
        <v>0</v>
      </c>
      <c r="AT61" s="76">
        <v>0</v>
      </c>
      <c r="AU61" s="77">
        <v>0</v>
      </c>
      <c r="AV61" s="84">
        <v>0</v>
      </c>
      <c r="AW61" s="76">
        <f t="shared" ref="AW61:BF61" si="259">AV61</f>
        <v>0</v>
      </c>
      <c r="AX61" s="76">
        <v>0</v>
      </c>
      <c r="AY61" s="77">
        <f t="shared" si="259"/>
        <v>0</v>
      </c>
      <c r="AZ61" s="84">
        <v>0</v>
      </c>
      <c r="BA61" s="76">
        <f t="shared" si="259"/>
        <v>0</v>
      </c>
      <c r="BB61" s="76">
        <f t="shared" si="259"/>
        <v>0</v>
      </c>
      <c r="BC61" s="77">
        <f t="shared" si="259"/>
        <v>0</v>
      </c>
      <c r="BD61" s="84">
        <v>0</v>
      </c>
      <c r="BE61" s="76">
        <f>BD61</f>
        <v>0</v>
      </c>
      <c r="BF61" s="76">
        <f t="shared" si="259"/>
        <v>0</v>
      </c>
      <c r="BG61" s="77">
        <f t="shared" ref="BG61:BO61" si="260">BF61</f>
        <v>0</v>
      </c>
      <c r="BH61" s="84">
        <v>0</v>
      </c>
      <c r="BI61" s="76">
        <f>BH61</f>
        <v>0</v>
      </c>
      <c r="BJ61" s="76">
        <f t="shared" ref="BJ61" si="261">BI61</f>
        <v>0</v>
      </c>
      <c r="BK61" s="77">
        <f t="shared" si="260"/>
        <v>0</v>
      </c>
      <c r="BL61" s="84">
        <f t="shared" si="260"/>
        <v>0</v>
      </c>
      <c r="BM61" s="76">
        <f t="shared" si="260"/>
        <v>0</v>
      </c>
      <c r="BN61" s="76">
        <f t="shared" si="260"/>
        <v>0</v>
      </c>
      <c r="BO61" s="147">
        <f t="shared" si="260"/>
        <v>0</v>
      </c>
      <c r="BP61" s="81">
        <f t="shared" ref="BP61:BW61" si="262">BO61</f>
        <v>0</v>
      </c>
      <c r="BQ61" s="81">
        <f t="shared" si="262"/>
        <v>0</v>
      </c>
      <c r="BR61" s="81">
        <f t="shared" si="262"/>
        <v>0</v>
      </c>
      <c r="BS61" s="147">
        <f t="shared" si="262"/>
        <v>0</v>
      </c>
      <c r="BT61" s="81">
        <f t="shared" si="262"/>
        <v>0</v>
      </c>
      <c r="BU61" s="81">
        <f t="shared" si="262"/>
        <v>0</v>
      </c>
      <c r="BV61" s="81">
        <f t="shared" si="262"/>
        <v>0</v>
      </c>
      <c r="BW61" s="147">
        <f t="shared" si="262"/>
        <v>0</v>
      </c>
      <c r="BX61" s="20"/>
      <c r="BY61" s="143">
        <f>G61</f>
        <v>0</v>
      </c>
      <c r="BZ61" s="81">
        <f>K61</f>
        <v>0</v>
      </c>
      <c r="CA61" s="81">
        <f>O61</f>
        <v>0</v>
      </c>
      <c r="CB61" s="81">
        <f>S61</f>
        <v>0</v>
      </c>
      <c r="CC61" s="81">
        <f>W61</f>
        <v>0</v>
      </c>
      <c r="CD61" s="81">
        <f>AA61</f>
        <v>0</v>
      </c>
      <c r="CE61" s="81">
        <f>AE61</f>
        <v>0</v>
      </c>
      <c r="CF61" s="143">
        <f>AI61</f>
        <v>0</v>
      </c>
      <c r="CG61" s="148">
        <f>AM61</f>
        <v>0</v>
      </c>
      <c r="CH61" s="143">
        <f>AQ61</f>
        <v>0</v>
      </c>
      <c r="CI61" s="143">
        <f>AU61</f>
        <v>0</v>
      </c>
      <c r="CJ61" s="143">
        <f>AY61</f>
        <v>0</v>
      </c>
      <c r="CK61" s="143">
        <f>BC61</f>
        <v>0</v>
      </c>
      <c r="CL61" s="143">
        <f>BG61</f>
        <v>0</v>
      </c>
      <c r="CM61" s="143">
        <f>BK61</f>
        <v>0</v>
      </c>
      <c r="CN61" s="143">
        <f>BO61</f>
        <v>0</v>
      </c>
      <c r="CO61" s="143">
        <f>BS61</f>
        <v>0</v>
      </c>
      <c r="CP61" s="143">
        <f>BW61</f>
        <v>0</v>
      </c>
      <c r="CQ61" s="20"/>
      <c r="CR61" s="148">
        <f>J61</f>
        <v>0</v>
      </c>
      <c r="CS61" s="143">
        <f>N61</f>
        <v>0</v>
      </c>
      <c r="CT61" s="143">
        <f>R61</f>
        <v>0</v>
      </c>
      <c r="CU61" s="143">
        <f>V61</f>
        <v>0</v>
      </c>
      <c r="CV61" s="143">
        <f>Z61</f>
        <v>0</v>
      </c>
      <c r="CW61" s="143">
        <f>AD61</f>
        <v>0</v>
      </c>
      <c r="CX61" s="143">
        <f>AH61</f>
        <v>0</v>
      </c>
      <c r="CY61" s="143">
        <f>AL61</f>
        <v>0</v>
      </c>
      <c r="CZ61" s="143">
        <f>AP61</f>
        <v>0</v>
      </c>
      <c r="DA61" s="143">
        <f>AT61</f>
        <v>0</v>
      </c>
      <c r="DB61" s="143">
        <f>AX61</f>
        <v>0</v>
      </c>
      <c r="DC61" s="143">
        <f>BB61</f>
        <v>0</v>
      </c>
      <c r="DD61" s="81">
        <f>BF61</f>
        <v>0</v>
      </c>
      <c r="DE61" s="81">
        <f>BJ61</f>
        <v>0</v>
      </c>
      <c r="DF61" s="81">
        <f>BN61</f>
        <v>0</v>
      </c>
      <c r="DG61" s="81">
        <f>BR61</f>
        <v>0</v>
      </c>
      <c r="DH61" s="81">
        <f>BV61</f>
        <v>0</v>
      </c>
      <c r="DI61" s="22"/>
    </row>
    <row r="62" spans="1:113" ht="14.25" customHeight="1">
      <c r="A62" s="8"/>
      <c r="B62" s="611" t="s">
        <v>48</v>
      </c>
      <c r="C62" s="94"/>
      <c r="D62" s="83">
        <v>0.20200000000000001</v>
      </c>
      <c r="E62" s="84">
        <v>0.20300000000000001</v>
      </c>
      <c r="F62" s="84">
        <v>0.20300000000000001</v>
      </c>
      <c r="G62" s="85">
        <v>0.20300000000000001</v>
      </c>
      <c r="H62" s="83">
        <v>0.20399999999999999</v>
      </c>
      <c r="I62" s="84">
        <v>0.20599999999999999</v>
      </c>
      <c r="J62" s="84">
        <v>0.20799999999999999</v>
      </c>
      <c r="K62" s="85">
        <v>0.20699999999999999</v>
      </c>
      <c r="L62" s="83">
        <v>0.20699999999999999</v>
      </c>
      <c r="M62" s="84">
        <v>0.20599999999999999</v>
      </c>
      <c r="N62" s="84">
        <v>0.20699999999999999</v>
      </c>
      <c r="O62" s="85">
        <v>0.20799999999999999</v>
      </c>
      <c r="P62" s="83">
        <v>0.20899999999999999</v>
      </c>
      <c r="Q62" s="84">
        <v>0.21</v>
      </c>
      <c r="R62" s="84">
        <v>0.21199999999999999</v>
      </c>
      <c r="S62" s="85">
        <v>0.214</v>
      </c>
      <c r="T62" s="83">
        <v>0.215</v>
      </c>
      <c r="U62" s="84">
        <v>0.215</v>
      </c>
      <c r="V62" s="84">
        <v>0.216</v>
      </c>
      <c r="W62" s="85">
        <v>0.217</v>
      </c>
      <c r="X62" s="83">
        <v>0.219</v>
      </c>
      <c r="Y62" s="84">
        <v>0.215</v>
      </c>
      <c r="Z62" s="84">
        <v>0.189</v>
      </c>
      <c r="AA62" s="85">
        <v>0.184</v>
      </c>
      <c r="AB62" s="83">
        <v>0.184</v>
      </c>
      <c r="AC62" s="84">
        <v>0.182</v>
      </c>
      <c r="AD62" s="84">
        <v>0.182</v>
      </c>
      <c r="AE62" s="85">
        <v>0.183</v>
      </c>
      <c r="AF62" s="83">
        <v>0.183</v>
      </c>
      <c r="AG62" s="84">
        <v>0.184</v>
      </c>
      <c r="AH62" s="84">
        <v>0.184</v>
      </c>
      <c r="AI62" s="85">
        <v>0.185</v>
      </c>
      <c r="AJ62" s="84">
        <v>0.186</v>
      </c>
      <c r="AK62" s="84">
        <v>0.187</v>
      </c>
      <c r="AL62" s="84">
        <v>0.188</v>
      </c>
      <c r="AM62" s="85">
        <v>0.19</v>
      </c>
      <c r="AN62" s="84">
        <v>0.191</v>
      </c>
      <c r="AO62" s="84">
        <v>0.191</v>
      </c>
      <c r="AP62" s="84">
        <v>0.192</v>
      </c>
      <c r="AQ62" s="85">
        <v>0.193</v>
      </c>
      <c r="AR62" s="84">
        <v>0.19400000000000001</v>
      </c>
      <c r="AS62" s="84">
        <v>0.19400000000000001</v>
      </c>
      <c r="AT62" s="84">
        <v>0.19500000000000001</v>
      </c>
      <c r="AU62" s="85">
        <v>0.19600000000000001</v>
      </c>
      <c r="AV62" s="84">
        <v>0.19700000000000001</v>
      </c>
      <c r="AW62" s="84">
        <v>0.19800000000000001</v>
      </c>
      <c r="AX62" s="84">
        <v>0.19900000000000001</v>
      </c>
      <c r="AY62" s="85">
        <v>0.2</v>
      </c>
      <c r="AZ62" s="84">
        <v>0.2</v>
      </c>
      <c r="BA62" s="84">
        <v>0.20100000000000001</v>
      </c>
      <c r="BB62" s="84">
        <v>0.20100000000000001</v>
      </c>
      <c r="BC62" s="85">
        <v>0.20200000000000001</v>
      </c>
      <c r="BD62" s="84">
        <v>0.20200000000000001</v>
      </c>
      <c r="BE62" s="84">
        <v>0.20300000000000001</v>
      </c>
      <c r="BF62" s="84">
        <v>0.20300000000000001</v>
      </c>
      <c r="BG62" s="85">
        <v>0.20399999999999999</v>
      </c>
      <c r="BH62" s="84">
        <v>0.215</v>
      </c>
      <c r="BI62" s="84">
        <v>0.216</v>
      </c>
      <c r="BJ62" s="84">
        <v>0.216</v>
      </c>
      <c r="BK62" s="85">
        <v>0.22900000000000001</v>
      </c>
      <c r="BL62" s="84">
        <v>0.23300000000000001</v>
      </c>
      <c r="BM62" s="84">
        <v>0.23400000000000001</v>
      </c>
      <c r="BN62" s="84">
        <v>0.23400000000000001</v>
      </c>
      <c r="BO62" s="714">
        <f>BN62+CFS!BO44</f>
        <v>0.23400000000000001</v>
      </c>
      <c r="BP62" s="712">
        <f>BO62+CFS!BP44</f>
        <v>0.23400000000000001</v>
      </c>
      <c r="BQ62" s="713">
        <f>BP62+CFS!BQ44</f>
        <v>0.23400000000000001</v>
      </c>
      <c r="BR62" s="713">
        <f>BQ62+CFS!BR44</f>
        <v>0.23400000000000001</v>
      </c>
      <c r="BS62" s="714">
        <f>BR62+CFS!BS44</f>
        <v>0.23400000000000001</v>
      </c>
      <c r="BT62" s="712">
        <f>BS62+CFS!BT44</f>
        <v>0.23400000000000001</v>
      </c>
      <c r="BU62" s="713">
        <f>BT62+CFS!BU44</f>
        <v>0.23400000000000001</v>
      </c>
      <c r="BV62" s="713">
        <f>BU62+CFS!BV44</f>
        <v>0.23400000000000001</v>
      </c>
      <c r="BW62" s="714">
        <f>BV62+CFS!BW44</f>
        <v>0.23400000000000001</v>
      </c>
      <c r="BX62" s="20"/>
      <c r="BY62" s="81">
        <f>G62</f>
        <v>0.20300000000000001</v>
      </c>
      <c r="BZ62" s="81">
        <f>K62</f>
        <v>0.20699999999999999</v>
      </c>
      <c r="CA62" s="81">
        <f>O62</f>
        <v>0.20799999999999999</v>
      </c>
      <c r="CB62" s="81">
        <f>S62</f>
        <v>0.214</v>
      </c>
      <c r="CC62" s="81">
        <f>W62</f>
        <v>0.217</v>
      </c>
      <c r="CD62" s="81">
        <f>AA62</f>
        <v>0.184</v>
      </c>
      <c r="CE62" s="81">
        <f>AE62</f>
        <v>0.183</v>
      </c>
      <c r="CF62" s="81">
        <f>AI62</f>
        <v>0.185</v>
      </c>
      <c r="CG62" s="80">
        <f>AM62</f>
        <v>0.19</v>
      </c>
      <c r="CH62" s="81">
        <f>AQ62</f>
        <v>0.193</v>
      </c>
      <c r="CI62" s="81">
        <f>AU62</f>
        <v>0.19600000000000001</v>
      </c>
      <c r="CJ62" s="81">
        <f>AY62</f>
        <v>0.2</v>
      </c>
      <c r="CK62" s="81">
        <f>BC62</f>
        <v>0.20200000000000001</v>
      </c>
      <c r="CL62" s="81">
        <f>BG62</f>
        <v>0.20399999999999999</v>
      </c>
      <c r="CM62" s="81">
        <f>BK62</f>
        <v>0.22900000000000001</v>
      </c>
      <c r="CN62" s="81">
        <f>BO62</f>
        <v>0.23400000000000001</v>
      </c>
      <c r="CO62" s="81">
        <f>BS62</f>
        <v>0.23400000000000001</v>
      </c>
      <c r="CP62" s="81">
        <f t="shared" ref="CP62:CP64" si="263">BW62</f>
        <v>0.23400000000000001</v>
      </c>
      <c r="CQ62" s="20"/>
      <c r="CR62" s="80">
        <f>J62</f>
        <v>0.20799999999999999</v>
      </c>
      <c r="CS62" s="81">
        <f>N62</f>
        <v>0.20699999999999999</v>
      </c>
      <c r="CT62" s="81">
        <f>R62</f>
        <v>0.21199999999999999</v>
      </c>
      <c r="CU62" s="81">
        <f>V62</f>
        <v>0.216</v>
      </c>
      <c r="CV62" s="81">
        <f>Z62</f>
        <v>0.189</v>
      </c>
      <c r="CW62" s="81">
        <f>AD62</f>
        <v>0.182</v>
      </c>
      <c r="CX62" s="81">
        <f>AH62</f>
        <v>0.184</v>
      </c>
      <c r="CY62" s="81">
        <f>AL62</f>
        <v>0.188</v>
      </c>
      <c r="CZ62" s="81">
        <f>AP62</f>
        <v>0.192</v>
      </c>
      <c r="DA62" s="81">
        <f>AT62</f>
        <v>0.19500000000000001</v>
      </c>
      <c r="DB62" s="81">
        <f>AX62</f>
        <v>0.19900000000000001</v>
      </c>
      <c r="DC62" s="81">
        <f>BB62</f>
        <v>0.20100000000000001</v>
      </c>
      <c r="DD62" s="81">
        <f>BF62</f>
        <v>0.20300000000000001</v>
      </c>
      <c r="DE62" s="81">
        <f>BJ62</f>
        <v>0.216</v>
      </c>
      <c r="DF62" s="81">
        <f>BN62</f>
        <v>0.23400000000000001</v>
      </c>
      <c r="DG62" s="81">
        <f>BR62</f>
        <v>0.23400000000000001</v>
      </c>
      <c r="DH62" s="81">
        <f t="shared" ref="DH62:DH64" si="264">BV62</f>
        <v>0.23400000000000001</v>
      </c>
      <c r="DI62" s="22"/>
    </row>
    <row r="63" spans="1:113" ht="14.25" customHeight="1">
      <c r="A63" s="8"/>
      <c r="B63" s="611" t="s">
        <v>49</v>
      </c>
      <c r="C63" s="94"/>
      <c r="D63" s="83">
        <v>0</v>
      </c>
      <c r="E63" s="84">
        <v>0</v>
      </c>
      <c r="F63" s="84">
        <v>0</v>
      </c>
      <c r="G63" s="85">
        <v>0</v>
      </c>
      <c r="H63" s="83">
        <v>0</v>
      </c>
      <c r="I63" s="84">
        <v>0</v>
      </c>
      <c r="J63" s="84">
        <v>0</v>
      </c>
      <c r="K63" s="85">
        <v>0</v>
      </c>
      <c r="L63" s="83">
        <v>0</v>
      </c>
      <c r="M63" s="84">
        <v>0</v>
      </c>
      <c r="N63" s="84">
        <v>0</v>
      </c>
      <c r="O63" s="85">
        <v>0</v>
      </c>
      <c r="P63" s="83">
        <v>0</v>
      </c>
      <c r="Q63" s="84">
        <v>0</v>
      </c>
      <c r="R63" s="84">
        <v>0</v>
      </c>
      <c r="S63" s="85">
        <v>0</v>
      </c>
      <c r="T63" s="83">
        <v>0</v>
      </c>
      <c r="U63" s="84">
        <v>0</v>
      </c>
      <c r="V63" s="84">
        <v>0</v>
      </c>
      <c r="W63" s="85">
        <v>0</v>
      </c>
      <c r="X63" s="83">
        <v>0</v>
      </c>
      <c r="Y63" s="84">
        <v>0</v>
      </c>
      <c r="Z63" s="84">
        <v>0</v>
      </c>
      <c r="AA63" s="85">
        <v>0</v>
      </c>
      <c r="AB63" s="83">
        <v>0</v>
      </c>
      <c r="AC63" s="84">
        <v>0</v>
      </c>
      <c r="AD63" s="84">
        <v>0</v>
      </c>
      <c r="AE63" s="85">
        <v>0</v>
      </c>
      <c r="AF63" s="83">
        <v>0</v>
      </c>
      <c r="AG63" s="84">
        <v>0</v>
      </c>
      <c r="AH63" s="84">
        <v>0</v>
      </c>
      <c r="AI63" s="85">
        <v>0</v>
      </c>
      <c r="AJ63" s="84">
        <v>0</v>
      </c>
      <c r="AK63" s="84">
        <v>0</v>
      </c>
      <c r="AL63" s="84">
        <v>0</v>
      </c>
      <c r="AM63" s="85">
        <v>0</v>
      </c>
      <c r="AN63" s="84">
        <v>0</v>
      </c>
      <c r="AO63" s="84">
        <v>0</v>
      </c>
      <c r="AP63" s="84">
        <v>0</v>
      </c>
      <c r="AQ63" s="85">
        <v>0</v>
      </c>
      <c r="AR63" s="84">
        <v>0</v>
      </c>
      <c r="AS63" s="84">
        <v>0</v>
      </c>
      <c r="AT63" s="84">
        <v>0</v>
      </c>
      <c r="AU63" s="85">
        <v>0</v>
      </c>
      <c r="AV63" s="84">
        <v>0</v>
      </c>
      <c r="AW63" s="84">
        <v>0</v>
      </c>
      <c r="AX63" s="84">
        <v>0</v>
      </c>
      <c r="AY63" s="85">
        <v>0</v>
      </c>
      <c r="AZ63" s="84">
        <v>0</v>
      </c>
      <c r="BA63" s="84">
        <v>0</v>
      </c>
      <c r="BB63" s="84">
        <v>0</v>
      </c>
      <c r="BC63" s="85">
        <v>0</v>
      </c>
      <c r="BD63" s="84">
        <v>0</v>
      </c>
      <c r="BE63" s="84">
        <v>0</v>
      </c>
      <c r="BF63" s="84">
        <v>0</v>
      </c>
      <c r="BG63" s="85">
        <v>0</v>
      </c>
      <c r="BH63" s="84">
        <v>0</v>
      </c>
      <c r="BI63" s="84">
        <v>0</v>
      </c>
      <c r="BJ63" s="84">
        <v>0</v>
      </c>
      <c r="BK63" s="85">
        <v>0</v>
      </c>
      <c r="BL63" s="84">
        <v>0</v>
      </c>
      <c r="BM63" s="84">
        <v>0</v>
      </c>
      <c r="BN63" s="84">
        <v>0</v>
      </c>
      <c r="BO63" s="82">
        <f t="shared" ref="BO63" si="265">BN63</f>
        <v>0</v>
      </c>
      <c r="BP63" s="81">
        <f t="shared" ref="BP63:BW63" si="266">BO63</f>
        <v>0</v>
      </c>
      <c r="BQ63" s="81">
        <f t="shared" si="266"/>
        <v>0</v>
      </c>
      <c r="BR63" s="81">
        <f t="shared" si="266"/>
        <v>0</v>
      </c>
      <c r="BS63" s="82">
        <f t="shared" si="266"/>
        <v>0</v>
      </c>
      <c r="BT63" s="81">
        <f t="shared" si="266"/>
        <v>0</v>
      </c>
      <c r="BU63" s="81">
        <f t="shared" si="266"/>
        <v>0</v>
      </c>
      <c r="BV63" s="81">
        <f t="shared" si="266"/>
        <v>0</v>
      </c>
      <c r="BW63" s="82">
        <f t="shared" si="266"/>
        <v>0</v>
      </c>
      <c r="BX63" s="20"/>
      <c r="BY63" s="81">
        <f>G63</f>
        <v>0</v>
      </c>
      <c r="BZ63" s="81">
        <f>K63</f>
        <v>0</v>
      </c>
      <c r="CA63" s="81">
        <f>O63</f>
        <v>0</v>
      </c>
      <c r="CB63" s="81">
        <f>S63</f>
        <v>0</v>
      </c>
      <c r="CC63" s="81">
        <f>W63</f>
        <v>0</v>
      </c>
      <c r="CD63" s="81">
        <f>AA63</f>
        <v>0</v>
      </c>
      <c r="CE63" s="81">
        <f>AE63</f>
        <v>0</v>
      </c>
      <c r="CF63" s="81">
        <f>AI63</f>
        <v>0</v>
      </c>
      <c r="CG63" s="80">
        <f>AM63</f>
        <v>0</v>
      </c>
      <c r="CH63" s="81">
        <f>AQ63</f>
        <v>0</v>
      </c>
      <c r="CI63" s="81">
        <f>AU63</f>
        <v>0</v>
      </c>
      <c r="CJ63" s="81">
        <f>AY63</f>
        <v>0</v>
      </c>
      <c r="CK63" s="81">
        <f>BC63</f>
        <v>0</v>
      </c>
      <c r="CL63" s="81">
        <f>BG63</f>
        <v>0</v>
      </c>
      <c r="CM63" s="81">
        <f>BK63</f>
        <v>0</v>
      </c>
      <c r="CN63" s="81">
        <f>BO63</f>
        <v>0</v>
      </c>
      <c r="CO63" s="81">
        <f>BS63</f>
        <v>0</v>
      </c>
      <c r="CP63" s="81">
        <f t="shared" si="263"/>
        <v>0</v>
      </c>
      <c r="CQ63" s="20"/>
      <c r="CR63" s="80">
        <f>J63</f>
        <v>0</v>
      </c>
      <c r="CS63" s="81">
        <f>N63</f>
        <v>0</v>
      </c>
      <c r="CT63" s="81">
        <f>R63</f>
        <v>0</v>
      </c>
      <c r="CU63" s="81">
        <f>V63</f>
        <v>0</v>
      </c>
      <c r="CV63" s="81">
        <f>Z63</f>
        <v>0</v>
      </c>
      <c r="CW63" s="81">
        <f>AD63</f>
        <v>0</v>
      </c>
      <c r="CX63" s="81">
        <f>AH63</f>
        <v>0</v>
      </c>
      <c r="CY63" s="81">
        <f>AL63</f>
        <v>0</v>
      </c>
      <c r="CZ63" s="81">
        <f>AP63</f>
        <v>0</v>
      </c>
      <c r="DA63" s="81">
        <f>AT63</f>
        <v>0</v>
      </c>
      <c r="DB63" s="81">
        <f>AX63</f>
        <v>0</v>
      </c>
      <c r="DC63" s="81">
        <f>BB63</f>
        <v>0</v>
      </c>
      <c r="DD63" s="81">
        <f>BF63</f>
        <v>0</v>
      </c>
      <c r="DE63" s="81">
        <f>BJ63</f>
        <v>0</v>
      </c>
      <c r="DF63" s="81">
        <f>BN63</f>
        <v>0</v>
      </c>
      <c r="DG63" s="81">
        <f>BR63</f>
        <v>0</v>
      </c>
      <c r="DH63" s="81">
        <f t="shared" si="264"/>
        <v>0</v>
      </c>
      <c r="DI63" s="22"/>
    </row>
    <row r="64" spans="1:113" ht="14.25" customHeight="1">
      <c r="A64" s="8"/>
      <c r="B64" s="611" t="s">
        <v>50</v>
      </c>
      <c r="C64" s="94"/>
      <c r="D64" s="83">
        <v>473.84300000000002</v>
      </c>
      <c r="E64" s="84">
        <v>480.12799999999999</v>
      </c>
      <c r="F64" s="84">
        <v>490.82600000000002</v>
      </c>
      <c r="G64" s="85">
        <v>486.315</v>
      </c>
      <c r="H64" s="83">
        <v>486.28399999999999</v>
      </c>
      <c r="I64" s="84">
        <v>510.90100000000001</v>
      </c>
      <c r="J64" s="84">
        <v>546.63800000000003</v>
      </c>
      <c r="K64" s="85">
        <v>558.35400000000004</v>
      </c>
      <c r="L64" s="83">
        <v>551.22</v>
      </c>
      <c r="M64" s="84">
        <v>544.95600000000002</v>
      </c>
      <c r="N64" s="84">
        <v>536.82100000000003</v>
      </c>
      <c r="O64" s="85">
        <v>532.66600000000005</v>
      </c>
      <c r="P64" s="83">
        <v>533.36599999999999</v>
      </c>
      <c r="Q64" s="84">
        <v>557.87300000000005</v>
      </c>
      <c r="R64" s="84">
        <v>592.30499999999995</v>
      </c>
      <c r="S64" s="85">
        <v>639.23800000000006</v>
      </c>
      <c r="T64" s="83">
        <v>665.59799999999996</v>
      </c>
      <c r="U64" s="84">
        <v>693.17</v>
      </c>
      <c r="V64" s="84">
        <v>713.61099999999999</v>
      </c>
      <c r="W64" s="85">
        <v>755.83399999999995</v>
      </c>
      <c r="X64" s="83">
        <v>794.35599999999999</v>
      </c>
      <c r="Y64" s="84">
        <v>798.68</v>
      </c>
      <c r="Z64" s="84">
        <v>797.43299999999999</v>
      </c>
      <c r="AA64" s="85">
        <v>793.91899999999998</v>
      </c>
      <c r="AB64" s="83">
        <v>788.23299999999995</v>
      </c>
      <c r="AC64" s="84">
        <v>785.62</v>
      </c>
      <c r="AD64" s="84">
        <v>790.44100000000003</v>
      </c>
      <c r="AE64" s="85">
        <v>778.20399999999995</v>
      </c>
      <c r="AF64" s="83">
        <v>1278.212</v>
      </c>
      <c r="AG64" s="84">
        <v>1276.2059999999999</v>
      </c>
      <c r="AH64" s="84">
        <v>1275.123</v>
      </c>
      <c r="AI64" s="85">
        <v>1276.8219999999999</v>
      </c>
      <c r="AJ64" s="84">
        <v>1274.9760000000001</v>
      </c>
      <c r="AK64" s="84">
        <v>1272.037</v>
      </c>
      <c r="AL64" s="84">
        <v>1268.4490000000001</v>
      </c>
      <c r="AM64" s="85">
        <v>1268.1279999999999</v>
      </c>
      <c r="AN64" s="84">
        <v>1269.3030000000001</v>
      </c>
      <c r="AO64" s="84">
        <v>1270.008</v>
      </c>
      <c r="AP64" s="84">
        <v>1270.3430000000001</v>
      </c>
      <c r="AQ64" s="85">
        <v>1268.9069999999999</v>
      </c>
      <c r="AR64" s="84">
        <v>1269.607</v>
      </c>
      <c r="AS64" s="84">
        <v>1277.126</v>
      </c>
      <c r="AT64" s="84">
        <v>1273.4549999999999</v>
      </c>
      <c r="AU64" s="85">
        <v>1255.627</v>
      </c>
      <c r="AV64" s="84">
        <v>1252.9870000000001</v>
      </c>
      <c r="AW64" s="84">
        <v>1255.4190000000001</v>
      </c>
      <c r="AX64" s="84">
        <v>1254.7639999999999</v>
      </c>
      <c r="AY64" s="85">
        <v>1244.5830000000001</v>
      </c>
      <c r="AZ64" s="84">
        <v>1245.191</v>
      </c>
      <c r="BA64" s="84">
        <v>1248.8409999999999</v>
      </c>
      <c r="BB64" s="84">
        <v>1252.902</v>
      </c>
      <c r="BC64" s="85">
        <v>999.51499999999999</v>
      </c>
      <c r="BD64" s="84">
        <v>1001.9349999999999</v>
      </c>
      <c r="BE64" s="84">
        <v>1382.818</v>
      </c>
      <c r="BF64" s="84">
        <v>1385.8150000000001</v>
      </c>
      <c r="BG64" s="85">
        <v>1391.5530000000001</v>
      </c>
      <c r="BH64" s="84">
        <v>1901.46</v>
      </c>
      <c r="BI64" s="84">
        <v>1905.2280000000001</v>
      </c>
      <c r="BJ64" s="84">
        <v>1904.2149999999999</v>
      </c>
      <c r="BK64" s="85">
        <v>2537.3440000000001</v>
      </c>
      <c r="BL64" s="84">
        <v>2583.5749999999998</v>
      </c>
      <c r="BM64" s="84">
        <v>2590.085</v>
      </c>
      <c r="BN64" s="84">
        <v>2556.2739999999999</v>
      </c>
      <c r="BO64" s="714">
        <f>BN64+CFS!BO13</f>
        <v>2580.277</v>
      </c>
      <c r="BP64" s="712">
        <f>BO64+CFS!BP13</f>
        <v>2604.2800000000002</v>
      </c>
      <c r="BQ64" s="713">
        <f>BP64+CFS!BQ13</f>
        <v>2628.2830000000004</v>
      </c>
      <c r="BR64" s="713">
        <f>BQ64+CFS!BR13</f>
        <v>2652.2860000000005</v>
      </c>
      <c r="BS64" s="714">
        <f>BR64+CFS!BS13</f>
        <v>2676.2890000000007</v>
      </c>
      <c r="BT64" s="712">
        <f>BS64+CFS!BT13</f>
        <v>2700.2920000000008</v>
      </c>
      <c r="BU64" s="713">
        <f>BT64+CFS!BU13</f>
        <v>2724.295000000001</v>
      </c>
      <c r="BV64" s="713">
        <f>BU64+CFS!BV13</f>
        <v>2748.2980000000011</v>
      </c>
      <c r="BW64" s="714">
        <f>BV64+CFS!BW13</f>
        <v>2772.3010000000013</v>
      </c>
      <c r="BX64" s="20"/>
      <c r="BY64" s="81">
        <f>G64</f>
        <v>486.315</v>
      </c>
      <c r="BZ64" s="81">
        <f>K64</f>
        <v>558.35400000000004</v>
      </c>
      <c r="CA64" s="81">
        <f>O64</f>
        <v>532.66600000000005</v>
      </c>
      <c r="CB64" s="81">
        <f>S64</f>
        <v>639.23800000000006</v>
      </c>
      <c r="CC64" s="81">
        <f>W64</f>
        <v>755.83399999999995</v>
      </c>
      <c r="CD64" s="81">
        <f>AA64</f>
        <v>793.91899999999998</v>
      </c>
      <c r="CE64" s="81">
        <f>AE64</f>
        <v>778.20399999999995</v>
      </c>
      <c r="CF64" s="81">
        <f>AI64</f>
        <v>1276.8219999999999</v>
      </c>
      <c r="CG64" s="80">
        <f>AM64</f>
        <v>1268.1279999999999</v>
      </c>
      <c r="CH64" s="81">
        <f>AQ64</f>
        <v>1268.9069999999999</v>
      </c>
      <c r="CI64" s="81">
        <f>AU64</f>
        <v>1255.627</v>
      </c>
      <c r="CJ64" s="81">
        <f>AY64</f>
        <v>1244.5830000000001</v>
      </c>
      <c r="CK64" s="81">
        <f>BC64</f>
        <v>999.51499999999999</v>
      </c>
      <c r="CL64" s="81">
        <f>BG64</f>
        <v>1391.5530000000001</v>
      </c>
      <c r="CM64" s="81">
        <f>BK64</f>
        <v>2537.3440000000001</v>
      </c>
      <c r="CN64" s="81">
        <f>BO64</f>
        <v>2580.277</v>
      </c>
      <c r="CO64" s="81">
        <f>BS64</f>
        <v>2676.2890000000007</v>
      </c>
      <c r="CP64" s="81">
        <f t="shared" si="263"/>
        <v>2772.3010000000013</v>
      </c>
      <c r="CQ64" s="20"/>
      <c r="CR64" s="80">
        <f>J64</f>
        <v>546.63800000000003</v>
      </c>
      <c r="CS64" s="81">
        <f>N64</f>
        <v>536.82100000000003</v>
      </c>
      <c r="CT64" s="81">
        <f>R64</f>
        <v>592.30499999999995</v>
      </c>
      <c r="CU64" s="81">
        <f>V64</f>
        <v>713.61099999999999</v>
      </c>
      <c r="CV64" s="81">
        <f>Z64</f>
        <v>797.43299999999999</v>
      </c>
      <c r="CW64" s="81">
        <f>AD64</f>
        <v>790.44100000000003</v>
      </c>
      <c r="CX64" s="81">
        <f>AH64</f>
        <v>1275.123</v>
      </c>
      <c r="CY64" s="81">
        <f>AL64</f>
        <v>1268.4490000000001</v>
      </c>
      <c r="CZ64" s="81">
        <f>AP64</f>
        <v>1270.3430000000001</v>
      </c>
      <c r="DA64" s="81">
        <f>AT64</f>
        <v>1273.4549999999999</v>
      </c>
      <c r="DB64" s="81">
        <f>AX64</f>
        <v>1254.7639999999999</v>
      </c>
      <c r="DC64" s="81">
        <f>BB64</f>
        <v>1252.902</v>
      </c>
      <c r="DD64" s="81">
        <f>BF64</f>
        <v>1385.8150000000001</v>
      </c>
      <c r="DE64" s="81">
        <f>BJ64</f>
        <v>1904.2149999999999</v>
      </c>
      <c r="DF64" s="81">
        <f>BN64</f>
        <v>2556.2739999999999</v>
      </c>
      <c r="DG64" s="81">
        <f>BR64</f>
        <v>2652.2860000000005</v>
      </c>
      <c r="DH64" s="81">
        <f t="shared" si="264"/>
        <v>2748.2980000000011</v>
      </c>
      <c r="DI64" s="22"/>
    </row>
    <row r="65" spans="1:113" ht="14.25" customHeight="1">
      <c r="A65" s="8"/>
      <c r="B65" s="670" t="s">
        <v>51</v>
      </c>
      <c r="C65" s="149"/>
      <c r="D65" s="152">
        <f t="shared" ref="D65:O65" si="267">SUM(D61:D64)</f>
        <v>474.04500000000002</v>
      </c>
      <c r="E65" s="150">
        <f t="shared" si="267"/>
        <v>480.33099999999996</v>
      </c>
      <c r="F65" s="150">
        <f t="shared" si="267"/>
        <v>491.029</v>
      </c>
      <c r="G65" s="151">
        <f t="shared" si="267"/>
        <v>486.51799999999997</v>
      </c>
      <c r="H65" s="152">
        <f t="shared" si="267"/>
        <v>486.488</v>
      </c>
      <c r="I65" s="150">
        <f t="shared" si="267"/>
        <v>511.10700000000003</v>
      </c>
      <c r="J65" s="150">
        <f t="shared" si="267"/>
        <v>546.846</v>
      </c>
      <c r="K65" s="151">
        <f t="shared" si="267"/>
        <v>558.56100000000004</v>
      </c>
      <c r="L65" s="152">
        <f t="shared" si="267"/>
        <v>551.42700000000002</v>
      </c>
      <c r="M65" s="150">
        <f t="shared" si="267"/>
        <v>545.16200000000003</v>
      </c>
      <c r="N65" s="150">
        <f t="shared" si="267"/>
        <v>537.02800000000002</v>
      </c>
      <c r="O65" s="151">
        <f t="shared" si="267"/>
        <v>532.87400000000002</v>
      </c>
      <c r="P65" s="152">
        <f t="shared" ref="P65:AL65" si="268">SUM(P61:P64)</f>
        <v>533.57499999999993</v>
      </c>
      <c r="Q65" s="150">
        <f t="shared" si="268"/>
        <v>558.08300000000008</v>
      </c>
      <c r="R65" s="150">
        <f t="shared" si="268"/>
        <v>592.51699999999994</v>
      </c>
      <c r="S65" s="151">
        <f t="shared" si="268"/>
        <v>639.45200000000011</v>
      </c>
      <c r="T65" s="152">
        <f t="shared" si="268"/>
        <v>665.81299999999999</v>
      </c>
      <c r="U65" s="150">
        <f t="shared" si="268"/>
        <v>693.38499999999999</v>
      </c>
      <c r="V65" s="150">
        <f t="shared" si="268"/>
        <v>713.827</v>
      </c>
      <c r="W65" s="151">
        <f t="shared" si="268"/>
        <v>756.05099999999993</v>
      </c>
      <c r="X65" s="152">
        <f t="shared" si="268"/>
        <v>794.57500000000005</v>
      </c>
      <c r="Y65" s="150">
        <f t="shared" si="268"/>
        <v>798.89499999999998</v>
      </c>
      <c r="Z65" s="150">
        <f t="shared" si="268"/>
        <v>797.62199999999996</v>
      </c>
      <c r="AA65" s="151">
        <f t="shared" si="268"/>
        <v>794.10299999999995</v>
      </c>
      <c r="AB65" s="152">
        <f t="shared" si="268"/>
        <v>788.41699999999992</v>
      </c>
      <c r="AC65" s="150">
        <f t="shared" si="268"/>
        <v>785.80200000000002</v>
      </c>
      <c r="AD65" s="150">
        <f t="shared" si="268"/>
        <v>790.62300000000005</v>
      </c>
      <c r="AE65" s="151">
        <f t="shared" si="268"/>
        <v>778.38699999999994</v>
      </c>
      <c r="AF65" s="152">
        <f t="shared" si="268"/>
        <v>1278.395</v>
      </c>
      <c r="AG65" s="150">
        <f t="shared" si="268"/>
        <v>1276.3899999999999</v>
      </c>
      <c r="AH65" s="150">
        <f t="shared" si="268"/>
        <v>1275.307</v>
      </c>
      <c r="AI65" s="151">
        <f t="shared" si="268"/>
        <v>1277.0069999999998</v>
      </c>
      <c r="AJ65" s="150">
        <f t="shared" si="268"/>
        <v>1275.162</v>
      </c>
      <c r="AK65" s="150">
        <f t="shared" si="268"/>
        <v>1272.2239999999999</v>
      </c>
      <c r="AL65" s="150">
        <f t="shared" si="268"/>
        <v>1268.6370000000002</v>
      </c>
      <c r="AM65" s="151">
        <f t="shared" ref="AM65:BC65" si="269">SUM(AM61:AM64)</f>
        <v>1268.318</v>
      </c>
      <c r="AN65" s="150">
        <f t="shared" si="269"/>
        <v>1269.4940000000001</v>
      </c>
      <c r="AO65" s="150">
        <f t="shared" si="269"/>
        <v>1270.1990000000001</v>
      </c>
      <c r="AP65" s="150">
        <f t="shared" si="269"/>
        <v>1270.5350000000001</v>
      </c>
      <c r="AQ65" s="151">
        <f t="shared" si="269"/>
        <v>1269.0999999999999</v>
      </c>
      <c r="AR65" s="150">
        <f t="shared" si="269"/>
        <v>1269.8009999999999</v>
      </c>
      <c r="AS65" s="150">
        <f t="shared" si="269"/>
        <v>1277.32</v>
      </c>
      <c r="AT65" s="150">
        <f t="shared" si="269"/>
        <v>1273.6499999999999</v>
      </c>
      <c r="AU65" s="151">
        <f t="shared" si="269"/>
        <v>1255.8229999999999</v>
      </c>
      <c r="AV65" s="150">
        <f t="shared" si="269"/>
        <v>1253.184</v>
      </c>
      <c r="AW65" s="150">
        <f t="shared" si="269"/>
        <v>1255.6170000000002</v>
      </c>
      <c r="AX65" s="150">
        <f t="shared" si="269"/>
        <v>1254.963</v>
      </c>
      <c r="AY65" s="151">
        <f t="shared" si="269"/>
        <v>1244.7830000000001</v>
      </c>
      <c r="AZ65" s="150">
        <f>SUM(AZ61:AZ64)</f>
        <v>1245.3910000000001</v>
      </c>
      <c r="BA65" s="150">
        <f>SUM(BA61:BA64)</f>
        <v>1249.0419999999999</v>
      </c>
      <c r="BB65" s="150">
        <f>SUM(BB61:BB64)</f>
        <v>1253.1030000000001</v>
      </c>
      <c r="BC65" s="151">
        <f t="shared" si="269"/>
        <v>999.71699999999998</v>
      </c>
      <c r="BD65" s="150">
        <f t="shared" ref="BD65:BI65" si="270">SUM(BD61:BD64)</f>
        <v>1002.1369999999999</v>
      </c>
      <c r="BE65" s="150">
        <f t="shared" si="270"/>
        <v>1383.021</v>
      </c>
      <c r="BF65" s="150">
        <f t="shared" si="270"/>
        <v>1386.018</v>
      </c>
      <c r="BG65" s="151">
        <f t="shared" si="270"/>
        <v>1391.7570000000001</v>
      </c>
      <c r="BH65" s="150">
        <f t="shared" si="270"/>
        <v>1901.675</v>
      </c>
      <c r="BI65" s="150">
        <f t="shared" si="270"/>
        <v>1905.444</v>
      </c>
      <c r="BJ65" s="150">
        <f t="shared" ref="BJ65" si="271">SUM(BJ61:BJ64)</f>
        <v>1904.4309999999998</v>
      </c>
      <c r="BK65" s="151">
        <f t="shared" ref="BK65:BO65" si="272">SUM(BK61:BK64)</f>
        <v>2537.5729999999999</v>
      </c>
      <c r="BL65" s="150">
        <f t="shared" si="272"/>
        <v>2583.808</v>
      </c>
      <c r="BM65" s="150">
        <f t="shared" si="272"/>
        <v>2590.319</v>
      </c>
      <c r="BN65" s="150">
        <f t="shared" si="272"/>
        <v>2556.5079999999998</v>
      </c>
      <c r="BO65" s="151">
        <f t="shared" si="272"/>
        <v>2580.511</v>
      </c>
      <c r="BP65" s="150">
        <f t="shared" ref="BP65:BW65" si="273">SUM(BP61:BP64)</f>
        <v>2604.5140000000001</v>
      </c>
      <c r="BQ65" s="150">
        <f t="shared" si="273"/>
        <v>2628.5170000000003</v>
      </c>
      <c r="BR65" s="150">
        <f t="shared" si="273"/>
        <v>2652.5200000000004</v>
      </c>
      <c r="BS65" s="151">
        <f t="shared" si="273"/>
        <v>2676.5230000000006</v>
      </c>
      <c r="BT65" s="150">
        <f t="shared" si="273"/>
        <v>2700.5260000000007</v>
      </c>
      <c r="BU65" s="150">
        <f t="shared" si="273"/>
        <v>2724.5290000000009</v>
      </c>
      <c r="BV65" s="150">
        <f t="shared" si="273"/>
        <v>2748.5320000000011</v>
      </c>
      <c r="BW65" s="151">
        <f t="shared" si="273"/>
        <v>2772.5350000000012</v>
      </c>
      <c r="BX65" s="20"/>
      <c r="BY65" s="150">
        <f>SUM(BY61:BY64)</f>
        <v>486.51799999999997</v>
      </c>
      <c r="BZ65" s="150">
        <f>SUM(BZ61:BZ64)</f>
        <v>558.56100000000004</v>
      </c>
      <c r="CA65" s="150">
        <f>SUM(CA61:CA64)</f>
        <v>532.87400000000002</v>
      </c>
      <c r="CB65" s="150">
        <f t="shared" ref="CB65:CG65" si="274">SUM(CB61:CB64)</f>
        <v>639.45200000000011</v>
      </c>
      <c r="CC65" s="150">
        <f t="shared" si="274"/>
        <v>756.05099999999993</v>
      </c>
      <c r="CD65" s="150">
        <f t="shared" si="274"/>
        <v>794.10299999999995</v>
      </c>
      <c r="CE65" s="150">
        <f t="shared" si="274"/>
        <v>778.38699999999994</v>
      </c>
      <c r="CF65" s="150">
        <f t="shared" si="274"/>
        <v>1277.0069999999998</v>
      </c>
      <c r="CG65" s="152">
        <f t="shared" si="274"/>
        <v>1268.318</v>
      </c>
      <c r="CH65" s="150">
        <f t="shared" ref="CH65:CN65" si="275">SUM(CH61:CH64)</f>
        <v>1269.0999999999999</v>
      </c>
      <c r="CI65" s="150">
        <f t="shared" si="275"/>
        <v>1255.8229999999999</v>
      </c>
      <c r="CJ65" s="150">
        <f t="shared" si="275"/>
        <v>1244.7830000000001</v>
      </c>
      <c r="CK65" s="150">
        <f t="shared" si="275"/>
        <v>999.71699999999998</v>
      </c>
      <c r="CL65" s="150">
        <f t="shared" si="275"/>
        <v>1391.7570000000001</v>
      </c>
      <c r="CM65" s="150">
        <f t="shared" si="275"/>
        <v>2537.5729999999999</v>
      </c>
      <c r="CN65" s="150">
        <f t="shared" si="275"/>
        <v>2580.511</v>
      </c>
      <c r="CO65" s="150">
        <f>SUM(CO61:CO64)</f>
        <v>2676.5230000000006</v>
      </c>
      <c r="CP65" s="150">
        <f>SUM(CP61:CP64)</f>
        <v>2772.5350000000012</v>
      </c>
      <c r="CQ65" s="20"/>
      <c r="CR65" s="152">
        <f>SUM(CR61:CR64)</f>
        <v>546.846</v>
      </c>
      <c r="CS65" s="150">
        <f>SUM(CS61:CS64)</f>
        <v>537.02800000000002</v>
      </c>
      <c r="CT65" s="150">
        <f>SUM(CT61:CT64)</f>
        <v>592.51699999999994</v>
      </c>
      <c r="CU65" s="150">
        <f t="shared" ref="CU65:DA65" si="276">SUM(CU61:CU64)</f>
        <v>713.827</v>
      </c>
      <c r="CV65" s="150">
        <f t="shared" si="276"/>
        <v>797.62199999999996</v>
      </c>
      <c r="CW65" s="150">
        <f t="shared" si="276"/>
        <v>790.62300000000005</v>
      </c>
      <c r="CX65" s="150">
        <f t="shared" si="276"/>
        <v>1275.307</v>
      </c>
      <c r="CY65" s="150">
        <f t="shared" si="276"/>
        <v>1268.6370000000002</v>
      </c>
      <c r="CZ65" s="150">
        <f t="shared" si="276"/>
        <v>1270.5350000000001</v>
      </c>
      <c r="DA65" s="150">
        <f t="shared" si="276"/>
        <v>1273.6499999999999</v>
      </c>
      <c r="DB65" s="150">
        <f t="shared" ref="DB65:DG65" si="277">SUM(DB61:DB64)</f>
        <v>1254.963</v>
      </c>
      <c r="DC65" s="150">
        <f t="shared" si="277"/>
        <v>1253.1030000000001</v>
      </c>
      <c r="DD65" s="150">
        <f t="shared" si="277"/>
        <v>1386.018</v>
      </c>
      <c r="DE65" s="150">
        <f t="shared" si="277"/>
        <v>1904.4309999999998</v>
      </c>
      <c r="DF65" s="150">
        <f t="shared" si="277"/>
        <v>2556.5079999999998</v>
      </c>
      <c r="DG65" s="150">
        <f t="shared" si="277"/>
        <v>2652.5200000000004</v>
      </c>
      <c r="DH65" s="150">
        <f t="shared" ref="DH65" si="278">SUM(DH61:DH64)</f>
        <v>2748.5320000000011</v>
      </c>
      <c r="DI65" s="22"/>
    </row>
    <row r="66" spans="1:113" ht="14.25" customHeight="1">
      <c r="A66" s="8"/>
      <c r="B66" s="608"/>
      <c r="C66" s="28"/>
      <c r="D66" s="80"/>
      <c r="E66" s="81"/>
      <c r="F66" s="81"/>
      <c r="G66" s="82"/>
      <c r="H66" s="80"/>
      <c r="I66" s="81"/>
      <c r="J66" s="81"/>
      <c r="K66" s="82"/>
      <c r="L66" s="80"/>
      <c r="M66" s="81"/>
      <c r="N66" s="81"/>
      <c r="O66" s="82"/>
      <c r="P66" s="80"/>
      <c r="Q66" s="81"/>
      <c r="R66" s="81"/>
      <c r="S66" s="82"/>
      <c r="T66" s="80"/>
      <c r="U66" s="81"/>
      <c r="V66" s="81"/>
      <c r="W66" s="82"/>
      <c r="X66" s="80"/>
      <c r="Y66" s="81"/>
      <c r="Z66" s="81"/>
      <c r="AA66" s="82"/>
      <c r="AB66" s="80"/>
      <c r="AC66" s="81"/>
      <c r="AD66" s="81"/>
      <c r="AE66" s="82"/>
      <c r="AF66" s="80"/>
      <c r="AG66" s="81"/>
      <c r="AH66" s="81"/>
      <c r="AI66" s="82"/>
      <c r="AJ66" s="81"/>
      <c r="AK66" s="81"/>
      <c r="AL66" s="81"/>
      <c r="AM66" s="82"/>
      <c r="AN66" s="81"/>
      <c r="AO66" s="81"/>
      <c r="AP66" s="81"/>
      <c r="AQ66" s="82"/>
      <c r="AR66" s="81"/>
      <c r="AS66" s="81"/>
      <c r="AT66" s="81"/>
      <c r="AU66" s="82"/>
      <c r="AV66" s="81"/>
      <c r="AW66" s="81"/>
      <c r="AX66" s="81"/>
      <c r="AY66" s="82"/>
      <c r="AZ66" s="81"/>
      <c r="BA66" s="81"/>
      <c r="BB66" s="81"/>
      <c r="BC66" s="82"/>
      <c r="BD66" s="81"/>
      <c r="BE66" s="81"/>
      <c r="BF66" s="81"/>
      <c r="BG66" s="82"/>
      <c r="BH66" s="81"/>
      <c r="BI66" s="81"/>
      <c r="BJ66" s="81"/>
      <c r="BK66" s="82"/>
      <c r="BL66" s="81"/>
      <c r="BM66" s="81"/>
      <c r="BN66" s="81"/>
      <c r="BO66" s="82"/>
      <c r="BP66" s="81"/>
      <c r="BQ66" s="81"/>
      <c r="BR66" s="81"/>
      <c r="BS66" s="82"/>
      <c r="BT66" s="81"/>
      <c r="BU66" s="81"/>
      <c r="BV66" s="81"/>
      <c r="BW66" s="82"/>
      <c r="BX66" s="20"/>
      <c r="BY66" s="81"/>
      <c r="BZ66" s="81"/>
      <c r="CA66" s="81"/>
      <c r="CB66" s="81"/>
      <c r="CC66" s="81"/>
      <c r="CD66" s="81"/>
      <c r="CE66" s="81"/>
      <c r="CF66" s="81"/>
      <c r="CG66" s="80"/>
      <c r="CH66" s="81"/>
      <c r="CI66" s="81"/>
      <c r="CJ66" s="81"/>
      <c r="CK66" s="81"/>
      <c r="CL66" s="81"/>
      <c r="CM66" s="81"/>
      <c r="CN66" s="143"/>
      <c r="CO66" s="143"/>
      <c r="CP66" s="81"/>
      <c r="CQ66" s="20"/>
      <c r="CR66" s="80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22"/>
    </row>
    <row r="67" spans="1:113" ht="14.25" customHeight="1">
      <c r="A67" s="8"/>
      <c r="B67" s="611" t="s">
        <v>52</v>
      </c>
      <c r="C67" s="94"/>
      <c r="D67" s="83">
        <v>0</v>
      </c>
      <c r="E67" s="84">
        <v>0</v>
      </c>
      <c r="F67" s="84">
        <v>0</v>
      </c>
      <c r="G67" s="85">
        <v>0</v>
      </c>
      <c r="H67" s="83">
        <v>0</v>
      </c>
      <c r="I67" s="84">
        <v>0</v>
      </c>
      <c r="J67" s="84">
        <v>0</v>
      </c>
      <c r="K67" s="85">
        <v>0</v>
      </c>
      <c r="L67" s="83">
        <v>0</v>
      </c>
      <c r="M67" s="84">
        <v>0</v>
      </c>
      <c r="N67" s="84">
        <v>0</v>
      </c>
      <c r="O67" s="85">
        <v>0</v>
      </c>
      <c r="P67" s="83">
        <v>0</v>
      </c>
      <c r="Q67" s="84">
        <v>0</v>
      </c>
      <c r="R67" s="84">
        <v>0</v>
      </c>
      <c r="S67" s="85">
        <v>0</v>
      </c>
      <c r="T67" s="83">
        <v>0</v>
      </c>
      <c r="U67" s="84">
        <v>0</v>
      </c>
      <c r="V67" s="84">
        <v>0</v>
      </c>
      <c r="W67" s="85">
        <v>0</v>
      </c>
      <c r="X67" s="83">
        <v>0</v>
      </c>
      <c r="Y67" s="84">
        <v>0</v>
      </c>
      <c r="Z67" s="84">
        <v>0</v>
      </c>
      <c r="AA67" s="85">
        <v>0</v>
      </c>
      <c r="AB67" s="83">
        <v>0</v>
      </c>
      <c r="AC67" s="84">
        <v>0</v>
      </c>
      <c r="AD67" s="84">
        <v>0</v>
      </c>
      <c r="AE67" s="85">
        <v>0</v>
      </c>
      <c r="AF67" s="83">
        <v>0</v>
      </c>
      <c r="AG67" s="84">
        <v>0</v>
      </c>
      <c r="AH67" s="84">
        <v>0</v>
      </c>
      <c r="AI67" s="85">
        <v>0</v>
      </c>
      <c r="AJ67" s="84">
        <v>0</v>
      </c>
      <c r="AK67" s="84">
        <v>0</v>
      </c>
      <c r="AL67" s="84">
        <v>0</v>
      </c>
      <c r="AM67" s="85">
        <v>0</v>
      </c>
      <c r="AN67" s="84">
        <v>0</v>
      </c>
      <c r="AO67" s="84">
        <v>0</v>
      </c>
      <c r="AP67" s="84">
        <v>0</v>
      </c>
      <c r="AQ67" s="85">
        <v>0</v>
      </c>
      <c r="AR67" s="84">
        <v>0</v>
      </c>
      <c r="AS67" s="84">
        <v>0</v>
      </c>
      <c r="AT67" s="84">
        <v>0</v>
      </c>
      <c r="AU67" s="85">
        <v>0</v>
      </c>
      <c r="AV67" s="84">
        <v>0</v>
      </c>
      <c r="AW67" s="84">
        <v>0</v>
      </c>
      <c r="AX67" s="84">
        <v>0</v>
      </c>
      <c r="AY67" s="85">
        <f>AX67</f>
        <v>0</v>
      </c>
      <c r="AZ67" s="84">
        <v>0</v>
      </c>
      <c r="BA67" s="84">
        <v>0</v>
      </c>
      <c r="BB67" s="84">
        <v>0</v>
      </c>
      <c r="BC67" s="85">
        <f>BB67</f>
        <v>0</v>
      </c>
      <c r="BD67" s="84">
        <v>0</v>
      </c>
      <c r="BE67" s="84">
        <f>BD67</f>
        <v>0</v>
      </c>
      <c r="BF67" s="84">
        <v>0</v>
      </c>
      <c r="BG67" s="85">
        <f t="shared" ref="BG67:BO67" si="279">BF67</f>
        <v>0</v>
      </c>
      <c r="BH67" s="84">
        <v>0</v>
      </c>
      <c r="BI67" s="84">
        <f>BH67</f>
        <v>0</v>
      </c>
      <c r="BJ67" s="84">
        <v>0</v>
      </c>
      <c r="BK67" s="85">
        <f t="shared" si="279"/>
        <v>0</v>
      </c>
      <c r="BL67" s="84">
        <f t="shared" si="279"/>
        <v>0</v>
      </c>
      <c r="BM67" s="84">
        <f t="shared" si="279"/>
        <v>0</v>
      </c>
      <c r="BN67" s="84">
        <v>0</v>
      </c>
      <c r="BO67" s="82">
        <f t="shared" si="279"/>
        <v>0</v>
      </c>
      <c r="BP67" s="81">
        <f t="shared" ref="BP67:BW67" si="280">BO67</f>
        <v>0</v>
      </c>
      <c r="BQ67" s="81">
        <f t="shared" si="280"/>
        <v>0</v>
      </c>
      <c r="BR67" s="81">
        <f t="shared" si="280"/>
        <v>0</v>
      </c>
      <c r="BS67" s="82">
        <f t="shared" si="280"/>
        <v>0</v>
      </c>
      <c r="BT67" s="81">
        <f t="shared" si="280"/>
        <v>0</v>
      </c>
      <c r="BU67" s="81">
        <f t="shared" si="280"/>
        <v>0</v>
      </c>
      <c r="BV67" s="81">
        <f t="shared" si="280"/>
        <v>0</v>
      </c>
      <c r="BW67" s="82">
        <f t="shared" si="280"/>
        <v>0</v>
      </c>
      <c r="BX67" s="20"/>
      <c r="BY67" s="81">
        <f>G67</f>
        <v>0</v>
      </c>
      <c r="BZ67" s="81">
        <f>K67</f>
        <v>0</v>
      </c>
      <c r="CA67" s="81">
        <f>O67</f>
        <v>0</v>
      </c>
      <c r="CB67" s="81">
        <f>S67</f>
        <v>0</v>
      </c>
      <c r="CC67" s="81">
        <f>W67</f>
        <v>0</v>
      </c>
      <c r="CD67" s="81">
        <f>AA67</f>
        <v>0</v>
      </c>
      <c r="CE67" s="81">
        <f>AE67</f>
        <v>0</v>
      </c>
      <c r="CF67" s="81">
        <f>AI67</f>
        <v>0</v>
      </c>
      <c r="CG67" s="80">
        <f>AM67</f>
        <v>0</v>
      </c>
      <c r="CH67" s="81">
        <f>AQ67</f>
        <v>0</v>
      </c>
      <c r="CI67" s="81">
        <f>AU67</f>
        <v>0</v>
      </c>
      <c r="CJ67" s="81">
        <f>AY67</f>
        <v>0</v>
      </c>
      <c r="CK67" s="81">
        <f>BC67</f>
        <v>0</v>
      </c>
      <c r="CL67" s="81">
        <f>BG67</f>
        <v>0</v>
      </c>
      <c r="CM67" s="81">
        <f>BK67</f>
        <v>0</v>
      </c>
      <c r="CN67" s="81">
        <f>BO67</f>
        <v>0</v>
      </c>
      <c r="CO67" s="81">
        <f>BS67</f>
        <v>0</v>
      </c>
      <c r="CP67" s="81">
        <f t="shared" ref="CP67:CP70" si="281">BW67</f>
        <v>0</v>
      </c>
      <c r="CQ67" s="20"/>
      <c r="CR67" s="80">
        <f>J67</f>
        <v>0</v>
      </c>
      <c r="CS67" s="81">
        <f>N67</f>
        <v>0</v>
      </c>
      <c r="CT67" s="81">
        <f>R67</f>
        <v>0</v>
      </c>
      <c r="CU67" s="81">
        <f>V67</f>
        <v>0</v>
      </c>
      <c r="CV67" s="81">
        <f>Z67</f>
        <v>0</v>
      </c>
      <c r="CW67" s="81">
        <f>AD67</f>
        <v>0</v>
      </c>
      <c r="CX67" s="81">
        <f>AH67</f>
        <v>0</v>
      </c>
      <c r="CY67" s="81">
        <f>AL67</f>
        <v>0</v>
      </c>
      <c r="CZ67" s="81">
        <f>AP67</f>
        <v>0</v>
      </c>
      <c r="DA67" s="81">
        <f>AT67</f>
        <v>0</v>
      </c>
      <c r="DB67" s="81">
        <f>AX67</f>
        <v>0</v>
      </c>
      <c r="DC67" s="81">
        <f>BB67</f>
        <v>0</v>
      </c>
      <c r="DD67" s="81">
        <f>BF67</f>
        <v>0</v>
      </c>
      <c r="DE67" s="81">
        <f>BJ67</f>
        <v>0</v>
      </c>
      <c r="DF67" s="81">
        <f>BN67</f>
        <v>0</v>
      </c>
      <c r="DG67" s="81">
        <f>BR67</f>
        <v>0</v>
      </c>
      <c r="DH67" s="81">
        <f t="shared" ref="DH67:DH70" si="282">BV67</f>
        <v>0</v>
      </c>
      <c r="DI67" s="22"/>
    </row>
    <row r="68" spans="1:113" ht="14.25" customHeight="1">
      <c r="A68" s="8"/>
      <c r="B68" s="611" t="s">
        <v>146</v>
      </c>
      <c r="C68" s="94"/>
      <c r="D68" s="83">
        <v>0</v>
      </c>
      <c r="E68" s="84">
        <v>0</v>
      </c>
      <c r="F68" s="84">
        <v>0</v>
      </c>
      <c r="G68" s="85">
        <v>0</v>
      </c>
      <c r="H68" s="83">
        <v>0</v>
      </c>
      <c r="I68" s="84">
        <v>0</v>
      </c>
      <c r="J68" s="84">
        <v>0</v>
      </c>
      <c r="K68" s="85">
        <v>0</v>
      </c>
      <c r="L68" s="83">
        <v>0</v>
      </c>
      <c r="M68" s="84">
        <v>0</v>
      </c>
      <c r="N68" s="84">
        <v>0</v>
      </c>
      <c r="O68" s="85">
        <v>0</v>
      </c>
      <c r="P68" s="83">
        <v>0</v>
      </c>
      <c r="Q68" s="84">
        <v>0</v>
      </c>
      <c r="R68" s="84">
        <v>0</v>
      </c>
      <c r="S68" s="85">
        <v>0</v>
      </c>
      <c r="T68" s="83">
        <v>0</v>
      </c>
      <c r="U68" s="84">
        <v>0</v>
      </c>
      <c r="V68" s="84">
        <v>0</v>
      </c>
      <c r="W68" s="85">
        <v>0</v>
      </c>
      <c r="X68" s="83">
        <v>0</v>
      </c>
      <c r="Y68" s="84">
        <v>-125.149</v>
      </c>
      <c r="Z68" s="84">
        <v>-919.24800000000005</v>
      </c>
      <c r="AA68" s="85">
        <v>-1061.663</v>
      </c>
      <c r="AB68" s="83">
        <v>-1051.787</v>
      </c>
      <c r="AC68" s="84">
        <v>-1126.893</v>
      </c>
      <c r="AD68" s="84">
        <v>-1119.806</v>
      </c>
      <c r="AE68" s="85">
        <v>-1095.3699999999999</v>
      </c>
      <c r="AF68" s="83">
        <v>-1090.162</v>
      </c>
      <c r="AG68" s="84">
        <v>-1069.5160000000001</v>
      </c>
      <c r="AH68" s="84">
        <v>-1048.1210000000001</v>
      </c>
      <c r="AI68" s="85">
        <v>-1013.3579999999999</v>
      </c>
      <c r="AJ68" s="84">
        <v>-996.25599999999997</v>
      </c>
      <c r="AK68" s="84">
        <v>-968.83199999999999</v>
      </c>
      <c r="AL68" s="84">
        <v>-924.77700000000004</v>
      </c>
      <c r="AM68" s="85">
        <v>-888.07500000000005</v>
      </c>
      <c r="AN68" s="84">
        <v>-857.78700000000003</v>
      </c>
      <c r="AO68" s="84">
        <v>-840.976</v>
      </c>
      <c r="AP68" s="84">
        <v>-813.46400000000006</v>
      </c>
      <c r="AQ68" s="85">
        <v>-780.89300000000003</v>
      </c>
      <c r="AR68" s="84">
        <v>-765.1</v>
      </c>
      <c r="AS68" s="84">
        <v>-740.90700000000004</v>
      </c>
      <c r="AT68" s="84">
        <v>-715.81</v>
      </c>
      <c r="AU68" s="85">
        <v>-682.22</v>
      </c>
      <c r="AV68" s="84">
        <v>-657.64</v>
      </c>
      <c r="AW68" s="84">
        <v>-626.10199999999998</v>
      </c>
      <c r="AX68" s="84">
        <v>-603.67200000000003</v>
      </c>
      <c r="AY68" s="85">
        <v>-577.38199999999995</v>
      </c>
      <c r="AZ68" s="84">
        <v>-565.55100000000004</v>
      </c>
      <c r="BA68" s="84">
        <v>-548.87900000000002</v>
      </c>
      <c r="BB68" s="84">
        <v>-534.56200000000001</v>
      </c>
      <c r="BC68" s="85">
        <v>-515.67899999999997</v>
      </c>
      <c r="BD68" s="84">
        <v>-505.96</v>
      </c>
      <c r="BE68" s="84">
        <v>-850.63499999999999</v>
      </c>
      <c r="BF68" s="84">
        <v>-837.38699999999994</v>
      </c>
      <c r="BG68" s="85">
        <v>-820.06600000000003</v>
      </c>
      <c r="BH68" s="84">
        <v>-794.28700000000003</v>
      </c>
      <c r="BI68" s="84">
        <v>-765.904</v>
      </c>
      <c r="BJ68" s="84">
        <v>-751.77800000000002</v>
      </c>
      <c r="BK68" s="85">
        <v>-731.88400000000001</v>
      </c>
      <c r="BL68" s="84">
        <v>-719.18</v>
      </c>
      <c r="BM68" s="84">
        <v>-698.07799999999997</v>
      </c>
      <c r="BN68" s="84">
        <v>-684.93700000000001</v>
      </c>
      <c r="BO68" s="714">
        <f>BN68+CFS!BO42</f>
        <v>-684.93700000000001</v>
      </c>
      <c r="BP68" s="712">
        <f>BO68+CFS!BP42</f>
        <v>-684.93700000000001</v>
      </c>
      <c r="BQ68" s="713">
        <f>BP68+CFS!BQ42</f>
        <v>-684.93700000000001</v>
      </c>
      <c r="BR68" s="713">
        <f>BQ68+CFS!BR42</f>
        <v>-684.93700000000001</v>
      </c>
      <c r="BS68" s="714">
        <f>BR68+CFS!BS42</f>
        <v>-684.93700000000001</v>
      </c>
      <c r="BT68" s="712">
        <f>BS68+CFS!BT42</f>
        <v>-684.93700000000001</v>
      </c>
      <c r="BU68" s="713">
        <f>BT68+CFS!BU42</f>
        <v>-684.93700000000001</v>
      </c>
      <c r="BV68" s="713">
        <f>BU68+CFS!BV42</f>
        <v>-684.93700000000001</v>
      </c>
      <c r="BW68" s="714">
        <f>BV68+CFS!BW42</f>
        <v>-684.93700000000001</v>
      </c>
      <c r="BX68" s="20"/>
      <c r="BY68" s="81">
        <f>G68</f>
        <v>0</v>
      </c>
      <c r="BZ68" s="81">
        <f>K68</f>
        <v>0</v>
      </c>
      <c r="CA68" s="81">
        <f>O68</f>
        <v>0</v>
      </c>
      <c r="CB68" s="81">
        <f>S68</f>
        <v>0</v>
      </c>
      <c r="CC68" s="81">
        <f>W68</f>
        <v>0</v>
      </c>
      <c r="CD68" s="81">
        <f>AA68</f>
        <v>-1061.663</v>
      </c>
      <c r="CE68" s="81">
        <f>AE68</f>
        <v>-1095.3699999999999</v>
      </c>
      <c r="CF68" s="81">
        <f>AI68</f>
        <v>-1013.3579999999999</v>
      </c>
      <c r="CG68" s="80">
        <f>AM68</f>
        <v>-888.07500000000005</v>
      </c>
      <c r="CH68" s="81">
        <f>AQ68</f>
        <v>-780.89300000000003</v>
      </c>
      <c r="CI68" s="81">
        <f>AU68</f>
        <v>-682.22</v>
      </c>
      <c r="CJ68" s="81">
        <f>AY68</f>
        <v>-577.38199999999995</v>
      </c>
      <c r="CK68" s="81">
        <f>BC68</f>
        <v>-515.67899999999997</v>
      </c>
      <c r="CL68" s="81">
        <f>BG68</f>
        <v>-820.06600000000003</v>
      </c>
      <c r="CM68" s="81">
        <f>BK68</f>
        <v>-731.88400000000001</v>
      </c>
      <c r="CN68" s="81">
        <f>BO68</f>
        <v>-684.93700000000001</v>
      </c>
      <c r="CO68" s="81">
        <f>BS68</f>
        <v>-684.93700000000001</v>
      </c>
      <c r="CP68" s="81">
        <f t="shared" si="281"/>
        <v>-684.93700000000001</v>
      </c>
      <c r="CQ68" s="20"/>
      <c r="CR68" s="80">
        <f>J68</f>
        <v>0</v>
      </c>
      <c r="CS68" s="81">
        <f>N68</f>
        <v>0</v>
      </c>
      <c r="CT68" s="81">
        <f>R68</f>
        <v>0</v>
      </c>
      <c r="CU68" s="81">
        <f>V68</f>
        <v>0</v>
      </c>
      <c r="CV68" s="81">
        <f>Z68</f>
        <v>-919.24800000000005</v>
      </c>
      <c r="CW68" s="81">
        <f>AD68</f>
        <v>-1119.806</v>
      </c>
      <c r="CX68" s="81">
        <f>AH68</f>
        <v>-1048.1210000000001</v>
      </c>
      <c r="CY68" s="81">
        <f>AL68</f>
        <v>-924.77700000000004</v>
      </c>
      <c r="CZ68" s="81">
        <f>AP68</f>
        <v>-813.46400000000006</v>
      </c>
      <c r="DA68" s="81">
        <f>AT68</f>
        <v>-715.81</v>
      </c>
      <c r="DB68" s="81">
        <f>AX68</f>
        <v>-603.67200000000003</v>
      </c>
      <c r="DC68" s="81">
        <f>BB68</f>
        <v>-534.56200000000001</v>
      </c>
      <c r="DD68" s="81">
        <f>BF68</f>
        <v>-837.38699999999994</v>
      </c>
      <c r="DE68" s="81">
        <f>BJ68</f>
        <v>-751.77800000000002</v>
      </c>
      <c r="DF68" s="81">
        <f>BN68</f>
        <v>-684.93700000000001</v>
      </c>
      <c r="DG68" s="81">
        <f>BR68</f>
        <v>-684.93700000000001</v>
      </c>
      <c r="DH68" s="81">
        <f t="shared" si="282"/>
        <v>-684.93700000000001</v>
      </c>
      <c r="DI68" s="22"/>
    </row>
    <row r="69" spans="1:113" ht="14.25" customHeight="1">
      <c r="A69" s="8"/>
      <c r="B69" s="611" t="s">
        <v>53</v>
      </c>
      <c r="C69" s="94"/>
      <c r="D69" s="83">
        <v>640.98</v>
      </c>
      <c r="E69" s="84">
        <v>651.24300000000005</v>
      </c>
      <c r="F69" s="84">
        <v>684.21900000000005</v>
      </c>
      <c r="G69" s="85">
        <v>699.36599999999999</v>
      </c>
      <c r="H69" s="83">
        <v>707.94299999999998</v>
      </c>
      <c r="I69" s="84">
        <v>739.12800000000004</v>
      </c>
      <c r="J69" s="84">
        <v>773.74699999999996</v>
      </c>
      <c r="K69" s="85">
        <v>813.30700000000002</v>
      </c>
      <c r="L69" s="83">
        <v>848.84</v>
      </c>
      <c r="M69" s="84">
        <v>899.81100000000004</v>
      </c>
      <c r="N69" s="84">
        <v>942.19799999999998</v>
      </c>
      <c r="O69" s="85">
        <v>984.09500000000003</v>
      </c>
      <c r="P69" s="83">
        <v>1025.3240000000001</v>
      </c>
      <c r="Q69" s="84">
        <v>1064.8040000000001</v>
      </c>
      <c r="R69" s="84">
        <v>1071.2809999999999</v>
      </c>
      <c r="S69" s="85">
        <v>1106.355</v>
      </c>
      <c r="T69" s="83">
        <v>1137.2760000000001</v>
      </c>
      <c r="U69" s="84">
        <v>1166.2539999999999</v>
      </c>
      <c r="V69" s="84">
        <v>1185.152</v>
      </c>
      <c r="W69" s="85">
        <v>1255.4860000000001</v>
      </c>
      <c r="X69" s="83">
        <v>1274.6600000000001</v>
      </c>
      <c r="Y69" s="84">
        <v>1271.242</v>
      </c>
      <c r="Z69" s="84">
        <v>1284.989</v>
      </c>
      <c r="AA69" s="85">
        <v>1301.2750000000001</v>
      </c>
      <c r="AB69" s="83">
        <v>1316.6089999999999</v>
      </c>
      <c r="AC69" s="84">
        <v>1330.952</v>
      </c>
      <c r="AD69" s="84">
        <v>1342.432</v>
      </c>
      <c r="AE69" s="85">
        <v>1303.4369999999999</v>
      </c>
      <c r="AF69" s="83">
        <v>1264.693</v>
      </c>
      <c r="AG69" s="84">
        <v>1247.0940000000001</v>
      </c>
      <c r="AH69" s="84">
        <v>1253.9770000000001</v>
      </c>
      <c r="AI69" s="85">
        <v>1266.6990000000001</v>
      </c>
      <c r="AJ69" s="84">
        <v>1292.8119999999999</v>
      </c>
      <c r="AK69" s="84">
        <v>1331.9839999999999</v>
      </c>
      <c r="AL69" s="84">
        <v>1303.3109999999999</v>
      </c>
      <c r="AM69" s="85">
        <v>1428.838</v>
      </c>
      <c r="AN69" s="84">
        <v>1462.231</v>
      </c>
      <c r="AO69" s="84">
        <v>1475.3119999999999</v>
      </c>
      <c r="AP69" s="84">
        <v>1485.989</v>
      </c>
      <c r="AQ69" s="85">
        <v>1499.365</v>
      </c>
      <c r="AR69" s="84">
        <v>1510.326</v>
      </c>
      <c r="AS69" s="84">
        <v>1420.9960000000001</v>
      </c>
      <c r="AT69" s="84">
        <v>1362.472</v>
      </c>
      <c r="AU69" s="85">
        <v>1352.932</v>
      </c>
      <c r="AV69" s="84">
        <v>1361.829</v>
      </c>
      <c r="AW69" s="84">
        <v>1391.549</v>
      </c>
      <c r="AX69" s="84">
        <v>1426.396</v>
      </c>
      <c r="AY69" s="85">
        <v>1467.009</v>
      </c>
      <c r="AZ69" s="84">
        <v>1485.7159999999999</v>
      </c>
      <c r="BA69" s="84">
        <v>1507.915</v>
      </c>
      <c r="BB69" s="84">
        <v>1522.1849999999999</v>
      </c>
      <c r="BC69" s="85">
        <v>1549.54</v>
      </c>
      <c r="BD69" s="84">
        <v>1607.876</v>
      </c>
      <c r="BE69" s="84">
        <v>1600.09</v>
      </c>
      <c r="BF69" s="84">
        <v>1588.3779999999999</v>
      </c>
      <c r="BG69" s="85">
        <v>1582.585</v>
      </c>
      <c r="BH69" s="84">
        <v>1439.5889999999999</v>
      </c>
      <c r="BI69" s="84">
        <v>1395.8679999999999</v>
      </c>
      <c r="BJ69" s="84">
        <v>1425.0730000000001</v>
      </c>
      <c r="BK69" s="85">
        <v>1479.4</v>
      </c>
      <c r="BL69" s="84">
        <v>1567.059</v>
      </c>
      <c r="BM69" s="84">
        <v>1671.6949999999999</v>
      </c>
      <c r="BN69" s="84">
        <v>1335.6969999999999</v>
      </c>
      <c r="BO69" s="714">
        <f>BN69+CFS!BO43-BO67+IS!BO86</f>
        <v>1569.4724660405127</v>
      </c>
      <c r="BP69" s="712">
        <f>BO69+CFS!BP43-BP67+IS!BP86</f>
        <v>1823.8830441733005</v>
      </c>
      <c r="BQ69" s="713">
        <f>BP69+CFS!BQ43-BQ67+IS!BQ86</f>
        <v>2093.8412024476993</v>
      </c>
      <c r="BR69" s="713">
        <f>BQ69+CFS!BR43-BR67+IS!BR86</f>
        <v>2353.7873686482744</v>
      </c>
      <c r="BS69" s="714">
        <f>BR69+CFS!BS43-BS67+IS!BS86</f>
        <v>2610.3053802912605</v>
      </c>
      <c r="BT69" s="712">
        <f>BS69+CFS!BT43-BT67+IS!BT86</f>
        <v>2885.6940832521213</v>
      </c>
      <c r="BU69" s="713">
        <f>BT69+CFS!BU43-BU67+IS!BU86</f>
        <v>3174.3645060658005</v>
      </c>
      <c r="BV69" s="713">
        <f>BU69+CFS!BV43-BV67+IS!BV86</f>
        <v>3454.4925567229375</v>
      </c>
      <c r="BW69" s="714">
        <f>BV69+CFS!BW43-BW67+IS!BW86</f>
        <v>3731.512663168633</v>
      </c>
      <c r="BX69" s="20"/>
      <c r="BY69" s="81">
        <f>G69</f>
        <v>699.36599999999999</v>
      </c>
      <c r="BZ69" s="81">
        <f>K69</f>
        <v>813.30700000000002</v>
      </c>
      <c r="CA69" s="81">
        <f>O69</f>
        <v>984.09500000000003</v>
      </c>
      <c r="CB69" s="81">
        <f>S69</f>
        <v>1106.355</v>
      </c>
      <c r="CC69" s="81">
        <f>W69</f>
        <v>1255.4860000000001</v>
      </c>
      <c r="CD69" s="81">
        <f>AA69</f>
        <v>1301.2750000000001</v>
      </c>
      <c r="CE69" s="81">
        <f>AE69</f>
        <v>1303.4369999999999</v>
      </c>
      <c r="CF69" s="81">
        <f>AI69</f>
        <v>1266.6990000000001</v>
      </c>
      <c r="CG69" s="80">
        <f>AM69</f>
        <v>1428.838</v>
      </c>
      <c r="CH69" s="81">
        <f>AQ69</f>
        <v>1499.365</v>
      </c>
      <c r="CI69" s="81">
        <f>AU69</f>
        <v>1352.932</v>
      </c>
      <c r="CJ69" s="81">
        <f>AY69</f>
        <v>1467.009</v>
      </c>
      <c r="CK69" s="81">
        <f>BC69</f>
        <v>1549.54</v>
      </c>
      <c r="CL69" s="81">
        <f>BG69</f>
        <v>1582.585</v>
      </c>
      <c r="CM69" s="81">
        <f>BK69</f>
        <v>1479.4</v>
      </c>
      <c r="CN69" s="81">
        <f>BO69</f>
        <v>1569.4724660405127</v>
      </c>
      <c r="CO69" s="81">
        <f>BS69</f>
        <v>2610.3053802912605</v>
      </c>
      <c r="CP69" s="81">
        <f t="shared" si="281"/>
        <v>3731.512663168633</v>
      </c>
      <c r="CQ69" s="20"/>
      <c r="CR69" s="80">
        <f>J69</f>
        <v>773.74699999999996</v>
      </c>
      <c r="CS69" s="81">
        <f>N69</f>
        <v>942.19799999999998</v>
      </c>
      <c r="CT69" s="81">
        <f>R69</f>
        <v>1071.2809999999999</v>
      </c>
      <c r="CU69" s="81">
        <f>V69</f>
        <v>1185.152</v>
      </c>
      <c r="CV69" s="81">
        <f>Z69</f>
        <v>1284.989</v>
      </c>
      <c r="CW69" s="81">
        <f>AD69</f>
        <v>1342.432</v>
      </c>
      <c r="CX69" s="81">
        <f>AH69</f>
        <v>1253.9770000000001</v>
      </c>
      <c r="CY69" s="81">
        <f>AL69</f>
        <v>1303.3109999999999</v>
      </c>
      <c r="CZ69" s="81">
        <f>AP69</f>
        <v>1485.989</v>
      </c>
      <c r="DA69" s="81">
        <f>AT69</f>
        <v>1362.472</v>
      </c>
      <c r="DB69" s="81">
        <f>AX69</f>
        <v>1426.396</v>
      </c>
      <c r="DC69" s="81">
        <f>BB69</f>
        <v>1522.1849999999999</v>
      </c>
      <c r="DD69" s="81">
        <f>BF69</f>
        <v>1588.3779999999999</v>
      </c>
      <c r="DE69" s="81">
        <f>BJ69</f>
        <v>1425.0730000000001</v>
      </c>
      <c r="DF69" s="81">
        <f>BN69</f>
        <v>1335.6969999999999</v>
      </c>
      <c r="DG69" s="81">
        <f>BR69</f>
        <v>2353.7873686482744</v>
      </c>
      <c r="DH69" s="81">
        <f t="shared" si="282"/>
        <v>3454.4925567229375</v>
      </c>
      <c r="DI69" s="22"/>
    </row>
    <row r="70" spans="1:113" ht="14.25" customHeight="1">
      <c r="A70" s="8"/>
      <c r="B70" s="611" t="s">
        <v>54</v>
      </c>
      <c r="C70" s="94"/>
      <c r="D70" s="83">
        <v>0</v>
      </c>
      <c r="E70" s="84">
        <v>-1.04</v>
      </c>
      <c r="F70" s="84">
        <v>0</v>
      </c>
      <c r="G70" s="153">
        <v>-6.9349999999999996</v>
      </c>
      <c r="H70" s="83">
        <v>0</v>
      </c>
      <c r="I70" s="84">
        <v>0</v>
      </c>
      <c r="J70" s="84">
        <v>0</v>
      </c>
      <c r="K70" s="153">
        <f>0.733-52.084</f>
        <v>-51.351000000000006</v>
      </c>
      <c r="L70" s="83">
        <f>-5.76-39.378</f>
        <v>-45.137999999999998</v>
      </c>
      <c r="M70" s="84">
        <f>-1.173-63.885</f>
        <v>-65.057999999999993</v>
      </c>
      <c r="N70" s="84">
        <f>-3.396-36.39</f>
        <v>-39.786000000000001</v>
      </c>
      <c r="O70" s="153">
        <f>-9.718-21.517</f>
        <v>-31.234999999999999</v>
      </c>
      <c r="P70" s="83">
        <f>-0.09-5.493</f>
        <v>-5.5830000000000002</v>
      </c>
      <c r="Q70" s="84">
        <f>-0.735-9.512</f>
        <v>-10.247</v>
      </c>
      <c r="R70" s="84">
        <f>-3.049-11.618</f>
        <v>-14.667</v>
      </c>
      <c r="S70" s="153">
        <f>-5.705-13.913</f>
        <v>-19.618000000000002</v>
      </c>
      <c r="T70" s="83">
        <v>-15.28</v>
      </c>
      <c r="U70" s="84">
        <v>-9.9740000000000002</v>
      </c>
      <c r="V70" s="84">
        <v>-9.4870000000000001</v>
      </c>
      <c r="W70" s="153">
        <v>-7.1689999999999996</v>
      </c>
      <c r="X70" s="83">
        <v>-8.1910000000000007</v>
      </c>
      <c r="Y70" s="84">
        <v>-3.0150000000000001</v>
      </c>
      <c r="Z70" s="84">
        <v>-0.16800000000000001</v>
      </c>
      <c r="AA70" s="153">
        <v>2.508</v>
      </c>
      <c r="AB70" s="83">
        <v>-0.71099999999999997</v>
      </c>
      <c r="AC70" s="84">
        <v>-0.69299999999999995</v>
      </c>
      <c r="AD70" s="84">
        <v>5.2750000000000004</v>
      </c>
      <c r="AE70" s="153">
        <v>4.3120000000000003</v>
      </c>
      <c r="AF70" s="83">
        <v>4.282</v>
      </c>
      <c r="AG70" s="84">
        <v>4.3490000000000002</v>
      </c>
      <c r="AH70" s="84">
        <v>2.7120000000000002</v>
      </c>
      <c r="AI70" s="153">
        <v>3.032</v>
      </c>
      <c r="AJ70" s="84">
        <v>-4.2530000000000001</v>
      </c>
      <c r="AK70" s="84">
        <v>1.79</v>
      </c>
      <c r="AL70" s="84">
        <v>2.774</v>
      </c>
      <c r="AM70" s="85">
        <v>3.3570000000000002</v>
      </c>
      <c r="AN70" s="347">
        <v>5.2839999999999998</v>
      </c>
      <c r="AO70" s="84">
        <v>-0.59599999999999997</v>
      </c>
      <c r="AP70" s="84">
        <v>-1.7549999999999999</v>
      </c>
      <c r="AQ70" s="85">
        <v>3.101</v>
      </c>
      <c r="AR70" s="347">
        <v>2.9630000000000001</v>
      </c>
      <c r="AS70" s="84">
        <v>6.6890000000000001</v>
      </c>
      <c r="AT70" s="84">
        <v>6.774</v>
      </c>
      <c r="AU70" s="85">
        <v>6.9349999999999996</v>
      </c>
      <c r="AV70" s="347">
        <v>-3.113</v>
      </c>
      <c r="AW70" s="84">
        <v>-2.5249999999999999</v>
      </c>
      <c r="AX70" s="84">
        <v>-2.5790000000000002</v>
      </c>
      <c r="AY70" s="85">
        <v>1.0509999999999999</v>
      </c>
      <c r="AZ70" s="347">
        <v>4.0890000000000004</v>
      </c>
      <c r="BA70" s="84">
        <v>-4.657</v>
      </c>
      <c r="BB70" s="84">
        <v>15.563000000000001</v>
      </c>
      <c r="BC70" s="85">
        <v>11.076000000000001</v>
      </c>
      <c r="BD70" s="347">
        <v>-5.1710000000000003</v>
      </c>
      <c r="BE70" s="84">
        <v>-3.0950000000000002</v>
      </c>
      <c r="BF70" s="84">
        <v>-10.664999999999999</v>
      </c>
      <c r="BG70" s="85">
        <v>-3.3570000000000002</v>
      </c>
      <c r="BH70" s="347">
        <v>-14.428000000000001</v>
      </c>
      <c r="BI70" s="84">
        <v>-15.896000000000001</v>
      </c>
      <c r="BJ70" s="84">
        <v>-10.827999999999999</v>
      </c>
      <c r="BK70" s="85">
        <v>-14.378</v>
      </c>
      <c r="BL70" s="347">
        <v>-19.132999999999999</v>
      </c>
      <c r="BM70" s="84">
        <v>-17.812000000000001</v>
      </c>
      <c r="BN70" s="84">
        <v>-22.193000000000001</v>
      </c>
      <c r="BO70" s="714">
        <f>BN70+CFS!BO12+CFS!BO14+CFS!BO16+CFS!BO17+CFS!BO32+CFS!BO49</f>
        <v>-22.193000000000001</v>
      </c>
      <c r="BP70" s="712">
        <f>BO70+CFS!BP12+CFS!BP14+CFS!BP16+CFS!BP17+CFS!BP32+CFS!BP49</f>
        <v>-22.193000000000001</v>
      </c>
      <c r="BQ70" s="713">
        <f>BP70+CFS!BQ12+CFS!BQ14+CFS!BQ16+CFS!BQ17+CFS!BQ32+CFS!BQ49</f>
        <v>-22.193000000000001</v>
      </c>
      <c r="BR70" s="713">
        <f>BQ70+CFS!BR12+CFS!BR14+CFS!BR16+CFS!BR17+CFS!BR32+CFS!BR49</f>
        <v>-22.193000000000001</v>
      </c>
      <c r="BS70" s="714">
        <f>BR70+CFS!BS12+CFS!BS14+CFS!BS16+CFS!BS17+CFS!BS32+CFS!BS49</f>
        <v>-22.193000000000001</v>
      </c>
      <c r="BT70" s="712">
        <f>BS70+CFS!BT12+CFS!BT14+CFS!BT16+CFS!BT17+CFS!BT32+CFS!BT49</f>
        <v>-22.193000000000001</v>
      </c>
      <c r="BU70" s="713">
        <f>BT70+CFS!BU12+CFS!BU14+CFS!BU16+CFS!BU17+CFS!BU32+CFS!BU49</f>
        <v>-22.193000000000001</v>
      </c>
      <c r="BV70" s="713">
        <f>BU70+CFS!BV12+CFS!BV14+CFS!BV16+CFS!BV17+CFS!BV32+CFS!BV49</f>
        <v>-22.193000000000001</v>
      </c>
      <c r="BW70" s="714">
        <f>BV70+CFS!BW12+CFS!BW14+CFS!BW16+CFS!BW17+CFS!BW32+CFS!BW49</f>
        <v>-22.193000000000001</v>
      </c>
      <c r="BX70" s="20"/>
      <c r="BY70" s="81">
        <f>G70</f>
        <v>-6.9349999999999996</v>
      </c>
      <c r="BZ70" s="81">
        <f>K70</f>
        <v>-51.351000000000006</v>
      </c>
      <c r="CA70" s="81">
        <f>O70</f>
        <v>-31.234999999999999</v>
      </c>
      <c r="CB70" s="81">
        <f>S70</f>
        <v>-19.618000000000002</v>
      </c>
      <c r="CC70" s="81">
        <f>W70</f>
        <v>-7.1689999999999996</v>
      </c>
      <c r="CD70" s="81">
        <f>AA70</f>
        <v>2.508</v>
      </c>
      <c r="CE70" s="81">
        <f>AE70</f>
        <v>4.3120000000000003</v>
      </c>
      <c r="CF70" s="81">
        <f>AI70</f>
        <v>3.032</v>
      </c>
      <c r="CG70" s="80">
        <f>AM70</f>
        <v>3.3570000000000002</v>
      </c>
      <c r="CH70" s="81">
        <f>AQ70</f>
        <v>3.101</v>
      </c>
      <c r="CI70" s="81">
        <f>AU70</f>
        <v>6.9349999999999996</v>
      </c>
      <c r="CJ70" s="81">
        <f>AY70</f>
        <v>1.0509999999999999</v>
      </c>
      <c r="CK70" s="81">
        <f>BC70</f>
        <v>11.076000000000001</v>
      </c>
      <c r="CL70" s="81">
        <f>BG70</f>
        <v>-3.3570000000000002</v>
      </c>
      <c r="CM70" s="81">
        <f>BK70</f>
        <v>-14.378</v>
      </c>
      <c r="CN70" s="81">
        <f>BO70</f>
        <v>-22.193000000000001</v>
      </c>
      <c r="CO70" s="81">
        <f>BS70</f>
        <v>-22.193000000000001</v>
      </c>
      <c r="CP70" s="81">
        <f t="shared" si="281"/>
        <v>-22.193000000000001</v>
      </c>
      <c r="CQ70" s="20"/>
      <c r="CR70" s="80">
        <f>J70</f>
        <v>0</v>
      </c>
      <c r="CS70" s="81">
        <f>N70</f>
        <v>-39.786000000000001</v>
      </c>
      <c r="CT70" s="81">
        <f>R70</f>
        <v>-14.667</v>
      </c>
      <c r="CU70" s="81">
        <f>V70</f>
        <v>-9.4870000000000001</v>
      </c>
      <c r="CV70" s="81">
        <f>Z70</f>
        <v>-0.16800000000000001</v>
      </c>
      <c r="CW70" s="81">
        <f>AD70</f>
        <v>5.2750000000000004</v>
      </c>
      <c r="CX70" s="81">
        <f>AH70</f>
        <v>2.7120000000000002</v>
      </c>
      <c r="CY70" s="81">
        <f>AL70</f>
        <v>2.774</v>
      </c>
      <c r="CZ70" s="81">
        <f>AP70</f>
        <v>-1.7549999999999999</v>
      </c>
      <c r="DA70" s="81">
        <f>AT70</f>
        <v>6.774</v>
      </c>
      <c r="DB70" s="81">
        <f>AX70</f>
        <v>-2.5790000000000002</v>
      </c>
      <c r="DC70" s="81">
        <f>BB70</f>
        <v>15.563000000000001</v>
      </c>
      <c r="DD70" s="81">
        <f>BF70</f>
        <v>-10.664999999999999</v>
      </c>
      <c r="DE70" s="81">
        <f>BJ70</f>
        <v>-10.827999999999999</v>
      </c>
      <c r="DF70" s="81">
        <f>BN70</f>
        <v>-22.193000000000001</v>
      </c>
      <c r="DG70" s="81">
        <f>BR70</f>
        <v>-22.193000000000001</v>
      </c>
      <c r="DH70" s="81">
        <f t="shared" si="282"/>
        <v>-22.193000000000001</v>
      </c>
      <c r="DI70" s="22"/>
    </row>
    <row r="71" spans="1:113" ht="14.25" customHeight="1">
      <c r="A71" s="8"/>
      <c r="B71" s="664" t="s">
        <v>36</v>
      </c>
      <c r="C71" s="129"/>
      <c r="D71" s="123">
        <f t="shared" ref="D71:N71" si="283">D65+SUM(D68:D70)</f>
        <v>1115.0250000000001</v>
      </c>
      <c r="E71" s="121">
        <f t="shared" si="283"/>
        <v>1130.5340000000001</v>
      </c>
      <c r="F71" s="121">
        <f t="shared" si="283"/>
        <v>1175.248</v>
      </c>
      <c r="G71" s="122">
        <f t="shared" si="283"/>
        <v>1178.9490000000001</v>
      </c>
      <c r="H71" s="123">
        <f t="shared" si="283"/>
        <v>1194.431</v>
      </c>
      <c r="I71" s="121">
        <f t="shared" si="283"/>
        <v>1250.2350000000001</v>
      </c>
      <c r="J71" s="121">
        <f t="shared" si="283"/>
        <v>1320.5929999999998</v>
      </c>
      <c r="K71" s="122">
        <f t="shared" si="283"/>
        <v>1320.5170000000001</v>
      </c>
      <c r="L71" s="123">
        <f t="shared" si="283"/>
        <v>1355.1289999999999</v>
      </c>
      <c r="M71" s="121">
        <f t="shared" si="283"/>
        <v>1379.915</v>
      </c>
      <c r="N71" s="121">
        <f t="shared" si="283"/>
        <v>1439.44</v>
      </c>
      <c r="O71" s="122">
        <f>O65+SUM(O68:O70)</f>
        <v>1485.7339999999999</v>
      </c>
      <c r="P71" s="123">
        <f t="shared" ref="P71:AP71" si="284">P65+SUM(P68:P70)</f>
        <v>1553.316</v>
      </c>
      <c r="Q71" s="121">
        <f t="shared" si="284"/>
        <v>1612.64</v>
      </c>
      <c r="R71" s="121">
        <f t="shared" si="284"/>
        <v>1649.1309999999999</v>
      </c>
      <c r="S71" s="122">
        <f t="shared" si="284"/>
        <v>1726.1890000000003</v>
      </c>
      <c r="T71" s="123">
        <f t="shared" si="284"/>
        <v>1787.8090000000002</v>
      </c>
      <c r="U71" s="121">
        <f t="shared" si="284"/>
        <v>1849.665</v>
      </c>
      <c r="V71" s="121">
        <f t="shared" si="284"/>
        <v>1889.492</v>
      </c>
      <c r="W71" s="122">
        <f t="shared" si="284"/>
        <v>2004.3679999999999</v>
      </c>
      <c r="X71" s="123">
        <f t="shared" si="284"/>
        <v>2061.0439999999999</v>
      </c>
      <c r="Y71" s="121">
        <f t="shared" si="284"/>
        <v>1941.9729999999997</v>
      </c>
      <c r="Z71" s="121">
        <f t="shared" si="284"/>
        <v>1163.1949999999999</v>
      </c>
      <c r="AA71" s="122">
        <f t="shared" si="284"/>
        <v>1036.223</v>
      </c>
      <c r="AB71" s="123">
        <f t="shared" si="284"/>
        <v>1052.5279999999998</v>
      </c>
      <c r="AC71" s="121">
        <f t="shared" si="284"/>
        <v>989.16800000000001</v>
      </c>
      <c r="AD71" s="121">
        <f t="shared" si="284"/>
        <v>1018.524</v>
      </c>
      <c r="AE71" s="122">
        <f t="shared" si="284"/>
        <v>990.76599999999996</v>
      </c>
      <c r="AF71" s="123">
        <f t="shared" si="284"/>
        <v>1457.2079999999999</v>
      </c>
      <c r="AG71" s="121">
        <f t="shared" si="284"/>
        <v>1458.3169999999998</v>
      </c>
      <c r="AH71" s="121">
        <f t="shared" si="284"/>
        <v>1483.875</v>
      </c>
      <c r="AI71" s="122">
        <f t="shared" si="284"/>
        <v>1533.3799999999999</v>
      </c>
      <c r="AJ71" s="123">
        <f t="shared" si="284"/>
        <v>1567.4649999999999</v>
      </c>
      <c r="AK71" s="121">
        <f t="shared" si="284"/>
        <v>1637.1659999999999</v>
      </c>
      <c r="AL71" s="121">
        <f t="shared" si="284"/>
        <v>1649.9450000000002</v>
      </c>
      <c r="AM71" s="122">
        <f t="shared" si="284"/>
        <v>1812.4379999999999</v>
      </c>
      <c r="AN71" s="121">
        <f t="shared" si="284"/>
        <v>1879.2220000000002</v>
      </c>
      <c r="AO71" s="121">
        <f t="shared" si="284"/>
        <v>1903.9389999999999</v>
      </c>
      <c r="AP71" s="121">
        <f t="shared" si="284"/>
        <v>1941.3050000000001</v>
      </c>
      <c r="AQ71" s="122">
        <f t="shared" ref="AQ71:AX71" si="285">AQ65+SUM(AQ68:AQ70)</f>
        <v>1990.6729999999998</v>
      </c>
      <c r="AR71" s="121">
        <f t="shared" si="285"/>
        <v>2017.9899999999998</v>
      </c>
      <c r="AS71" s="121">
        <f t="shared" si="285"/>
        <v>1964.098</v>
      </c>
      <c r="AT71" s="121">
        <f t="shared" si="285"/>
        <v>1927.0859999999998</v>
      </c>
      <c r="AU71" s="122">
        <f t="shared" si="285"/>
        <v>1933.4699999999998</v>
      </c>
      <c r="AV71" s="121">
        <f t="shared" si="285"/>
        <v>1954.2599999999998</v>
      </c>
      <c r="AW71" s="121">
        <f t="shared" ref="AW71:BC71" si="286">AW65+SUM(AW68:AW70)</f>
        <v>2018.5390000000002</v>
      </c>
      <c r="AX71" s="121">
        <f t="shared" si="285"/>
        <v>2075.1080000000002</v>
      </c>
      <c r="AY71" s="122">
        <f t="shared" si="286"/>
        <v>2135.4610000000002</v>
      </c>
      <c r="AZ71" s="121">
        <f t="shared" si="286"/>
        <v>2169.645</v>
      </c>
      <c r="BA71" s="121">
        <f>BA65+SUM(BA68:BA70)</f>
        <v>2203.4209999999998</v>
      </c>
      <c r="BB71" s="121">
        <f>BB65+SUM(BB68:BB70)</f>
        <v>2256.2889999999998</v>
      </c>
      <c r="BC71" s="122">
        <f t="shared" si="286"/>
        <v>2044.654</v>
      </c>
      <c r="BD71" s="121">
        <f t="shared" ref="BD71:BK71" si="287">BD65+SUM(BD68:BD70)</f>
        <v>2098.8819999999996</v>
      </c>
      <c r="BE71" s="121">
        <f>BE65+SUM(BE68:BE70)</f>
        <v>2129.3809999999999</v>
      </c>
      <c r="BF71" s="121">
        <f>BF65+SUM(BF68:BF70)</f>
        <v>2126.3440000000001</v>
      </c>
      <c r="BG71" s="122">
        <f>BG65+SUM(BG68:BG70)</f>
        <v>2150.9189999999999</v>
      </c>
      <c r="BH71" s="121">
        <f t="shared" ref="BH71" si="288">BH65+SUM(BH68:BH70)</f>
        <v>2532.549</v>
      </c>
      <c r="BI71" s="121">
        <f>BI65+SUM(BI68:BI70)</f>
        <v>2519.5119999999997</v>
      </c>
      <c r="BJ71" s="121">
        <f>BJ65+SUM(BJ68:BJ70)</f>
        <v>2566.8980000000001</v>
      </c>
      <c r="BK71" s="122">
        <f t="shared" si="287"/>
        <v>3270.7109999999998</v>
      </c>
      <c r="BL71" s="121">
        <f t="shared" ref="BL71:BS71" si="289">BL65+SUM(BL68:BL70)</f>
        <v>3412.5540000000001</v>
      </c>
      <c r="BM71" s="121">
        <f t="shared" si="289"/>
        <v>3546.1239999999998</v>
      </c>
      <c r="BN71" s="121">
        <f t="shared" si="289"/>
        <v>3185.0749999999998</v>
      </c>
      <c r="BO71" s="122">
        <f t="shared" si="289"/>
        <v>3442.8534660405126</v>
      </c>
      <c r="BP71" s="121">
        <f t="shared" si="289"/>
        <v>3721.2670441733007</v>
      </c>
      <c r="BQ71" s="121">
        <f t="shared" si="289"/>
        <v>4015.2282024476999</v>
      </c>
      <c r="BR71" s="121">
        <f t="shared" si="289"/>
        <v>4299.1773686482748</v>
      </c>
      <c r="BS71" s="122">
        <f t="shared" si="289"/>
        <v>4579.6983802912609</v>
      </c>
      <c r="BT71" s="121">
        <f t="shared" ref="BT71:BV71" si="290">BT65+SUM(BT68:BT70)</f>
        <v>4879.090083252122</v>
      </c>
      <c r="BU71" s="121">
        <f t="shared" si="290"/>
        <v>5191.7635060658013</v>
      </c>
      <c r="BV71" s="121">
        <f t="shared" si="290"/>
        <v>5495.8945567229384</v>
      </c>
      <c r="BW71" s="122">
        <f>BW65+SUM(BW68:BW70)</f>
        <v>5796.9176631686341</v>
      </c>
      <c r="BX71" s="20"/>
      <c r="BY71" s="121">
        <f>BY65+SUM(BY68:BY70)</f>
        <v>1178.9490000000001</v>
      </c>
      <c r="BZ71" s="121">
        <f>BZ65+SUM(BZ68:BZ70)</f>
        <v>1320.5170000000001</v>
      </c>
      <c r="CA71" s="121">
        <f>CA65+SUM(CA68:CA70)</f>
        <v>1485.7339999999999</v>
      </c>
      <c r="CB71" s="121">
        <f t="shared" ref="CB71:CK71" si="291">CB65+SUM(CB68:CB70)</f>
        <v>1726.1890000000003</v>
      </c>
      <c r="CC71" s="121">
        <f t="shared" si="291"/>
        <v>2004.3679999999999</v>
      </c>
      <c r="CD71" s="121">
        <f t="shared" si="291"/>
        <v>1036.223</v>
      </c>
      <c r="CE71" s="121">
        <f t="shared" si="291"/>
        <v>990.76599999999996</v>
      </c>
      <c r="CF71" s="121">
        <f t="shared" si="291"/>
        <v>1533.3799999999999</v>
      </c>
      <c r="CG71" s="123">
        <f t="shared" si="291"/>
        <v>1812.4379999999999</v>
      </c>
      <c r="CH71" s="121">
        <f t="shared" si="291"/>
        <v>1990.6729999999998</v>
      </c>
      <c r="CI71" s="121">
        <f t="shared" si="291"/>
        <v>1933.4699999999998</v>
      </c>
      <c r="CJ71" s="121">
        <f t="shared" si="291"/>
        <v>2135.4610000000002</v>
      </c>
      <c r="CK71" s="121">
        <f t="shared" si="291"/>
        <v>2044.654</v>
      </c>
      <c r="CL71" s="121">
        <f>CL65+SUM(CL68:CL70)</f>
        <v>2150.9189999999999</v>
      </c>
      <c r="CM71" s="121">
        <f>CM65+SUM(CM68:CM70)</f>
        <v>3270.7109999999998</v>
      </c>
      <c r="CN71" s="121">
        <f>CN65+SUM(CN68:CN70)</f>
        <v>3442.8534660405126</v>
      </c>
      <c r="CO71" s="121">
        <f>CO65+SUM(CO68:CO70)</f>
        <v>4579.6983802912609</v>
      </c>
      <c r="CP71" s="121">
        <f>CP65+SUM(CP68:CP70)</f>
        <v>5796.9176631686341</v>
      </c>
      <c r="CQ71" s="20"/>
      <c r="CR71" s="123">
        <f>CR65+SUM(CR68:CR70)</f>
        <v>1320.5929999999998</v>
      </c>
      <c r="CS71" s="121">
        <f>CS65+SUM(CS68:CS70)</f>
        <v>1439.44</v>
      </c>
      <c r="CT71" s="121">
        <f>CT65+SUM(CT68:CT70)</f>
        <v>1649.1309999999999</v>
      </c>
      <c r="CU71" s="121">
        <f t="shared" ref="CU71:DC71" si="292">CU65+SUM(CU68:CU70)</f>
        <v>1889.492</v>
      </c>
      <c r="CV71" s="121">
        <f t="shared" si="292"/>
        <v>1163.1949999999999</v>
      </c>
      <c r="CW71" s="121">
        <f t="shared" si="292"/>
        <v>1018.524</v>
      </c>
      <c r="CX71" s="121">
        <f t="shared" si="292"/>
        <v>1483.875</v>
      </c>
      <c r="CY71" s="121">
        <f t="shared" si="292"/>
        <v>1649.9450000000002</v>
      </c>
      <c r="CZ71" s="121">
        <f t="shared" si="292"/>
        <v>1941.3050000000001</v>
      </c>
      <c r="DA71" s="121">
        <f t="shared" si="292"/>
        <v>1927.0859999999998</v>
      </c>
      <c r="DB71" s="121">
        <f t="shared" si="292"/>
        <v>2075.1080000000002</v>
      </c>
      <c r="DC71" s="121">
        <f t="shared" si="292"/>
        <v>2256.2889999999998</v>
      </c>
      <c r="DD71" s="121">
        <f>DD65+SUM(DD68:DD70)</f>
        <v>2126.3440000000001</v>
      </c>
      <c r="DE71" s="121">
        <f>DE65+SUM(DE68:DE70)</f>
        <v>2566.8980000000001</v>
      </c>
      <c r="DF71" s="121">
        <f>DF65+SUM(DF68:DF70)</f>
        <v>3185.0749999999998</v>
      </c>
      <c r="DG71" s="121">
        <f>DG65+SUM(DG68:DG70)</f>
        <v>4299.1773686482748</v>
      </c>
      <c r="DH71" s="121">
        <f>DH65+SUM(DH68:DH70)</f>
        <v>5495.8945567229384</v>
      </c>
      <c r="DI71" s="22"/>
    </row>
    <row r="72" spans="1:113" ht="14.25" customHeight="1">
      <c r="A72" s="8"/>
      <c r="B72" s="671"/>
      <c r="C72" s="154"/>
      <c r="D72" s="81"/>
      <c r="E72" s="81"/>
      <c r="F72" s="81"/>
      <c r="G72" s="155"/>
      <c r="H72" s="81"/>
      <c r="I72" s="81"/>
      <c r="J72" s="81"/>
      <c r="K72" s="155"/>
      <c r="L72" s="81"/>
      <c r="M72" s="81"/>
      <c r="N72" s="81"/>
      <c r="O72" s="155"/>
      <c r="P72" s="81"/>
      <c r="Q72" s="81"/>
      <c r="R72" s="81"/>
      <c r="S72" s="155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155"/>
      <c r="AN72" s="81"/>
      <c r="AO72" s="81"/>
      <c r="AP72" s="81"/>
      <c r="AQ72" s="155"/>
      <c r="AR72" s="81"/>
      <c r="AS72" s="81"/>
      <c r="AT72" s="81"/>
      <c r="AU72" s="155"/>
      <c r="AV72" s="81"/>
      <c r="AW72" s="81"/>
      <c r="AX72" s="81"/>
      <c r="AY72" s="155"/>
      <c r="AZ72" s="81"/>
      <c r="BA72" s="81"/>
      <c r="BB72" s="81"/>
      <c r="BC72" s="155"/>
      <c r="BD72" s="81"/>
      <c r="BE72" s="81"/>
      <c r="BF72" s="81"/>
      <c r="BG72" s="155"/>
      <c r="BH72" s="81"/>
      <c r="BI72" s="81"/>
      <c r="BJ72" s="81"/>
      <c r="BK72" s="155"/>
      <c r="BL72" s="81"/>
      <c r="BM72" s="81"/>
      <c r="BN72" s="81"/>
      <c r="BO72" s="155"/>
      <c r="BP72" s="81"/>
      <c r="BQ72" s="81"/>
      <c r="BR72" s="81"/>
      <c r="BS72" s="155"/>
      <c r="BT72" s="81"/>
      <c r="BU72" s="81"/>
      <c r="BV72" s="81"/>
      <c r="BW72" s="155"/>
      <c r="BX72" s="14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155"/>
      <c r="CM72" s="155"/>
      <c r="CN72" s="155"/>
      <c r="CO72" s="155"/>
      <c r="CP72" s="81"/>
      <c r="CQ72" s="8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155"/>
      <c r="DG72" s="155"/>
      <c r="DH72" s="155"/>
      <c r="DI72" s="8"/>
    </row>
    <row r="73" spans="1:113" ht="14.25" customHeight="1">
      <c r="A73" s="8"/>
      <c r="B73" s="620" t="s">
        <v>55</v>
      </c>
      <c r="C73" s="74"/>
      <c r="D73" s="156">
        <f t="shared" ref="D73:O73" si="293">D42</f>
        <v>1115.0250000000001</v>
      </c>
      <c r="E73" s="156">
        <f t="shared" si="293"/>
        <v>1130.5340000000001</v>
      </c>
      <c r="F73" s="156">
        <f t="shared" si="293"/>
        <v>1175.248</v>
      </c>
      <c r="G73" s="157">
        <f t="shared" si="293"/>
        <v>1178.9490000000001</v>
      </c>
      <c r="H73" s="156">
        <f t="shared" si="293"/>
        <v>1194.431</v>
      </c>
      <c r="I73" s="156">
        <f t="shared" si="293"/>
        <v>1250.2349999999999</v>
      </c>
      <c r="J73" s="156">
        <f t="shared" si="293"/>
        <v>1320.5930000000001</v>
      </c>
      <c r="K73" s="157">
        <f t="shared" si="293"/>
        <v>1320.5170000000001</v>
      </c>
      <c r="L73" s="156">
        <f t="shared" si="293"/>
        <v>1355.1289999999999</v>
      </c>
      <c r="M73" s="156">
        <f t="shared" si="293"/>
        <v>1379.915</v>
      </c>
      <c r="N73" s="156">
        <f t="shared" si="293"/>
        <v>1439.44</v>
      </c>
      <c r="O73" s="157">
        <f t="shared" si="293"/>
        <v>1485.7339999999999</v>
      </c>
      <c r="P73" s="156">
        <f t="shared" ref="P73:AM73" si="294">P42</f>
        <v>1553.316</v>
      </c>
      <c r="Q73" s="156">
        <f t="shared" si="294"/>
        <v>1612.64</v>
      </c>
      <c r="R73" s="156">
        <f t="shared" si="294"/>
        <v>1649.1310000000001</v>
      </c>
      <c r="S73" s="157">
        <f t="shared" si="294"/>
        <v>1726.1890000000001</v>
      </c>
      <c r="T73" s="156">
        <f>T42</f>
        <v>1787.809</v>
      </c>
      <c r="U73" s="156">
        <f t="shared" si="294"/>
        <v>1849.665</v>
      </c>
      <c r="V73" s="156">
        <f t="shared" si="294"/>
        <v>1889.492</v>
      </c>
      <c r="W73" s="156">
        <f t="shared" si="294"/>
        <v>2004.3679999999999</v>
      </c>
      <c r="X73" s="156">
        <f t="shared" si="294"/>
        <v>2061.0439999999999</v>
      </c>
      <c r="Y73" s="156">
        <f t="shared" si="294"/>
        <v>1941.973</v>
      </c>
      <c r="Z73" s="156">
        <f t="shared" si="294"/>
        <v>1163.1949999999999</v>
      </c>
      <c r="AA73" s="156">
        <f t="shared" si="294"/>
        <v>1036.223</v>
      </c>
      <c r="AB73" s="156">
        <f t="shared" si="294"/>
        <v>1052.528</v>
      </c>
      <c r="AC73" s="156">
        <f t="shared" si="294"/>
        <v>989.16800000000001</v>
      </c>
      <c r="AD73" s="156">
        <f t="shared" si="294"/>
        <v>1018.524</v>
      </c>
      <c r="AE73" s="156">
        <f t="shared" si="294"/>
        <v>990.76599999999996</v>
      </c>
      <c r="AF73" s="156">
        <f t="shared" si="294"/>
        <v>1457.2080000000001</v>
      </c>
      <c r="AG73" s="156">
        <f t="shared" si="294"/>
        <v>1458.317</v>
      </c>
      <c r="AH73" s="156">
        <f t="shared" si="294"/>
        <v>1483.875</v>
      </c>
      <c r="AI73" s="156">
        <f t="shared" si="294"/>
        <v>1533.38</v>
      </c>
      <c r="AJ73" s="158">
        <f t="shared" si="294"/>
        <v>1567.4649999999999</v>
      </c>
      <c r="AK73" s="156">
        <f t="shared" si="294"/>
        <v>1637.1659999999999</v>
      </c>
      <c r="AL73" s="156">
        <f t="shared" si="294"/>
        <v>1649.9449999999999</v>
      </c>
      <c r="AM73" s="159">
        <f t="shared" si="294"/>
        <v>1812.4380000000001</v>
      </c>
      <c r="AN73" s="156">
        <f t="shared" ref="AN73:AS73" si="295">AN42</f>
        <v>1879.222</v>
      </c>
      <c r="AO73" s="156">
        <f t="shared" si="295"/>
        <v>1903.9390000000001</v>
      </c>
      <c r="AP73" s="156">
        <f t="shared" si="295"/>
        <v>1941.3050000000001</v>
      </c>
      <c r="AQ73" s="157">
        <f t="shared" si="295"/>
        <v>1990.673</v>
      </c>
      <c r="AR73" s="156">
        <f t="shared" si="295"/>
        <v>2017.99</v>
      </c>
      <c r="AS73" s="156">
        <f t="shared" si="295"/>
        <v>1964.098</v>
      </c>
      <c r="AT73" s="156">
        <f>AT42</f>
        <v>1927.086</v>
      </c>
      <c r="AU73" s="157">
        <f>AU42</f>
        <v>1933.47</v>
      </c>
      <c r="AV73" s="156">
        <f t="shared" ref="AV73:BC73" si="296">AV42</f>
        <v>1954.26</v>
      </c>
      <c r="AW73" s="156">
        <f t="shared" si="296"/>
        <v>2018.539</v>
      </c>
      <c r="AX73" s="156">
        <f>AX42</f>
        <v>2075.1080000000002</v>
      </c>
      <c r="AY73" s="157">
        <f t="shared" si="296"/>
        <v>2135.4609999999998</v>
      </c>
      <c r="AZ73" s="156">
        <f>AZ42</f>
        <v>2169.645</v>
      </c>
      <c r="BA73" s="156">
        <f>BA42</f>
        <v>2203.4209999999998</v>
      </c>
      <c r="BB73" s="156">
        <f>BB42</f>
        <v>2256.2890000000002</v>
      </c>
      <c r="BC73" s="157">
        <f t="shared" si="296"/>
        <v>2044.654</v>
      </c>
      <c r="BD73" s="156">
        <f t="shared" ref="BD73:BK73" si="297">BD42</f>
        <v>2098.8820000000001</v>
      </c>
      <c r="BE73" s="156">
        <f>BE42</f>
        <v>2129.3809999999999</v>
      </c>
      <c r="BF73" s="156">
        <f>BF42</f>
        <v>2126.3440000000001</v>
      </c>
      <c r="BG73" s="157">
        <f>BG42</f>
        <v>2150.9189999999999</v>
      </c>
      <c r="BH73" s="156">
        <f t="shared" ref="BH73" si="298">BH42</f>
        <v>2532.549</v>
      </c>
      <c r="BI73" s="156">
        <f>BI42</f>
        <v>2519.5120000000002</v>
      </c>
      <c r="BJ73" s="156">
        <f>BJ42</f>
        <v>2566.8980000000001</v>
      </c>
      <c r="BK73" s="157">
        <f t="shared" si="297"/>
        <v>3270.7109999999998</v>
      </c>
      <c r="BL73" s="156">
        <f t="shared" ref="BL73:BS73" si="299">BL42</f>
        <v>3412.5540000000001</v>
      </c>
      <c r="BM73" s="156">
        <f t="shared" si="299"/>
        <v>3546.1239999999998</v>
      </c>
      <c r="BN73" s="156">
        <f t="shared" si="299"/>
        <v>3185.0749999999998</v>
      </c>
      <c r="BO73" s="157">
        <f t="shared" si="299"/>
        <v>3442.8534660405126</v>
      </c>
      <c r="BP73" s="156">
        <f t="shared" si="299"/>
        <v>3721.2670441733007</v>
      </c>
      <c r="BQ73" s="156">
        <f t="shared" si="299"/>
        <v>4015.2282024476999</v>
      </c>
      <c r="BR73" s="156">
        <f t="shared" si="299"/>
        <v>4299.1773686482748</v>
      </c>
      <c r="BS73" s="157">
        <f t="shared" si="299"/>
        <v>4579.6983802912609</v>
      </c>
      <c r="BT73" s="156">
        <f t="shared" ref="BT73:BW73" si="300">BT42</f>
        <v>4879.090083252122</v>
      </c>
      <c r="BU73" s="156">
        <f t="shared" si="300"/>
        <v>5191.7635060658013</v>
      </c>
      <c r="BV73" s="156">
        <f t="shared" si="300"/>
        <v>5495.8945567229384</v>
      </c>
      <c r="BW73" s="157">
        <f t="shared" si="300"/>
        <v>5796.9176631686341</v>
      </c>
      <c r="BX73" s="160"/>
      <c r="BY73" s="156">
        <f>G73</f>
        <v>1178.9490000000001</v>
      </c>
      <c r="BZ73" s="156">
        <f>K73</f>
        <v>1320.5170000000001</v>
      </c>
      <c r="CA73" s="156">
        <f>O73</f>
        <v>1485.7339999999999</v>
      </c>
      <c r="CB73" s="156">
        <f>S73</f>
        <v>1726.1890000000001</v>
      </c>
      <c r="CC73" s="156">
        <f>W73</f>
        <v>2004.3679999999999</v>
      </c>
      <c r="CD73" s="156">
        <f>AA73</f>
        <v>1036.223</v>
      </c>
      <c r="CE73" s="156">
        <f>AE73</f>
        <v>990.76599999999996</v>
      </c>
      <c r="CF73" s="156">
        <f>AI73</f>
        <v>1533.38</v>
      </c>
      <c r="CG73" s="158">
        <f>AM73</f>
        <v>1812.4380000000001</v>
      </c>
      <c r="CH73" s="156">
        <f>AQ73</f>
        <v>1990.673</v>
      </c>
      <c r="CI73" s="156">
        <f>AU73</f>
        <v>1933.47</v>
      </c>
      <c r="CJ73" s="156">
        <f>AY73</f>
        <v>2135.4609999999998</v>
      </c>
      <c r="CK73" s="156">
        <f>BC73</f>
        <v>2044.654</v>
      </c>
      <c r="CL73" s="156">
        <f>BG73</f>
        <v>2150.9189999999999</v>
      </c>
      <c r="CM73" s="156">
        <f>BK73</f>
        <v>3270.7109999999998</v>
      </c>
      <c r="CN73" s="218">
        <f>BO73</f>
        <v>3442.8534660405126</v>
      </c>
      <c r="CO73" s="218">
        <f>BS73</f>
        <v>4579.6983802912609</v>
      </c>
      <c r="CP73" s="156">
        <f>BW73</f>
        <v>5796.9176631686341</v>
      </c>
      <c r="CQ73" s="20"/>
      <c r="CR73" s="158">
        <f>J73</f>
        <v>1320.5930000000001</v>
      </c>
      <c r="CS73" s="156">
        <f>N73</f>
        <v>1439.44</v>
      </c>
      <c r="CT73" s="156">
        <f>R73</f>
        <v>1649.1310000000001</v>
      </c>
      <c r="CU73" s="156">
        <f>V73</f>
        <v>1889.492</v>
      </c>
      <c r="CV73" s="156">
        <f>Z73</f>
        <v>1163.1949999999999</v>
      </c>
      <c r="CW73" s="156">
        <f>AD73</f>
        <v>1018.524</v>
      </c>
      <c r="CX73" s="156">
        <f>AH73</f>
        <v>1483.875</v>
      </c>
      <c r="CY73" s="156">
        <f>AL73</f>
        <v>1649.9449999999999</v>
      </c>
      <c r="CZ73" s="156">
        <f>AP73</f>
        <v>1941.3050000000001</v>
      </c>
      <c r="DA73" s="156">
        <f>AT73</f>
        <v>1927.086</v>
      </c>
      <c r="DB73" s="156">
        <f>AX73</f>
        <v>2075.1080000000002</v>
      </c>
      <c r="DC73" s="156">
        <f>BB73</f>
        <v>2256.2890000000002</v>
      </c>
      <c r="DD73" s="155">
        <f>BF73</f>
        <v>2126.3440000000001</v>
      </c>
      <c r="DE73" s="155">
        <f>BJ73</f>
        <v>2566.8980000000001</v>
      </c>
      <c r="DF73" s="155">
        <f>BN73</f>
        <v>3185.0749999999998</v>
      </c>
      <c r="DG73" s="155">
        <f>BR73</f>
        <v>4299.1773686482748</v>
      </c>
      <c r="DH73" s="155">
        <f>BV73</f>
        <v>5495.8945567229384</v>
      </c>
      <c r="DI73" s="22"/>
    </row>
    <row r="74" spans="1:113" ht="14.25" customHeight="1">
      <c r="A74" s="8"/>
      <c r="B74" s="666" t="s">
        <v>38</v>
      </c>
      <c r="C74" s="132"/>
      <c r="D74" s="133">
        <f t="shared" ref="D74:O74" si="301">ROUND(D73,4)-ROUND(D71,4)</f>
        <v>0</v>
      </c>
      <c r="E74" s="133">
        <f t="shared" si="301"/>
        <v>0</v>
      </c>
      <c r="F74" s="133">
        <f t="shared" si="301"/>
        <v>0</v>
      </c>
      <c r="G74" s="134">
        <f t="shared" si="301"/>
        <v>0</v>
      </c>
      <c r="H74" s="133">
        <f t="shared" si="301"/>
        <v>0</v>
      </c>
      <c r="I74" s="133">
        <f t="shared" si="301"/>
        <v>0</v>
      </c>
      <c r="J74" s="133">
        <f t="shared" si="301"/>
        <v>0</v>
      </c>
      <c r="K74" s="134">
        <f t="shared" si="301"/>
        <v>0</v>
      </c>
      <c r="L74" s="133">
        <f t="shared" si="301"/>
        <v>0</v>
      </c>
      <c r="M74" s="133">
        <f t="shared" si="301"/>
        <v>0</v>
      </c>
      <c r="N74" s="133">
        <f t="shared" si="301"/>
        <v>0</v>
      </c>
      <c r="O74" s="134">
        <f t="shared" si="301"/>
        <v>0</v>
      </c>
      <c r="P74" s="133">
        <f t="shared" ref="P74:AM74" si="302">ROUND(P73,4)-ROUND(P71,4)</f>
        <v>0</v>
      </c>
      <c r="Q74" s="133">
        <f t="shared" si="302"/>
        <v>0</v>
      </c>
      <c r="R74" s="133">
        <f t="shared" si="302"/>
        <v>0</v>
      </c>
      <c r="S74" s="134">
        <f t="shared" si="302"/>
        <v>0</v>
      </c>
      <c r="T74" s="133">
        <f t="shared" si="302"/>
        <v>0</v>
      </c>
      <c r="U74" s="133">
        <f t="shared" si="302"/>
        <v>0</v>
      </c>
      <c r="V74" s="133">
        <f t="shared" si="302"/>
        <v>0</v>
      </c>
      <c r="W74" s="134">
        <f t="shared" si="302"/>
        <v>0</v>
      </c>
      <c r="X74" s="133">
        <f t="shared" si="302"/>
        <v>0</v>
      </c>
      <c r="Y74" s="133">
        <f t="shared" si="302"/>
        <v>0</v>
      </c>
      <c r="Z74" s="133">
        <f t="shared" si="302"/>
        <v>0</v>
      </c>
      <c r="AA74" s="134">
        <f t="shared" si="302"/>
        <v>0</v>
      </c>
      <c r="AB74" s="133">
        <f t="shared" si="302"/>
        <v>0</v>
      </c>
      <c r="AC74" s="133">
        <f t="shared" si="302"/>
        <v>0</v>
      </c>
      <c r="AD74" s="133">
        <f t="shared" si="302"/>
        <v>0</v>
      </c>
      <c r="AE74" s="134">
        <f t="shared" si="302"/>
        <v>0</v>
      </c>
      <c r="AF74" s="133">
        <f t="shared" si="302"/>
        <v>0</v>
      </c>
      <c r="AG74" s="133">
        <f t="shared" si="302"/>
        <v>0</v>
      </c>
      <c r="AH74" s="133">
        <f t="shared" si="302"/>
        <v>0</v>
      </c>
      <c r="AI74" s="134">
        <f t="shared" si="302"/>
        <v>0</v>
      </c>
      <c r="AJ74" s="133">
        <f t="shared" si="302"/>
        <v>0</v>
      </c>
      <c r="AK74" s="133">
        <f t="shared" si="302"/>
        <v>0</v>
      </c>
      <c r="AL74" s="161">
        <f t="shared" si="302"/>
        <v>0</v>
      </c>
      <c r="AM74" s="133">
        <f t="shared" si="302"/>
        <v>0</v>
      </c>
      <c r="AN74" s="135">
        <f t="shared" ref="AN74:BC74" si="303">ROUND(AN73,4)-ROUND(AN71,4)</f>
        <v>0</v>
      </c>
      <c r="AO74" s="133">
        <f t="shared" si="303"/>
        <v>0</v>
      </c>
      <c r="AP74" s="161">
        <f t="shared" si="303"/>
        <v>0</v>
      </c>
      <c r="AQ74" s="134">
        <f>ROUND(AQ73,4)-ROUND(AQ71,4)</f>
        <v>0</v>
      </c>
      <c r="AR74" s="135">
        <f>ROUND(AR73,4)-ROUND(AR71,4)</f>
        <v>0</v>
      </c>
      <c r="AS74" s="133">
        <f t="shared" si="303"/>
        <v>0</v>
      </c>
      <c r="AT74" s="161">
        <f t="shared" si="303"/>
        <v>0</v>
      </c>
      <c r="AU74" s="134">
        <f t="shared" si="303"/>
        <v>0</v>
      </c>
      <c r="AV74" s="135">
        <f t="shared" si="303"/>
        <v>0</v>
      </c>
      <c r="AW74" s="133">
        <f t="shared" si="303"/>
        <v>0</v>
      </c>
      <c r="AX74" s="161">
        <f t="shared" si="303"/>
        <v>0</v>
      </c>
      <c r="AY74" s="134">
        <f t="shared" si="303"/>
        <v>0</v>
      </c>
      <c r="AZ74" s="135">
        <f>ROUND(AZ73,4)-ROUND(AZ71,4)</f>
        <v>0</v>
      </c>
      <c r="BA74" s="133">
        <f>ROUND(BA73,4)-ROUND(BA71,4)</f>
        <v>0</v>
      </c>
      <c r="BB74" s="133">
        <f>ROUND(BB73,4)-ROUND(BB71,4)</f>
        <v>0</v>
      </c>
      <c r="BC74" s="134">
        <f t="shared" si="303"/>
        <v>0</v>
      </c>
      <c r="BD74" s="135">
        <f t="shared" ref="BD74" si="304">ROUND(BD73,4)-ROUND(BD71,4)</f>
        <v>0</v>
      </c>
      <c r="BE74" s="133">
        <f>ROUND(BE73,4)-ROUND(BE71,4)</f>
        <v>0</v>
      </c>
      <c r="BF74" s="133">
        <f>ROUND(BF73,4)-ROUND(BF71,4)</f>
        <v>0</v>
      </c>
      <c r="BG74" s="134">
        <f>ROUND(BG73,4)-ROUND(BG71,4)</f>
        <v>0</v>
      </c>
      <c r="BH74" s="135">
        <f t="shared" ref="BH74" si="305">ROUND(BH73,4)-ROUND(BH71,4)</f>
        <v>0</v>
      </c>
      <c r="BI74" s="133">
        <f>ROUND(BI73,4)-ROUND(BI71,4)</f>
        <v>0</v>
      </c>
      <c r="BJ74" s="133">
        <f>ROUND(BJ73,4)-ROUND(BJ71,4)</f>
        <v>0</v>
      </c>
      <c r="BK74" s="134">
        <f t="shared" ref="BK74:BS74" si="306">ROUND(BK73,4)-ROUND(BK71,4)</f>
        <v>0</v>
      </c>
      <c r="BL74" s="135">
        <f t="shared" si="306"/>
        <v>0</v>
      </c>
      <c r="BM74" s="133">
        <f t="shared" si="306"/>
        <v>0</v>
      </c>
      <c r="BN74" s="133">
        <f t="shared" si="306"/>
        <v>0</v>
      </c>
      <c r="BO74" s="134">
        <f t="shared" si="306"/>
        <v>0</v>
      </c>
      <c r="BP74" s="135">
        <f t="shared" si="306"/>
        <v>0</v>
      </c>
      <c r="BQ74" s="133">
        <f t="shared" si="306"/>
        <v>0</v>
      </c>
      <c r="BR74" s="133">
        <f t="shared" si="306"/>
        <v>0</v>
      </c>
      <c r="BS74" s="134">
        <f t="shared" si="306"/>
        <v>0</v>
      </c>
      <c r="BT74" s="135">
        <f t="shared" ref="BT74:BW74" si="307">ROUND(BT73,4)-ROUND(BT71,4)</f>
        <v>0</v>
      </c>
      <c r="BU74" s="133">
        <f t="shared" si="307"/>
        <v>0</v>
      </c>
      <c r="BV74" s="133">
        <f t="shared" si="307"/>
        <v>0</v>
      </c>
      <c r="BW74" s="134">
        <f t="shared" si="307"/>
        <v>0</v>
      </c>
      <c r="BX74" s="160"/>
      <c r="BY74" s="133">
        <f>ROUND(BY73,4)-ROUND(BY71,4)</f>
        <v>0</v>
      </c>
      <c r="BZ74" s="133">
        <f>ROUND(BZ73,4)-ROUND(BZ71,4)</f>
        <v>0</v>
      </c>
      <c r="CA74" s="133">
        <f>ROUND(CA73,4)-ROUND(CA71,4)</f>
        <v>0</v>
      </c>
      <c r="CB74" s="133">
        <f t="shared" ref="CB74:CH74" si="308">ROUND(CB73,4)-ROUND(CB71,4)</f>
        <v>0</v>
      </c>
      <c r="CC74" s="133">
        <f t="shared" si="308"/>
        <v>0</v>
      </c>
      <c r="CD74" s="133">
        <f t="shared" si="308"/>
        <v>0</v>
      </c>
      <c r="CE74" s="133">
        <f t="shared" si="308"/>
        <v>0</v>
      </c>
      <c r="CF74" s="133">
        <f t="shared" si="308"/>
        <v>0</v>
      </c>
      <c r="CG74" s="135">
        <f t="shared" si="308"/>
        <v>0</v>
      </c>
      <c r="CH74" s="133">
        <f t="shared" si="308"/>
        <v>0</v>
      </c>
      <c r="CI74" s="133">
        <f t="shared" ref="CI74:CO74" si="309">ROUND(CI73,4)-ROUND(CI71,4)</f>
        <v>0</v>
      </c>
      <c r="CJ74" s="133">
        <f t="shared" si="309"/>
        <v>0</v>
      </c>
      <c r="CK74" s="133">
        <f t="shared" si="309"/>
        <v>0</v>
      </c>
      <c r="CL74" s="133">
        <f t="shared" si="309"/>
        <v>0</v>
      </c>
      <c r="CM74" s="133">
        <f t="shared" si="309"/>
        <v>0</v>
      </c>
      <c r="CN74" s="133">
        <f t="shared" si="309"/>
        <v>0</v>
      </c>
      <c r="CO74" s="133">
        <f t="shared" si="309"/>
        <v>0</v>
      </c>
      <c r="CP74" s="133">
        <f t="shared" ref="CP74" si="310">ROUND(CP73,4)-ROUND(CP71,4)</f>
        <v>0</v>
      </c>
      <c r="CQ74" s="20"/>
      <c r="CR74" s="135">
        <f>ROUND(CR73,4)-ROUND(CR71,4)</f>
        <v>0</v>
      </c>
      <c r="CS74" s="133">
        <f>ROUND(CS73,4)-ROUND(CS71,4)</f>
        <v>0</v>
      </c>
      <c r="CT74" s="133">
        <f>ROUND(CT73,4)-ROUND(CT71,4)</f>
        <v>0</v>
      </c>
      <c r="CU74" s="133">
        <f t="shared" ref="CU74:DA74" si="311">ROUND(CU73,4)-ROUND(CU71,4)</f>
        <v>0</v>
      </c>
      <c r="CV74" s="133">
        <f t="shared" si="311"/>
        <v>0</v>
      </c>
      <c r="CW74" s="133">
        <f t="shared" si="311"/>
        <v>0</v>
      </c>
      <c r="CX74" s="133">
        <f t="shared" si="311"/>
        <v>0</v>
      </c>
      <c r="CY74" s="133">
        <f t="shared" si="311"/>
        <v>0</v>
      </c>
      <c r="CZ74" s="133">
        <f t="shared" si="311"/>
        <v>0</v>
      </c>
      <c r="DA74" s="133">
        <f t="shared" si="311"/>
        <v>0</v>
      </c>
      <c r="DB74" s="133">
        <f t="shared" ref="DB74:DG74" si="312">ROUND(DB73,4)-ROUND(DB71,4)</f>
        <v>0</v>
      </c>
      <c r="DC74" s="133">
        <f t="shared" si="312"/>
        <v>0</v>
      </c>
      <c r="DD74" s="133">
        <f t="shared" si="312"/>
        <v>0</v>
      </c>
      <c r="DE74" s="133">
        <f t="shared" si="312"/>
        <v>0</v>
      </c>
      <c r="DF74" s="133">
        <f t="shared" si="312"/>
        <v>0</v>
      </c>
      <c r="DG74" s="133">
        <f t="shared" si="312"/>
        <v>0</v>
      </c>
      <c r="DH74" s="133">
        <f t="shared" ref="DH74" si="313">ROUND(DH73,4)-ROUND(DH71,4)</f>
        <v>0</v>
      </c>
      <c r="DI74" s="22"/>
    </row>
    <row r="75" spans="1:113" ht="14.25" customHeight="1">
      <c r="A75" s="8"/>
      <c r="B75" s="667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7"/>
      <c r="AR75" s="68"/>
      <c r="AS75" s="68"/>
      <c r="AT75" s="68"/>
      <c r="AU75" s="67"/>
      <c r="AV75" s="68"/>
      <c r="AW75" s="68"/>
      <c r="AX75" s="68"/>
      <c r="AY75" s="67"/>
      <c r="AZ75" s="68"/>
      <c r="BA75" s="68"/>
      <c r="BB75" s="68"/>
      <c r="BC75" s="67"/>
      <c r="BD75" s="68"/>
      <c r="BE75" s="68"/>
      <c r="BF75" s="68"/>
      <c r="BG75" s="67"/>
      <c r="BH75" s="68"/>
      <c r="BI75" s="68"/>
      <c r="BJ75" s="68"/>
      <c r="BK75" s="67"/>
      <c r="BL75" s="68"/>
      <c r="BM75" s="68"/>
      <c r="BN75" s="68"/>
      <c r="BO75" s="67"/>
      <c r="BP75" s="68"/>
      <c r="BQ75" s="68"/>
      <c r="BR75" s="68"/>
      <c r="BS75" s="67"/>
      <c r="BT75" s="68"/>
      <c r="BU75" s="68"/>
      <c r="BV75" s="68"/>
      <c r="BW75" s="67"/>
      <c r="BX75" s="8"/>
      <c r="BY75" s="68"/>
      <c r="BZ75" s="68"/>
      <c r="CA75" s="68"/>
      <c r="CB75" s="68"/>
      <c r="CC75" s="68"/>
      <c r="CD75" s="68"/>
      <c r="CE75" s="68"/>
      <c r="CF75" s="68"/>
      <c r="CG75" s="68"/>
      <c r="CH75" s="68"/>
      <c r="CI75" s="68"/>
      <c r="CJ75" s="68"/>
      <c r="CK75" s="68"/>
      <c r="CL75" s="68"/>
      <c r="CM75" s="68"/>
      <c r="CN75" s="68"/>
      <c r="CO75" s="68"/>
      <c r="CP75" s="68"/>
      <c r="CQ75" s="8"/>
      <c r="CR75" s="68"/>
      <c r="CS75" s="68"/>
      <c r="CT75" s="68"/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  <c r="DG75" s="68"/>
      <c r="DH75" s="68"/>
      <c r="DI75" s="8"/>
    </row>
    <row r="76" spans="1:113" ht="14.25" customHeight="1">
      <c r="A76" s="8"/>
      <c r="B76" s="619"/>
      <c r="C76" s="68"/>
      <c r="D76" s="162"/>
      <c r="E76" s="162"/>
      <c r="F76" s="68"/>
      <c r="G76" s="68"/>
      <c r="H76" s="162"/>
      <c r="I76" s="162"/>
      <c r="J76" s="68"/>
      <c r="K76" s="68"/>
      <c r="L76" s="162"/>
      <c r="M76" s="162"/>
      <c r="N76" s="68"/>
      <c r="O76" s="68"/>
      <c r="P76" s="162"/>
      <c r="Q76" s="162"/>
      <c r="R76" s="68"/>
      <c r="S76" s="68"/>
      <c r="T76" s="162"/>
      <c r="U76" s="162"/>
      <c r="V76" s="68"/>
      <c r="W76" s="68"/>
      <c r="X76" s="162"/>
      <c r="Y76" s="162"/>
      <c r="Z76" s="68"/>
      <c r="AA76" s="68"/>
      <c r="AB76" s="162"/>
      <c r="AC76" s="162"/>
      <c r="AD76" s="68"/>
      <c r="AE76" s="68"/>
      <c r="AF76" s="162"/>
      <c r="AG76" s="162"/>
      <c r="AH76" s="68"/>
      <c r="AI76" s="68"/>
      <c r="AJ76" s="68"/>
      <c r="AK76" s="68"/>
      <c r="AL76" s="68"/>
      <c r="AM76" s="68"/>
      <c r="AN76" s="68"/>
      <c r="AO76" s="68"/>
      <c r="AP76" s="68"/>
      <c r="AQ76" s="72"/>
      <c r="AR76" s="68"/>
      <c r="AS76" s="68"/>
      <c r="AT76" s="68"/>
      <c r="AU76" s="72"/>
      <c r="AV76" s="68"/>
      <c r="AW76" s="68"/>
      <c r="AX76" s="68"/>
      <c r="AY76" s="72"/>
      <c r="AZ76" s="68"/>
      <c r="BA76" s="68"/>
      <c r="BB76" s="68"/>
      <c r="BC76" s="72"/>
      <c r="BD76" s="68"/>
      <c r="BE76" s="68"/>
      <c r="BF76" s="68"/>
      <c r="BG76" s="72"/>
      <c r="BH76" s="68"/>
      <c r="BI76" s="68"/>
      <c r="BJ76" s="68"/>
      <c r="BK76" s="72"/>
      <c r="BL76" s="68"/>
      <c r="BM76" s="68"/>
      <c r="BN76" s="68"/>
      <c r="BO76" s="72"/>
      <c r="BP76" s="68"/>
      <c r="BQ76" s="68"/>
      <c r="BR76" s="68"/>
      <c r="BS76" s="72"/>
      <c r="BT76" s="68"/>
      <c r="BU76" s="68"/>
      <c r="BV76" s="68"/>
      <c r="BW76" s="72"/>
      <c r="BX76" s="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/>
      <c r="CJ76" s="68"/>
      <c r="CK76" s="68"/>
      <c r="CL76" s="68"/>
      <c r="CM76" s="68"/>
      <c r="CN76" s="68"/>
      <c r="CO76" s="68"/>
      <c r="CP76" s="68"/>
      <c r="CQ76" s="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B76" s="68"/>
      <c r="DC76" s="68"/>
      <c r="DD76" s="68"/>
      <c r="DE76" s="68"/>
      <c r="DF76" s="68"/>
      <c r="DG76" s="68"/>
      <c r="DH76" s="68"/>
      <c r="DI76" s="8"/>
    </row>
    <row r="77" spans="1:113" ht="14.25" customHeight="1">
      <c r="A77" s="8"/>
      <c r="B77" s="668" t="s">
        <v>56</v>
      </c>
      <c r="C77" s="142"/>
      <c r="D77" s="523" t="str">
        <f t="shared" ref="D77:O77" si="314">D60</f>
        <v>F1Q03A</v>
      </c>
      <c r="E77" s="524" t="str">
        <f t="shared" si="314"/>
        <v>F2Q03A</v>
      </c>
      <c r="F77" s="524" t="str">
        <f t="shared" si="314"/>
        <v>F3Q03A</v>
      </c>
      <c r="G77" s="21" t="str">
        <f t="shared" si="314"/>
        <v>F4Q03A</v>
      </c>
      <c r="H77" s="524" t="str">
        <f t="shared" si="314"/>
        <v>F1Q04A</v>
      </c>
      <c r="I77" s="524" t="str">
        <f t="shared" si="314"/>
        <v>F2Q04A</v>
      </c>
      <c r="J77" s="524" t="str">
        <f t="shared" si="314"/>
        <v>F3Q04A</v>
      </c>
      <c r="K77" s="21" t="str">
        <f t="shared" si="314"/>
        <v>F4Q04A</v>
      </c>
      <c r="L77" s="523" t="str">
        <f t="shared" si="314"/>
        <v>F1Q05A</v>
      </c>
      <c r="M77" s="524" t="str">
        <f t="shared" si="314"/>
        <v>F2Q05A</v>
      </c>
      <c r="N77" s="524" t="str">
        <f t="shared" si="314"/>
        <v>F3Q05A</v>
      </c>
      <c r="O77" s="21" t="str">
        <f t="shared" si="314"/>
        <v>F4Q05A</v>
      </c>
      <c r="P77" s="523" t="str">
        <f t="shared" ref="P77:AM77" si="315">P60</f>
        <v>F1Q06A</v>
      </c>
      <c r="Q77" s="524" t="str">
        <f t="shared" si="315"/>
        <v>F2Q06A</v>
      </c>
      <c r="R77" s="524" t="str">
        <f t="shared" si="315"/>
        <v>F3Q06A</v>
      </c>
      <c r="S77" s="21" t="str">
        <f t="shared" si="315"/>
        <v>F4Q06A</v>
      </c>
      <c r="T77" s="523" t="str">
        <f t="shared" si="315"/>
        <v>F1Q07A</v>
      </c>
      <c r="U77" s="524" t="str">
        <f t="shared" si="315"/>
        <v>F2Q07A</v>
      </c>
      <c r="V77" s="524" t="str">
        <f t="shared" si="315"/>
        <v>F3Q07A</v>
      </c>
      <c r="W77" s="21" t="str">
        <f t="shared" si="315"/>
        <v>F4Q07A</v>
      </c>
      <c r="X77" s="523" t="str">
        <f t="shared" si="315"/>
        <v>F1Q08A</v>
      </c>
      <c r="Y77" s="524" t="str">
        <f t="shared" si="315"/>
        <v>F2Q08A</v>
      </c>
      <c r="Z77" s="524" t="str">
        <f t="shared" si="315"/>
        <v>F3Q08A</v>
      </c>
      <c r="AA77" s="21" t="str">
        <f t="shared" si="315"/>
        <v>F4Q08A</v>
      </c>
      <c r="AB77" s="523" t="str">
        <f t="shared" si="315"/>
        <v>F1Q09A</v>
      </c>
      <c r="AC77" s="524" t="str">
        <f t="shared" si="315"/>
        <v>F2Q09A</v>
      </c>
      <c r="AD77" s="524" t="str">
        <f t="shared" si="315"/>
        <v>F3Q09A</v>
      </c>
      <c r="AE77" s="21" t="str">
        <f t="shared" si="315"/>
        <v>F4Q09A</v>
      </c>
      <c r="AF77" s="523" t="str">
        <f t="shared" si="315"/>
        <v>F1Q10A</v>
      </c>
      <c r="AG77" s="524" t="str">
        <f t="shared" si="315"/>
        <v>F2Q10A</v>
      </c>
      <c r="AH77" s="524" t="str">
        <f t="shared" si="315"/>
        <v>F3Q10A</v>
      </c>
      <c r="AI77" s="21" t="str">
        <f t="shared" si="315"/>
        <v>F4Q10A</v>
      </c>
      <c r="AJ77" s="523" t="str">
        <f t="shared" si="315"/>
        <v>F1Q11A</v>
      </c>
      <c r="AK77" s="524" t="str">
        <f t="shared" si="315"/>
        <v>F2Q11A</v>
      </c>
      <c r="AL77" s="524" t="str">
        <f t="shared" si="315"/>
        <v>F3Q11A</v>
      </c>
      <c r="AM77" s="21" t="str">
        <f t="shared" si="315"/>
        <v>F4Q11A</v>
      </c>
      <c r="AN77" s="523" t="str">
        <f>AN60</f>
        <v>F1Q12A</v>
      </c>
      <c r="AO77" s="524" t="str">
        <f>AO60</f>
        <v>F2Q12A</v>
      </c>
      <c r="AP77" s="524" t="str">
        <f>AP60</f>
        <v>F3Q12A</v>
      </c>
      <c r="AQ77" s="524" t="str">
        <f>AQ60</f>
        <v>F4Q12A</v>
      </c>
      <c r="AR77" s="523" t="str">
        <f>AR60</f>
        <v>F1Q13A</v>
      </c>
      <c r="AS77" s="524" t="str">
        <f t="shared" ref="AS77:BC77" si="316">AS60</f>
        <v>F2Q13A</v>
      </c>
      <c r="AT77" s="524" t="str">
        <f>AT60</f>
        <v>F3Q13A</v>
      </c>
      <c r="AU77" s="21" t="str">
        <f t="shared" si="316"/>
        <v>F4Q13A</v>
      </c>
      <c r="AV77" s="524" t="str">
        <f t="shared" si="316"/>
        <v>F1Q14A</v>
      </c>
      <c r="AW77" s="524" t="str">
        <f t="shared" si="316"/>
        <v>F2Q14A</v>
      </c>
      <c r="AX77" s="524" t="str">
        <f t="shared" si="316"/>
        <v>F3Q14A</v>
      </c>
      <c r="AY77" s="21" t="str">
        <f t="shared" si="316"/>
        <v>F4Q14A</v>
      </c>
      <c r="AZ77" s="523" t="str">
        <f t="shared" si="316"/>
        <v>F1Q15A</v>
      </c>
      <c r="BA77" s="524" t="str">
        <f t="shared" si="316"/>
        <v>F2Q15A</v>
      </c>
      <c r="BB77" s="524" t="str">
        <f t="shared" si="316"/>
        <v>F3Q15A</v>
      </c>
      <c r="BC77" s="21" t="str">
        <f t="shared" si="316"/>
        <v>F4Q15A</v>
      </c>
      <c r="BD77" s="523" t="str">
        <f t="shared" ref="BD77:BK77" si="317">BD60</f>
        <v>F1Q16A</v>
      </c>
      <c r="BE77" s="524" t="str">
        <f t="shared" si="317"/>
        <v>F2Q16A</v>
      </c>
      <c r="BF77" s="524" t="str">
        <f t="shared" si="317"/>
        <v>F3Q16A</v>
      </c>
      <c r="BG77" s="21" t="str">
        <f t="shared" si="317"/>
        <v>F4Q16A</v>
      </c>
      <c r="BH77" s="523" t="str">
        <f>BH60</f>
        <v>F1Q17A</v>
      </c>
      <c r="BI77" s="1317" t="str">
        <f t="shared" ref="BI77:BJ77" si="318">BI60</f>
        <v>F2Q17A</v>
      </c>
      <c r="BJ77" s="1353" t="str">
        <f t="shared" si="318"/>
        <v>F3Q17A</v>
      </c>
      <c r="BK77" s="21" t="str">
        <f t="shared" si="317"/>
        <v>F4Q17A</v>
      </c>
      <c r="BL77" s="523" t="str">
        <f t="shared" ref="BL77:BS77" si="319">BL60</f>
        <v>F1Q18A</v>
      </c>
      <c r="BM77" s="524" t="str">
        <f t="shared" si="319"/>
        <v>F2Q18A</v>
      </c>
      <c r="BN77" s="524" t="str">
        <f t="shared" si="319"/>
        <v>F3Q18A</v>
      </c>
      <c r="BO77" s="21" t="str">
        <f t="shared" si="319"/>
        <v>F4Q18E</v>
      </c>
      <c r="BP77" s="523" t="str">
        <f t="shared" si="319"/>
        <v>F1Q19E</v>
      </c>
      <c r="BQ77" s="524" t="str">
        <f t="shared" si="319"/>
        <v>F2Q19E</v>
      </c>
      <c r="BR77" s="524" t="str">
        <f t="shared" si="319"/>
        <v>F3Q19E</v>
      </c>
      <c r="BS77" s="21" t="str">
        <f t="shared" si="319"/>
        <v>F4Q19E</v>
      </c>
      <c r="BT77" s="1352" t="str">
        <f t="shared" ref="BT77:BW77" si="320">BT60</f>
        <v>F1Q20E</v>
      </c>
      <c r="BU77" s="1353" t="str">
        <f t="shared" si="320"/>
        <v>F2Q20E</v>
      </c>
      <c r="BV77" s="1353" t="str">
        <f t="shared" si="320"/>
        <v>F3Q20E</v>
      </c>
      <c r="BW77" s="1345" t="str">
        <f t="shared" si="320"/>
        <v>F4Q20E</v>
      </c>
      <c r="BX77" s="20"/>
      <c r="BY77" s="523" t="str">
        <f>BY60</f>
        <v>FY2003A</v>
      </c>
      <c r="BZ77" s="524" t="str">
        <f>BZ60</f>
        <v>FY2004A</v>
      </c>
      <c r="CA77" s="524" t="str">
        <f>CA60</f>
        <v>FY2005A</v>
      </c>
      <c r="CB77" s="524" t="str">
        <f t="shared" ref="CB77:CH77" si="321">CB60</f>
        <v>FY2006A</v>
      </c>
      <c r="CC77" s="524" t="str">
        <f t="shared" si="321"/>
        <v>FY2007A</v>
      </c>
      <c r="CD77" s="524" t="str">
        <f t="shared" si="321"/>
        <v>FY2008A</v>
      </c>
      <c r="CE77" s="524" t="str">
        <f t="shared" si="321"/>
        <v>FY2009A</v>
      </c>
      <c r="CF77" s="524" t="str">
        <f t="shared" si="321"/>
        <v>FY2010A</v>
      </c>
      <c r="CG77" s="523" t="str">
        <f t="shared" si="321"/>
        <v>FY2011A</v>
      </c>
      <c r="CH77" s="524" t="str">
        <f t="shared" si="321"/>
        <v>FY2012A</v>
      </c>
      <c r="CI77" s="524" t="str">
        <f t="shared" ref="CI77:CO77" si="322">CI60</f>
        <v>FY2013A</v>
      </c>
      <c r="CJ77" s="524" t="str">
        <f t="shared" si="322"/>
        <v>FY2014A</v>
      </c>
      <c r="CK77" s="524" t="str">
        <f t="shared" si="322"/>
        <v>FY2015A</v>
      </c>
      <c r="CL77" s="524" t="str">
        <f t="shared" si="322"/>
        <v>FY2016A</v>
      </c>
      <c r="CM77" s="524" t="str">
        <f t="shared" si="322"/>
        <v>FY2017A</v>
      </c>
      <c r="CN77" s="524" t="str">
        <f t="shared" si="322"/>
        <v>FY2018E</v>
      </c>
      <c r="CO77" s="1353" t="str">
        <f t="shared" si="322"/>
        <v>FY2019E</v>
      </c>
      <c r="CP77" s="1353" t="str">
        <f t="shared" ref="CP77" si="323">CP60</f>
        <v>FY2020E</v>
      </c>
      <c r="CQ77" s="20"/>
      <c r="CR77" s="17" t="str">
        <f>CR60</f>
        <v>CY2003</v>
      </c>
      <c r="CS77" s="18" t="str">
        <f>CS60</f>
        <v>CY2004</v>
      </c>
      <c r="CT77" s="18" t="str">
        <f>CT60</f>
        <v>CY2005</v>
      </c>
      <c r="CU77" s="18" t="str">
        <f t="shared" ref="CU77:DA77" si="324">CU60</f>
        <v>CY2006</v>
      </c>
      <c r="CV77" s="18" t="str">
        <f t="shared" si="324"/>
        <v>CY2007</v>
      </c>
      <c r="CW77" s="18" t="str">
        <f t="shared" si="324"/>
        <v>CY2008</v>
      </c>
      <c r="CX77" s="18" t="str">
        <f t="shared" si="324"/>
        <v>CY2009</v>
      </c>
      <c r="CY77" s="18" t="str">
        <f t="shared" si="324"/>
        <v>CY2010</v>
      </c>
      <c r="CZ77" s="18" t="str">
        <f t="shared" si="324"/>
        <v>CY2011</v>
      </c>
      <c r="DA77" s="18" t="str">
        <f t="shared" si="324"/>
        <v>CY2012</v>
      </c>
      <c r="DB77" s="18" t="str">
        <f t="shared" ref="DB77:DG77" si="325">DB60</f>
        <v>CY2013</v>
      </c>
      <c r="DC77" s="18" t="str">
        <f t="shared" si="325"/>
        <v>CY2014</v>
      </c>
      <c r="DD77" s="18" t="str">
        <f t="shared" si="325"/>
        <v>CY2015</v>
      </c>
      <c r="DE77" s="18" t="str">
        <f t="shared" si="325"/>
        <v>CY2016</v>
      </c>
      <c r="DF77" s="18" t="str">
        <f t="shared" si="325"/>
        <v>CY2017</v>
      </c>
      <c r="DG77" s="1439" t="str">
        <f t="shared" si="325"/>
        <v>CY2018</v>
      </c>
      <c r="DH77" s="1440" t="str">
        <f t="shared" ref="DH77" si="326">DH60</f>
        <v>CY2019</v>
      </c>
      <c r="DI77" s="14"/>
    </row>
    <row r="78" spans="1:113" ht="14.25" customHeight="1">
      <c r="A78" s="8"/>
      <c r="B78" s="620" t="s">
        <v>301</v>
      </c>
      <c r="C78" s="68"/>
      <c r="D78" s="1203">
        <f>+IS!D104</f>
        <v>211.52699999999999</v>
      </c>
      <c r="E78" s="1204">
        <f>+IS!E104</f>
        <v>209.642</v>
      </c>
      <c r="F78" s="1204">
        <f>+IS!F104</f>
        <v>210.929</v>
      </c>
      <c r="G78" s="1205">
        <f>+IS!G104</f>
        <v>210.84299999999999</v>
      </c>
      <c r="H78" s="1203">
        <f>+IS!H104</f>
        <v>210.15700000000001</v>
      </c>
      <c r="I78" s="1204">
        <f>+IS!I104</f>
        <v>212.578</v>
      </c>
      <c r="J78" s="1204">
        <f>+IS!J104</f>
        <v>215.34399999999999</v>
      </c>
      <c r="K78" s="1205">
        <f>+IS!K104</f>
        <v>214.679</v>
      </c>
      <c r="L78" s="1203">
        <f>+IS!L104</f>
        <v>212.964</v>
      </c>
      <c r="M78" s="1204">
        <f>+IS!M104</f>
        <v>211.40299999999999</v>
      </c>
      <c r="N78" s="1204">
        <f>+IS!N104</f>
        <v>211.727</v>
      </c>
      <c r="O78" s="1205">
        <f>+IS!O104</f>
        <v>211.77799999999999</v>
      </c>
      <c r="P78" s="1203">
        <f>+IS!P104</f>
        <v>213.10499999999999</v>
      </c>
      <c r="Q78" s="1204">
        <f>+IS!Q104</f>
        <v>214.68799999999999</v>
      </c>
      <c r="R78" s="1204">
        <f>+IS!R104</f>
        <v>215.667</v>
      </c>
      <c r="S78" s="1205">
        <f>+IS!S104</f>
        <v>217.11099999999999</v>
      </c>
      <c r="T78" s="1203">
        <f>+IS!T104</f>
        <v>219.791</v>
      </c>
      <c r="U78" s="1204">
        <f>+IS!U104</f>
        <v>219.233</v>
      </c>
      <c r="V78" s="1204">
        <f>+IS!V104</f>
        <v>220.92</v>
      </c>
      <c r="W78" s="1205">
        <f>+IS!W104</f>
        <v>222.47200000000001</v>
      </c>
      <c r="X78" s="1203">
        <f>+IS!X104</f>
        <v>223.59200000000001</v>
      </c>
      <c r="Y78" s="1204">
        <f>+IS!Y104</f>
        <v>222.00399999999999</v>
      </c>
      <c r="Z78" s="1204">
        <f>+IS!Z104</f>
        <v>211.33699999999999</v>
      </c>
      <c r="AA78" s="1205">
        <f>+IS!AA104</f>
        <v>191.261</v>
      </c>
      <c r="AB78" s="1203">
        <f>+IS!AB104</f>
        <v>191.04900000000001</v>
      </c>
      <c r="AC78" s="1204">
        <f>+IS!AC104</f>
        <v>187.93600000000001</v>
      </c>
      <c r="AD78" s="1204">
        <f>+IS!AD104</f>
        <v>183.999</v>
      </c>
      <c r="AE78" s="1205">
        <f>+IS!AE104</f>
        <v>184.16800000000001</v>
      </c>
      <c r="AF78" s="1203">
        <f>+IS!AF104</f>
        <v>185.52600000000001</v>
      </c>
      <c r="AG78" s="1204">
        <f>+IS!AG104</f>
        <v>186.922</v>
      </c>
      <c r="AH78" s="1204">
        <f>+IS!AH104</f>
        <v>187.86099999999999</v>
      </c>
      <c r="AI78" s="1205">
        <f>+IS!AI104</f>
        <v>189.048</v>
      </c>
      <c r="AJ78" s="1203">
        <f>+IS!AJ104</f>
        <v>190.072</v>
      </c>
      <c r="AK78" s="1204">
        <f>+IS!AK104</f>
        <v>190.70400000000001</v>
      </c>
      <c r="AL78" s="1204">
        <f>+IS!AL104</f>
        <v>196.255</v>
      </c>
      <c r="AM78" s="1205">
        <f>+IS!AM104</f>
        <v>201.82900000000001</v>
      </c>
      <c r="AN78" s="1203">
        <f>+IS!AN104</f>
        <v>204.56700000000001</v>
      </c>
      <c r="AO78" s="1204">
        <f>+IS!AO104</f>
        <v>200.19900000000001</v>
      </c>
      <c r="AP78" s="1204">
        <f>+IS!AP104</f>
        <v>203.291</v>
      </c>
      <c r="AQ78" s="1205">
        <f>+IS!AQ104</f>
        <v>206.017</v>
      </c>
      <c r="AR78" s="1203">
        <f>+IS!AR104</f>
        <v>203.7</v>
      </c>
      <c r="AS78" s="1204">
        <f>+IS!AS104</f>
        <v>194.06</v>
      </c>
      <c r="AT78" s="1204">
        <f>+IS!AT104</f>
        <v>204.405</v>
      </c>
      <c r="AU78" s="1205">
        <f>+IS!AU104</f>
        <v>209.446</v>
      </c>
      <c r="AV78" s="1203">
        <f>+IS!AV104</f>
        <v>212.26599999999999</v>
      </c>
      <c r="AW78" s="1204">
        <f>+IS!AW104</f>
        <v>216.47499999999999</v>
      </c>
      <c r="AX78" s="1204">
        <f>+IS!AX104</f>
        <v>219.089</v>
      </c>
      <c r="AY78" s="1205">
        <f>+IS!AY104</f>
        <v>222.68899999999999</v>
      </c>
      <c r="AZ78" s="1203">
        <f>+IS!AZ104</f>
        <v>224.52699999999999</v>
      </c>
      <c r="BA78" s="1204">
        <f>+IS!BA104</f>
        <v>225.28399999999999</v>
      </c>
      <c r="BB78" s="1204">
        <f>+IS!BB104</f>
        <v>223.48699999999999</v>
      </c>
      <c r="BC78" s="1205">
        <f>+IS!BC104</f>
        <v>220.947</v>
      </c>
      <c r="BD78" s="1203">
        <f>+IS!BD104</f>
        <v>216.767</v>
      </c>
      <c r="BE78" s="1204">
        <f>+IS!BE104</f>
        <v>217.09899999999999</v>
      </c>
      <c r="BF78" s="1204">
        <f>+IS!BF104</f>
        <v>217.97499999999999</v>
      </c>
      <c r="BG78" s="1205">
        <f>+IS!BG104</f>
        <v>217.71100000000001</v>
      </c>
      <c r="BH78" s="1203">
        <f>+IS!BH104</f>
        <v>214.345</v>
      </c>
      <c r="BI78" s="1204">
        <f>+IS!BI104</f>
        <v>233.96</v>
      </c>
      <c r="BJ78" s="1204">
        <f>+IS!BJ104</f>
        <v>235.42400000000001</v>
      </c>
      <c r="BK78" s="1205">
        <f>+IS!BK104</f>
        <v>239.17099999999999</v>
      </c>
      <c r="BL78" s="1203">
        <f>+IS!BL104</f>
        <v>242.90199999999999</v>
      </c>
      <c r="BM78" s="1204">
        <f>+IS!BM104</f>
        <v>244.767</v>
      </c>
      <c r="BN78" s="1204">
        <f>+IS!BN104</f>
        <v>234.10599999999999</v>
      </c>
      <c r="BO78" s="1205">
        <f>+IS!BO104</f>
        <v>235.78100000000001</v>
      </c>
      <c r="BP78" s="1203">
        <f>+IS!BP104</f>
        <v>236.28100000000001</v>
      </c>
      <c r="BQ78" s="1204">
        <f>+IS!BQ104</f>
        <v>236.78100000000001</v>
      </c>
      <c r="BR78" s="1204">
        <f>+IS!BR104</f>
        <v>237.28100000000001</v>
      </c>
      <c r="BS78" s="1205">
        <f>+IS!BS104</f>
        <v>237.78100000000001</v>
      </c>
      <c r="BT78" s="1203">
        <f>+IS!BT104</f>
        <v>238.28100000000001</v>
      </c>
      <c r="BU78" s="1204">
        <f>+IS!BU104</f>
        <v>238.78100000000001</v>
      </c>
      <c r="BV78" s="1204">
        <f>+IS!BV104</f>
        <v>239.28100000000001</v>
      </c>
      <c r="BW78" s="1205">
        <f>+IS!BW104</f>
        <v>239.78100000000001</v>
      </c>
      <c r="BX78" s="1521"/>
      <c r="BY78" s="1203">
        <f>IS!BY104</f>
        <v>210.73524999999998</v>
      </c>
      <c r="BZ78" s="1204">
        <f>IS!BZ104</f>
        <v>213.18949999999998</v>
      </c>
      <c r="CA78" s="1204">
        <f>IS!CA104</f>
        <v>211.96799999999999</v>
      </c>
      <c r="CB78" s="1204">
        <f>IS!CB104</f>
        <v>215.14275000000001</v>
      </c>
      <c r="CC78" s="1204">
        <f>IS!CC104</f>
        <v>220.60399999999998</v>
      </c>
      <c r="CD78" s="1204">
        <f>IS!CD104</f>
        <v>212.04849999999999</v>
      </c>
      <c r="CE78" s="1204">
        <f>IS!CE104</f>
        <v>186.78800000000001</v>
      </c>
      <c r="CF78" s="1204">
        <f>IS!CF104</f>
        <v>187.33924999999999</v>
      </c>
      <c r="CG78" s="1203">
        <f>IS!CG104</f>
        <v>194.71499999999997</v>
      </c>
      <c r="CH78" s="1204">
        <f>IS!CH104</f>
        <v>203.51850000000002</v>
      </c>
      <c r="CI78" s="1204">
        <f>IS!CI104</f>
        <v>202.90275</v>
      </c>
      <c r="CJ78" s="1203">
        <f>+IS!CJ104</f>
        <v>217.62974999999997</v>
      </c>
      <c r="CK78" s="1204">
        <f>+IS!CK104</f>
        <v>223.56125</v>
      </c>
      <c r="CL78" s="1204">
        <f>+IS!CL104</f>
        <v>217.38800000000001</v>
      </c>
      <c r="CM78" s="1204">
        <f>+IS!CM104</f>
        <v>230.72500000000002</v>
      </c>
      <c r="CN78" s="1204">
        <f>+IS!CN104</f>
        <v>239.38900000000001</v>
      </c>
      <c r="CO78" s="1204">
        <f>+IS!CO104</f>
        <v>237.03100000000001</v>
      </c>
      <c r="CP78" s="1205">
        <f>+IS!CP104</f>
        <v>239.03100000000001</v>
      </c>
      <c r="CQ78" s="232"/>
      <c r="CR78" s="1204">
        <f>+IS!CR104</f>
        <v>212.23050000000001</v>
      </c>
      <c r="CS78" s="1204">
        <f>+IS!CS104</f>
        <v>212.69325000000001</v>
      </c>
      <c r="CT78" s="1204">
        <f>+IS!CT104</f>
        <v>213.80949999999999</v>
      </c>
      <c r="CU78" s="1204">
        <f>+IS!CU104</f>
        <v>219.26374999999999</v>
      </c>
      <c r="CV78" s="1204">
        <f>+IS!CV104</f>
        <v>219.85124999999999</v>
      </c>
      <c r="CW78" s="1204">
        <f>+IS!CW104</f>
        <v>188.56125</v>
      </c>
      <c r="CX78" s="1204">
        <f>+IS!CX104</f>
        <v>186.11924999999999</v>
      </c>
      <c r="CY78" s="1204">
        <f>+IS!CY104</f>
        <v>191.51975000000002</v>
      </c>
      <c r="CZ78" s="1204">
        <f>+IS!CZ104</f>
        <v>202.47149999999999</v>
      </c>
      <c r="DA78" s="1204">
        <f>+IS!DA104</f>
        <v>202.0455</v>
      </c>
      <c r="DB78" s="1204">
        <f>+IS!DB104</f>
        <v>214.31900000000002</v>
      </c>
      <c r="DC78" s="1204">
        <f>+IS!DC104</f>
        <v>223.99674999999999</v>
      </c>
      <c r="DD78" s="1204">
        <f>+IS!DD104</f>
        <v>218.197</v>
      </c>
      <c r="DE78" s="1204">
        <f>+IS!DE104</f>
        <v>225.36</v>
      </c>
      <c r="DF78" s="1204">
        <f>+IS!DF104</f>
        <v>240.23649999999998</v>
      </c>
      <c r="DG78" s="1204">
        <f>+IS!DG104</f>
        <v>236.53100000000001</v>
      </c>
      <c r="DH78" s="1204">
        <f>+IS!DH104</f>
        <v>238.53100000000001</v>
      </c>
      <c r="DI78" s="22"/>
    </row>
    <row r="79" spans="1:113" ht="14.25" customHeight="1">
      <c r="A79" s="8"/>
      <c r="B79" s="612"/>
      <c r="C79" s="24"/>
      <c r="D79" s="635"/>
      <c r="E79" s="163"/>
      <c r="F79" s="163"/>
      <c r="G79" s="170"/>
      <c r="H79" s="163"/>
      <c r="I79" s="163"/>
      <c r="J79" s="163"/>
      <c r="K79" s="170"/>
      <c r="L79" s="163"/>
      <c r="M79" s="163"/>
      <c r="N79" s="163"/>
      <c r="O79" s="170"/>
      <c r="P79" s="163"/>
      <c r="Q79" s="163"/>
      <c r="R79" s="163"/>
      <c r="S79" s="170"/>
      <c r="T79" s="163"/>
      <c r="U79" s="163"/>
      <c r="V79" s="163"/>
      <c r="W79" s="170"/>
      <c r="X79" s="163"/>
      <c r="Y79" s="163"/>
      <c r="Z79" s="163"/>
      <c r="AA79" s="170"/>
      <c r="AB79" s="163"/>
      <c r="AC79" s="163"/>
      <c r="AD79" s="163"/>
      <c r="AE79" s="170"/>
      <c r="AF79" s="163"/>
      <c r="AG79" s="163"/>
      <c r="AH79" s="163"/>
      <c r="AI79" s="170"/>
      <c r="AJ79" s="163"/>
      <c r="AK79" s="163"/>
      <c r="AL79" s="163"/>
      <c r="AM79" s="170"/>
      <c r="AN79" s="163"/>
      <c r="AO79" s="163"/>
      <c r="AP79" s="163"/>
      <c r="AQ79" s="163"/>
      <c r="AR79" s="635"/>
      <c r="AS79" s="163"/>
      <c r="AT79" s="163"/>
      <c r="AU79" s="170"/>
      <c r="AV79" s="163"/>
      <c r="AW79" s="163"/>
      <c r="AX79" s="163"/>
      <c r="AY79" s="170"/>
      <c r="AZ79" s="163"/>
      <c r="BA79" s="163"/>
      <c r="BB79" s="163"/>
      <c r="BC79" s="170"/>
      <c r="BD79" s="163"/>
      <c r="BE79" s="163"/>
      <c r="BF79" s="163"/>
      <c r="BG79" s="170"/>
      <c r="BH79" s="163"/>
      <c r="BI79" s="163"/>
      <c r="BJ79" s="163"/>
      <c r="BK79" s="170"/>
      <c r="BL79" s="163"/>
      <c r="BM79" s="163"/>
      <c r="BN79" s="163"/>
      <c r="BO79" s="170"/>
      <c r="BP79" s="163"/>
      <c r="BQ79" s="163"/>
      <c r="BR79" s="163"/>
      <c r="BS79" s="170"/>
      <c r="BT79" s="163"/>
      <c r="BU79" s="163"/>
      <c r="BV79" s="163"/>
      <c r="BW79" s="170"/>
      <c r="BX79" s="20"/>
      <c r="BY79" s="81"/>
      <c r="BZ79" s="81"/>
      <c r="CA79" s="81"/>
      <c r="CB79" s="81"/>
      <c r="CC79" s="81"/>
      <c r="CD79" s="81"/>
      <c r="CE79" s="81"/>
      <c r="CF79" s="81"/>
      <c r="CG79" s="80"/>
      <c r="CH79" s="81"/>
      <c r="CI79" s="81"/>
      <c r="CJ79" s="80"/>
      <c r="CK79" s="81"/>
      <c r="CL79" s="81"/>
      <c r="CM79" s="81"/>
      <c r="CN79" s="81"/>
      <c r="CO79" s="81"/>
      <c r="CP79" s="81"/>
      <c r="CQ79" s="20"/>
      <c r="CR79" s="80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22"/>
    </row>
    <row r="80" spans="1:113" ht="14.25" customHeight="1">
      <c r="A80" s="8"/>
      <c r="B80" s="607" t="s">
        <v>320</v>
      </c>
      <c r="C80" s="24"/>
      <c r="D80" s="635"/>
      <c r="E80" s="163"/>
      <c r="F80" s="163"/>
      <c r="G80" s="170"/>
      <c r="H80" s="163"/>
      <c r="I80" s="163"/>
      <c r="J80" s="163"/>
      <c r="K80" s="170"/>
      <c r="L80" s="163"/>
      <c r="M80" s="163"/>
      <c r="N80" s="163"/>
      <c r="O80" s="170"/>
      <c r="P80" s="163"/>
      <c r="Q80" s="163"/>
      <c r="R80" s="163"/>
      <c r="S80" s="170"/>
      <c r="T80" s="163"/>
      <c r="U80" s="163"/>
      <c r="V80" s="163"/>
      <c r="W80" s="170"/>
      <c r="X80" s="163"/>
      <c r="Y80" s="163"/>
      <c r="Z80" s="163"/>
      <c r="AA80" s="170"/>
      <c r="AB80" s="163"/>
      <c r="AC80" s="163"/>
      <c r="AD80" s="163"/>
      <c r="AE80" s="170"/>
      <c r="AF80" s="163"/>
      <c r="AG80" s="163"/>
      <c r="AH80" s="163"/>
      <c r="AI80" s="170"/>
      <c r="AJ80" s="163"/>
      <c r="AK80" s="163"/>
      <c r="AL80" s="163"/>
      <c r="AM80" s="170"/>
      <c r="AN80" s="163"/>
      <c r="AO80" s="163"/>
      <c r="AP80" s="163"/>
      <c r="AQ80" s="163"/>
      <c r="AR80" s="635"/>
      <c r="AS80" s="163"/>
      <c r="AT80" s="163"/>
      <c r="AU80" s="170"/>
      <c r="AV80" s="163"/>
      <c r="AW80" s="163"/>
      <c r="AX80" s="163"/>
      <c r="AY80" s="170"/>
      <c r="AZ80" s="163"/>
      <c r="BA80" s="163"/>
      <c r="BB80" s="163"/>
      <c r="BC80" s="170"/>
      <c r="BD80" s="163"/>
      <c r="BE80" s="163"/>
      <c r="BF80" s="163"/>
      <c r="BG80" s="170"/>
      <c r="BH80" s="163"/>
      <c r="BI80" s="163"/>
      <c r="BJ80" s="163"/>
      <c r="BK80" s="170"/>
      <c r="BL80" s="163"/>
      <c r="BM80" s="163"/>
      <c r="BN80" s="163"/>
      <c r="BO80" s="170"/>
      <c r="BP80" s="163"/>
      <c r="BQ80" s="163"/>
      <c r="BR80" s="163"/>
      <c r="BS80" s="170"/>
      <c r="BT80" s="163"/>
      <c r="BU80" s="163"/>
      <c r="BV80" s="163"/>
      <c r="BW80" s="170"/>
      <c r="BX80" s="20"/>
      <c r="BY80" s="81"/>
      <c r="BZ80" s="81"/>
      <c r="CA80" s="81"/>
      <c r="CB80" s="81"/>
      <c r="CC80" s="81"/>
      <c r="CD80" s="81"/>
      <c r="CE80" s="81"/>
      <c r="CF80" s="81"/>
      <c r="CG80" s="80"/>
      <c r="CH80" s="81"/>
      <c r="CI80" s="81"/>
      <c r="CJ80" s="81"/>
      <c r="CK80" s="81"/>
      <c r="CL80" s="81"/>
      <c r="CM80" s="81"/>
      <c r="CN80" s="81"/>
      <c r="CO80" s="81"/>
      <c r="CP80" s="81"/>
      <c r="CQ80" s="20"/>
      <c r="CR80" s="80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22"/>
    </row>
    <row r="81" spans="1:113" ht="14.25" customHeight="1">
      <c r="A81" s="823"/>
      <c r="B81" s="612" t="s">
        <v>335</v>
      </c>
      <c r="C81" s="824"/>
      <c r="D81" s="827">
        <f t="shared" ref="D81:O81" si="327">D42/D78</f>
        <v>5.2713128820434276</v>
      </c>
      <c r="E81" s="825">
        <f t="shared" si="327"/>
        <v>5.3926884879938184</v>
      </c>
      <c r="F81" s="825">
        <f t="shared" si="327"/>
        <v>5.5717705957928976</v>
      </c>
      <c r="G81" s="826">
        <f t="shared" si="327"/>
        <v>5.5915965908282468</v>
      </c>
      <c r="H81" s="825">
        <f t="shared" si="327"/>
        <v>5.6835175606808246</v>
      </c>
      <c r="I81" s="825">
        <f t="shared" si="327"/>
        <v>5.8813000404557378</v>
      </c>
      <c r="J81" s="825">
        <f t="shared" si="327"/>
        <v>6.1324810535701024</v>
      </c>
      <c r="K81" s="826">
        <f t="shared" si="327"/>
        <v>6.1511233050275065</v>
      </c>
      <c r="L81" s="825">
        <f t="shared" si="327"/>
        <v>6.3631834488458141</v>
      </c>
      <c r="M81" s="825">
        <f t="shared" si="327"/>
        <v>6.5274144643169683</v>
      </c>
      <c r="N81" s="825">
        <f t="shared" si="327"/>
        <v>6.7985660780155577</v>
      </c>
      <c r="O81" s="826">
        <f t="shared" si="327"/>
        <v>7.0155256919982243</v>
      </c>
      <c r="P81" s="825">
        <f t="shared" ref="P81:AP81" si="328">P42/P78</f>
        <v>7.2889702259449569</v>
      </c>
      <c r="Q81" s="825">
        <f t="shared" si="328"/>
        <v>7.5115516470412889</v>
      </c>
      <c r="R81" s="825">
        <f t="shared" si="328"/>
        <v>7.6466543328371985</v>
      </c>
      <c r="S81" s="826">
        <f t="shared" si="328"/>
        <v>7.9507210597344224</v>
      </c>
      <c r="T81" s="825">
        <f t="shared" si="328"/>
        <v>8.1341319708268305</v>
      </c>
      <c r="U81" s="825">
        <f t="shared" si="328"/>
        <v>8.4369825710545392</v>
      </c>
      <c r="V81" s="825">
        <f t="shared" si="328"/>
        <v>8.5528336049248601</v>
      </c>
      <c r="W81" s="826">
        <f t="shared" si="328"/>
        <v>9.0095292890790741</v>
      </c>
      <c r="X81" s="825">
        <f t="shared" si="328"/>
        <v>9.2178789938817118</v>
      </c>
      <c r="Y81" s="825">
        <f t="shared" si="328"/>
        <v>8.7474685140808273</v>
      </c>
      <c r="Z81" s="825">
        <f t="shared" si="328"/>
        <v>5.5039817921140166</v>
      </c>
      <c r="AA81" s="826">
        <f t="shared" si="328"/>
        <v>5.4178478623451722</v>
      </c>
      <c r="AB81" s="825">
        <f t="shared" si="328"/>
        <v>5.5092044449329753</v>
      </c>
      <c r="AC81" s="825">
        <f t="shared" si="328"/>
        <v>5.2633236846586069</v>
      </c>
      <c r="AD81" s="825">
        <f t="shared" si="328"/>
        <v>5.5354866059054668</v>
      </c>
      <c r="AE81" s="826">
        <f t="shared" si="328"/>
        <v>5.3796859389253289</v>
      </c>
      <c r="AF81" s="825">
        <f t="shared" si="328"/>
        <v>7.8544678373920638</v>
      </c>
      <c r="AG81" s="825">
        <f t="shared" si="328"/>
        <v>7.8017408330747582</v>
      </c>
      <c r="AH81" s="825">
        <f t="shared" si="328"/>
        <v>7.8987921920994779</v>
      </c>
      <c r="AI81" s="826">
        <f t="shared" si="328"/>
        <v>8.1110617409335202</v>
      </c>
      <c r="AJ81" s="825">
        <f t="shared" si="328"/>
        <v>8.2466907277242303</v>
      </c>
      <c r="AK81" s="825">
        <f t="shared" si="328"/>
        <v>8.5848540145985393</v>
      </c>
      <c r="AL81" s="825">
        <f t="shared" si="328"/>
        <v>8.4071488624493647</v>
      </c>
      <c r="AM81" s="826">
        <f t="shared" si="328"/>
        <v>8.9800672846815868</v>
      </c>
      <c r="AN81" s="825">
        <f t="shared" ref="AN81:BC81" si="329">AN42/AN78</f>
        <v>9.1863399277498328</v>
      </c>
      <c r="AO81" s="825">
        <f t="shared" si="328"/>
        <v>9.5102323188427516</v>
      </c>
      <c r="AP81" s="825">
        <f t="shared" si="328"/>
        <v>9.549389790989272</v>
      </c>
      <c r="AQ81" s="825">
        <f>AQ42/AQ78</f>
        <v>9.6626637607576082</v>
      </c>
      <c r="AR81" s="827">
        <f>AR42/AR78</f>
        <v>9.9066764850270008</v>
      </c>
      <c r="AS81" s="825">
        <f t="shared" si="329"/>
        <v>10.12108626198083</v>
      </c>
      <c r="AT81" s="825">
        <f t="shared" si="329"/>
        <v>9.4277830777133627</v>
      </c>
      <c r="AU81" s="826">
        <f t="shared" si="329"/>
        <v>9.2313531888887823</v>
      </c>
      <c r="AV81" s="825">
        <f t="shared" si="329"/>
        <v>9.2066557997983658</v>
      </c>
      <c r="AW81" s="825">
        <f t="shared" si="329"/>
        <v>9.3245825153019979</v>
      </c>
      <c r="AX81" s="825">
        <f t="shared" si="329"/>
        <v>9.4715298349072761</v>
      </c>
      <c r="AY81" s="826">
        <f t="shared" si="329"/>
        <v>9.5894318982976259</v>
      </c>
      <c r="AZ81" s="825">
        <f>AZ42/AZ78</f>
        <v>9.663180820124083</v>
      </c>
      <c r="BA81" s="825">
        <f t="shared" si="329"/>
        <v>9.7806368849984899</v>
      </c>
      <c r="BB81" s="825">
        <f t="shared" si="329"/>
        <v>10.095840026489238</v>
      </c>
      <c r="BC81" s="826">
        <f t="shared" si="329"/>
        <v>9.2540473507221179</v>
      </c>
      <c r="BD81" s="825">
        <f t="shared" ref="BD81:BG81" si="330">BD42/BD78</f>
        <v>9.6826638741136808</v>
      </c>
      <c r="BE81" s="825">
        <f t="shared" si="330"/>
        <v>9.8083408951676425</v>
      </c>
      <c r="BF81" s="825">
        <f t="shared" si="330"/>
        <v>9.7549902511755935</v>
      </c>
      <c r="BG81" s="826">
        <f t="shared" si="330"/>
        <v>9.8796983156569933</v>
      </c>
      <c r="BH81" s="825">
        <f>BH42/BH78</f>
        <v>11.815293102241712</v>
      </c>
      <c r="BI81" s="825">
        <f t="shared" ref="BI81:BK81" si="331">BI42/BI78</f>
        <v>10.768986151478886</v>
      </c>
      <c r="BJ81" s="825">
        <f t="shared" si="331"/>
        <v>10.903297879570477</v>
      </c>
      <c r="BK81" s="826">
        <f t="shared" si="331"/>
        <v>13.675198916256569</v>
      </c>
      <c r="BL81" s="825">
        <f t="shared" ref="BL81:BS81" si="332">BL42/BL78</f>
        <v>14.049097990135941</v>
      </c>
      <c r="BM81" s="825">
        <f t="shared" si="332"/>
        <v>14.487753659602806</v>
      </c>
      <c r="BN81" s="825">
        <f t="shared" si="332"/>
        <v>13.605268553561206</v>
      </c>
      <c r="BO81" s="826">
        <f t="shared" si="332"/>
        <v>14.601912223803074</v>
      </c>
      <c r="BP81" s="825">
        <f t="shared" si="332"/>
        <v>15.749328317441101</v>
      </c>
      <c r="BQ81" s="825">
        <f t="shared" si="332"/>
        <v>16.957560794353007</v>
      </c>
      <c r="BR81" s="825">
        <f t="shared" si="332"/>
        <v>18.118506617252432</v>
      </c>
      <c r="BS81" s="826">
        <f t="shared" si="332"/>
        <v>19.260152746818548</v>
      </c>
      <c r="BT81" s="825">
        <f t="shared" ref="BT81:BW81" si="333">BT42/BT78</f>
        <v>20.476202816221697</v>
      </c>
      <c r="BU81" s="825">
        <f t="shared" si="333"/>
        <v>21.742783161414859</v>
      </c>
      <c r="BV81" s="825">
        <f t="shared" si="333"/>
        <v>22.968370061655285</v>
      </c>
      <c r="BW81" s="826">
        <f t="shared" si="333"/>
        <v>24.1758840907688</v>
      </c>
      <c r="BX81" s="828"/>
      <c r="BY81" s="829">
        <f>BY42/BY78</f>
        <v>5.5944556024680265</v>
      </c>
      <c r="BZ81" s="829">
        <f>BZ42/BZ78</f>
        <v>6.1940996156002059</v>
      </c>
      <c r="CA81" s="829">
        <f>CA42/CA78</f>
        <v>7.0092372433574877</v>
      </c>
      <c r="CB81" s="829">
        <f t="shared" ref="CB81:CH81" si="334">CB42/CB78</f>
        <v>8.0234588430239917</v>
      </c>
      <c r="CC81" s="829">
        <f t="shared" si="334"/>
        <v>9.0858189334735542</v>
      </c>
      <c r="CD81" s="829">
        <f t="shared" si="334"/>
        <v>4.88672638570893</v>
      </c>
      <c r="CE81" s="829">
        <f t="shared" si="334"/>
        <v>5.3042272522860134</v>
      </c>
      <c r="CF81" s="829">
        <f t="shared" si="334"/>
        <v>8.1850439777035522</v>
      </c>
      <c r="CG81" s="830">
        <f t="shared" si="334"/>
        <v>9.3081580771897414</v>
      </c>
      <c r="CH81" s="829">
        <f t="shared" si="334"/>
        <v>9.7812876962045205</v>
      </c>
      <c r="CI81" s="829">
        <f t="shared" ref="CI81:CO81" si="335">CI42/CI78</f>
        <v>9.529047782743211</v>
      </c>
      <c r="CJ81" s="829">
        <f t="shared" si="335"/>
        <v>9.8123579152206908</v>
      </c>
      <c r="CK81" s="829">
        <f t="shared" si="335"/>
        <v>9.1458336361958974</v>
      </c>
      <c r="CL81" s="829">
        <f t="shared" si="335"/>
        <v>9.8943777945424767</v>
      </c>
      <c r="CM81" s="829">
        <f t="shared" si="335"/>
        <v>14.175798027955356</v>
      </c>
      <c r="CN81" s="829">
        <f t="shared" si="335"/>
        <v>14.38183653401164</v>
      </c>
      <c r="CO81" s="829">
        <f t="shared" si="335"/>
        <v>19.321094625982511</v>
      </c>
      <c r="CP81" s="829">
        <f t="shared" ref="CP81" si="336">CP42/CP78</f>
        <v>24.251739996772947</v>
      </c>
      <c r="CQ81" s="828"/>
      <c r="CR81" s="830">
        <f>CR42/CR78</f>
        <v>6.2224468207915455</v>
      </c>
      <c r="CS81" s="829">
        <f>CS42/CS78</f>
        <v>6.7676806856823148</v>
      </c>
      <c r="CT81" s="829">
        <f>CT42/CT78</f>
        <v>7.7130857141520845</v>
      </c>
      <c r="CU81" s="829">
        <f t="shared" ref="CU81:DA81" si="337">CU42/CU78</f>
        <v>8.6174390431614896</v>
      </c>
      <c r="CV81" s="829">
        <f t="shared" si="337"/>
        <v>5.2908273207452767</v>
      </c>
      <c r="CW81" s="829">
        <f t="shared" si="337"/>
        <v>5.401555197581688</v>
      </c>
      <c r="CX81" s="829">
        <f t="shared" si="337"/>
        <v>7.9727110441289657</v>
      </c>
      <c r="CY81" s="829">
        <f t="shared" si="337"/>
        <v>8.6150122898552226</v>
      </c>
      <c r="CZ81" s="829">
        <f t="shared" si="337"/>
        <v>9.5880407859871646</v>
      </c>
      <c r="DA81" s="829">
        <f t="shared" si="337"/>
        <v>9.5378813188118521</v>
      </c>
      <c r="DB81" s="829">
        <f t="shared" ref="DB81:DG81" si="338">DB42/DB78</f>
        <v>9.682333344220531</v>
      </c>
      <c r="DC81" s="829">
        <f t="shared" si="338"/>
        <v>10.072864896477293</v>
      </c>
      <c r="DD81" s="829">
        <f t="shared" si="338"/>
        <v>9.7450652392104384</v>
      </c>
      <c r="DE81" s="829">
        <f t="shared" si="338"/>
        <v>11.390211217607384</v>
      </c>
      <c r="DF81" s="829">
        <f t="shared" si="338"/>
        <v>13.258081099250115</v>
      </c>
      <c r="DG81" s="829">
        <f t="shared" si="338"/>
        <v>18.175957352940099</v>
      </c>
      <c r="DH81" s="829">
        <f t="shared" ref="DH81" si="339">DH42/DH78</f>
        <v>23.040588253614576</v>
      </c>
      <c r="DI81" s="831"/>
    </row>
    <row r="82" spans="1:113" ht="14.25" customHeight="1">
      <c r="A82" s="784"/>
      <c r="B82" s="612" t="s">
        <v>336</v>
      </c>
      <c r="C82" s="832"/>
      <c r="D82" s="835">
        <f t="shared" ref="D82:O82" si="340">(D42-(D21+D22))</f>
        <v>1079.1980000000001</v>
      </c>
      <c r="E82" s="833">
        <f t="shared" si="340"/>
        <v>1094.4550000000002</v>
      </c>
      <c r="F82" s="833">
        <f t="shared" si="340"/>
        <v>1139.3690000000001</v>
      </c>
      <c r="G82" s="834">
        <f t="shared" si="340"/>
        <v>1135.7730000000001</v>
      </c>
      <c r="H82" s="833">
        <f t="shared" si="340"/>
        <v>1151.7860000000001</v>
      </c>
      <c r="I82" s="833">
        <f t="shared" si="340"/>
        <v>1207.3919999999998</v>
      </c>
      <c r="J82" s="833">
        <f t="shared" si="340"/>
        <v>1278.171</v>
      </c>
      <c r="K82" s="834">
        <f t="shared" si="340"/>
        <v>1278.473</v>
      </c>
      <c r="L82" s="833">
        <f t="shared" si="340"/>
        <v>1313.4559999999999</v>
      </c>
      <c r="M82" s="833">
        <f t="shared" si="340"/>
        <v>1338.579</v>
      </c>
      <c r="N82" s="833">
        <f t="shared" si="340"/>
        <v>1398.443</v>
      </c>
      <c r="O82" s="834">
        <f t="shared" si="340"/>
        <v>1444.559</v>
      </c>
      <c r="P82" s="833">
        <f t="shared" ref="P82:BC82" si="341">(P42-(P21+P22))</f>
        <v>1511.973</v>
      </c>
      <c r="Q82" s="833">
        <f t="shared" si="341"/>
        <v>1570.9880000000001</v>
      </c>
      <c r="R82" s="833">
        <f t="shared" si="341"/>
        <v>1607.8040000000001</v>
      </c>
      <c r="S82" s="834">
        <f t="shared" si="341"/>
        <v>1684.8140000000001</v>
      </c>
      <c r="T82" s="833">
        <f t="shared" si="341"/>
        <v>1746.6589999999999</v>
      </c>
      <c r="U82" s="833">
        <f t="shared" si="341"/>
        <v>1808.7269999999999</v>
      </c>
      <c r="V82" s="833">
        <f t="shared" si="341"/>
        <v>1848.8389999999999</v>
      </c>
      <c r="W82" s="834">
        <f t="shared" si="341"/>
        <v>1964.0259999999998</v>
      </c>
      <c r="X82" s="833">
        <f t="shared" si="341"/>
        <v>2020.7819999999999</v>
      </c>
      <c r="Y82" s="833">
        <f t="shared" si="341"/>
        <v>1899.8879999999999</v>
      </c>
      <c r="Z82" s="833">
        <f t="shared" si="341"/>
        <v>1119.52</v>
      </c>
      <c r="AA82" s="834">
        <f t="shared" si="341"/>
        <v>992.72399999999993</v>
      </c>
      <c r="AB82" s="833">
        <f t="shared" si="341"/>
        <v>1009.311</v>
      </c>
      <c r="AC82" s="833">
        <f t="shared" si="341"/>
        <v>946.101</v>
      </c>
      <c r="AD82" s="833">
        <f t="shared" si="341"/>
        <v>963.57</v>
      </c>
      <c r="AE82" s="834">
        <f t="shared" si="341"/>
        <v>928.88299999999992</v>
      </c>
      <c r="AF82" s="833">
        <f t="shared" si="341"/>
        <v>1395.404</v>
      </c>
      <c r="AG82" s="833">
        <f t="shared" si="341"/>
        <v>1393.377</v>
      </c>
      <c r="AH82" s="833">
        <f t="shared" si="341"/>
        <v>1418.7139999999999</v>
      </c>
      <c r="AI82" s="834">
        <f t="shared" si="341"/>
        <v>1457.5150000000001</v>
      </c>
      <c r="AJ82" s="833">
        <f t="shared" si="341"/>
        <v>1440.3539999999998</v>
      </c>
      <c r="AK82" s="833">
        <f t="shared" si="341"/>
        <v>1506.491</v>
      </c>
      <c r="AL82" s="833">
        <f t="shared" si="341"/>
        <v>1511.414</v>
      </c>
      <c r="AM82" s="834">
        <f t="shared" si="341"/>
        <v>1658.491</v>
      </c>
      <c r="AN82" s="833">
        <f t="shared" si="341"/>
        <v>1727.6109999999999</v>
      </c>
      <c r="AO82" s="833">
        <f t="shared" si="341"/>
        <v>1751.375</v>
      </c>
      <c r="AP82" s="833">
        <f t="shared" si="341"/>
        <v>1790.1559999999999</v>
      </c>
      <c r="AQ82" s="833">
        <f t="shared" si="341"/>
        <v>1806.7239999999999</v>
      </c>
      <c r="AR82" s="835">
        <f t="shared" si="341"/>
        <v>1805.54</v>
      </c>
      <c r="AS82" s="833">
        <f t="shared" si="341"/>
        <v>1096.912</v>
      </c>
      <c r="AT82" s="833">
        <f t="shared" si="341"/>
        <v>1092.971</v>
      </c>
      <c r="AU82" s="834">
        <f t="shared" si="341"/>
        <v>1131.9860000000001</v>
      </c>
      <c r="AV82" s="833">
        <f t="shared" si="341"/>
        <v>1180.9479999999999</v>
      </c>
      <c r="AW82" s="833">
        <f t="shared" si="341"/>
        <v>1269.29</v>
      </c>
      <c r="AX82" s="833">
        <f t="shared" si="341"/>
        <v>1332.8630000000003</v>
      </c>
      <c r="AY82" s="834">
        <f t="shared" si="341"/>
        <v>1413.8649999999998</v>
      </c>
      <c r="AZ82" s="833">
        <f>(AZ42-(AZ21+AZ22))</f>
        <v>1261.681</v>
      </c>
      <c r="BA82" s="833">
        <f t="shared" si="341"/>
        <v>1046.4309999999998</v>
      </c>
      <c r="BB82" s="833">
        <f t="shared" si="341"/>
        <v>1139.7890000000002</v>
      </c>
      <c r="BC82" s="834">
        <f t="shared" si="341"/>
        <v>968.96600000000012</v>
      </c>
      <c r="BD82" s="833">
        <f t="shared" ref="BD82:BG82" si="342">(BD42-(BD21+BD22))</f>
        <v>1056.7340000000002</v>
      </c>
      <c r="BE82" s="833">
        <f t="shared" si="342"/>
        <v>418.27799999999979</v>
      </c>
      <c r="BF82" s="833">
        <f t="shared" si="342"/>
        <v>460.54300000000012</v>
      </c>
      <c r="BG82" s="834">
        <f t="shared" si="342"/>
        <v>531.91799999999967</v>
      </c>
      <c r="BH82" s="833">
        <f>(BH42-(BH21+BH22))</f>
        <v>-2261.7629999999999</v>
      </c>
      <c r="BI82" s="833">
        <f t="shared" ref="BI82:BK82" si="343">(BI42-(BI21+BI22))</f>
        <v>-2187.9339999999997</v>
      </c>
      <c r="BJ82" s="833">
        <f t="shared" si="343"/>
        <v>-2028.8130000000001</v>
      </c>
      <c r="BK82" s="834">
        <f t="shared" si="343"/>
        <v>-1176.3900000000008</v>
      </c>
      <c r="BL82" s="833">
        <f t="shared" ref="BL82:BS82" si="344">(BL42-(BL21+BL22))</f>
        <v>-913.02999999999975</v>
      </c>
      <c r="BM82" s="833">
        <f t="shared" si="344"/>
        <v>-658.61499999999978</v>
      </c>
      <c r="BN82" s="833">
        <f t="shared" si="344"/>
        <v>-898.50200000000041</v>
      </c>
      <c r="BO82" s="834">
        <f t="shared" si="344"/>
        <v>-640.72353395948767</v>
      </c>
      <c r="BP82" s="833">
        <f t="shared" si="344"/>
        <v>-362.30995582669948</v>
      </c>
      <c r="BQ82" s="833">
        <f t="shared" si="344"/>
        <v>-68.348797552300312</v>
      </c>
      <c r="BR82" s="833">
        <f t="shared" si="344"/>
        <v>226.85936864827454</v>
      </c>
      <c r="BS82" s="834">
        <f t="shared" si="344"/>
        <v>507.38038029126074</v>
      </c>
      <c r="BT82" s="833">
        <f t="shared" ref="BT82:BW82" si="345">(BT42-(BT21+BT22))</f>
        <v>806.77208325212177</v>
      </c>
      <c r="BU82" s="833">
        <f t="shared" si="345"/>
        <v>1119.4455060658011</v>
      </c>
      <c r="BV82" s="833">
        <f t="shared" si="345"/>
        <v>1434.8355567229382</v>
      </c>
      <c r="BW82" s="834">
        <f t="shared" si="345"/>
        <v>1735.8586631686339</v>
      </c>
      <c r="BX82" s="819"/>
      <c r="BY82" s="836">
        <f>(BY42-(BY21+BY22))</f>
        <v>1135.7730000000001</v>
      </c>
      <c r="BZ82" s="836">
        <f>(BZ42-(BZ21+BZ22))</f>
        <v>1278.473</v>
      </c>
      <c r="CA82" s="836">
        <f>(CA42-(CA21+CA22))</f>
        <v>1444.559</v>
      </c>
      <c r="CB82" s="836">
        <f t="shared" ref="CB82:CK82" si="346">(CB42-(CB21+CB22))</f>
        <v>1684.8140000000001</v>
      </c>
      <c r="CC82" s="836">
        <f t="shared" si="346"/>
        <v>1964.0259999999998</v>
      </c>
      <c r="CD82" s="836">
        <f t="shared" si="346"/>
        <v>992.72399999999993</v>
      </c>
      <c r="CE82" s="836">
        <f t="shared" si="346"/>
        <v>928.88299999999992</v>
      </c>
      <c r="CF82" s="836">
        <f t="shared" si="346"/>
        <v>1457.5150000000001</v>
      </c>
      <c r="CG82" s="837">
        <f t="shared" si="346"/>
        <v>1658.491</v>
      </c>
      <c r="CH82" s="836">
        <f t="shared" si="346"/>
        <v>1806.7239999999999</v>
      </c>
      <c r="CI82" s="836">
        <f t="shared" si="346"/>
        <v>1131.9860000000001</v>
      </c>
      <c r="CJ82" s="836">
        <f t="shared" si="346"/>
        <v>1413.8649999999998</v>
      </c>
      <c r="CK82" s="836">
        <f t="shared" si="346"/>
        <v>968.96600000000012</v>
      </c>
      <c r="CL82" s="836">
        <f>(CL42-(CL21+CL22))</f>
        <v>531.91799999999967</v>
      </c>
      <c r="CM82" s="836">
        <f>(CM42-(CM21+CM22))</f>
        <v>-1176.3900000000008</v>
      </c>
      <c r="CN82" s="836">
        <f>(CN42-(CN21+CN22))</f>
        <v>-640.72353395948767</v>
      </c>
      <c r="CO82" s="836">
        <f>(CO42-(CO21+CO22))</f>
        <v>507.38038029126074</v>
      </c>
      <c r="CP82" s="836">
        <f>(CP42-(CP21+CP22))</f>
        <v>1735.8586631686339</v>
      </c>
      <c r="CQ82" s="819"/>
      <c r="CR82" s="837">
        <f>(CR42-(CR21+CR22))</f>
        <v>1278.171</v>
      </c>
      <c r="CS82" s="836">
        <f>(CS42-(CS21+CS22))</f>
        <v>1398.443</v>
      </c>
      <c r="CT82" s="836">
        <f>(CT42-(CT21+CT22))</f>
        <v>1607.8040000000001</v>
      </c>
      <c r="CU82" s="836">
        <f t="shared" ref="CU82:DC82" si="347">(CU42-(CU21+CU22))</f>
        <v>1848.8389999999999</v>
      </c>
      <c r="CV82" s="836">
        <f t="shared" si="347"/>
        <v>1119.52</v>
      </c>
      <c r="CW82" s="836">
        <f t="shared" si="347"/>
        <v>963.57</v>
      </c>
      <c r="CX82" s="836">
        <f t="shared" si="347"/>
        <v>1418.7139999999999</v>
      </c>
      <c r="CY82" s="836">
        <f t="shared" si="347"/>
        <v>1511.414</v>
      </c>
      <c r="CZ82" s="836">
        <f t="shared" si="347"/>
        <v>1790.1559999999999</v>
      </c>
      <c r="DA82" s="836">
        <f t="shared" si="347"/>
        <v>1092.971</v>
      </c>
      <c r="DB82" s="836">
        <f t="shared" si="347"/>
        <v>1332.8630000000003</v>
      </c>
      <c r="DC82" s="836">
        <f t="shared" si="347"/>
        <v>1139.7890000000002</v>
      </c>
      <c r="DD82" s="836">
        <f>(DD42-(DD21+DD22))</f>
        <v>460.54300000000012</v>
      </c>
      <c r="DE82" s="836">
        <f>(DE42-(DE21+DE22))</f>
        <v>-2028.8130000000001</v>
      </c>
      <c r="DF82" s="836">
        <f>(DF42-(DF21+DF22))</f>
        <v>-898.50200000000041</v>
      </c>
      <c r="DG82" s="836">
        <f>(DG42-(DG21+DG22))</f>
        <v>226.85936864827454</v>
      </c>
      <c r="DH82" s="836">
        <f>(DH42-(DH21+DH22))</f>
        <v>1434.8355567229382</v>
      </c>
      <c r="DI82" s="822"/>
    </row>
    <row r="83" spans="1:113" ht="14.25" customHeight="1">
      <c r="A83" s="806"/>
      <c r="B83" s="853" t="s">
        <v>337</v>
      </c>
      <c r="C83" s="807"/>
      <c r="D83" s="810">
        <f t="shared" ref="D83:O83" si="348">D82/D78</f>
        <v>5.1019397050967497</v>
      </c>
      <c r="E83" s="808">
        <f t="shared" si="348"/>
        <v>5.220590339722003</v>
      </c>
      <c r="F83" s="808">
        <f t="shared" si="348"/>
        <v>5.4016707043602352</v>
      </c>
      <c r="G83" s="809">
        <f t="shared" si="348"/>
        <v>5.3868186280787134</v>
      </c>
      <c r="H83" s="808">
        <f t="shared" si="348"/>
        <v>5.4805978387586425</v>
      </c>
      <c r="I83" s="808">
        <f t="shared" si="348"/>
        <v>5.6797598998955667</v>
      </c>
      <c r="J83" s="808">
        <f t="shared" si="348"/>
        <v>5.9354846199569069</v>
      </c>
      <c r="K83" s="809">
        <f t="shared" si="348"/>
        <v>5.9552774141858311</v>
      </c>
      <c r="L83" s="808">
        <f t="shared" si="348"/>
        <v>6.1675024886835326</v>
      </c>
      <c r="M83" s="808">
        <f t="shared" si="348"/>
        <v>6.3318827074355619</v>
      </c>
      <c r="N83" s="808">
        <f t="shared" si="348"/>
        <v>6.6049346564207685</v>
      </c>
      <c r="O83" s="809">
        <f t="shared" si="348"/>
        <v>6.8211003975861519</v>
      </c>
      <c r="P83" s="808">
        <f t="shared" ref="P83:AP83" si="349">P82/P78</f>
        <v>7.0949672696558039</v>
      </c>
      <c r="Q83" s="808">
        <f t="shared" si="349"/>
        <v>7.3175398718139819</v>
      </c>
      <c r="R83" s="808">
        <f t="shared" si="349"/>
        <v>7.4550302086086422</v>
      </c>
      <c r="S83" s="809">
        <f t="shared" si="349"/>
        <v>7.7601503378456185</v>
      </c>
      <c r="T83" s="808">
        <f t="shared" si="349"/>
        <v>7.9469086541305147</v>
      </c>
      <c r="U83" s="808">
        <f t="shared" si="349"/>
        <v>8.2502497343009491</v>
      </c>
      <c r="V83" s="808">
        <f t="shared" si="349"/>
        <v>8.3688167662502266</v>
      </c>
      <c r="W83" s="809">
        <f t="shared" si="349"/>
        <v>8.8281941098205614</v>
      </c>
      <c r="X83" s="808">
        <f t="shared" si="349"/>
        <v>9.0378099395327194</v>
      </c>
      <c r="Y83" s="808">
        <f t="shared" si="349"/>
        <v>8.5578998576602228</v>
      </c>
      <c r="Z83" s="808">
        <f t="shared" si="349"/>
        <v>5.297321339850571</v>
      </c>
      <c r="AA83" s="809">
        <f t="shared" si="349"/>
        <v>5.1904151918059611</v>
      </c>
      <c r="AB83" s="808">
        <f t="shared" si="349"/>
        <v>5.2829954618972099</v>
      </c>
      <c r="AC83" s="808">
        <f t="shared" si="349"/>
        <v>5.0341658862591521</v>
      </c>
      <c r="AD83" s="808">
        <f t="shared" si="349"/>
        <v>5.23682193924967</v>
      </c>
      <c r="AE83" s="809">
        <f t="shared" si="349"/>
        <v>5.0436720820120753</v>
      </c>
      <c r="AF83" s="808">
        <f t="shared" si="349"/>
        <v>7.5213393271024005</v>
      </c>
      <c r="AG83" s="808">
        <f t="shared" si="349"/>
        <v>7.4543231936315681</v>
      </c>
      <c r="AH83" s="808">
        <f t="shared" si="349"/>
        <v>7.5519346751055298</v>
      </c>
      <c r="AI83" s="809">
        <f t="shared" si="349"/>
        <v>7.7097615420422327</v>
      </c>
      <c r="AJ83" s="808">
        <f t="shared" si="349"/>
        <v>7.5779388863167627</v>
      </c>
      <c r="AK83" s="808">
        <f t="shared" si="349"/>
        <v>7.8996297927678496</v>
      </c>
      <c r="AL83" s="808">
        <f t="shared" si="349"/>
        <v>7.7012764006012588</v>
      </c>
      <c r="AM83" s="809">
        <f t="shared" si="349"/>
        <v>8.217307720892439</v>
      </c>
      <c r="AN83" s="808">
        <f t="shared" ref="AN83:BC83" si="350">AN82/AN78</f>
        <v>8.4452086602433418</v>
      </c>
      <c r="AO83" s="808">
        <f t="shared" si="349"/>
        <v>8.7481705702825678</v>
      </c>
      <c r="AP83" s="808">
        <f t="shared" si="349"/>
        <v>8.8058792568288808</v>
      </c>
      <c r="AQ83" s="808">
        <f>AQ82/AQ78</f>
        <v>8.7697811345665642</v>
      </c>
      <c r="AR83" s="810">
        <f>AR82/AR78</f>
        <v>8.8637211585665199</v>
      </c>
      <c r="AS83" s="808">
        <f t="shared" si="350"/>
        <v>5.6524373904977843</v>
      </c>
      <c r="AT83" s="808">
        <f t="shared" si="350"/>
        <v>5.3470854431153834</v>
      </c>
      <c r="AU83" s="809">
        <f t="shared" si="350"/>
        <v>5.4046675515407321</v>
      </c>
      <c r="AV83" s="808">
        <f t="shared" si="350"/>
        <v>5.5635287799270721</v>
      </c>
      <c r="AW83" s="808">
        <f t="shared" si="350"/>
        <v>5.8634484351541749</v>
      </c>
      <c r="AX83" s="808">
        <f t="shared" si="350"/>
        <v>6.0836600650877051</v>
      </c>
      <c r="AY83" s="809">
        <f t="shared" si="350"/>
        <v>6.3490563072266699</v>
      </c>
      <c r="AZ83" s="808">
        <f>AZ82/AZ78</f>
        <v>5.6192840950086183</v>
      </c>
      <c r="BA83" s="808">
        <f t="shared" si="350"/>
        <v>4.6449414960671858</v>
      </c>
      <c r="BB83" s="808">
        <f t="shared" si="350"/>
        <v>5.1000237150259311</v>
      </c>
      <c r="BC83" s="809">
        <f t="shared" si="350"/>
        <v>4.3855132678877746</v>
      </c>
      <c r="BD83" s="808">
        <f t="shared" ref="BD83:BG83" si="351">BD82/BD78</f>
        <v>4.8749763571023275</v>
      </c>
      <c r="BE83" s="808">
        <f t="shared" si="351"/>
        <v>1.9266693996748019</v>
      </c>
      <c r="BF83" s="808">
        <f t="shared" si="351"/>
        <v>2.1128248652368398</v>
      </c>
      <c r="BG83" s="809">
        <f t="shared" si="351"/>
        <v>2.4432297862763006</v>
      </c>
      <c r="BH83" s="808">
        <f>BH82/BH78</f>
        <v>-10.551974620355034</v>
      </c>
      <c r="BI83" s="808">
        <f t="shared" ref="BI83:BK83" si="352">BI82/BI78</f>
        <v>-9.3517438878440746</v>
      </c>
      <c r="BJ83" s="808">
        <f t="shared" si="352"/>
        <v>-8.6176982805491367</v>
      </c>
      <c r="BK83" s="809">
        <f t="shared" si="352"/>
        <v>-4.9186147149947139</v>
      </c>
      <c r="BL83" s="808">
        <f t="shared" ref="BL83:BS83" si="353">BL82/BL78</f>
        <v>-3.7588410140715176</v>
      </c>
      <c r="BM83" s="808">
        <f t="shared" si="353"/>
        <v>-2.6907834797991552</v>
      </c>
      <c r="BN83" s="808">
        <f t="shared" si="353"/>
        <v>-3.8380135494177869</v>
      </c>
      <c r="BO83" s="809">
        <f t="shared" si="353"/>
        <v>-2.7174519319177017</v>
      </c>
      <c r="BP83" s="808">
        <f t="shared" si="353"/>
        <v>-1.5333859084170944</v>
      </c>
      <c r="BQ83" s="808">
        <f t="shared" si="353"/>
        <v>-0.2886582857252073</v>
      </c>
      <c r="BR83" s="808">
        <f t="shared" si="353"/>
        <v>0.95607894710606633</v>
      </c>
      <c r="BS83" s="809">
        <f t="shared" si="353"/>
        <v>2.1338138046827151</v>
      </c>
      <c r="BT83" s="808">
        <f t="shared" ref="BT83:BW83" si="354">BT82/BT78</f>
        <v>3.385801147603551</v>
      </c>
      <c r="BU83" s="808">
        <f t="shared" si="354"/>
        <v>4.6881682632445676</v>
      </c>
      <c r="BV83" s="808">
        <f t="shared" si="354"/>
        <v>5.996445838670593</v>
      </c>
      <c r="BW83" s="809">
        <f t="shared" si="354"/>
        <v>7.2393503370518681</v>
      </c>
      <c r="BX83" s="811"/>
      <c r="BY83" s="812">
        <f>BY82/BY78</f>
        <v>5.3895729357096176</v>
      </c>
      <c r="BZ83" s="812">
        <f>BZ82/BZ78</f>
        <v>5.9968854000783347</v>
      </c>
      <c r="CA83" s="812">
        <f>CA82/CA78</f>
        <v>6.8149862243357493</v>
      </c>
      <c r="CB83" s="812">
        <f t="shared" ref="CB83:CH83" si="355">CB82/CB78</f>
        <v>7.8311446702247691</v>
      </c>
      <c r="CC83" s="812">
        <f t="shared" si="355"/>
        <v>8.9029482692970205</v>
      </c>
      <c r="CD83" s="812">
        <f t="shared" si="355"/>
        <v>4.6815893533790618</v>
      </c>
      <c r="CE83" s="812">
        <f t="shared" si="355"/>
        <v>4.9729265263293136</v>
      </c>
      <c r="CF83" s="812">
        <f t="shared" si="355"/>
        <v>7.7800834582181801</v>
      </c>
      <c r="CG83" s="813">
        <f t="shared" si="355"/>
        <v>8.5175307500706179</v>
      </c>
      <c r="CH83" s="812">
        <f t="shared" si="355"/>
        <v>8.87744357392571</v>
      </c>
      <c r="CI83" s="812">
        <f t="shared" ref="CI83:CO83" si="356">CI82/CI78</f>
        <v>5.5789583926289819</v>
      </c>
      <c r="CJ83" s="812">
        <f t="shared" si="356"/>
        <v>6.4966531459968131</v>
      </c>
      <c r="CK83" s="812">
        <f t="shared" si="356"/>
        <v>4.3342305520299256</v>
      </c>
      <c r="CL83" s="812">
        <f t="shared" si="356"/>
        <v>2.446859992271881</v>
      </c>
      <c r="CM83" s="812">
        <f t="shared" si="356"/>
        <v>-5.0986672445552097</v>
      </c>
      <c r="CN83" s="812">
        <f t="shared" si="356"/>
        <v>-2.6764953024553662</v>
      </c>
      <c r="CO83" s="812">
        <f t="shared" si="356"/>
        <v>2.1405654968812549</v>
      </c>
      <c r="CP83" s="812">
        <f t="shared" ref="CP83" si="357">CP82/CP78</f>
        <v>7.2620650173769672</v>
      </c>
      <c r="CQ83" s="811"/>
      <c r="CR83" s="813">
        <f>CR82/CR78</f>
        <v>6.0225603765716995</v>
      </c>
      <c r="CS83" s="812">
        <f>CS82/CS78</f>
        <v>6.5749289175843613</v>
      </c>
      <c r="CT83" s="812">
        <f>CT82/CT78</f>
        <v>7.5197968284851715</v>
      </c>
      <c r="CU83" s="812">
        <f t="shared" ref="CU83:DA83" si="358">CU82/CU78</f>
        <v>8.4320321986648494</v>
      </c>
      <c r="CV83" s="812">
        <f t="shared" si="358"/>
        <v>5.0921702742195007</v>
      </c>
      <c r="CW83" s="812">
        <f t="shared" si="358"/>
        <v>5.1101167392558127</v>
      </c>
      <c r="CX83" s="812">
        <f t="shared" si="358"/>
        <v>7.6226075486549618</v>
      </c>
      <c r="CY83" s="812">
        <f t="shared" si="358"/>
        <v>7.8916874108283865</v>
      </c>
      <c r="CZ83" s="812">
        <f t="shared" si="358"/>
        <v>8.8415209054113788</v>
      </c>
      <c r="DA83" s="812">
        <f t="shared" si="358"/>
        <v>5.40952904172575</v>
      </c>
      <c r="DB83" s="812">
        <f t="shared" ref="DB83:DG83" si="359">DB82/DB78</f>
        <v>6.2190613058104987</v>
      </c>
      <c r="DC83" s="812">
        <f t="shared" si="359"/>
        <v>5.0884175774871743</v>
      </c>
      <c r="DD83" s="812">
        <f t="shared" si="359"/>
        <v>2.1106752155162543</v>
      </c>
      <c r="DE83" s="812">
        <f t="shared" si="359"/>
        <v>-9.0025425985090521</v>
      </c>
      <c r="DF83" s="812">
        <f t="shared" si="359"/>
        <v>-3.7400728032584576</v>
      </c>
      <c r="DG83" s="812">
        <f t="shared" si="359"/>
        <v>0.95911051256822377</v>
      </c>
      <c r="DH83" s="812">
        <f t="shared" ref="DH83" si="360">DH82/DH78</f>
        <v>6.015300135927566</v>
      </c>
      <c r="DI83" s="814"/>
    </row>
    <row r="84" spans="1:113" ht="14.25" customHeight="1">
      <c r="A84" s="8"/>
      <c r="B84" s="612"/>
      <c r="C84" s="24"/>
      <c r="D84" s="635"/>
      <c r="E84" s="163"/>
      <c r="F84" s="163"/>
      <c r="G84" s="170"/>
      <c r="H84" s="163"/>
      <c r="I84" s="163"/>
      <c r="J84" s="163"/>
      <c r="K84" s="170"/>
      <c r="L84" s="163"/>
      <c r="M84" s="163"/>
      <c r="N84" s="163"/>
      <c r="O84" s="170"/>
      <c r="P84" s="163"/>
      <c r="Q84" s="163"/>
      <c r="R84" s="163"/>
      <c r="S84" s="170"/>
      <c r="T84" s="163"/>
      <c r="U84" s="163"/>
      <c r="V84" s="163"/>
      <c r="W84" s="170"/>
      <c r="X84" s="163"/>
      <c r="Y84" s="163"/>
      <c r="Z84" s="163"/>
      <c r="AA84" s="170"/>
      <c r="AB84" s="163"/>
      <c r="AC84" s="163"/>
      <c r="AD84" s="163"/>
      <c r="AE84" s="170"/>
      <c r="AF84" s="163"/>
      <c r="AG84" s="163"/>
      <c r="AH84" s="163"/>
      <c r="AI84" s="170"/>
      <c r="AJ84" s="163"/>
      <c r="AK84" s="163"/>
      <c r="AL84" s="163"/>
      <c r="AM84" s="170"/>
      <c r="AN84" s="163"/>
      <c r="AO84" s="163"/>
      <c r="AP84" s="163"/>
      <c r="AQ84" s="163"/>
      <c r="AR84" s="635"/>
      <c r="AS84" s="163"/>
      <c r="AT84" s="163"/>
      <c r="AU84" s="170"/>
      <c r="AV84" s="163"/>
      <c r="AW84" s="163"/>
      <c r="AX84" s="163"/>
      <c r="AY84" s="170"/>
      <c r="AZ84" s="163"/>
      <c r="BA84" s="163"/>
      <c r="BB84" s="163"/>
      <c r="BC84" s="170"/>
      <c r="BD84" s="163"/>
      <c r="BE84" s="163"/>
      <c r="BF84" s="163"/>
      <c r="BG84" s="170"/>
      <c r="BH84" s="163"/>
      <c r="BI84" s="163"/>
      <c r="BJ84" s="163"/>
      <c r="BK84" s="170"/>
      <c r="BL84" s="163"/>
      <c r="BM84" s="163"/>
      <c r="BN84" s="163"/>
      <c r="BO84" s="170"/>
      <c r="BP84" s="163"/>
      <c r="BQ84" s="163"/>
      <c r="BR84" s="163"/>
      <c r="BS84" s="170"/>
      <c r="BT84" s="163"/>
      <c r="BU84" s="163"/>
      <c r="BV84" s="163"/>
      <c r="BW84" s="170"/>
      <c r="BX84" s="20"/>
      <c r="BY84" s="171"/>
      <c r="BZ84" s="171"/>
      <c r="CA84" s="171"/>
      <c r="CB84" s="171"/>
      <c r="CC84" s="171"/>
      <c r="CD84" s="171"/>
      <c r="CE84" s="171"/>
      <c r="CF84" s="171"/>
      <c r="CG84" s="172"/>
      <c r="CH84" s="171"/>
      <c r="CI84" s="171"/>
      <c r="CJ84" s="171"/>
      <c r="CK84" s="171"/>
      <c r="CL84" s="171"/>
      <c r="CM84" s="171"/>
      <c r="CN84" s="171"/>
      <c r="CO84" s="171"/>
      <c r="CP84" s="171"/>
      <c r="CQ84" s="20"/>
      <c r="CR84" s="172"/>
      <c r="CS84" s="171"/>
      <c r="CT84" s="171"/>
      <c r="CU84" s="171"/>
      <c r="CV84" s="171"/>
      <c r="CW84" s="171"/>
      <c r="CX84" s="171"/>
      <c r="CY84" s="171"/>
      <c r="CZ84" s="171"/>
      <c r="DA84" s="171"/>
      <c r="DB84" s="171"/>
      <c r="DC84" s="171"/>
      <c r="DD84" s="171"/>
      <c r="DE84" s="171"/>
      <c r="DF84" s="171"/>
      <c r="DG84" s="171"/>
      <c r="DH84" s="171"/>
      <c r="DI84" s="22"/>
    </row>
    <row r="85" spans="1:113" ht="14.25" customHeight="1">
      <c r="A85" s="8"/>
      <c r="B85" s="607" t="s">
        <v>338</v>
      </c>
      <c r="C85" s="24"/>
      <c r="D85" s="635"/>
      <c r="E85" s="163"/>
      <c r="F85" s="163"/>
      <c r="G85" s="170"/>
      <c r="H85" s="163"/>
      <c r="I85" s="163"/>
      <c r="J85" s="163"/>
      <c r="K85" s="170"/>
      <c r="L85" s="163"/>
      <c r="M85" s="163"/>
      <c r="N85" s="163"/>
      <c r="O85" s="170"/>
      <c r="P85" s="163"/>
      <c r="Q85" s="163"/>
      <c r="R85" s="163"/>
      <c r="S85" s="170"/>
      <c r="T85" s="163"/>
      <c r="U85" s="163"/>
      <c r="V85" s="163"/>
      <c r="W85" s="170"/>
      <c r="X85" s="163"/>
      <c r="Y85" s="163"/>
      <c r="Z85" s="163"/>
      <c r="AA85" s="170"/>
      <c r="AB85" s="163"/>
      <c r="AC85" s="163"/>
      <c r="AD85" s="163"/>
      <c r="AE85" s="170"/>
      <c r="AF85" s="163"/>
      <c r="AG85" s="163"/>
      <c r="AH85" s="163"/>
      <c r="AI85" s="170"/>
      <c r="AJ85" s="163"/>
      <c r="AK85" s="163"/>
      <c r="AL85" s="163"/>
      <c r="AM85" s="170"/>
      <c r="AN85" s="163"/>
      <c r="AO85" s="163"/>
      <c r="AP85" s="163"/>
      <c r="AQ85" s="163"/>
      <c r="AR85" s="635"/>
      <c r="AS85" s="163"/>
      <c r="AT85" s="163"/>
      <c r="AU85" s="170"/>
      <c r="AV85" s="163"/>
      <c r="AW85" s="163"/>
      <c r="AX85" s="163"/>
      <c r="AY85" s="170"/>
      <c r="AZ85" s="163"/>
      <c r="BA85" s="163"/>
      <c r="BB85" s="163"/>
      <c r="BC85" s="170"/>
      <c r="BD85" s="163"/>
      <c r="BE85" s="163"/>
      <c r="BF85" s="163"/>
      <c r="BG85" s="170"/>
      <c r="BH85" s="163"/>
      <c r="BI85" s="163"/>
      <c r="BJ85" s="163"/>
      <c r="BK85" s="170"/>
      <c r="BL85" s="163"/>
      <c r="BM85" s="163"/>
      <c r="BN85" s="163"/>
      <c r="BO85" s="170"/>
      <c r="BP85" s="163"/>
      <c r="BQ85" s="163"/>
      <c r="BR85" s="163"/>
      <c r="BS85" s="170"/>
      <c r="BT85" s="163"/>
      <c r="BU85" s="163"/>
      <c r="BV85" s="163"/>
      <c r="BW85" s="170"/>
      <c r="BX85" s="20"/>
      <c r="BY85" s="171"/>
      <c r="BZ85" s="171"/>
      <c r="CA85" s="171"/>
      <c r="CB85" s="171"/>
      <c r="CC85" s="171"/>
      <c r="CD85" s="171"/>
      <c r="CE85" s="171"/>
      <c r="CF85" s="171"/>
      <c r="CG85" s="172"/>
      <c r="CH85" s="171"/>
      <c r="CI85" s="171"/>
      <c r="CJ85" s="171"/>
      <c r="CK85" s="171"/>
      <c r="CL85" s="171"/>
      <c r="CM85" s="171"/>
      <c r="CN85" s="171"/>
      <c r="CO85" s="171"/>
      <c r="CP85" s="171"/>
      <c r="CQ85" s="20"/>
      <c r="CR85" s="172"/>
      <c r="CS85" s="171"/>
      <c r="CT85" s="171"/>
      <c r="CU85" s="171"/>
      <c r="CV85" s="171"/>
      <c r="CW85" s="171"/>
      <c r="CX85" s="171"/>
      <c r="CY85" s="171"/>
      <c r="CZ85" s="171"/>
      <c r="DA85" s="171"/>
      <c r="DB85" s="171"/>
      <c r="DC85" s="171"/>
      <c r="DD85" s="171"/>
      <c r="DE85" s="171"/>
      <c r="DF85" s="171"/>
      <c r="DG85" s="171"/>
      <c r="DH85" s="171"/>
      <c r="DI85" s="22"/>
    </row>
    <row r="86" spans="1:113" ht="14.25" customHeight="1">
      <c r="A86" s="784"/>
      <c r="B86" s="612" t="s">
        <v>453</v>
      </c>
      <c r="C86" s="832"/>
      <c r="D86" s="835">
        <f t="shared" ref="D86:AI86" si="361">D9+D10+D20</f>
        <v>284.04500000000002</v>
      </c>
      <c r="E86" s="833">
        <f t="shared" si="361"/>
        <v>141.328</v>
      </c>
      <c r="F86" s="833">
        <f t="shared" si="361"/>
        <v>198.23099999999999</v>
      </c>
      <c r="G86" s="834">
        <f t="shared" si="361"/>
        <v>216.511</v>
      </c>
      <c r="H86" s="835">
        <f t="shared" si="361"/>
        <v>272.60199999999998</v>
      </c>
      <c r="I86" s="833">
        <f t="shared" si="361"/>
        <v>350.87700000000001</v>
      </c>
      <c r="J86" s="833">
        <f t="shared" si="361"/>
        <v>450.44</v>
      </c>
      <c r="K86" s="834">
        <f t="shared" si="361"/>
        <v>474.55</v>
      </c>
      <c r="L86" s="835">
        <f t="shared" si="361"/>
        <v>538.86400000000003</v>
      </c>
      <c r="M86" s="833">
        <f t="shared" si="361"/>
        <v>605.86</v>
      </c>
      <c r="N86" s="833">
        <f t="shared" si="361"/>
        <v>695.78899999999999</v>
      </c>
      <c r="O86" s="834">
        <f t="shared" si="361"/>
        <v>734.60400000000004</v>
      </c>
      <c r="P86" s="835">
        <f t="shared" si="361"/>
        <v>815.03899999999999</v>
      </c>
      <c r="Q86" s="833">
        <f t="shared" si="361"/>
        <v>902.49</v>
      </c>
      <c r="R86" s="833">
        <f t="shared" si="361"/>
        <v>992.35</v>
      </c>
      <c r="S86" s="834">
        <f t="shared" si="361"/>
        <v>1285.124</v>
      </c>
      <c r="T86" s="835">
        <f t="shared" si="361"/>
        <v>1244.057</v>
      </c>
      <c r="U86" s="833">
        <f t="shared" si="361"/>
        <v>1265.4279999999999</v>
      </c>
      <c r="V86" s="833">
        <f t="shared" si="361"/>
        <v>1264.56</v>
      </c>
      <c r="W86" s="834">
        <f t="shared" si="361"/>
        <v>1278.3869999999999</v>
      </c>
      <c r="X86" s="835">
        <f t="shared" si="361"/>
        <v>1343.4809999999998</v>
      </c>
      <c r="Y86" s="833">
        <f t="shared" si="361"/>
        <v>1248.8490000000002</v>
      </c>
      <c r="Z86" s="833">
        <f t="shared" si="361"/>
        <v>1653.4</v>
      </c>
      <c r="AA86" s="834">
        <f t="shared" si="361"/>
        <v>1519.0639999999999</v>
      </c>
      <c r="AB86" s="835">
        <f t="shared" si="361"/>
        <v>1552.7179999999998</v>
      </c>
      <c r="AC86" s="833">
        <f t="shared" si="361"/>
        <v>1519.6959999999999</v>
      </c>
      <c r="AD86" s="833">
        <f t="shared" si="361"/>
        <v>1473.9430000000002</v>
      </c>
      <c r="AE86" s="834">
        <f t="shared" si="361"/>
        <v>1440.771</v>
      </c>
      <c r="AF86" s="835">
        <f t="shared" si="361"/>
        <v>1438.164</v>
      </c>
      <c r="AG86" s="833">
        <f t="shared" si="361"/>
        <v>1472.723</v>
      </c>
      <c r="AH86" s="833">
        <f t="shared" si="361"/>
        <v>1499.6019999999999</v>
      </c>
      <c r="AI86" s="834">
        <f t="shared" si="361"/>
        <v>1531.5379999999998</v>
      </c>
      <c r="AJ86" s="835">
        <f t="shared" ref="AJ86:BD86" si="362">AJ9+AJ10+AJ20</f>
        <v>1475.9449999999999</v>
      </c>
      <c r="AK86" s="833">
        <f t="shared" si="362"/>
        <v>1568.92</v>
      </c>
      <c r="AL86" s="833">
        <f t="shared" si="362"/>
        <v>1573.0160000000001</v>
      </c>
      <c r="AM86" s="834">
        <f t="shared" si="362"/>
        <v>1708.3340000000001</v>
      </c>
      <c r="AN86" s="835">
        <f t="shared" si="362"/>
        <v>1717.3019999999999</v>
      </c>
      <c r="AO86" s="833">
        <f t="shared" si="362"/>
        <v>1775.4180000000001</v>
      </c>
      <c r="AP86" s="833">
        <f t="shared" si="362"/>
        <v>1770.3590000000002</v>
      </c>
      <c r="AQ86" s="834">
        <f t="shared" si="362"/>
        <v>1787.595</v>
      </c>
      <c r="AR86" s="835">
        <f t="shared" si="362"/>
        <v>1821.2370000000001</v>
      </c>
      <c r="AS86" s="833">
        <f t="shared" si="362"/>
        <v>1707.4119999999998</v>
      </c>
      <c r="AT86" s="833">
        <f t="shared" si="362"/>
        <v>1771.9649999999999</v>
      </c>
      <c r="AU86" s="834">
        <f t="shared" si="362"/>
        <v>1836.0469999999998</v>
      </c>
      <c r="AV86" s="835">
        <f t="shared" si="362"/>
        <v>1895.25</v>
      </c>
      <c r="AW86" s="833">
        <f t="shared" si="362"/>
        <v>1981.567</v>
      </c>
      <c r="AX86" s="833">
        <f t="shared" si="362"/>
        <v>2031.327</v>
      </c>
      <c r="AY86" s="834">
        <f t="shared" si="362"/>
        <v>2143.4970000000003</v>
      </c>
      <c r="AZ86" s="835">
        <f t="shared" si="362"/>
        <v>2287.3999999999996</v>
      </c>
      <c r="BA86" s="833">
        <f t="shared" si="362"/>
        <v>2124.386</v>
      </c>
      <c r="BB86" s="833">
        <f t="shared" si="362"/>
        <v>2229.6819999999998</v>
      </c>
      <c r="BC86" s="834">
        <f t="shared" si="362"/>
        <v>2342.1950000000002</v>
      </c>
      <c r="BD86" s="835">
        <f t="shared" si="362"/>
        <v>2430.5740000000001</v>
      </c>
      <c r="BE86" s="833">
        <f t="shared" ref="BE86:BI86" si="363">BE9+BE10+BE20</f>
        <v>2586.4539999999997</v>
      </c>
      <c r="BF86" s="833">
        <f t="shared" si="363"/>
        <v>2397.8890000000001</v>
      </c>
      <c r="BG86" s="834">
        <f t="shared" si="363"/>
        <v>2564.5840000000003</v>
      </c>
      <c r="BH86" s="835">
        <f t="shared" si="363"/>
        <v>601.79199999999992</v>
      </c>
      <c r="BI86" s="833">
        <f t="shared" si="363"/>
        <v>490.83600000000001</v>
      </c>
      <c r="BJ86" s="833">
        <f t="shared" ref="BJ86:BK86" si="364">BJ9+BJ10+BJ20</f>
        <v>699.65</v>
      </c>
      <c r="BK86" s="834">
        <f t="shared" si="364"/>
        <v>1410.2289999999998</v>
      </c>
      <c r="BL86" s="835">
        <f t="shared" ref="BL86:BS86" si="365">BL9+BL10+BL20</f>
        <v>1650.704</v>
      </c>
      <c r="BM86" s="833">
        <f t="shared" si="365"/>
        <v>1843.8530000000001</v>
      </c>
      <c r="BN86" s="833">
        <f t="shared" si="365"/>
        <v>1984.9849999999999</v>
      </c>
      <c r="BO86" s="834">
        <f t="shared" si="365"/>
        <v>2218.7123859974017</v>
      </c>
      <c r="BP86" s="835">
        <f t="shared" si="365"/>
        <v>2471.8588898418229</v>
      </c>
      <c r="BQ86" s="833">
        <f t="shared" si="365"/>
        <v>2727.1225595832138</v>
      </c>
      <c r="BR86" s="833">
        <f t="shared" si="365"/>
        <v>3009.1531215812474</v>
      </c>
      <c r="BS86" s="834">
        <f t="shared" si="365"/>
        <v>3289.1443428177226</v>
      </c>
      <c r="BT86" s="835">
        <f t="shared" ref="BT86:BW86" si="366">BT9+BT10+BT20</f>
        <v>3564.4849171630258</v>
      </c>
      <c r="BU86" s="833">
        <f t="shared" si="366"/>
        <v>3841.4842448541158</v>
      </c>
      <c r="BV86" s="833">
        <f t="shared" si="366"/>
        <v>4158.7979431339154</v>
      </c>
      <c r="BW86" s="834">
        <f t="shared" si="366"/>
        <v>4458.7366567301679</v>
      </c>
      <c r="BX86" s="819"/>
      <c r="BY86" s="835">
        <f t="shared" ref="BY86:CK86" si="367">BY9+BY10+BY20</f>
        <v>216.511</v>
      </c>
      <c r="BZ86" s="833">
        <f t="shared" si="367"/>
        <v>474.55</v>
      </c>
      <c r="CA86" s="833">
        <f t="shared" si="367"/>
        <v>734.60400000000004</v>
      </c>
      <c r="CB86" s="833">
        <f t="shared" si="367"/>
        <v>1285.124</v>
      </c>
      <c r="CC86" s="833">
        <f t="shared" si="367"/>
        <v>1278.3869999999999</v>
      </c>
      <c r="CD86" s="833">
        <f t="shared" si="367"/>
        <v>1519.0639999999999</v>
      </c>
      <c r="CE86" s="833">
        <f t="shared" si="367"/>
        <v>1440.771</v>
      </c>
      <c r="CF86" s="834">
        <f t="shared" si="367"/>
        <v>1531.5379999999998</v>
      </c>
      <c r="CG86" s="835">
        <f t="shared" si="367"/>
        <v>1708.3340000000001</v>
      </c>
      <c r="CH86" s="833">
        <f t="shared" si="367"/>
        <v>1787.595</v>
      </c>
      <c r="CI86" s="833">
        <f t="shared" si="367"/>
        <v>1836.0469999999998</v>
      </c>
      <c r="CJ86" s="833">
        <f t="shared" si="367"/>
        <v>2143.4970000000003</v>
      </c>
      <c r="CK86" s="833">
        <f t="shared" si="367"/>
        <v>2342.1950000000002</v>
      </c>
      <c r="CL86" s="833">
        <f>CL9+CL10+CL20</f>
        <v>2564.5840000000003</v>
      </c>
      <c r="CM86" s="833">
        <f>CM9+CM10+CM20</f>
        <v>1410.2289999999998</v>
      </c>
      <c r="CN86" s="833">
        <f>CN9+CN10+CN20</f>
        <v>2218.7123859974017</v>
      </c>
      <c r="CO86" s="833">
        <f>CO9+CO10+CO20</f>
        <v>3289.1443428177226</v>
      </c>
      <c r="CP86" s="834">
        <f>CP9+CP10+CP20</f>
        <v>4458.7366567301679</v>
      </c>
      <c r="CQ86" s="819"/>
      <c r="CR86" s="835">
        <f>CR9+CR10+CR20</f>
        <v>450.44</v>
      </c>
      <c r="CS86" s="833">
        <f>CS9+CS10+CS20</f>
        <v>695.78899999999999</v>
      </c>
      <c r="CT86" s="833">
        <f t="shared" ref="CT86:DD86" si="368">CT9+CT10+CT20</f>
        <v>992.35</v>
      </c>
      <c r="CU86" s="833">
        <f t="shared" si="368"/>
        <v>1264.56</v>
      </c>
      <c r="CV86" s="833">
        <f t="shared" si="368"/>
        <v>1653.4</v>
      </c>
      <c r="CW86" s="833">
        <f t="shared" si="368"/>
        <v>1473.9430000000002</v>
      </c>
      <c r="CX86" s="833">
        <f t="shared" si="368"/>
        <v>1499.6019999999999</v>
      </c>
      <c r="CY86" s="833">
        <f t="shared" si="368"/>
        <v>1573.0160000000001</v>
      </c>
      <c r="CZ86" s="833">
        <f t="shared" si="368"/>
        <v>1770.3590000000002</v>
      </c>
      <c r="DA86" s="833">
        <f t="shared" si="368"/>
        <v>1771.9649999999999</v>
      </c>
      <c r="DB86" s="833">
        <f t="shared" si="368"/>
        <v>2031.327</v>
      </c>
      <c r="DC86" s="833">
        <f t="shared" si="368"/>
        <v>2229.6819999999998</v>
      </c>
      <c r="DD86" s="833">
        <f t="shared" si="368"/>
        <v>2397.8890000000001</v>
      </c>
      <c r="DE86" s="833">
        <f>DE9+DE10+DE20</f>
        <v>699.65</v>
      </c>
      <c r="DF86" s="833">
        <f>DF9+DF10+DF20</f>
        <v>1984.9849999999999</v>
      </c>
      <c r="DG86" s="833">
        <f>DG9+DG10+DG20</f>
        <v>3009.1531215812474</v>
      </c>
      <c r="DH86" s="833">
        <f>DH9+DH10+DH20</f>
        <v>4158.7979431339154</v>
      </c>
      <c r="DI86" s="822"/>
    </row>
    <row r="87" spans="1:113" ht="14.25" customHeight="1">
      <c r="A87" s="846"/>
      <c r="B87" s="610" t="s">
        <v>339</v>
      </c>
      <c r="C87" s="847"/>
      <c r="D87" s="850">
        <f t="shared" ref="D87:AI87" si="369">D32+D36+D37</f>
        <v>0</v>
      </c>
      <c r="E87" s="848">
        <f t="shared" si="369"/>
        <v>0</v>
      </c>
      <c r="F87" s="848">
        <f t="shared" si="369"/>
        <v>0</v>
      </c>
      <c r="G87" s="849">
        <f t="shared" si="369"/>
        <v>0</v>
      </c>
      <c r="H87" s="850">
        <f t="shared" si="369"/>
        <v>0</v>
      </c>
      <c r="I87" s="848">
        <f t="shared" si="369"/>
        <v>0</v>
      </c>
      <c r="J87" s="848">
        <f t="shared" si="369"/>
        <v>0</v>
      </c>
      <c r="K87" s="849">
        <f t="shared" si="369"/>
        <v>0</v>
      </c>
      <c r="L87" s="850">
        <f t="shared" si="369"/>
        <v>0</v>
      </c>
      <c r="M87" s="848">
        <f t="shared" si="369"/>
        <v>42.274999999999999</v>
      </c>
      <c r="N87" s="848">
        <f t="shared" si="369"/>
        <v>44.252000000000002</v>
      </c>
      <c r="O87" s="849">
        <f t="shared" si="369"/>
        <v>45.454000000000001</v>
      </c>
      <c r="P87" s="850">
        <f t="shared" si="369"/>
        <v>45.454000000000001</v>
      </c>
      <c r="Q87" s="848">
        <f t="shared" si="369"/>
        <v>45.454000000000001</v>
      </c>
      <c r="R87" s="848">
        <f t="shared" si="369"/>
        <v>45.454000000000001</v>
      </c>
      <c r="S87" s="849">
        <f t="shared" si="369"/>
        <v>268.95400000000001</v>
      </c>
      <c r="T87" s="850">
        <f t="shared" si="369"/>
        <v>137.5</v>
      </c>
      <c r="U87" s="848">
        <f t="shared" si="369"/>
        <v>80.8</v>
      </c>
      <c r="V87" s="848">
        <f t="shared" si="369"/>
        <v>29.5</v>
      </c>
      <c r="W87" s="849">
        <f t="shared" si="369"/>
        <v>0</v>
      </c>
      <c r="X87" s="850">
        <f t="shared" si="369"/>
        <v>107.89</v>
      </c>
      <c r="Y87" s="848">
        <f t="shared" si="369"/>
        <v>106.03100000000001</v>
      </c>
      <c r="Z87" s="848">
        <f t="shared" si="369"/>
        <v>1150.1030000000001</v>
      </c>
      <c r="AA87" s="849">
        <f t="shared" si="369"/>
        <v>1150.1279999999999</v>
      </c>
      <c r="AB87" s="850">
        <f t="shared" si="369"/>
        <v>1150.2270000000001</v>
      </c>
      <c r="AC87" s="848">
        <f t="shared" si="369"/>
        <v>1149.5039999999999</v>
      </c>
      <c r="AD87" s="848">
        <f t="shared" si="369"/>
        <v>1148.9749999999999</v>
      </c>
      <c r="AE87" s="849">
        <f t="shared" si="369"/>
        <v>1149.184</v>
      </c>
      <c r="AF87" s="850">
        <f t="shared" si="369"/>
        <v>335.53899999999999</v>
      </c>
      <c r="AG87" s="848">
        <f t="shared" si="369"/>
        <v>337.40300000000002</v>
      </c>
      <c r="AH87" s="848">
        <f t="shared" si="369"/>
        <v>339</v>
      </c>
      <c r="AI87" s="849">
        <f t="shared" si="369"/>
        <v>340.67200000000003</v>
      </c>
      <c r="AJ87" s="850">
        <f t="shared" ref="AJ87:BD87" si="370">AJ32+AJ36+AJ37</f>
        <v>342.22300000000001</v>
      </c>
      <c r="AK87" s="848">
        <f t="shared" si="370"/>
        <v>344.08499999999998</v>
      </c>
      <c r="AL87" s="848">
        <f t="shared" si="370"/>
        <v>345.58100000000002</v>
      </c>
      <c r="AM87" s="849">
        <f t="shared" si="370"/>
        <v>347.334</v>
      </c>
      <c r="AN87" s="850">
        <f t="shared" si="370"/>
        <v>349.10899999999998</v>
      </c>
      <c r="AO87" s="848">
        <f t="shared" si="370"/>
        <v>351.37099999999998</v>
      </c>
      <c r="AP87" s="848">
        <f t="shared" si="370"/>
        <v>353.34100000000001</v>
      </c>
      <c r="AQ87" s="849">
        <f t="shared" si="370"/>
        <v>355.05</v>
      </c>
      <c r="AR87" s="850">
        <f t="shared" si="370"/>
        <v>357.35500000000002</v>
      </c>
      <c r="AS87" s="848">
        <f t="shared" si="370"/>
        <v>959.65599999999995</v>
      </c>
      <c r="AT87" s="848">
        <f t="shared" si="370"/>
        <v>971.40899999999999</v>
      </c>
      <c r="AU87" s="849">
        <f t="shared" si="370"/>
        <v>983.38499999999999</v>
      </c>
      <c r="AV87" s="850">
        <f t="shared" si="370"/>
        <v>974.25</v>
      </c>
      <c r="AW87" s="848">
        <f t="shared" si="370"/>
        <v>1006.287</v>
      </c>
      <c r="AX87" s="848">
        <f t="shared" si="370"/>
        <v>1019.471</v>
      </c>
      <c r="AY87" s="849">
        <f t="shared" si="370"/>
        <v>1020.758</v>
      </c>
      <c r="AZ87" s="850">
        <f t="shared" si="370"/>
        <v>1353.1779999999999</v>
      </c>
      <c r="BA87" s="848">
        <f t="shared" si="370"/>
        <v>1341.3710000000001</v>
      </c>
      <c r="BB87" s="848">
        <f t="shared" si="370"/>
        <v>1359.595</v>
      </c>
      <c r="BC87" s="849">
        <f t="shared" si="370"/>
        <v>1826.8579999999999</v>
      </c>
      <c r="BD87" s="850">
        <f t="shared" si="370"/>
        <v>1858.6970000000001</v>
      </c>
      <c r="BE87" s="848">
        <f t="shared" ref="BE87:BI87" si="371">BE32+BE36+BE37</f>
        <v>2687.8739999999998</v>
      </c>
      <c r="BF87" s="848">
        <f t="shared" si="371"/>
        <v>2406.4740000000002</v>
      </c>
      <c r="BG87" s="849">
        <f t="shared" si="371"/>
        <v>2483.0370000000003</v>
      </c>
      <c r="BH87" s="850">
        <f t="shared" si="371"/>
        <v>3336.5039999999999</v>
      </c>
      <c r="BI87" s="848">
        <f t="shared" si="371"/>
        <v>3105.433</v>
      </c>
      <c r="BJ87" s="848">
        <f t="shared" ref="BJ87:BK87" si="372">BJ32+BJ36+BJ37</f>
        <v>3123.9940000000001</v>
      </c>
      <c r="BK87" s="849">
        <f t="shared" si="372"/>
        <v>2900.5239999999999</v>
      </c>
      <c r="BL87" s="850">
        <f t="shared" ref="BL87:BS87" si="373">BL32+BL36+BL37</f>
        <v>2983.9079999999999</v>
      </c>
      <c r="BM87" s="848">
        <f t="shared" si="373"/>
        <v>3011.8519999999999</v>
      </c>
      <c r="BN87" s="848">
        <f t="shared" si="373"/>
        <v>3039.623</v>
      </c>
      <c r="BO87" s="849">
        <f t="shared" si="373"/>
        <v>3039.623</v>
      </c>
      <c r="BP87" s="850">
        <f t="shared" si="373"/>
        <v>3039.623</v>
      </c>
      <c r="BQ87" s="848">
        <f t="shared" si="373"/>
        <v>3039.623</v>
      </c>
      <c r="BR87" s="848">
        <f t="shared" si="373"/>
        <v>3039.623</v>
      </c>
      <c r="BS87" s="849">
        <f t="shared" si="373"/>
        <v>3039.623</v>
      </c>
      <c r="BT87" s="850">
        <f t="shared" ref="BT87:BW87" si="374">BT32+BT36+BT37</f>
        <v>3039.623</v>
      </c>
      <c r="BU87" s="848">
        <f t="shared" si="374"/>
        <v>3039.623</v>
      </c>
      <c r="BV87" s="848">
        <f t="shared" si="374"/>
        <v>3039.623</v>
      </c>
      <c r="BW87" s="849">
        <f t="shared" si="374"/>
        <v>3039.623</v>
      </c>
      <c r="BX87" s="851"/>
      <c r="BY87" s="850">
        <f t="shared" ref="BY87:CK87" si="375">BY32+BY36+BY37</f>
        <v>0</v>
      </c>
      <c r="BZ87" s="848">
        <f t="shared" si="375"/>
        <v>0</v>
      </c>
      <c r="CA87" s="848">
        <f t="shared" si="375"/>
        <v>45.454000000000001</v>
      </c>
      <c r="CB87" s="848">
        <f t="shared" si="375"/>
        <v>268.95400000000001</v>
      </c>
      <c r="CC87" s="848">
        <f t="shared" si="375"/>
        <v>0</v>
      </c>
      <c r="CD87" s="848">
        <f t="shared" si="375"/>
        <v>1150.1279999999999</v>
      </c>
      <c r="CE87" s="848">
        <f t="shared" si="375"/>
        <v>1149.184</v>
      </c>
      <c r="CF87" s="849">
        <f t="shared" si="375"/>
        <v>340.67200000000003</v>
      </c>
      <c r="CG87" s="850">
        <f t="shared" si="375"/>
        <v>347.334</v>
      </c>
      <c r="CH87" s="848">
        <f t="shared" si="375"/>
        <v>355.05</v>
      </c>
      <c r="CI87" s="848">
        <f t="shared" si="375"/>
        <v>983.38499999999999</v>
      </c>
      <c r="CJ87" s="848">
        <f t="shared" si="375"/>
        <v>1020.758</v>
      </c>
      <c r="CK87" s="848">
        <f t="shared" si="375"/>
        <v>1826.8579999999999</v>
      </c>
      <c r="CL87" s="848">
        <f>CL32+CL36+CL37</f>
        <v>2483.0370000000003</v>
      </c>
      <c r="CM87" s="848">
        <f>CM32+CM36+CM37</f>
        <v>2900.5239999999999</v>
      </c>
      <c r="CN87" s="848">
        <f>CN32+CN36+CN37</f>
        <v>3039.623</v>
      </c>
      <c r="CO87" s="848">
        <f>CO32+CO36+CO37</f>
        <v>3039.623</v>
      </c>
      <c r="CP87" s="849">
        <f>CP32+CP36+CP37</f>
        <v>3039.623</v>
      </c>
      <c r="CQ87" s="851"/>
      <c r="CR87" s="850">
        <f>CR32+CR36+CR37</f>
        <v>0</v>
      </c>
      <c r="CS87" s="848">
        <f>CS32+CS36+CS37</f>
        <v>44.252000000000002</v>
      </c>
      <c r="CT87" s="848">
        <f t="shared" ref="CT87:DD87" si="376">CT32+CT36+CT37</f>
        <v>45.454000000000001</v>
      </c>
      <c r="CU87" s="848">
        <f t="shared" si="376"/>
        <v>29.5</v>
      </c>
      <c r="CV87" s="848">
        <f t="shared" si="376"/>
        <v>1150.1030000000001</v>
      </c>
      <c r="CW87" s="848">
        <f t="shared" si="376"/>
        <v>1148.9749999999999</v>
      </c>
      <c r="CX87" s="848">
        <f t="shared" si="376"/>
        <v>339</v>
      </c>
      <c r="CY87" s="848">
        <f t="shared" si="376"/>
        <v>345.58100000000002</v>
      </c>
      <c r="CZ87" s="848">
        <f t="shared" si="376"/>
        <v>353.34100000000001</v>
      </c>
      <c r="DA87" s="848">
        <f t="shared" si="376"/>
        <v>971.40899999999999</v>
      </c>
      <c r="DB87" s="848">
        <f t="shared" si="376"/>
        <v>1019.471</v>
      </c>
      <c r="DC87" s="848">
        <f t="shared" si="376"/>
        <v>1359.595</v>
      </c>
      <c r="DD87" s="848">
        <f t="shared" si="376"/>
        <v>2406.4740000000002</v>
      </c>
      <c r="DE87" s="848">
        <f>DE32+DE36+DE37</f>
        <v>3123.9940000000001</v>
      </c>
      <c r="DF87" s="848">
        <f>DF32+DF36+DF37</f>
        <v>3039.623</v>
      </c>
      <c r="DG87" s="848">
        <f>DG32+DG36+DG37</f>
        <v>3039.623</v>
      </c>
      <c r="DH87" s="848">
        <f>DH32+DH36+DH37</f>
        <v>3039.623</v>
      </c>
      <c r="DI87" s="852"/>
    </row>
    <row r="88" spans="1:113" ht="14.25" customHeight="1">
      <c r="A88" s="784"/>
      <c r="B88" s="612" t="s">
        <v>338</v>
      </c>
      <c r="C88" s="832"/>
      <c r="D88" s="835">
        <f t="shared" ref="D88:AI88" si="377">D86-D87</f>
        <v>284.04500000000002</v>
      </c>
      <c r="E88" s="833">
        <f t="shared" si="377"/>
        <v>141.328</v>
      </c>
      <c r="F88" s="833">
        <f t="shared" si="377"/>
        <v>198.23099999999999</v>
      </c>
      <c r="G88" s="834">
        <f t="shared" si="377"/>
        <v>216.511</v>
      </c>
      <c r="H88" s="835">
        <f t="shared" si="377"/>
        <v>272.60199999999998</v>
      </c>
      <c r="I88" s="833">
        <f t="shared" si="377"/>
        <v>350.87700000000001</v>
      </c>
      <c r="J88" s="833">
        <f t="shared" si="377"/>
        <v>450.44</v>
      </c>
      <c r="K88" s="834">
        <f t="shared" si="377"/>
        <v>474.55</v>
      </c>
      <c r="L88" s="835">
        <f t="shared" si="377"/>
        <v>538.86400000000003</v>
      </c>
      <c r="M88" s="833">
        <f t="shared" si="377"/>
        <v>563.58500000000004</v>
      </c>
      <c r="N88" s="833">
        <f t="shared" si="377"/>
        <v>651.53700000000003</v>
      </c>
      <c r="O88" s="834">
        <f t="shared" si="377"/>
        <v>689.15000000000009</v>
      </c>
      <c r="P88" s="835">
        <f t="shared" si="377"/>
        <v>769.58500000000004</v>
      </c>
      <c r="Q88" s="833">
        <f t="shared" si="377"/>
        <v>857.03600000000006</v>
      </c>
      <c r="R88" s="833">
        <f t="shared" si="377"/>
        <v>946.89600000000007</v>
      </c>
      <c r="S88" s="834">
        <f t="shared" si="377"/>
        <v>1016.1700000000001</v>
      </c>
      <c r="T88" s="835">
        <f t="shared" si="377"/>
        <v>1106.557</v>
      </c>
      <c r="U88" s="833">
        <f t="shared" si="377"/>
        <v>1184.6279999999999</v>
      </c>
      <c r="V88" s="833">
        <f t="shared" si="377"/>
        <v>1235.06</v>
      </c>
      <c r="W88" s="834">
        <f t="shared" si="377"/>
        <v>1278.3869999999999</v>
      </c>
      <c r="X88" s="835">
        <f t="shared" si="377"/>
        <v>1235.5909999999997</v>
      </c>
      <c r="Y88" s="833">
        <f t="shared" si="377"/>
        <v>1142.8180000000002</v>
      </c>
      <c r="Z88" s="833">
        <f t="shared" si="377"/>
        <v>503.29700000000003</v>
      </c>
      <c r="AA88" s="834">
        <f t="shared" si="377"/>
        <v>368.93599999999992</v>
      </c>
      <c r="AB88" s="835">
        <f t="shared" si="377"/>
        <v>402.49099999999976</v>
      </c>
      <c r="AC88" s="833">
        <f t="shared" si="377"/>
        <v>370.19200000000001</v>
      </c>
      <c r="AD88" s="833">
        <f t="shared" si="377"/>
        <v>324.9680000000003</v>
      </c>
      <c r="AE88" s="834">
        <f t="shared" si="377"/>
        <v>291.58699999999999</v>
      </c>
      <c r="AF88" s="835">
        <f t="shared" si="377"/>
        <v>1102.625</v>
      </c>
      <c r="AG88" s="833">
        <f t="shared" si="377"/>
        <v>1135.32</v>
      </c>
      <c r="AH88" s="833">
        <f t="shared" si="377"/>
        <v>1160.6019999999999</v>
      </c>
      <c r="AI88" s="834">
        <f t="shared" si="377"/>
        <v>1190.8659999999998</v>
      </c>
      <c r="AJ88" s="835">
        <f t="shared" ref="AJ88:BD88" si="378">AJ86-AJ87</f>
        <v>1133.722</v>
      </c>
      <c r="AK88" s="833">
        <f t="shared" si="378"/>
        <v>1224.835</v>
      </c>
      <c r="AL88" s="833">
        <f t="shared" si="378"/>
        <v>1227.4349999999999</v>
      </c>
      <c r="AM88" s="834">
        <f t="shared" si="378"/>
        <v>1361</v>
      </c>
      <c r="AN88" s="835">
        <f t="shared" si="378"/>
        <v>1368.193</v>
      </c>
      <c r="AO88" s="833">
        <f t="shared" si="378"/>
        <v>1424.047</v>
      </c>
      <c r="AP88" s="833">
        <f t="shared" si="378"/>
        <v>1417.018</v>
      </c>
      <c r="AQ88" s="834">
        <f t="shared" si="378"/>
        <v>1432.5450000000001</v>
      </c>
      <c r="AR88" s="835">
        <f t="shared" si="378"/>
        <v>1463.8820000000001</v>
      </c>
      <c r="AS88" s="833">
        <f t="shared" si="378"/>
        <v>747.75599999999986</v>
      </c>
      <c r="AT88" s="833">
        <f t="shared" si="378"/>
        <v>800.55599999999993</v>
      </c>
      <c r="AU88" s="834">
        <f t="shared" si="378"/>
        <v>852.66199999999981</v>
      </c>
      <c r="AV88" s="835">
        <f t="shared" si="378"/>
        <v>921</v>
      </c>
      <c r="AW88" s="833">
        <f t="shared" si="378"/>
        <v>975.28</v>
      </c>
      <c r="AX88" s="833">
        <f t="shared" si="378"/>
        <v>1011.856</v>
      </c>
      <c r="AY88" s="834">
        <f t="shared" si="378"/>
        <v>1122.7390000000003</v>
      </c>
      <c r="AZ88" s="835">
        <f t="shared" si="378"/>
        <v>934.22199999999975</v>
      </c>
      <c r="BA88" s="833">
        <f t="shared" si="378"/>
        <v>783.01499999999987</v>
      </c>
      <c r="BB88" s="833">
        <f t="shared" si="378"/>
        <v>870.08699999999976</v>
      </c>
      <c r="BC88" s="834">
        <f t="shared" si="378"/>
        <v>515.33700000000022</v>
      </c>
      <c r="BD88" s="835">
        <f t="shared" si="378"/>
        <v>571.87699999999995</v>
      </c>
      <c r="BE88" s="833">
        <f t="shared" ref="BE88:BI88" si="379">BE86-BE87</f>
        <v>-101.42000000000007</v>
      </c>
      <c r="BF88" s="833">
        <f t="shared" si="379"/>
        <v>-8.5850000000000364</v>
      </c>
      <c r="BG88" s="834">
        <f t="shared" si="379"/>
        <v>81.547000000000025</v>
      </c>
      <c r="BH88" s="835">
        <f t="shared" si="379"/>
        <v>-2734.712</v>
      </c>
      <c r="BI88" s="833">
        <f t="shared" si="379"/>
        <v>-2614.5969999999998</v>
      </c>
      <c r="BJ88" s="833">
        <f t="shared" ref="BJ88:BK88" si="380">BJ86-BJ87</f>
        <v>-2424.3440000000001</v>
      </c>
      <c r="BK88" s="834">
        <f t="shared" si="380"/>
        <v>-1490.2950000000001</v>
      </c>
      <c r="BL88" s="835">
        <f t="shared" ref="BL88:BS88" si="381">BL86-BL87</f>
        <v>-1333.204</v>
      </c>
      <c r="BM88" s="833">
        <f t="shared" si="381"/>
        <v>-1167.9989999999998</v>
      </c>
      <c r="BN88" s="833">
        <f t="shared" si="381"/>
        <v>-1054.6380000000001</v>
      </c>
      <c r="BO88" s="834">
        <f t="shared" si="381"/>
        <v>-820.91061400259832</v>
      </c>
      <c r="BP88" s="835">
        <f t="shared" si="381"/>
        <v>-567.76411015817712</v>
      </c>
      <c r="BQ88" s="833">
        <f t="shared" si="381"/>
        <v>-312.5004404167862</v>
      </c>
      <c r="BR88" s="833">
        <f t="shared" si="381"/>
        <v>-30.469878418752614</v>
      </c>
      <c r="BS88" s="834">
        <f t="shared" si="381"/>
        <v>249.5213428177226</v>
      </c>
      <c r="BT88" s="835">
        <f t="shared" ref="BT88:BW88" si="382">BT86-BT87</f>
        <v>524.86191716302574</v>
      </c>
      <c r="BU88" s="833">
        <f t="shared" si="382"/>
        <v>801.86124485411574</v>
      </c>
      <c r="BV88" s="833">
        <f t="shared" si="382"/>
        <v>1119.1749431339153</v>
      </c>
      <c r="BW88" s="834">
        <f t="shared" si="382"/>
        <v>1419.1136567301678</v>
      </c>
      <c r="BX88" s="819"/>
      <c r="BY88" s="835">
        <f t="shared" ref="BY88:CK88" si="383">BY86-BY87</f>
        <v>216.511</v>
      </c>
      <c r="BZ88" s="833">
        <f t="shared" si="383"/>
        <v>474.55</v>
      </c>
      <c r="CA88" s="833">
        <f t="shared" si="383"/>
        <v>689.15000000000009</v>
      </c>
      <c r="CB88" s="833">
        <f t="shared" si="383"/>
        <v>1016.1700000000001</v>
      </c>
      <c r="CC88" s="833">
        <f t="shared" si="383"/>
        <v>1278.3869999999999</v>
      </c>
      <c r="CD88" s="833">
        <f t="shared" si="383"/>
        <v>368.93599999999992</v>
      </c>
      <c r="CE88" s="833">
        <f t="shared" si="383"/>
        <v>291.58699999999999</v>
      </c>
      <c r="CF88" s="834">
        <f t="shared" si="383"/>
        <v>1190.8659999999998</v>
      </c>
      <c r="CG88" s="835">
        <f t="shared" si="383"/>
        <v>1361</v>
      </c>
      <c r="CH88" s="833">
        <f t="shared" si="383"/>
        <v>1432.5450000000001</v>
      </c>
      <c r="CI88" s="833">
        <f t="shared" si="383"/>
        <v>852.66199999999981</v>
      </c>
      <c r="CJ88" s="833">
        <f t="shared" si="383"/>
        <v>1122.7390000000003</v>
      </c>
      <c r="CK88" s="833">
        <f t="shared" si="383"/>
        <v>515.33700000000022</v>
      </c>
      <c r="CL88" s="833">
        <f>CL86-CL87</f>
        <v>81.547000000000025</v>
      </c>
      <c r="CM88" s="833">
        <f>CM86-CM87</f>
        <v>-1490.2950000000001</v>
      </c>
      <c r="CN88" s="833">
        <f>CN86-CN87</f>
        <v>-820.91061400259832</v>
      </c>
      <c r="CO88" s="833">
        <f>CO86-CO87</f>
        <v>249.5213428177226</v>
      </c>
      <c r="CP88" s="834">
        <f>CP86-CP87</f>
        <v>1419.1136567301678</v>
      </c>
      <c r="CQ88" s="819"/>
      <c r="CR88" s="835">
        <f>CR86-CR87</f>
        <v>450.44</v>
      </c>
      <c r="CS88" s="833">
        <f>CS86-CS87</f>
        <v>651.53700000000003</v>
      </c>
      <c r="CT88" s="833">
        <f t="shared" ref="CT88:DD88" si="384">CT86-CT87</f>
        <v>946.89600000000007</v>
      </c>
      <c r="CU88" s="833">
        <f t="shared" si="384"/>
        <v>1235.06</v>
      </c>
      <c r="CV88" s="833">
        <f t="shared" si="384"/>
        <v>503.29700000000003</v>
      </c>
      <c r="CW88" s="833">
        <f t="shared" si="384"/>
        <v>324.9680000000003</v>
      </c>
      <c r="CX88" s="833">
        <f t="shared" si="384"/>
        <v>1160.6019999999999</v>
      </c>
      <c r="CY88" s="833">
        <f t="shared" si="384"/>
        <v>1227.4349999999999</v>
      </c>
      <c r="CZ88" s="833">
        <f t="shared" si="384"/>
        <v>1417.018</v>
      </c>
      <c r="DA88" s="833">
        <f t="shared" si="384"/>
        <v>800.55599999999993</v>
      </c>
      <c r="DB88" s="833">
        <f t="shared" si="384"/>
        <v>1011.856</v>
      </c>
      <c r="DC88" s="833">
        <f t="shared" si="384"/>
        <v>870.08699999999976</v>
      </c>
      <c r="DD88" s="833">
        <f t="shared" si="384"/>
        <v>-8.5850000000000364</v>
      </c>
      <c r="DE88" s="833">
        <f>DE86-DE87</f>
        <v>-2424.3440000000001</v>
      </c>
      <c r="DF88" s="833">
        <f>DF86-DF87</f>
        <v>-1054.6380000000001</v>
      </c>
      <c r="DG88" s="833">
        <f>DG86-DG87</f>
        <v>-30.469878418752614</v>
      </c>
      <c r="DH88" s="833">
        <f>DH86-DH87</f>
        <v>1119.1749431339153</v>
      </c>
      <c r="DI88" s="822"/>
    </row>
    <row r="89" spans="1:113" ht="14.25" customHeight="1">
      <c r="A89" s="838"/>
      <c r="B89" s="607" t="s">
        <v>340</v>
      </c>
      <c r="C89" s="839"/>
      <c r="D89" s="842"/>
      <c r="E89" s="840"/>
      <c r="F89" s="840"/>
      <c r="G89" s="841"/>
      <c r="H89" s="840"/>
      <c r="I89" s="840"/>
      <c r="J89" s="840"/>
      <c r="K89" s="841"/>
      <c r="L89" s="840"/>
      <c r="M89" s="840"/>
      <c r="N89" s="840"/>
      <c r="O89" s="841"/>
      <c r="P89" s="840"/>
      <c r="Q89" s="840"/>
      <c r="R89" s="840"/>
      <c r="S89" s="841"/>
      <c r="T89" s="840"/>
      <c r="U89" s="840"/>
      <c r="V89" s="840"/>
      <c r="W89" s="841"/>
      <c r="X89" s="840"/>
      <c r="Y89" s="840"/>
      <c r="Z89" s="840"/>
      <c r="AA89" s="841"/>
      <c r="AB89" s="840"/>
      <c r="AC89" s="840"/>
      <c r="AD89" s="840"/>
      <c r="AE89" s="841"/>
      <c r="AF89" s="840"/>
      <c r="AG89" s="840"/>
      <c r="AH89" s="840"/>
      <c r="AI89" s="841"/>
      <c r="AJ89" s="840"/>
      <c r="AK89" s="840"/>
      <c r="AL89" s="840"/>
      <c r="AM89" s="841"/>
      <c r="AN89" s="840"/>
      <c r="AO89" s="840"/>
      <c r="AP89" s="840">
        <f>+AP88/AP78</f>
        <v>6.9703921964081053</v>
      </c>
      <c r="AQ89" s="840">
        <f t="shared" ref="AQ89:AW89" si="385">+AQ88/AQ78</f>
        <v>6.9535281069038</v>
      </c>
      <c r="AR89" s="842">
        <f t="shared" si="385"/>
        <v>7.1864604810996573</v>
      </c>
      <c r="AS89" s="840">
        <f t="shared" si="385"/>
        <v>3.8532206534061624</v>
      </c>
      <c r="AT89" s="840">
        <f>+AT88/AT78</f>
        <v>3.9165186761576281</v>
      </c>
      <c r="AU89" s="841">
        <f t="shared" si="385"/>
        <v>4.0710350161855553</v>
      </c>
      <c r="AV89" s="840">
        <f t="shared" si="385"/>
        <v>4.3388955367322133</v>
      </c>
      <c r="AW89" s="840">
        <f t="shared" si="385"/>
        <v>4.5052777456981179</v>
      </c>
      <c r="AX89" s="840">
        <f>+AX88/AX78</f>
        <v>4.6184701194491735</v>
      </c>
      <c r="AY89" s="841">
        <f t="shared" ref="AY89:BD89" si="386">+AY88/AY78</f>
        <v>5.0417353349289833</v>
      </c>
      <c r="AZ89" s="840">
        <f t="shared" si="386"/>
        <v>4.1608447981757193</v>
      </c>
      <c r="BA89" s="840">
        <f t="shared" si="386"/>
        <v>3.4756795866550663</v>
      </c>
      <c r="BB89" s="840">
        <f t="shared" si="386"/>
        <v>3.8932331634502222</v>
      </c>
      <c r="BC89" s="841">
        <f t="shared" si="386"/>
        <v>2.3324009830411829</v>
      </c>
      <c r="BD89" s="840">
        <f t="shared" si="386"/>
        <v>2.6382106132390999</v>
      </c>
      <c r="BE89" s="840">
        <f t="shared" ref="BE89:BI89" si="387">+BE88/BE78</f>
        <v>-0.46716014352898944</v>
      </c>
      <c r="BF89" s="840">
        <f t="shared" si="387"/>
        <v>-3.9385250602133437E-2</v>
      </c>
      <c r="BG89" s="841">
        <f t="shared" si="387"/>
        <v>0.37456536417544367</v>
      </c>
      <c r="BH89" s="840">
        <f t="shared" si="387"/>
        <v>-12.758459492873639</v>
      </c>
      <c r="BI89" s="840">
        <f t="shared" si="387"/>
        <v>-11.175401778081723</v>
      </c>
      <c r="BJ89" s="840">
        <f t="shared" ref="BJ89:BK89" si="388">+BJ88/BJ78</f>
        <v>-10.297777626750033</v>
      </c>
      <c r="BK89" s="841">
        <f t="shared" si="388"/>
        <v>-6.2310857085516229</v>
      </c>
      <c r="BL89" s="840">
        <f t="shared" ref="BL89:BO89" si="389">+BL88/BL78</f>
        <v>-5.4886497435179624</v>
      </c>
      <c r="BM89" s="840">
        <f t="shared" si="389"/>
        <v>-4.7718810133718996</v>
      </c>
      <c r="BN89" s="840">
        <f t="shared" si="389"/>
        <v>-4.504959291944675</v>
      </c>
      <c r="BO89" s="841">
        <f t="shared" si="389"/>
        <v>-3.4816656728175652</v>
      </c>
      <c r="BP89" s="840">
        <f t="shared" ref="BP89:BW89" si="390">+BP88/BP78</f>
        <v>-2.4029190250514305</v>
      </c>
      <c r="BQ89" s="840">
        <f t="shared" si="390"/>
        <v>-1.3197868089787026</v>
      </c>
      <c r="BR89" s="840">
        <f t="shared" si="390"/>
        <v>-0.12841263488754942</v>
      </c>
      <c r="BS89" s="841">
        <f t="shared" si="390"/>
        <v>1.0493746044373713</v>
      </c>
      <c r="BT89" s="840">
        <f t="shared" si="390"/>
        <v>2.2027015043709977</v>
      </c>
      <c r="BU89" s="840">
        <f t="shared" si="390"/>
        <v>3.3581450988735106</v>
      </c>
      <c r="BV89" s="840">
        <f t="shared" si="390"/>
        <v>4.6772411647139363</v>
      </c>
      <c r="BW89" s="841">
        <f t="shared" si="390"/>
        <v>5.9183740860625642</v>
      </c>
      <c r="BX89" s="843"/>
      <c r="BY89" s="844"/>
      <c r="BZ89" s="844"/>
      <c r="CA89" s="844"/>
      <c r="CB89" s="844"/>
      <c r="CC89" s="844"/>
      <c r="CD89" s="844"/>
      <c r="CE89" s="844"/>
      <c r="CF89" s="844"/>
      <c r="CG89" s="1229"/>
      <c r="CH89" s="844">
        <f t="shared" ref="CH89:CN89" si="391">+CH88/CH78</f>
        <v>7.0388932701449747</v>
      </c>
      <c r="CI89" s="844">
        <f t="shared" si="391"/>
        <v>4.2023185984418632</v>
      </c>
      <c r="CJ89" s="844">
        <f t="shared" si="391"/>
        <v>5.1589408157662291</v>
      </c>
      <c r="CK89" s="844">
        <f t="shared" si="391"/>
        <v>2.3051266711024394</v>
      </c>
      <c r="CL89" s="844">
        <f t="shared" si="391"/>
        <v>0.37512190185290828</v>
      </c>
      <c r="CM89" s="844">
        <f t="shared" si="391"/>
        <v>-6.4591830100769307</v>
      </c>
      <c r="CN89" s="844">
        <f t="shared" si="391"/>
        <v>-3.4291910405348545</v>
      </c>
      <c r="CO89" s="844">
        <f>+CO88/CO78</f>
        <v>1.0526949758374331</v>
      </c>
      <c r="CP89" s="844">
        <f>+CP88/CP78</f>
        <v>5.9369439810324511</v>
      </c>
      <c r="CQ89" s="843"/>
      <c r="CR89" s="844">
        <f>+CR88/CR78</f>
        <v>2.1224093615196682</v>
      </c>
      <c r="CS89" s="844">
        <f>+CS88/CS78</f>
        <v>3.0632706961786518</v>
      </c>
      <c r="CT89" s="844">
        <f t="shared" ref="CT89:DD89" si="392">+CT88/CT78</f>
        <v>4.4286900254665955</v>
      </c>
      <c r="CU89" s="844">
        <f t="shared" si="392"/>
        <v>5.6327596330902852</v>
      </c>
      <c r="CV89" s="844">
        <f t="shared" si="392"/>
        <v>2.2892614893024263</v>
      </c>
      <c r="CW89" s="844">
        <f t="shared" si="392"/>
        <v>1.7234081763883105</v>
      </c>
      <c r="CX89" s="844">
        <f t="shared" si="392"/>
        <v>6.2357977479492313</v>
      </c>
      <c r="CY89" s="844">
        <f t="shared" si="392"/>
        <v>6.408921273132405</v>
      </c>
      <c r="CZ89" s="844">
        <f t="shared" si="392"/>
        <v>6.9986047419019473</v>
      </c>
      <c r="DA89" s="844">
        <f t="shared" si="392"/>
        <v>3.9622560264890825</v>
      </c>
      <c r="DB89" s="844">
        <f t="shared" si="392"/>
        <v>4.721261297411802</v>
      </c>
      <c r="DC89" s="844">
        <f t="shared" si="392"/>
        <v>3.8843733223807924</v>
      </c>
      <c r="DD89" s="844">
        <f t="shared" si="392"/>
        <v>-3.9345178897968514E-2</v>
      </c>
      <c r="DE89" s="844">
        <f>+DE88/DE78</f>
        <v>-10.757649982250621</v>
      </c>
      <c r="DF89" s="844">
        <f>+DF88/DF78</f>
        <v>-4.389999021797272</v>
      </c>
      <c r="DG89" s="844">
        <f>+DG88/DG78</f>
        <v>-0.12881980974482252</v>
      </c>
      <c r="DH89" s="844">
        <f>+DH88/DH78</f>
        <v>4.6919475587404378</v>
      </c>
      <c r="DI89" s="845"/>
    </row>
    <row r="90" spans="1:113" ht="14.25" customHeight="1">
      <c r="A90" s="806"/>
      <c r="B90" s="853"/>
      <c r="C90" s="807"/>
      <c r="D90" s="810"/>
      <c r="E90" s="808"/>
      <c r="F90" s="808"/>
      <c r="G90" s="809"/>
      <c r="H90" s="808"/>
      <c r="I90" s="808"/>
      <c r="J90" s="808"/>
      <c r="K90" s="809"/>
      <c r="L90" s="808"/>
      <c r="M90" s="808"/>
      <c r="N90" s="808"/>
      <c r="O90" s="809"/>
      <c r="P90" s="808"/>
      <c r="Q90" s="808"/>
      <c r="R90" s="808"/>
      <c r="S90" s="809"/>
      <c r="T90" s="808"/>
      <c r="U90" s="808"/>
      <c r="V90" s="808"/>
      <c r="W90" s="809"/>
      <c r="X90" s="808"/>
      <c r="Y90" s="808"/>
      <c r="Z90" s="808"/>
      <c r="AA90" s="809"/>
      <c r="AB90" s="808"/>
      <c r="AC90" s="808"/>
      <c r="AD90" s="808"/>
      <c r="AE90" s="809"/>
      <c r="AF90" s="808"/>
      <c r="AG90" s="808"/>
      <c r="AH90" s="808"/>
      <c r="AI90" s="809"/>
      <c r="AJ90" s="808"/>
      <c r="AK90" s="808"/>
      <c r="AL90" s="808"/>
      <c r="AM90" s="809"/>
      <c r="AN90" s="808"/>
      <c r="AO90" s="808"/>
      <c r="AP90" s="808"/>
      <c r="AQ90" s="808"/>
      <c r="AR90" s="810"/>
      <c r="AS90" s="808"/>
      <c r="AT90" s="808"/>
      <c r="AU90" s="809"/>
      <c r="AV90" s="808"/>
      <c r="AW90" s="808"/>
      <c r="AX90" s="808"/>
      <c r="AY90" s="809"/>
      <c r="AZ90" s="808"/>
      <c r="BA90" s="808"/>
      <c r="BB90" s="808"/>
      <c r="BC90" s="809"/>
      <c r="BD90" s="808"/>
      <c r="BE90" s="808"/>
      <c r="BF90" s="808"/>
      <c r="BG90" s="809"/>
      <c r="BH90" s="808"/>
      <c r="BI90" s="808"/>
      <c r="BJ90" s="808"/>
      <c r="BK90" s="809"/>
      <c r="BL90" s="808"/>
      <c r="BM90" s="808"/>
      <c r="BN90" s="808"/>
      <c r="BO90" s="809"/>
      <c r="BP90" s="808"/>
      <c r="BQ90" s="808"/>
      <c r="BR90" s="808"/>
      <c r="BS90" s="809"/>
      <c r="BT90" s="808"/>
      <c r="BU90" s="808"/>
      <c r="BV90" s="808"/>
      <c r="BW90" s="809"/>
      <c r="BX90" s="811"/>
      <c r="BY90" s="812"/>
      <c r="BZ90" s="812"/>
      <c r="CA90" s="812"/>
      <c r="CB90" s="812"/>
      <c r="CC90" s="812"/>
      <c r="CD90" s="812"/>
      <c r="CE90" s="812"/>
      <c r="CF90" s="812"/>
      <c r="CG90" s="813"/>
      <c r="CH90" s="812"/>
      <c r="CI90" s="812"/>
      <c r="CJ90" s="812"/>
      <c r="CK90" s="812"/>
      <c r="CL90" s="812"/>
      <c r="CM90" s="812"/>
      <c r="CN90" s="812"/>
      <c r="CO90" s="812"/>
      <c r="CP90" s="812"/>
      <c r="CQ90" s="811"/>
      <c r="CR90" s="813"/>
      <c r="CS90" s="812"/>
      <c r="CT90" s="812"/>
      <c r="CU90" s="812"/>
      <c r="CV90" s="812"/>
      <c r="CW90" s="812"/>
      <c r="CX90" s="812"/>
      <c r="CY90" s="812"/>
      <c r="CZ90" s="812"/>
      <c r="DA90" s="812"/>
      <c r="DB90" s="812"/>
      <c r="DC90" s="812"/>
      <c r="DD90" s="812"/>
      <c r="DE90" s="812"/>
      <c r="DF90" s="812"/>
      <c r="DG90" s="812"/>
      <c r="DH90" s="812"/>
      <c r="DI90" s="814"/>
    </row>
    <row r="91" spans="1:113" ht="14.25" customHeight="1">
      <c r="A91" s="784"/>
      <c r="B91" s="617" t="s">
        <v>57</v>
      </c>
      <c r="C91" s="815"/>
      <c r="D91" s="818">
        <f t="shared" ref="D91:O91" si="393">D16-D34</f>
        <v>385.58700000000005</v>
      </c>
      <c r="E91" s="816">
        <f t="shared" si="393"/>
        <v>332.20100000000002</v>
      </c>
      <c r="F91" s="816">
        <f t="shared" si="393"/>
        <v>389.346</v>
      </c>
      <c r="G91" s="817">
        <f t="shared" si="393"/>
        <v>393.97899999999993</v>
      </c>
      <c r="H91" s="816">
        <f t="shared" si="393"/>
        <v>452.41999999999996</v>
      </c>
      <c r="I91" s="816">
        <f t="shared" si="393"/>
        <v>524.18799999999999</v>
      </c>
      <c r="J91" s="816">
        <f t="shared" si="393"/>
        <v>605.197</v>
      </c>
      <c r="K91" s="817">
        <f t="shared" si="393"/>
        <v>613.89400000000012</v>
      </c>
      <c r="L91" s="816">
        <f t="shared" si="393"/>
        <v>660.13900000000012</v>
      </c>
      <c r="M91" s="816">
        <f t="shared" si="393"/>
        <v>693.30500000000006</v>
      </c>
      <c r="N91" s="816">
        <f t="shared" si="393"/>
        <v>778.40900000000011</v>
      </c>
      <c r="O91" s="817">
        <f t="shared" si="393"/>
        <v>768.68299999999999</v>
      </c>
      <c r="P91" s="816">
        <f t="shared" ref="P91:BC91" si="394">P16-P34</f>
        <v>845.37900000000013</v>
      </c>
      <c r="Q91" s="816">
        <f t="shared" si="394"/>
        <v>917.62599999999975</v>
      </c>
      <c r="R91" s="816">
        <f t="shared" si="394"/>
        <v>964.43099999999993</v>
      </c>
      <c r="S91" s="817">
        <f t="shared" si="394"/>
        <v>509.8599999999999</v>
      </c>
      <c r="T91" s="816">
        <f t="shared" si="394"/>
        <v>611.26999999999975</v>
      </c>
      <c r="U91" s="816">
        <f t="shared" si="394"/>
        <v>523.19400000000007</v>
      </c>
      <c r="V91" s="816">
        <f t="shared" si="394"/>
        <v>691.67300000000012</v>
      </c>
      <c r="W91" s="817">
        <f t="shared" si="394"/>
        <v>828.81699999999978</v>
      </c>
      <c r="X91" s="816">
        <f t="shared" si="394"/>
        <v>897.79999999999973</v>
      </c>
      <c r="Y91" s="816">
        <f t="shared" si="394"/>
        <v>1056.6500000000001</v>
      </c>
      <c r="Z91" s="816">
        <f t="shared" si="394"/>
        <v>1620.4179999999997</v>
      </c>
      <c r="AA91" s="817">
        <f t="shared" si="394"/>
        <v>1526.6489999999999</v>
      </c>
      <c r="AB91" s="816">
        <f t="shared" si="394"/>
        <v>1236.8139999999999</v>
      </c>
      <c r="AC91" s="816">
        <f t="shared" si="394"/>
        <v>1265.0809999999999</v>
      </c>
      <c r="AD91" s="816">
        <f t="shared" si="394"/>
        <v>1565.1880000000001</v>
      </c>
      <c r="AE91" s="817">
        <f t="shared" si="394"/>
        <v>1587.144</v>
      </c>
      <c r="AF91" s="816">
        <f t="shared" si="394"/>
        <v>1611.95</v>
      </c>
      <c r="AG91" s="816">
        <f t="shared" si="394"/>
        <v>1557.1060000000002</v>
      </c>
      <c r="AH91" s="816">
        <f t="shared" si="394"/>
        <v>1257.6019999999999</v>
      </c>
      <c r="AI91" s="817">
        <f t="shared" si="394"/>
        <v>1407.5789999999997</v>
      </c>
      <c r="AJ91" s="816">
        <f t="shared" si="394"/>
        <v>1563.798</v>
      </c>
      <c r="AK91" s="816">
        <f t="shared" si="394"/>
        <v>1607.165</v>
      </c>
      <c r="AL91" s="816">
        <f t="shared" si="394"/>
        <v>1438.509</v>
      </c>
      <c r="AM91" s="817">
        <f t="shared" si="394"/>
        <v>1434.6670000000001</v>
      </c>
      <c r="AN91" s="816">
        <f t="shared" si="394"/>
        <v>1767.6039999999998</v>
      </c>
      <c r="AO91" s="816">
        <f t="shared" si="394"/>
        <v>1639.2230000000002</v>
      </c>
      <c r="AP91" s="816">
        <f t="shared" si="394"/>
        <v>1581.5140000000001</v>
      </c>
      <c r="AQ91" s="816">
        <f t="shared" si="394"/>
        <v>1767.9879999999998</v>
      </c>
      <c r="AR91" s="818">
        <f t="shared" si="394"/>
        <v>1979.3089999999997</v>
      </c>
      <c r="AS91" s="816">
        <f t="shared" si="394"/>
        <v>1963.8049999999998</v>
      </c>
      <c r="AT91" s="816">
        <f t="shared" si="394"/>
        <v>2000.3040000000001</v>
      </c>
      <c r="AU91" s="817">
        <f t="shared" si="394"/>
        <v>1894.7589999999996</v>
      </c>
      <c r="AV91" s="816">
        <f t="shared" si="394"/>
        <v>1264.0329999999999</v>
      </c>
      <c r="AW91" s="816">
        <f t="shared" si="394"/>
        <v>1482.0129999999999</v>
      </c>
      <c r="AX91" s="816">
        <f t="shared" si="394"/>
        <v>1652.6280000000002</v>
      </c>
      <c r="AY91" s="817">
        <f t="shared" si="394"/>
        <v>1633.3200000000002</v>
      </c>
      <c r="AZ91" s="816">
        <f>AZ16-AZ34</f>
        <v>2090.6610000000001</v>
      </c>
      <c r="BA91" s="816">
        <f t="shared" si="394"/>
        <v>1593.4809999999998</v>
      </c>
      <c r="BB91" s="816">
        <f t="shared" si="394"/>
        <v>1430.3930000000003</v>
      </c>
      <c r="BC91" s="817">
        <f t="shared" si="394"/>
        <v>2310.6450000000004</v>
      </c>
      <c r="BD91" s="816">
        <f t="shared" ref="BD91:BG91" si="395">BD16-BD34</f>
        <v>1883.3060000000005</v>
      </c>
      <c r="BE91" s="816">
        <f t="shared" si="395"/>
        <v>2407.1109999999999</v>
      </c>
      <c r="BF91" s="816">
        <f t="shared" si="395"/>
        <v>1288.8069999999998</v>
      </c>
      <c r="BG91" s="817">
        <f t="shared" si="395"/>
        <v>2714.7040000000002</v>
      </c>
      <c r="BH91" s="816">
        <f>BH16-BH34</f>
        <v>1099.7029999999997</v>
      </c>
      <c r="BI91" s="816">
        <f t="shared" ref="BI91:BK91" si="396">BI16-BI34</f>
        <v>911.9319999999999</v>
      </c>
      <c r="BJ91" s="816">
        <f t="shared" si="396"/>
        <v>1025.1970000000001</v>
      </c>
      <c r="BK91" s="817">
        <f t="shared" si="396"/>
        <v>1600.59</v>
      </c>
      <c r="BL91" s="816">
        <f t="shared" ref="BL91:BS91" si="397">BL16-BL34</f>
        <v>1562.3189999999997</v>
      </c>
      <c r="BM91" s="816">
        <f t="shared" si="397"/>
        <v>1709.2360000000001</v>
      </c>
      <c r="BN91" s="816">
        <f t="shared" si="397"/>
        <v>1496.6089999999999</v>
      </c>
      <c r="BO91" s="817">
        <f t="shared" si="397"/>
        <v>1729.2266004125129</v>
      </c>
      <c r="BP91" s="816">
        <f t="shared" si="397"/>
        <v>1998.4761044853005</v>
      </c>
      <c r="BQ91" s="816">
        <f t="shared" si="397"/>
        <v>2281.9842006535196</v>
      </c>
      <c r="BR91" s="816">
        <f t="shared" si="397"/>
        <v>2567.6028700538964</v>
      </c>
      <c r="BS91" s="817">
        <f t="shared" si="397"/>
        <v>2838.9093889759329</v>
      </c>
      <c r="BT91" s="816">
        <f t="shared" ref="BT91:BW91" si="398">BT16-BT34</f>
        <v>3127.4447070880055</v>
      </c>
      <c r="BU91" s="816">
        <f t="shared" si="398"/>
        <v>3428.1602780637286</v>
      </c>
      <c r="BV91" s="816">
        <f t="shared" si="398"/>
        <v>3732.2298582427147</v>
      </c>
      <c r="BW91" s="817">
        <f t="shared" si="398"/>
        <v>4022.3240206152113</v>
      </c>
      <c r="BX91" s="819"/>
      <c r="BY91" s="820">
        <f>BY16-BY34</f>
        <v>393.97899999999993</v>
      </c>
      <c r="BZ91" s="820">
        <f>BZ16-BZ34</f>
        <v>613.89400000000012</v>
      </c>
      <c r="CA91" s="820">
        <f>CA16-CA34</f>
        <v>768.68299999999999</v>
      </c>
      <c r="CB91" s="820">
        <f t="shared" ref="CB91:CK91" si="399">CB16-CB34</f>
        <v>509.8599999999999</v>
      </c>
      <c r="CC91" s="820">
        <f t="shared" si="399"/>
        <v>828.81699999999978</v>
      </c>
      <c r="CD91" s="820">
        <f t="shared" si="399"/>
        <v>1526.6489999999999</v>
      </c>
      <c r="CE91" s="820">
        <f t="shared" si="399"/>
        <v>1587.144</v>
      </c>
      <c r="CF91" s="820">
        <f t="shared" si="399"/>
        <v>1407.5789999999997</v>
      </c>
      <c r="CG91" s="821">
        <f t="shared" si="399"/>
        <v>1434.6670000000001</v>
      </c>
      <c r="CH91" s="820">
        <f t="shared" si="399"/>
        <v>1767.9879999999998</v>
      </c>
      <c r="CI91" s="820">
        <f t="shared" si="399"/>
        <v>1894.7589999999996</v>
      </c>
      <c r="CJ91" s="820">
        <f t="shared" si="399"/>
        <v>1633.3200000000002</v>
      </c>
      <c r="CK91" s="820">
        <f t="shared" si="399"/>
        <v>2310.6450000000004</v>
      </c>
      <c r="CL91" s="820">
        <f>CL16-CL34</f>
        <v>2714.7040000000002</v>
      </c>
      <c r="CM91" s="820">
        <f>CM16-CM34</f>
        <v>1600.59</v>
      </c>
      <c r="CN91" s="820">
        <f>CN16-CN34</f>
        <v>1729.2266004125129</v>
      </c>
      <c r="CO91" s="820">
        <f>CO16-CO34</f>
        <v>2838.9093889759329</v>
      </c>
      <c r="CP91" s="820">
        <f>CP16-CP34</f>
        <v>4022.3240206152113</v>
      </c>
      <c r="CQ91" s="819"/>
      <c r="CR91" s="821">
        <f>CR16-CR34</f>
        <v>605.197</v>
      </c>
      <c r="CS91" s="820">
        <f>CS16-CS34</f>
        <v>778.40900000000011</v>
      </c>
      <c r="CT91" s="820">
        <f>CT16-CT34</f>
        <v>964.43099999999993</v>
      </c>
      <c r="CU91" s="820">
        <f t="shared" ref="CU91:DC91" si="400">CU16-CU34</f>
        <v>691.67300000000012</v>
      </c>
      <c r="CV91" s="820">
        <f t="shared" si="400"/>
        <v>1620.4179999999997</v>
      </c>
      <c r="CW91" s="820">
        <f t="shared" si="400"/>
        <v>1565.1880000000001</v>
      </c>
      <c r="CX91" s="820">
        <f t="shared" si="400"/>
        <v>1257.6019999999999</v>
      </c>
      <c r="CY91" s="820">
        <f t="shared" si="400"/>
        <v>1438.509</v>
      </c>
      <c r="CZ91" s="820">
        <f t="shared" si="400"/>
        <v>1581.5140000000001</v>
      </c>
      <c r="DA91" s="820">
        <f t="shared" si="400"/>
        <v>2000.3040000000001</v>
      </c>
      <c r="DB91" s="820">
        <f t="shared" si="400"/>
        <v>1652.6280000000002</v>
      </c>
      <c r="DC91" s="820">
        <f t="shared" si="400"/>
        <v>1430.3930000000003</v>
      </c>
      <c r="DD91" s="820">
        <f>DD16-DD34</f>
        <v>1288.8069999999998</v>
      </c>
      <c r="DE91" s="820">
        <f>DE16-DE34</f>
        <v>1025.1970000000001</v>
      </c>
      <c r="DF91" s="820">
        <f>DF16-DF34</f>
        <v>1496.6089999999999</v>
      </c>
      <c r="DG91" s="820">
        <f>DG16-DG34</f>
        <v>2567.6028700538964</v>
      </c>
      <c r="DH91" s="820">
        <f>DH16-DH34</f>
        <v>3732.2298582427147</v>
      </c>
      <c r="DI91" s="822"/>
    </row>
    <row r="92" spans="1:113" ht="14.25" customHeight="1">
      <c r="A92" s="8"/>
      <c r="B92" s="672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1172"/>
      <c r="CG92" s="14"/>
      <c r="CH92" s="14"/>
      <c r="CI92" s="14"/>
      <c r="CJ92" s="14"/>
      <c r="CK92" s="14"/>
      <c r="CL92" s="14"/>
      <c r="CM92" s="1172"/>
      <c r="CN92" s="1172"/>
      <c r="CO92" s="1172"/>
      <c r="CP92" s="14"/>
      <c r="CQ92" s="14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14"/>
      <c r="DG92" s="14"/>
      <c r="DH92" s="8"/>
      <c r="DI92" s="8"/>
    </row>
    <row r="93" spans="1:113" ht="14.25" customHeight="1">
      <c r="A93" s="8"/>
      <c r="B93" s="621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14"/>
      <c r="CK93" s="14"/>
      <c r="CL93" s="14"/>
      <c r="CM93" s="8"/>
      <c r="CN93" s="14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14"/>
      <c r="DG93" s="14"/>
      <c r="DH93" s="8"/>
      <c r="DI93" s="8"/>
    </row>
    <row r="94" spans="1:113" ht="14.25" customHeight="1">
      <c r="A94" s="11"/>
      <c r="B94" s="668" t="s">
        <v>306</v>
      </c>
      <c r="C94" s="142"/>
      <c r="D94" s="17" t="str">
        <f t="shared" ref="D94:O94" si="401">D60</f>
        <v>F1Q03A</v>
      </c>
      <c r="E94" s="18" t="str">
        <f t="shared" si="401"/>
        <v>F2Q03A</v>
      </c>
      <c r="F94" s="18" t="str">
        <f t="shared" si="401"/>
        <v>F3Q03A</v>
      </c>
      <c r="G94" s="19" t="str">
        <f t="shared" si="401"/>
        <v>F4Q03A</v>
      </c>
      <c r="H94" s="17" t="str">
        <f t="shared" si="401"/>
        <v>F1Q04A</v>
      </c>
      <c r="I94" s="18" t="str">
        <f t="shared" si="401"/>
        <v>F2Q04A</v>
      </c>
      <c r="J94" s="18" t="str">
        <f t="shared" si="401"/>
        <v>F3Q04A</v>
      </c>
      <c r="K94" s="19" t="str">
        <f t="shared" si="401"/>
        <v>F4Q04A</v>
      </c>
      <c r="L94" s="17" t="str">
        <f t="shared" si="401"/>
        <v>F1Q05A</v>
      </c>
      <c r="M94" s="18" t="str">
        <f t="shared" si="401"/>
        <v>F2Q05A</v>
      </c>
      <c r="N94" s="18" t="str">
        <f t="shared" si="401"/>
        <v>F3Q05A</v>
      </c>
      <c r="O94" s="19" t="str">
        <f t="shared" si="401"/>
        <v>F4Q05A</v>
      </c>
      <c r="P94" s="17" t="str">
        <f t="shared" ref="P94:AM94" si="402">P60</f>
        <v>F1Q06A</v>
      </c>
      <c r="Q94" s="18" t="str">
        <f t="shared" si="402"/>
        <v>F2Q06A</v>
      </c>
      <c r="R94" s="18" t="str">
        <f t="shared" si="402"/>
        <v>F3Q06A</v>
      </c>
      <c r="S94" s="19" t="str">
        <f t="shared" si="402"/>
        <v>F4Q06A</v>
      </c>
      <c r="T94" s="17" t="str">
        <f t="shared" si="402"/>
        <v>F1Q07A</v>
      </c>
      <c r="U94" s="18" t="str">
        <f t="shared" si="402"/>
        <v>F2Q07A</v>
      </c>
      <c r="V94" s="18" t="str">
        <f t="shared" si="402"/>
        <v>F3Q07A</v>
      </c>
      <c r="W94" s="19" t="str">
        <f t="shared" si="402"/>
        <v>F4Q07A</v>
      </c>
      <c r="X94" s="17" t="str">
        <f t="shared" si="402"/>
        <v>F1Q08A</v>
      </c>
      <c r="Y94" s="18" t="str">
        <f t="shared" si="402"/>
        <v>F2Q08A</v>
      </c>
      <c r="Z94" s="18" t="str">
        <f t="shared" si="402"/>
        <v>F3Q08A</v>
      </c>
      <c r="AA94" s="19" t="str">
        <f t="shared" si="402"/>
        <v>F4Q08A</v>
      </c>
      <c r="AB94" s="17" t="str">
        <f t="shared" si="402"/>
        <v>F1Q09A</v>
      </c>
      <c r="AC94" s="18" t="str">
        <f t="shared" si="402"/>
        <v>F2Q09A</v>
      </c>
      <c r="AD94" s="18" t="str">
        <f t="shared" si="402"/>
        <v>F3Q09A</v>
      </c>
      <c r="AE94" s="19" t="str">
        <f t="shared" si="402"/>
        <v>F4Q09A</v>
      </c>
      <c r="AF94" s="17" t="str">
        <f t="shared" si="402"/>
        <v>F1Q10A</v>
      </c>
      <c r="AG94" s="18" t="str">
        <f t="shared" si="402"/>
        <v>F2Q10A</v>
      </c>
      <c r="AH94" s="18" t="str">
        <f t="shared" si="402"/>
        <v>F3Q10A</v>
      </c>
      <c r="AI94" s="19" t="str">
        <f t="shared" si="402"/>
        <v>F4Q10A</v>
      </c>
      <c r="AJ94" s="17" t="str">
        <f t="shared" si="402"/>
        <v>F1Q11A</v>
      </c>
      <c r="AK94" s="18" t="str">
        <f t="shared" si="402"/>
        <v>F2Q11A</v>
      </c>
      <c r="AL94" s="18" t="str">
        <f t="shared" si="402"/>
        <v>F3Q11A</v>
      </c>
      <c r="AM94" s="19" t="str">
        <f t="shared" si="402"/>
        <v>F4Q11A</v>
      </c>
      <c r="AN94" s="17" t="str">
        <f>AN$60</f>
        <v>F1Q12A</v>
      </c>
      <c r="AO94" s="18" t="str">
        <f t="shared" ref="AO94:AU94" si="403">AO$60</f>
        <v>F2Q12A</v>
      </c>
      <c r="AP94" s="18" t="str">
        <f t="shared" si="403"/>
        <v>F3Q12A</v>
      </c>
      <c r="AQ94" s="19" t="str">
        <f t="shared" si="403"/>
        <v>F4Q12A</v>
      </c>
      <c r="AR94" s="17" t="str">
        <f t="shared" si="403"/>
        <v>F1Q13A</v>
      </c>
      <c r="AS94" s="18" t="str">
        <f t="shared" si="403"/>
        <v>F2Q13A</v>
      </c>
      <c r="AT94" s="18" t="str">
        <f t="shared" si="403"/>
        <v>F3Q13A</v>
      </c>
      <c r="AU94" s="19" t="str">
        <f t="shared" si="403"/>
        <v>F4Q13A</v>
      </c>
      <c r="AV94" s="17" t="str">
        <f t="shared" ref="AV94:BC94" si="404">AV60</f>
        <v>F1Q14A</v>
      </c>
      <c r="AW94" s="18" t="str">
        <f t="shared" si="404"/>
        <v>F2Q14A</v>
      </c>
      <c r="AX94" s="18" t="str">
        <f t="shared" si="404"/>
        <v>F3Q14A</v>
      </c>
      <c r="AY94" s="19" t="str">
        <f t="shared" si="404"/>
        <v>F4Q14A</v>
      </c>
      <c r="AZ94" s="18" t="str">
        <f t="shared" si="404"/>
        <v>F1Q15A</v>
      </c>
      <c r="BA94" s="18" t="str">
        <f t="shared" si="404"/>
        <v>F2Q15A</v>
      </c>
      <c r="BB94" s="18" t="str">
        <f t="shared" si="404"/>
        <v>F3Q15A</v>
      </c>
      <c r="BC94" s="19" t="str">
        <f t="shared" si="404"/>
        <v>F4Q15A</v>
      </c>
      <c r="BD94" s="17" t="str">
        <f t="shared" ref="BD94:BK94" si="405">BD60</f>
        <v>F1Q16A</v>
      </c>
      <c r="BE94" s="18" t="str">
        <f t="shared" si="405"/>
        <v>F2Q16A</v>
      </c>
      <c r="BF94" s="18" t="str">
        <f t="shared" si="405"/>
        <v>F3Q16A</v>
      </c>
      <c r="BG94" s="19" t="str">
        <f t="shared" si="405"/>
        <v>F4Q16A</v>
      </c>
      <c r="BH94" s="17" t="str">
        <f>BH60</f>
        <v>F1Q17A</v>
      </c>
      <c r="BI94" s="1327" t="str">
        <f t="shared" ref="BI94:BJ94" si="406">BI60</f>
        <v>F2Q17A</v>
      </c>
      <c r="BJ94" s="1374" t="str">
        <f t="shared" si="406"/>
        <v>F3Q17A</v>
      </c>
      <c r="BK94" s="19" t="str">
        <f t="shared" si="405"/>
        <v>F4Q17A</v>
      </c>
      <c r="BL94" s="17" t="str">
        <f t="shared" ref="BL94:BS94" si="407">BL60</f>
        <v>F1Q18A</v>
      </c>
      <c r="BM94" s="18" t="str">
        <f t="shared" si="407"/>
        <v>F2Q18A</v>
      </c>
      <c r="BN94" s="18" t="str">
        <f t="shared" si="407"/>
        <v>F3Q18A</v>
      </c>
      <c r="BO94" s="19" t="str">
        <f t="shared" si="407"/>
        <v>F4Q18E</v>
      </c>
      <c r="BP94" s="17" t="str">
        <f t="shared" si="407"/>
        <v>F1Q19E</v>
      </c>
      <c r="BQ94" s="18" t="str">
        <f t="shared" si="407"/>
        <v>F2Q19E</v>
      </c>
      <c r="BR94" s="18" t="str">
        <f t="shared" si="407"/>
        <v>F3Q19E</v>
      </c>
      <c r="BS94" s="19" t="str">
        <f t="shared" si="407"/>
        <v>F4Q19E</v>
      </c>
      <c r="BT94" s="1373" t="str">
        <f t="shared" ref="BT94:BW94" si="408">BT60</f>
        <v>F1Q20E</v>
      </c>
      <c r="BU94" s="1374" t="str">
        <f t="shared" si="408"/>
        <v>F2Q20E</v>
      </c>
      <c r="BV94" s="1374" t="str">
        <f t="shared" si="408"/>
        <v>F3Q20E</v>
      </c>
      <c r="BW94" s="1375" t="str">
        <f t="shared" si="408"/>
        <v>F4Q20E</v>
      </c>
      <c r="BX94" s="20"/>
      <c r="BY94" s="523" t="str">
        <f>BY$60</f>
        <v>FY2003A</v>
      </c>
      <c r="BZ94" s="18" t="str">
        <f>BZ$60</f>
        <v>FY2004A</v>
      </c>
      <c r="CA94" s="18" t="str">
        <f>CA$60</f>
        <v>FY2005A</v>
      </c>
      <c r="CB94" s="18" t="str">
        <f>CB$60</f>
        <v>FY2006A</v>
      </c>
      <c r="CC94" s="18" t="str">
        <f t="shared" ref="CC94:CP94" si="409">CC$60</f>
        <v>FY2007A</v>
      </c>
      <c r="CD94" s="18" t="str">
        <f t="shared" si="409"/>
        <v>FY2008A</v>
      </c>
      <c r="CE94" s="18" t="str">
        <f t="shared" si="409"/>
        <v>FY2009A</v>
      </c>
      <c r="CF94" s="18" t="str">
        <f t="shared" si="409"/>
        <v>FY2010A</v>
      </c>
      <c r="CG94" s="523" t="str">
        <f t="shared" si="409"/>
        <v>FY2011A</v>
      </c>
      <c r="CH94" s="18" t="str">
        <f t="shared" si="409"/>
        <v>FY2012A</v>
      </c>
      <c r="CI94" s="18" t="str">
        <f t="shared" si="409"/>
        <v>FY2013A</v>
      </c>
      <c r="CJ94" s="524" t="str">
        <f t="shared" si="409"/>
        <v>FY2014A</v>
      </c>
      <c r="CK94" s="524" t="str">
        <f t="shared" si="409"/>
        <v>FY2015A</v>
      </c>
      <c r="CL94" s="524" t="str">
        <f t="shared" si="409"/>
        <v>FY2016A</v>
      </c>
      <c r="CM94" s="524" t="str">
        <f t="shared" si="409"/>
        <v>FY2017A</v>
      </c>
      <c r="CN94" s="524" t="str">
        <f t="shared" si="409"/>
        <v>FY2018E</v>
      </c>
      <c r="CO94" s="1353" t="str">
        <f t="shared" si="409"/>
        <v>FY2019E</v>
      </c>
      <c r="CP94" s="1345" t="str">
        <f t="shared" si="409"/>
        <v>FY2020E</v>
      </c>
      <c r="CQ94" s="20"/>
      <c r="CR94" s="17" t="str">
        <f>CR$60</f>
        <v>CY2003</v>
      </c>
      <c r="CS94" s="18" t="str">
        <f>CS$60</f>
        <v>CY2004</v>
      </c>
      <c r="CT94" s="18" t="str">
        <f>CT$60</f>
        <v>CY2005</v>
      </c>
      <c r="CU94" s="18" t="str">
        <f>CU$60</f>
        <v>CY2006</v>
      </c>
      <c r="CV94" s="18" t="str">
        <f t="shared" ref="CV94:DH94" si="410">CV$60</f>
        <v>CY2007</v>
      </c>
      <c r="CW94" s="18" t="str">
        <f t="shared" si="410"/>
        <v>CY2008</v>
      </c>
      <c r="CX94" s="18" t="str">
        <f t="shared" si="410"/>
        <v>CY2009</v>
      </c>
      <c r="CY94" s="18" t="str">
        <f t="shared" si="410"/>
        <v>CY2010</v>
      </c>
      <c r="CZ94" s="18" t="str">
        <f t="shared" si="410"/>
        <v>CY2011</v>
      </c>
      <c r="DA94" s="18" t="str">
        <f t="shared" si="410"/>
        <v>CY2012</v>
      </c>
      <c r="DB94" s="18" t="str">
        <f t="shared" si="410"/>
        <v>CY2013</v>
      </c>
      <c r="DC94" s="18" t="str">
        <f t="shared" si="410"/>
        <v>CY2014</v>
      </c>
      <c r="DD94" s="18" t="str">
        <f t="shared" si="410"/>
        <v>CY2015</v>
      </c>
      <c r="DE94" s="18" t="str">
        <f t="shared" si="410"/>
        <v>CY2016</v>
      </c>
      <c r="DF94" s="18" t="str">
        <f t="shared" si="410"/>
        <v>CY2017</v>
      </c>
      <c r="DG94" s="1439" t="str">
        <f t="shared" si="410"/>
        <v>CY2018</v>
      </c>
      <c r="DH94" s="1440" t="str">
        <f t="shared" si="410"/>
        <v>CY2019</v>
      </c>
      <c r="DI94" s="14"/>
    </row>
    <row r="95" spans="1:113" ht="14.25" customHeight="1">
      <c r="A95" s="11"/>
      <c r="B95" s="673" t="s">
        <v>316</v>
      </c>
      <c r="C95" s="24"/>
      <c r="D95" s="163"/>
      <c r="E95" s="163"/>
      <c r="F95" s="163"/>
      <c r="G95" s="164"/>
      <c r="H95" s="163"/>
      <c r="I95" s="163"/>
      <c r="J95" s="163"/>
      <c r="K95" s="164"/>
      <c r="L95" s="163"/>
      <c r="M95" s="163"/>
      <c r="N95" s="163"/>
      <c r="O95" s="164"/>
      <c r="P95" s="163"/>
      <c r="Q95" s="163"/>
      <c r="R95" s="163"/>
      <c r="S95" s="164"/>
      <c r="T95" s="163"/>
      <c r="U95" s="163"/>
      <c r="V95" s="163"/>
      <c r="W95" s="164"/>
      <c r="X95" s="163"/>
      <c r="Y95" s="163"/>
      <c r="Z95" s="163"/>
      <c r="AA95" s="164"/>
      <c r="AB95" s="163"/>
      <c r="AC95" s="163"/>
      <c r="AD95" s="163"/>
      <c r="AE95" s="164"/>
      <c r="AF95" s="163"/>
      <c r="AG95" s="163"/>
      <c r="AH95" s="163"/>
      <c r="AI95" s="164"/>
      <c r="AJ95" s="163"/>
      <c r="AK95" s="163"/>
      <c r="AL95" s="163"/>
      <c r="AM95" s="164"/>
      <c r="AN95" s="635"/>
      <c r="AO95" s="163"/>
      <c r="AP95" s="163"/>
      <c r="AQ95" s="164"/>
      <c r="AR95" s="635"/>
      <c r="AS95" s="163"/>
      <c r="AT95" s="163"/>
      <c r="AU95" s="164"/>
      <c r="AV95" s="635"/>
      <c r="AW95" s="163"/>
      <c r="AX95" s="163"/>
      <c r="AY95" s="164"/>
      <c r="AZ95" s="163"/>
      <c r="BA95" s="163"/>
      <c r="BB95" s="163"/>
      <c r="BC95" s="164"/>
      <c r="BD95" s="163"/>
      <c r="BE95" s="163"/>
      <c r="BF95" s="163"/>
      <c r="BG95" s="164"/>
      <c r="BH95" s="163"/>
      <c r="BI95" s="163"/>
      <c r="BJ95" s="163"/>
      <c r="BK95" s="164"/>
      <c r="BL95" s="163"/>
      <c r="BM95" s="163"/>
      <c r="BN95" s="163"/>
      <c r="BO95" s="164"/>
      <c r="BP95" s="163"/>
      <c r="BQ95" s="163"/>
      <c r="BR95" s="163"/>
      <c r="BS95" s="164"/>
      <c r="BT95" s="163"/>
      <c r="BU95" s="163"/>
      <c r="BV95" s="163"/>
      <c r="BW95" s="164"/>
      <c r="BX95" s="20"/>
      <c r="BY95" s="148"/>
      <c r="BZ95" s="81"/>
      <c r="CA95" s="81"/>
      <c r="CB95" s="81"/>
      <c r="CC95" s="81"/>
      <c r="CD95" s="81"/>
      <c r="CE95" s="81"/>
      <c r="CF95" s="143"/>
      <c r="CG95" s="148"/>
      <c r="CH95" s="143"/>
      <c r="CI95" s="143"/>
      <c r="CJ95" s="143"/>
      <c r="CK95" s="143"/>
      <c r="CL95" s="143"/>
      <c r="CM95" s="143"/>
      <c r="CN95" s="143"/>
      <c r="CO95" s="143"/>
      <c r="CP95" s="147"/>
      <c r="CQ95" s="20"/>
      <c r="CR95" s="80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143"/>
      <c r="DE95" s="143"/>
      <c r="DF95" s="143"/>
      <c r="DG95" s="143"/>
      <c r="DH95" s="147"/>
      <c r="DI95" s="22"/>
    </row>
    <row r="96" spans="1:113" ht="14.25" customHeight="1">
      <c r="A96" s="737"/>
      <c r="B96" s="727" t="s">
        <v>424</v>
      </c>
      <c r="C96" s="644"/>
      <c r="D96" s="645"/>
      <c r="E96" s="645"/>
      <c r="F96" s="645"/>
      <c r="G96" s="646"/>
      <c r="H96" s="645"/>
      <c r="I96" s="645"/>
      <c r="J96" s="645"/>
      <c r="K96" s="646"/>
      <c r="L96" s="645"/>
      <c r="M96" s="645"/>
      <c r="N96" s="645"/>
      <c r="O96" s="646"/>
      <c r="P96" s="645"/>
      <c r="Q96" s="645"/>
      <c r="R96" s="645"/>
      <c r="S96" s="646"/>
      <c r="T96" s="645"/>
      <c r="U96" s="645"/>
      <c r="V96" s="645"/>
      <c r="W96" s="646"/>
      <c r="X96" s="645"/>
      <c r="Y96" s="645"/>
      <c r="Z96" s="645"/>
      <c r="AA96" s="646"/>
      <c r="AB96" s="645"/>
      <c r="AC96" s="645"/>
      <c r="AD96" s="645"/>
      <c r="AE96" s="646"/>
      <c r="AF96" s="645"/>
      <c r="AG96" s="645"/>
      <c r="AH96" s="645"/>
      <c r="AI96" s="646"/>
      <c r="AJ96" s="645"/>
      <c r="AK96" s="645"/>
      <c r="AL96" s="645"/>
      <c r="AM96" s="646"/>
      <c r="AN96" s="697"/>
      <c r="AO96" s="645"/>
      <c r="AP96" s="659"/>
      <c r="AQ96" s="957">
        <v>1150</v>
      </c>
      <c r="AR96" s="697">
        <f>+AQ96</f>
        <v>1150</v>
      </c>
      <c r="AS96" s="645">
        <f>+AR96</f>
        <v>1150</v>
      </c>
      <c r="AT96" s="645">
        <f t="shared" ref="AT96:BC96" si="411">+AS96</f>
        <v>1150</v>
      </c>
      <c r="AU96" s="646">
        <f t="shared" si="411"/>
        <v>1150</v>
      </c>
      <c r="AV96" s="697">
        <f t="shared" si="411"/>
        <v>1150</v>
      </c>
      <c r="AW96" s="645">
        <f t="shared" si="411"/>
        <v>1150</v>
      </c>
      <c r="AX96" s="645">
        <f t="shared" si="411"/>
        <v>1150</v>
      </c>
      <c r="AY96" s="646">
        <f t="shared" si="411"/>
        <v>1150</v>
      </c>
      <c r="AZ96" s="645">
        <f t="shared" si="411"/>
        <v>1150</v>
      </c>
      <c r="BA96" s="645">
        <f>+AZ96</f>
        <v>1150</v>
      </c>
      <c r="BB96" s="645">
        <f>+BA96</f>
        <v>1150</v>
      </c>
      <c r="BC96" s="646">
        <f t="shared" si="411"/>
        <v>1150</v>
      </c>
      <c r="BD96" s="645">
        <f t="shared" ref="BD96:BK96" si="412">+BC96</f>
        <v>1150</v>
      </c>
      <c r="BE96" s="645">
        <f>+BD96</f>
        <v>1150</v>
      </c>
      <c r="BF96" s="645">
        <f>+BE96</f>
        <v>1150</v>
      </c>
      <c r="BG96" s="646">
        <f>+BF96</f>
        <v>1150</v>
      </c>
      <c r="BH96" s="645">
        <f t="shared" si="412"/>
        <v>1150</v>
      </c>
      <c r="BI96" s="645">
        <f>+BH96</f>
        <v>1150</v>
      </c>
      <c r="BJ96" s="645">
        <f>+BI96</f>
        <v>1150</v>
      </c>
      <c r="BK96" s="646">
        <f t="shared" si="412"/>
        <v>1150</v>
      </c>
      <c r="BL96" s="645">
        <f t="shared" ref="BL96:BS96" si="413">+BK96</f>
        <v>1150</v>
      </c>
      <c r="BM96" s="645">
        <f t="shared" si="413"/>
        <v>1150</v>
      </c>
      <c r="BN96" s="645">
        <f t="shared" si="413"/>
        <v>1150</v>
      </c>
      <c r="BO96" s="646">
        <f t="shared" si="413"/>
        <v>1150</v>
      </c>
      <c r="BP96" s="645">
        <f t="shared" si="413"/>
        <v>1150</v>
      </c>
      <c r="BQ96" s="645">
        <f t="shared" si="413"/>
        <v>1150</v>
      </c>
      <c r="BR96" s="645">
        <f t="shared" si="413"/>
        <v>1150</v>
      </c>
      <c r="BS96" s="646">
        <f t="shared" si="413"/>
        <v>1150</v>
      </c>
      <c r="BT96" s="645">
        <f t="shared" ref="BT96" si="414">+BS96</f>
        <v>1150</v>
      </c>
      <c r="BU96" s="645">
        <f t="shared" ref="BU96" si="415">+BT96</f>
        <v>1150</v>
      </c>
      <c r="BV96" s="645">
        <f t="shared" ref="BV96" si="416">+BU96</f>
        <v>1150</v>
      </c>
      <c r="BW96" s="646">
        <f t="shared" ref="BW96" si="417">+BV96</f>
        <v>1150</v>
      </c>
      <c r="BX96" s="647"/>
      <c r="BY96" s="649"/>
      <c r="BZ96" s="648"/>
      <c r="CA96" s="648"/>
      <c r="CB96" s="648"/>
      <c r="CC96" s="648"/>
      <c r="CD96" s="648"/>
      <c r="CE96" s="648"/>
      <c r="CF96" s="648"/>
      <c r="CG96" s="649"/>
      <c r="CH96" s="648">
        <f>+AQ96</f>
        <v>1150</v>
      </c>
      <c r="CI96" s="648">
        <f>+AU96</f>
        <v>1150</v>
      </c>
      <c r="CJ96" s="648">
        <f>+AY96</f>
        <v>1150</v>
      </c>
      <c r="CK96" s="648">
        <f>+BC96</f>
        <v>1150</v>
      </c>
      <c r="CL96" s="648">
        <f>+BG96</f>
        <v>1150</v>
      </c>
      <c r="CM96" s="648">
        <f>+BK96</f>
        <v>1150</v>
      </c>
      <c r="CN96" s="648">
        <f>+BO96</f>
        <v>1150</v>
      </c>
      <c r="CO96" s="648">
        <f>+BS96</f>
        <v>1150</v>
      </c>
      <c r="CP96" s="650">
        <f>+BW96</f>
        <v>1150</v>
      </c>
      <c r="CQ96" s="647"/>
      <c r="CR96" s="649"/>
      <c r="CS96" s="648"/>
      <c r="CT96" s="648"/>
      <c r="CU96" s="648"/>
      <c r="CV96" s="648"/>
      <c r="CW96" s="648"/>
      <c r="CX96" s="648"/>
      <c r="CY96" s="648"/>
      <c r="CZ96" s="648"/>
      <c r="DA96" s="648"/>
      <c r="DB96" s="648"/>
      <c r="DC96" s="648"/>
      <c r="DD96" s="648"/>
      <c r="DE96" s="648"/>
      <c r="DF96" s="648"/>
      <c r="DG96" s="648"/>
      <c r="DH96" s="650"/>
      <c r="DI96" s="651"/>
    </row>
    <row r="97" spans="1:113" ht="14.25" customHeight="1">
      <c r="A97" s="900"/>
      <c r="B97" s="675" t="s">
        <v>297</v>
      </c>
      <c r="C97" s="541"/>
      <c r="D97" s="652"/>
      <c r="E97" s="652"/>
      <c r="F97" s="652"/>
      <c r="G97" s="653"/>
      <c r="H97" s="652"/>
      <c r="I97" s="652"/>
      <c r="J97" s="652"/>
      <c r="K97" s="653"/>
      <c r="L97" s="652"/>
      <c r="M97" s="652"/>
      <c r="N97" s="652"/>
      <c r="O97" s="653"/>
      <c r="P97" s="652"/>
      <c r="Q97" s="652"/>
      <c r="R97" s="652"/>
      <c r="S97" s="653"/>
      <c r="T97" s="652"/>
      <c r="U97" s="652"/>
      <c r="V97" s="652"/>
      <c r="W97" s="653"/>
      <c r="X97" s="652"/>
      <c r="Y97" s="652"/>
      <c r="Z97" s="652"/>
      <c r="AA97" s="653"/>
      <c r="AB97" s="652"/>
      <c r="AC97" s="652"/>
      <c r="AD97" s="652"/>
      <c r="AE97" s="653"/>
      <c r="AF97" s="652"/>
      <c r="AG97" s="652"/>
      <c r="AH97" s="652"/>
      <c r="AI97" s="653"/>
      <c r="AJ97" s="652"/>
      <c r="AK97" s="652"/>
      <c r="AL97" s="652"/>
      <c r="AM97" s="653"/>
      <c r="AN97" s="698"/>
      <c r="AO97" s="652"/>
      <c r="AP97" s="652"/>
      <c r="AQ97" s="653">
        <f t="shared" ref="AQ97:BC97" si="418">+SUM(AQ96)</f>
        <v>1150</v>
      </c>
      <c r="AR97" s="698">
        <f t="shared" si="418"/>
        <v>1150</v>
      </c>
      <c r="AS97" s="652">
        <f t="shared" si="418"/>
        <v>1150</v>
      </c>
      <c r="AT97" s="652">
        <f t="shared" si="418"/>
        <v>1150</v>
      </c>
      <c r="AU97" s="653">
        <f t="shared" si="418"/>
        <v>1150</v>
      </c>
      <c r="AV97" s="698">
        <f t="shared" si="418"/>
        <v>1150</v>
      </c>
      <c r="AW97" s="652">
        <f t="shared" si="418"/>
        <v>1150</v>
      </c>
      <c r="AX97" s="652">
        <f t="shared" si="418"/>
        <v>1150</v>
      </c>
      <c r="AY97" s="653">
        <f>+SUM(AY96)</f>
        <v>1150</v>
      </c>
      <c r="AZ97" s="652">
        <f t="shared" si="418"/>
        <v>1150</v>
      </c>
      <c r="BA97" s="652">
        <f>+SUM(BA96)</f>
        <v>1150</v>
      </c>
      <c r="BB97" s="652">
        <f>+SUM(BB96)</f>
        <v>1150</v>
      </c>
      <c r="BC97" s="653">
        <f t="shared" si="418"/>
        <v>1150</v>
      </c>
      <c r="BD97" s="652">
        <f t="shared" ref="BD97:BK97" si="419">+SUM(BD96)</f>
        <v>1150</v>
      </c>
      <c r="BE97" s="652">
        <f t="shared" ref="BE97:BI97" si="420">+SUM(BE96)</f>
        <v>1150</v>
      </c>
      <c r="BF97" s="652">
        <f t="shared" si="420"/>
        <v>1150</v>
      </c>
      <c r="BG97" s="653">
        <f t="shared" si="420"/>
        <v>1150</v>
      </c>
      <c r="BH97" s="652">
        <f t="shared" si="420"/>
        <v>1150</v>
      </c>
      <c r="BI97" s="652">
        <f t="shared" si="420"/>
        <v>1150</v>
      </c>
      <c r="BJ97" s="652">
        <f t="shared" ref="BJ97" si="421">+SUM(BJ96)</f>
        <v>1150</v>
      </c>
      <c r="BK97" s="653">
        <f t="shared" si="419"/>
        <v>1150</v>
      </c>
      <c r="BL97" s="652">
        <f t="shared" ref="BL97:BS97" si="422">+SUM(BL96)</f>
        <v>1150</v>
      </c>
      <c r="BM97" s="652">
        <f t="shared" si="422"/>
        <v>1150</v>
      </c>
      <c r="BN97" s="652">
        <f t="shared" si="422"/>
        <v>1150</v>
      </c>
      <c r="BO97" s="653">
        <f t="shared" si="422"/>
        <v>1150</v>
      </c>
      <c r="BP97" s="652">
        <f t="shared" si="422"/>
        <v>1150</v>
      </c>
      <c r="BQ97" s="652">
        <f t="shared" si="422"/>
        <v>1150</v>
      </c>
      <c r="BR97" s="652">
        <f t="shared" si="422"/>
        <v>1150</v>
      </c>
      <c r="BS97" s="653">
        <f t="shared" si="422"/>
        <v>1150</v>
      </c>
      <c r="BT97" s="652">
        <f t="shared" ref="BT97:BW97" si="423">+SUM(BT96)</f>
        <v>1150</v>
      </c>
      <c r="BU97" s="652">
        <f t="shared" si="423"/>
        <v>1150</v>
      </c>
      <c r="BV97" s="652">
        <f t="shared" si="423"/>
        <v>1150</v>
      </c>
      <c r="BW97" s="653">
        <f t="shared" si="423"/>
        <v>1150</v>
      </c>
      <c r="BX97" s="654"/>
      <c r="BY97" s="656"/>
      <c r="BZ97" s="655"/>
      <c r="CA97" s="655"/>
      <c r="CB97" s="655"/>
      <c r="CC97" s="655"/>
      <c r="CD97" s="655"/>
      <c r="CE97" s="655"/>
      <c r="CF97" s="655"/>
      <c r="CG97" s="656"/>
      <c r="CH97" s="655">
        <f>+AQ97</f>
        <v>1150</v>
      </c>
      <c r="CI97" s="655">
        <f>+AU97</f>
        <v>1150</v>
      </c>
      <c r="CJ97" s="655">
        <f>+AY97</f>
        <v>1150</v>
      </c>
      <c r="CK97" s="655">
        <f>+BC97</f>
        <v>1150</v>
      </c>
      <c r="CL97" s="655">
        <f>+BG97</f>
        <v>1150</v>
      </c>
      <c r="CM97" s="655">
        <f>+BK97</f>
        <v>1150</v>
      </c>
      <c r="CN97" s="655">
        <f>+BO97</f>
        <v>1150</v>
      </c>
      <c r="CO97" s="655">
        <f>+BS97</f>
        <v>1150</v>
      </c>
      <c r="CP97" s="657">
        <f>+BW97</f>
        <v>1150</v>
      </c>
      <c r="CQ97" s="654"/>
      <c r="CR97" s="656"/>
      <c r="CS97" s="655"/>
      <c r="CT97" s="655"/>
      <c r="CU97" s="655"/>
      <c r="CV97" s="655"/>
      <c r="CW97" s="655"/>
      <c r="CX97" s="655"/>
      <c r="CY97" s="655"/>
      <c r="CZ97" s="655"/>
      <c r="DA97" s="655"/>
      <c r="DB97" s="655"/>
      <c r="DC97" s="655"/>
      <c r="DD97" s="655"/>
      <c r="DE97" s="655"/>
      <c r="DF97" s="655"/>
      <c r="DG97" s="655"/>
      <c r="DH97" s="657"/>
      <c r="DI97" s="658"/>
    </row>
    <row r="98" spans="1:113" ht="14.25" customHeight="1">
      <c r="A98" s="900"/>
      <c r="B98" s="675"/>
      <c r="C98" s="541"/>
      <c r="D98" s="652"/>
      <c r="E98" s="652"/>
      <c r="F98" s="652"/>
      <c r="G98" s="653"/>
      <c r="H98" s="652"/>
      <c r="I98" s="652"/>
      <c r="J98" s="652"/>
      <c r="K98" s="653"/>
      <c r="L98" s="652"/>
      <c r="M98" s="652"/>
      <c r="N98" s="652"/>
      <c r="O98" s="653"/>
      <c r="P98" s="652"/>
      <c r="Q98" s="652"/>
      <c r="R98" s="652"/>
      <c r="S98" s="653"/>
      <c r="T98" s="652"/>
      <c r="U98" s="652"/>
      <c r="V98" s="652"/>
      <c r="W98" s="653"/>
      <c r="X98" s="652"/>
      <c r="Y98" s="652"/>
      <c r="Z98" s="652"/>
      <c r="AA98" s="653"/>
      <c r="AB98" s="652"/>
      <c r="AC98" s="652"/>
      <c r="AD98" s="652"/>
      <c r="AE98" s="653"/>
      <c r="AF98" s="652"/>
      <c r="AG98" s="652"/>
      <c r="AH98" s="652"/>
      <c r="AI98" s="653"/>
      <c r="AJ98" s="652"/>
      <c r="AK98" s="652"/>
      <c r="AL98" s="652"/>
      <c r="AM98" s="653"/>
      <c r="AN98" s="698"/>
      <c r="AO98" s="652"/>
      <c r="AP98" s="652"/>
      <c r="AQ98" s="653"/>
      <c r="AR98" s="698"/>
      <c r="AS98" s="652"/>
      <c r="AT98" s="652"/>
      <c r="AU98" s="653"/>
      <c r="AV98" s="698"/>
      <c r="AW98" s="652"/>
      <c r="AX98" s="652"/>
      <c r="AY98" s="653"/>
      <c r="AZ98" s="652"/>
      <c r="BA98" s="652"/>
      <c r="BB98" s="652"/>
      <c r="BC98" s="653"/>
      <c r="BD98" s="652"/>
      <c r="BE98" s="652"/>
      <c r="BF98" s="652"/>
      <c r="BG98" s="653"/>
      <c r="BH98" s="652"/>
      <c r="BI98" s="652"/>
      <c r="BJ98" s="652"/>
      <c r="BK98" s="653"/>
      <c r="BL98" s="652"/>
      <c r="BM98" s="652"/>
      <c r="BN98" s="652"/>
      <c r="BO98" s="653"/>
      <c r="BP98" s="652"/>
      <c r="BQ98" s="652"/>
      <c r="BR98" s="652"/>
      <c r="BS98" s="653"/>
      <c r="BT98" s="652"/>
      <c r="BU98" s="652"/>
      <c r="BV98" s="652"/>
      <c r="BW98" s="653"/>
      <c r="BX98" s="654"/>
      <c r="BY98" s="656"/>
      <c r="BZ98" s="655"/>
      <c r="CA98" s="655"/>
      <c r="CB98" s="655"/>
      <c r="CC98" s="655"/>
      <c r="CD98" s="655"/>
      <c r="CE98" s="655"/>
      <c r="CF98" s="655"/>
      <c r="CG98" s="656"/>
      <c r="CH98" s="655"/>
      <c r="CI98" s="655"/>
      <c r="CJ98" s="655"/>
      <c r="CK98" s="655"/>
      <c r="CL98" s="655"/>
      <c r="CM98" s="655"/>
      <c r="CN98" s="655"/>
      <c r="CO98" s="655"/>
      <c r="CP98" s="657"/>
      <c r="CQ98" s="654"/>
      <c r="CR98" s="656"/>
      <c r="CS98" s="655"/>
      <c r="CT98" s="655"/>
      <c r="CU98" s="655"/>
      <c r="CV98" s="655"/>
      <c r="CW98" s="655"/>
      <c r="CX98" s="655"/>
      <c r="CY98" s="655"/>
      <c r="CZ98" s="655"/>
      <c r="DA98" s="655"/>
      <c r="DB98" s="655"/>
      <c r="DC98" s="655"/>
      <c r="DD98" s="655"/>
      <c r="DE98" s="655"/>
      <c r="DF98" s="655"/>
      <c r="DG98" s="655"/>
      <c r="DH98" s="657"/>
      <c r="DI98" s="658"/>
    </row>
    <row r="99" spans="1:113" ht="14.25" customHeight="1">
      <c r="A99" s="900"/>
      <c r="B99" s="675" t="s">
        <v>320</v>
      </c>
      <c r="C99" s="541"/>
      <c r="D99" s="652"/>
      <c r="E99" s="652"/>
      <c r="F99" s="652"/>
      <c r="G99" s="653"/>
      <c r="H99" s="652"/>
      <c r="I99" s="652"/>
      <c r="J99" s="652"/>
      <c r="K99" s="653"/>
      <c r="L99" s="652"/>
      <c r="M99" s="652"/>
      <c r="N99" s="652"/>
      <c r="O99" s="653"/>
      <c r="P99" s="652"/>
      <c r="Q99" s="652"/>
      <c r="R99" s="652"/>
      <c r="S99" s="653"/>
      <c r="T99" s="652"/>
      <c r="U99" s="652"/>
      <c r="V99" s="652"/>
      <c r="W99" s="653"/>
      <c r="X99" s="652"/>
      <c r="Y99" s="652"/>
      <c r="Z99" s="652"/>
      <c r="AA99" s="653"/>
      <c r="AB99" s="652"/>
      <c r="AC99" s="652"/>
      <c r="AD99" s="652"/>
      <c r="AE99" s="653"/>
      <c r="AF99" s="652"/>
      <c r="AG99" s="652"/>
      <c r="AH99" s="652"/>
      <c r="AI99" s="653"/>
      <c r="AJ99" s="652"/>
      <c r="AK99" s="652"/>
      <c r="AL99" s="652"/>
      <c r="AM99" s="653"/>
      <c r="AN99" s="698"/>
      <c r="AO99" s="652"/>
      <c r="AP99" s="652"/>
      <c r="AQ99" s="653"/>
      <c r="AR99" s="698"/>
      <c r="AS99" s="652"/>
      <c r="AT99" s="652"/>
      <c r="AU99" s="653"/>
      <c r="AV99" s="698"/>
      <c r="AW99" s="652"/>
      <c r="AX99" s="652"/>
      <c r="AY99" s="653"/>
      <c r="AZ99" s="652"/>
      <c r="BA99" s="652"/>
      <c r="BB99" s="652"/>
      <c r="BC99" s="653"/>
      <c r="BD99" s="652"/>
      <c r="BE99" s="652"/>
      <c r="BF99" s="652"/>
      <c r="BG99" s="653"/>
      <c r="BH99" s="652"/>
      <c r="BI99" s="652"/>
      <c r="BJ99" s="652"/>
      <c r="BK99" s="653"/>
      <c r="BL99" s="652"/>
      <c r="BM99" s="652"/>
      <c r="BN99" s="652"/>
      <c r="BO99" s="653"/>
      <c r="BP99" s="652"/>
      <c r="BQ99" s="652"/>
      <c r="BR99" s="652"/>
      <c r="BS99" s="653"/>
      <c r="BT99" s="652"/>
      <c r="BU99" s="652"/>
      <c r="BV99" s="652"/>
      <c r="BW99" s="653"/>
      <c r="BX99" s="654"/>
      <c r="BY99" s="656"/>
      <c r="BZ99" s="655"/>
      <c r="CA99" s="655"/>
      <c r="CB99" s="655"/>
      <c r="CC99" s="655"/>
      <c r="CD99" s="655"/>
      <c r="CE99" s="655"/>
      <c r="CF99" s="655"/>
      <c r="CG99" s="656"/>
      <c r="CH99" s="655"/>
      <c r="CI99" s="655"/>
      <c r="CJ99" s="655"/>
      <c r="CK99" s="655"/>
      <c r="CL99" s="655"/>
      <c r="CM99" s="655"/>
      <c r="CN99" s="655"/>
      <c r="CO99" s="655"/>
      <c r="CP99" s="657"/>
      <c r="CQ99" s="654"/>
      <c r="CR99" s="656"/>
      <c r="CS99" s="655"/>
      <c r="CT99" s="655"/>
      <c r="CU99" s="655"/>
      <c r="CV99" s="655"/>
      <c r="CW99" s="655"/>
      <c r="CX99" s="655"/>
      <c r="CY99" s="655"/>
      <c r="CZ99" s="655"/>
      <c r="DA99" s="655"/>
      <c r="DB99" s="655"/>
      <c r="DC99" s="655"/>
      <c r="DD99" s="655"/>
      <c r="DE99" s="655"/>
      <c r="DF99" s="655"/>
      <c r="DG99" s="655"/>
      <c r="DH99" s="657"/>
      <c r="DI99" s="658"/>
    </row>
    <row r="100" spans="1:113" ht="14.25" customHeight="1">
      <c r="A100" s="865"/>
      <c r="B100" s="728" t="str">
        <f>B$96</f>
        <v>2.125% Junior Subordinated Conv. Debentures due 2027</v>
      </c>
      <c r="C100" s="718"/>
      <c r="D100" s="719"/>
      <c r="E100" s="719"/>
      <c r="F100" s="719"/>
      <c r="G100" s="720"/>
      <c r="H100" s="719"/>
      <c r="I100" s="719"/>
      <c r="J100" s="719"/>
      <c r="K100" s="720"/>
      <c r="L100" s="719"/>
      <c r="M100" s="719"/>
      <c r="N100" s="719"/>
      <c r="O100" s="720"/>
      <c r="P100" s="719"/>
      <c r="Q100" s="719"/>
      <c r="R100" s="719"/>
      <c r="S100" s="720"/>
      <c r="T100" s="719"/>
      <c r="U100" s="719"/>
      <c r="V100" s="719"/>
      <c r="W100" s="720"/>
      <c r="X100" s="719"/>
      <c r="Y100" s="719"/>
      <c r="Z100" s="719"/>
      <c r="AA100" s="720"/>
      <c r="AB100" s="719"/>
      <c r="AC100" s="719"/>
      <c r="AD100" s="719"/>
      <c r="AE100" s="720"/>
      <c r="AF100" s="719"/>
      <c r="AG100" s="719"/>
      <c r="AH100" s="719"/>
      <c r="AI100" s="720"/>
      <c r="AJ100" s="719"/>
      <c r="AK100" s="719"/>
      <c r="AL100" s="719"/>
      <c r="AM100" s="720"/>
      <c r="AN100" s="721"/>
      <c r="AO100" s="719"/>
      <c r="AP100" s="719"/>
      <c r="AQ100" s="720">
        <f>AQ36</f>
        <v>355.05</v>
      </c>
      <c r="AR100" s="721">
        <f>AR36</f>
        <v>357.35500000000002</v>
      </c>
      <c r="AS100" s="719">
        <f>AS36</f>
        <v>359.65600000000001</v>
      </c>
      <c r="AT100" s="719">
        <f>AT36</f>
        <v>361.40899999999999</v>
      </c>
      <c r="AU100" s="720">
        <f>+AT100+AU121</f>
        <v>355.29962499999999</v>
      </c>
      <c r="AV100" s="721">
        <f t="shared" ref="AV100:BD100" si="424">+AU100+AV121</f>
        <v>349.19024999999999</v>
      </c>
      <c r="AW100" s="719">
        <f t="shared" si="424"/>
        <v>343.08087499999999</v>
      </c>
      <c r="AX100" s="719">
        <f t="shared" si="424"/>
        <v>336.97149999999999</v>
      </c>
      <c r="AY100" s="720">
        <f>+AX100+AY121</f>
        <v>330.86212499999999</v>
      </c>
      <c r="AZ100" s="719">
        <f t="shared" si="424"/>
        <v>324.75274999999999</v>
      </c>
      <c r="BA100" s="719">
        <f>+AZ100+BA121</f>
        <v>318.64337499999999</v>
      </c>
      <c r="BB100" s="719">
        <f>+BA100+BB121</f>
        <v>312.53399999999999</v>
      </c>
      <c r="BC100" s="720">
        <f t="shared" si="424"/>
        <v>306.42462499999999</v>
      </c>
      <c r="BD100" s="719">
        <f t="shared" si="424"/>
        <v>300.31524999999999</v>
      </c>
      <c r="BE100" s="719">
        <f t="shared" ref="BE100:BJ100" si="425">+BD100+BE121</f>
        <v>294.20587499999999</v>
      </c>
      <c r="BF100" s="719">
        <f t="shared" si="425"/>
        <v>288.09649999999999</v>
      </c>
      <c r="BG100" s="720">
        <f t="shared" si="425"/>
        <v>281.98712499999999</v>
      </c>
      <c r="BH100" s="719">
        <f t="shared" si="425"/>
        <v>275.87774999999999</v>
      </c>
      <c r="BI100" s="719">
        <f t="shared" si="425"/>
        <v>269.76837499999999</v>
      </c>
      <c r="BJ100" s="719">
        <f t="shared" si="425"/>
        <v>263.65899999999999</v>
      </c>
      <c r="BK100" s="720">
        <f t="shared" ref="BK100:BO100" si="426">+BJ100+BK121</f>
        <v>257.54962499999999</v>
      </c>
      <c r="BL100" s="719">
        <f t="shared" si="426"/>
        <v>251.44024999999999</v>
      </c>
      <c r="BM100" s="719">
        <f t="shared" si="426"/>
        <v>245.33087499999999</v>
      </c>
      <c r="BN100" s="719">
        <f t="shared" si="426"/>
        <v>239.22149999999999</v>
      </c>
      <c r="BO100" s="720">
        <f t="shared" si="426"/>
        <v>233.11212499999999</v>
      </c>
      <c r="BP100" s="719">
        <f t="shared" ref="BP100:BW100" si="427">+BO100+BP121</f>
        <v>227.00274999999999</v>
      </c>
      <c r="BQ100" s="719">
        <f t="shared" si="427"/>
        <v>220.89337499999999</v>
      </c>
      <c r="BR100" s="719">
        <f t="shared" si="427"/>
        <v>214.78399999999999</v>
      </c>
      <c r="BS100" s="720">
        <f t="shared" si="427"/>
        <v>208.67462499999999</v>
      </c>
      <c r="BT100" s="719">
        <f t="shared" si="427"/>
        <v>202.56524999999999</v>
      </c>
      <c r="BU100" s="719">
        <f t="shared" si="427"/>
        <v>196.45587499999999</v>
      </c>
      <c r="BV100" s="719">
        <f t="shared" si="427"/>
        <v>190.34649999999999</v>
      </c>
      <c r="BW100" s="720">
        <f t="shared" si="427"/>
        <v>184.23712499999999</v>
      </c>
      <c r="BX100" s="722"/>
      <c r="BY100" s="723"/>
      <c r="BZ100" s="724"/>
      <c r="CA100" s="724"/>
      <c r="CB100" s="724"/>
      <c r="CC100" s="724"/>
      <c r="CD100" s="724"/>
      <c r="CE100" s="724"/>
      <c r="CF100" s="724"/>
      <c r="CG100" s="723"/>
      <c r="CH100" s="648">
        <f>+AQ100</f>
        <v>355.05</v>
      </c>
      <c r="CI100" s="648">
        <f>+AU100</f>
        <v>355.29962499999999</v>
      </c>
      <c r="CJ100" s="648">
        <f>+AY100</f>
        <v>330.86212499999999</v>
      </c>
      <c r="CK100" s="648">
        <f>+BC100</f>
        <v>306.42462499999999</v>
      </c>
      <c r="CL100" s="648">
        <f>+BG100</f>
        <v>281.98712499999999</v>
      </c>
      <c r="CM100" s="648">
        <f>+BK100</f>
        <v>257.54962499999999</v>
      </c>
      <c r="CN100" s="648">
        <f>+BO100</f>
        <v>233.11212499999999</v>
      </c>
      <c r="CO100" s="648">
        <f>+BS100</f>
        <v>208.67462499999999</v>
      </c>
      <c r="CP100" s="650">
        <f>+BW100</f>
        <v>184.23712499999999</v>
      </c>
      <c r="CQ100" s="722"/>
      <c r="CR100" s="723"/>
      <c r="CS100" s="724"/>
      <c r="CT100" s="724"/>
      <c r="CU100" s="724"/>
      <c r="CV100" s="724"/>
      <c r="CW100" s="724"/>
      <c r="CX100" s="724"/>
      <c r="CY100" s="724"/>
      <c r="CZ100" s="724"/>
      <c r="DA100" s="724"/>
      <c r="DB100" s="724"/>
      <c r="DC100" s="724"/>
      <c r="DD100" s="724"/>
      <c r="DE100" s="724"/>
      <c r="DF100" s="724"/>
      <c r="DG100" s="724"/>
      <c r="DH100" s="725"/>
      <c r="DI100" s="726"/>
    </row>
    <row r="101" spans="1:113" ht="14.25" customHeight="1">
      <c r="A101" s="900"/>
      <c r="B101" s="729" t="s">
        <v>297</v>
      </c>
      <c r="C101" s="541"/>
      <c r="D101" s="652"/>
      <c r="E101" s="652"/>
      <c r="F101" s="652"/>
      <c r="G101" s="653"/>
      <c r="H101" s="652"/>
      <c r="I101" s="652"/>
      <c r="J101" s="652"/>
      <c r="K101" s="653"/>
      <c r="L101" s="652"/>
      <c r="M101" s="652"/>
      <c r="N101" s="652"/>
      <c r="O101" s="653"/>
      <c r="P101" s="652"/>
      <c r="Q101" s="652"/>
      <c r="R101" s="652"/>
      <c r="S101" s="653"/>
      <c r="T101" s="652"/>
      <c r="U101" s="652"/>
      <c r="V101" s="652"/>
      <c r="W101" s="653"/>
      <c r="X101" s="652"/>
      <c r="Y101" s="652"/>
      <c r="Z101" s="652"/>
      <c r="AA101" s="653"/>
      <c r="AB101" s="652"/>
      <c r="AC101" s="652"/>
      <c r="AD101" s="652"/>
      <c r="AE101" s="653"/>
      <c r="AF101" s="652"/>
      <c r="AG101" s="652"/>
      <c r="AH101" s="652"/>
      <c r="AI101" s="653"/>
      <c r="AJ101" s="652"/>
      <c r="AK101" s="652"/>
      <c r="AL101" s="652"/>
      <c r="AM101" s="653"/>
      <c r="AN101" s="698"/>
      <c r="AO101" s="652"/>
      <c r="AP101" s="652"/>
      <c r="AQ101" s="653">
        <f t="shared" ref="AQ101:BC101" si="428">+SUM(AQ100)</f>
        <v>355.05</v>
      </c>
      <c r="AR101" s="698">
        <f t="shared" si="428"/>
        <v>357.35500000000002</v>
      </c>
      <c r="AS101" s="652">
        <f t="shared" si="428"/>
        <v>359.65600000000001</v>
      </c>
      <c r="AT101" s="652">
        <f t="shared" si="428"/>
        <v>361.40899999999999</v>
      </c>
      <c r="AU101" s="653">
        <f t="shared" si="428"/>
        <v>355.29962499999999</v>
      </c>
      <c r="AV101" s="698">
        <f t="shared" si="428"/>
        <v>349.19024999999999</v>
      </c>
      <c r="AW101" s="652">
        <f t="shared" si="428"/>
        <v>343.08087499999999</v>
      </c>
      <c r="AX101" s="652">
        <f t="shared" si="428"/>
        <v>336.97149999999999</v>
      </c>
      <c r="AY101" s="653">
        <f>+SUM(AY100)</f>
        <v>330.86212499999999</v>
      </c>
      <c r="AZ101" s="652">
        <f t="shared" si="428"/>
        <v>324.75274999999999</v>
      </c>
      <c r="BA101" s="652">
        <f>+SUM(BA100)</f>
        <v>318.64337499999999</v>
      </c>
      <c r="BB101" s="652">
        <f>+SUM(BB100)</f>
        <v>312.53399999999999</v>
      </c>
      <c r="BC101" s="653">
        <f t="shared" si="428"/>
        <v>306.42462499999999</v>
      </c>
      <c r="BD101" s="652">
        <f t="shared" ref="BD101:BK101" si="429">+SUM(BD100)</f>
        <v>300.31524999999999</v>
      </c>
      <c r="BE101" s="652">
        <f t="shared" ref="BE101:BI101" si="430">+SUM(BE100)</f>
        <v>294.20587499999999</v>
      </c>
      <c r="BF101" s="652">
        <f t="shared" si="430"/>
        <v>288.09649999999999</v>
      </c>
      <c r="BG101" s="653">
        <f t="shared" si="430"/>
        <v>281.98712499999999</v>
      </c>
      <c r="BH101" s="652">
        <f t="shared" si="430"/>
        <v>275.87774999999999</v>
      </c>
      <c r="BI101" s="652">
        <f t="shared" si="430"/>
        <v>269.76837499999999</v>
      </c>
      <c r="BJ101" s="652">
        <f t="shared" ref="BJ101" si="431">+SUM(BJ100)</f>
        <v>263.65899999999999</v>
      </c>
      <c r="BK101" s="653">
        <f t="shared" si="429"/>
        <v>257.54962499999999</v>
      </c>
      <c r="BL101" s="652">
        <f t="shared" ref="BL101:BS101" si="432">+SUM(BL100)</f>
        <v>251.44024999999999</v>
      </c>
      <c r="BM101" s="652">
        <f t="shared" si="432"/>
        <v>245.33087499999999</v>
      </c>
      <c r="BN101" s="652">
        <f t="shared" si="432"/>
        <v>239.22149999999999</v>
      </c>
      <c r="BO101" s="653">
        <f t="shared" si="432"/>
        <v>233.11212499999999</v>
      </c>
      <c r="BP101" s="652">
        <f t="shared" si="432"/>
        <v>227.00274999999999</v>
      </c>
      <c r="BQ101" s="652">
        <f t="shared" si="432"/>
        <v>220.89337499999999</v>
      </c>
      <c r="BR101" s="652">
        <f t="shared" si="432"/>
        <v>214.78399999999999</v>
      </c>
      <c r="BS101" s="653">
        <f t="shared" si="432"/>
        <v>208.67462499999999</v>
      </c>
      <c r="BT101" s="652">
        <f t="shared" ref="BT101:BW101" si="433">+SUM(BT100)</f>
        <v>202.56524999999999</v>
      </c>
      <c r="BU101" s="652">
        <f t="shared" si="433"/>
        <v>196.45587499999999</v>
      </c>
      <c r="BV101" s="652">
        <f t="shared" si="433"/>
        <v>190.34649999999999</v>
      </c>
      <c r="BW101" s="653">
        <f t="shared" si="433"/>
        <v>184.23712499999999</v>
      </c>
      <c r="BX101" s="654"/>
      <c r="BY101" s="656"/>
      <c r="BZ101" s="655"/>
      <c r="CA101" s="655"/>
      <c r="CB101" s="655"/>
      <c r="CC101" s="655"/>
      <c r="CD101" s="655"/>
      <c r="CE101" s="655"/>
      <c r="CF101" s="655"/>
      <c r="CG101" s="656"/>
      <c r="CH101" s="655">
        <f>+AQ101</f>
        <v>355.05</v>
      </c>
      <c r="CI101" s="655">
        <f>+AU101</f>
        <v>355.29962499999999</v>
      </c>
      <c r="CJ101" s="655">
        <f>+AY101</f>
        <v>330.86212499999999</v>
      </c>
      <c r="CK101" s="655">
        <f>+BC101</f>
        <v>306.42462499999999</v>
      </c>
      <c r="CL101" s="655">
        <f>+BG101</f>
        <v>281.98712499999999</v>
      </c>
      <c r="CM101" s="655">
        <f>+BK101</f>
        <v>257.54962499999999</v>
      </c>
      <c r="CN101" s="655">
        <f>+BO101</f>
        <v>233.11212499999999</v>
      </c>
      <c r="CO101" s="655">
        <f>+BS101</f>
        <v>208.67462499999999</v>
      </c>
      <c r="CP101" s="657">
        <f>+BW101</f>
        <v>184.23712499999999</v>
      </c>
      <c r="CQ101" s="654"/>
      <c r="CR101" s="656"/>
      <c r="CS101" s="655"/>
      <c r="CT101" s="655"/>
      <c r="CU101" s="655"/>
      <c r="CV101" s="655"/>
      <c r="CW101" s="655"/>
      <c r="CX101" s="655"/>
      <c r="CY101" s="655"/>
      <c r="CZ101" s="655"/>
      <c r="DA101" s="655"/>
      <c r="DB101" s="655"/>
      <c r="DC101" s="655"/>
      <c r="DD101" s="655"/>
      <c r="DE101" s="655"/>
      <c r="DF101" s="655"/>
      <c r="DG101" s="655"/>
      <c r="DH101" s="657"/>
      <c r="DI101" s="658"/>
    </row>
    <row r="102" spans="1:113" ht="14.25" customHeight="1">
      <c r="A102" s="900"/>
      <c r="B102" s="727"/>
      <c r="C102" s="541"/>
      <c r="D102" s="652"/>
      <c r="E102" s="652"/>
      <c r="F102" s="652"/>
      <c r="G102" s="653"/>
      <c r="H102" s="652"/>
      <c r="I102" s="652"/>
      <c r="J102" s="652"/>
      <c r="K102" s="653"/>
      <c r="L102" s="652"/>
      <c r="M102" s="652"/>
      <c r="N102" s="652"/>
      <c r="O102" s="653"/>
      <c r="P102" s="652"/>
      <c r="Q102" s="652"/>
      <c r="R102" s="652"/>
      <c r="S102" s="653"/>
      <c r="T102" s="652"/>
      <c r="U102" s="652"/>
      <c r="V102" s="652"/>
      <c r="W102" s="653"/>
      <c r="X102" s="652"/>
      <c r="Y102" s="652"/>
      <c r="Z102" s="652"/>
      <c r="AA102" s="653"/>
      <c r="AB102" s="652"/>
      <c r="AC102" s="652"/>
      <c r="AD102" s="652"/>
      <c r="AE102" s="653"/>
      <c r="AF102" s="652"/>
      <c r="AG102" s="652"/>
      <c r="AH102" s="652"/>
      <c r="AI102" s="653"/>
      <c r="AJ102" s="652"/>
      <c r="AK102" s="652"/>
      <c r="AL102" s="652"/>
      <c r="AM102" s="653"/>
      <c r="AN102" s="698"/>
      <c r="AO102" s="652"/>
      <c r="AP102" s="652"/>
      <c r="AQ102" s="653"/>
      <c r="AR102" s="698"/>
      <c r="AS102" s="652"/>
      <c r="AT102" s="652"/>
      <c r="AU102" s="653"/>
      <c r="AV102" s="698"/>
      <c r="AW102" s="652"/>
      <c r="AX102" s="652"/>
      <c r="AY102" s="653"/>
      <c r="AZ102" s="652"/>
      <c r="BA102" s="652"/>
      <c r="BB102" s="652"/>
      <c r="BC102" s="653"/>
      <c r="BD102" s="652"/>
      <c r="BE102" s="652"/>
      <c r="BF102" s="652"/>
      <c r="BG102" s="653"/>
      <c r="BH102" s="652"/>
      <c r="BI102" s="652"/>
      <c r="BJ102" s="652"/>
      <c r="BK102" s="653"/>
      <c r="BL102" s="652"/>
      <c r="BM102" s="652"/>
      <c r="BN102" s="652"/>
      <c r="BO102" s="653"/>
      <c r="BP102" s="652"/>
      <c r="BQ102" s="652"/>
      <c r="BR102" s="652"/>
      <c r="BS102" s="653"/>
      <c r="BT102" s="652"/>
      <c r="BU102" s="652"/>
      <c r="BV102" s="652"/>
      <c r="BW102" s="653"/>
      <c r="BX102" s="654"/>
      <c r="BY102" s="656"/>
      <c r="BZ102" s="655"/>
      <c r="CA102" s="655"/>
      <c r="CB102" s="655"/>
      <c r="CC102" s="655"/>
      <c r="CD102" s="655"/>
      <c r="CE102" s="655"/>
      <c r="CF102" s="655"/>
      <c r="CG102" s="656"/>
      <c r="CH102" s="655"/>
      <c r="CI102" s="655"/>
      <c r="CJ102" s="655"/>
      <c r="CK102" s="655"/>
      <c r="CL102" s="655"/>
      <c r="CM102" s="655"/>
      <c r="CN102" s="655"/>
      <c r="CO102" s="655"/>
      <c r="CP102" s="657"/>
      <c r="CQ102" s="654"/>
      <c r="CR102" s="656"/>
      <c r="CS102" s="655"/>
      <c r="CT102" s="655"/>
      <c r="CU102" s="655"/>
      <c r="CV102" s="655"/>
      <c r="CW102" s="655"/>
      <c r="CX102" s="655"/>
      <c r="CY102" s="655"/>
      <c r="CZ102" s="655"/>
      <c r="DA102" s="655"/>
      <c r="DB102" s="655"/>
      <c r="DC102" s="655"/>
      <c r="DD102" s="655"/>
      <c r="DE102" s="655"/>
      <c r="DF102" s="655"/>
      <c r="DG102" s="655"/>
      <c r="DH102" s="657"/>
      <c r="DI102" s="658"/>
    </row>
    <row r="103" spans="1:113" ht="14.25" customHeight="1">
      <c r="A103" s="11"/>
      <c r="B103" s="607" t="s">
        <v>314</v>
      </c>
      <c r="C103" s="24"/>
      <c r="D103" s="165"/>
      <c r="E103" s="165"/>
      <c r="F103" s="165"/>
      <c r="G103" s="166"/>
      <c r="H103" s="165"/>
      <c r="I103" s="165"/>
      <c r="J103" s="165"/>
      <c r="K103" s="166"/>
      <c r="L103" s="165"/>
      <c r="M103" s="165"/>
      <c r="N103" s="165"/>
      <c r="O103" s="166"/>
      <c r="P103" s="165"/>
      <c r="Q103" s="165"/>
      <c r="R103" s="165"/>
      <c r="S103" s="166"/>
      <c r="T103" s="165"/>
      <c r="U103" s="165"/>
      <c r="V103" s="165"/>
      <c r="W103" s="166"/>
      <c r="X103" s="165"/>
      <c r="Y103" s="165"/>
      <c r="Z103" s="165"/>
      <c r="AA103" s="166"/>
      <c r="AB103" s="165"/>
      <c r="AC103" s="165"/>
      <c r="AD103" s="165"/>
      <c r="AE103" s="166"/>
      <c r="AF103" s="165"/>
      <c r="AG103" s="165"/>
      <c r="AH103" s="165"/>
      <c r="AI103" s="166"/>
      <c r="AJ103" s="165"/>
      <c r="AK103" s="165"/>
      <c r="AL103" s="165"/>
      <c r="AM103" s="166"/>
      <c r="AN103" s="636"/>
      <c r="AO103" s="165"/>
      <c r="AP103" s="165"/>
      <c r="AQ103" s="166"/>
      <c r="AR103" s="636"/>
      <c r="AS103" s="165"/>
      <c r="AT103" s="165"/>
      <c r="AU103" s="166"/>
      <c r="AV103" s="636"/>
      <c r="AW103" s="165"/>
      <c r="AX103" s="165"/>
      <c r="AY103" s="166"/>
      <c r="AZ103" s="165"/>
      <c r="BA103" s="165"/>
      <c r="BB103" s="165"/>
      <c r="BC103" s="166"/>
      <c r="BD103" s="165"/>
      <c r="BE103" s="165"/>
      <c r="BF103" s="165"/>
      <c r="BG103" s="166"/>
      <c r="BH103" s="165"/>
      <c r="BI103" s="165"/>
      <c r="BJ103" s="165"/>
      <c r="BK103" s="166"/>
      <c r="BL103" s="165"/>
      <c r="BM103" s="165"/>
      <c r="BN103" s="165"/>
      <c r="BO103" s="166"/>
      <c r="BP103" s="165"/>
      <c r="BQ103" s="165"/>
      <c r="BR103" s="165"/>
      <c r="BS103" s="166"/>
      <c r="BT103" s="165"/>
      <c r="BU103" s="165"/>
      <c r="BV103" s="165"/>
      <c r="BW103" s="166"/>
      <c r="BX103" s="20"/>
      <c r="BY103" s="168"/>
      <c r="BZ103" s="167"/>
      <c r="CA103" s="167"/>
      <c r="CB103" s="167"/>
      <c r="CC103" s="167"/>
      <c r="CD103" s="167"/>
      <c r="CE103" s="167"/>
      <c r="CF103" s="167"/>
      <c r="CG103" s="168"/>
      <c r="CH103" s="167"/>
      <c r="CI103" s="167"/>
      <c r="CJ103" s="167"/>
      <c r="CK103" s="167"/>
      <c r="CL103" s="167"/>
      <c r="CM103" s="167"/>
      <c r="CN103" s="167"/>
      <c r="CO103" s="167"/>
      <c r="CP103" s="169"/>
      <c r="CQ103" s="20"/>
      <c r="CR103" s="168"/>
      <c r="CS103" s="167"/>
      <c r="CT103" s="167"/>
      <c r="CU103" s="167"/>
      <c r="CV103" s="167"/>
      <c r="CW103" s="167"/>
      <c r="CX103" s="167"/>
      <c r="CY103" s="167"/>
      <c r="CZ103" s="167"/>
      <c r="DA103" s="167"/>
      <c r="DB103" s="167"/>
      <c r="DC103" s="167"/>
      <c r="DD103" s="167"/>
      <c r="DE103" s="167"/>
      <c r="DF103" s="167"/>
      <c r="DG103" s="167"/>
      <c r="DH103" s="169"/>
      <c r="DI103" s="22"/>
    </row>
    <row r="104" spans="1:113" ht="14.25" customHeight="1">
      <c r="A104" s="1066"/>
      <c r="B104" s="1273" t="str">
        <f>B$96</f>
        <v>2.125% Junior Subordinated Conv. Debentures due 2027</v>
      </c>
      <c r="C104" s="367"/>
      <c r="D104" s="275"/>
      <c r="E104" s="275"/>
      <c r="F104" s="275"/>
      <c r="G104" s="276"/>
      <c r="H104" s="275"/>
      <c r="I104" s="275"/>
      <c r="J104" s="275"/>
      <c r="K104" s="276"/>
      <c r="L104" s="275"/>
      <c r="M104" s="275"/>
      <c r="N104" s="275"/>
      <c r="O104" s="276"/>
      <c r="P104" s="275"/>
      <c r="Q104" s="275"/>
      <c r="R104" s="275"/>
      <c r="S104" s="276"/>
      <c r="T104" s="275"/>
      <c r="U104" s="275"/>
      <c r="V104" s="275"/>
      <c r="W104" s="276"/>
      <c r="X104" s="275"/>
      <c r="Y104" s="275"/>
      <c r="Z104" s="275"/>
      <c r="AA104" s="276"/>
      <c r="AB104" s="275"/>
      <c r="AC104" s="275"/>
      <c r="AD104" s="275"/>
      <c r="AE104" s="276"/>
      <c r="AF104" s="275"/>
      <c r="AG104" s="275"/>
      <c r="AH104" s="275"/>
      <c r="AI104" s="276"/>
      <c r="AJ104" s="275"/>
      <c r="AK104" s="275"/>
      <c r="AL104" s="275"/>
      <c r="AM104" s="276"/>
      <c r="AN104" s="1067"/>
      <c r="AO104" s="275"/>
      <c r="AP104" s="275"/>
      <c r="AQ104" s="1076">
        <v>0</v>
      </c>
      <c r="AR104" s="515">
        <f>AQ104</f>
        <v>0</v>
      </c>
      <c r="AS104" s="429">
        <f>AR104</f>
        <v>0</v>
      </c>
      <c r="AT104" s="275">
        <f t="shared" ref="AT104:BC104" si="434">+AS104</f>
        <v>0</v>
      </c>
      <c r="AU104" s="276">
        <f t="shared" si="434"/>
        <v>0</v>
      </c>
      <c r="AV104" s="1067">
        <f t="shared" si="434"/>
        <v>0</v>
      </c>
      <c r="AW104" s="429">
        <f t="shared" si="434"/>
        <v>0</v>
      </c>
      <c r="AX104" s="275">
        <f t="shared" si="434"/>
        <v>0</v>
      </c>
      <c r="AY104" s="276">
        <f t="shared" si="434"/>
        <v>0</v>
      </c>
      <c r="AZ104" s="275">
        <f t="shared" si="434"/>
        <v>0</v>
      </c>
      <c r="BA104" s="275">
        <f>+AZ104</f>
        <v>0</v>
      </c>
      <c r="BB104" s="275">
        <f>+BA104</f>
        <v>0</v>
      </c>
      <c r="BC104" s="276">
        <f t="shared" si="434"/>
        <v>0</v>
      </c>
      <c r="BD104" s="275">
        <f t="shared" ref="BD104:BK104" si="435">+BC104</f>
        <v>0</v>
      </c>
      <c r="BE104" s="275">
        <f>+BD104</f>
        <v>0</v>
      </c>
      <c r="BF104" s="275">
        <f>+BE104</f>
        <v>0</v>
      </c>
      <c r="BG104" s="276">
        <f>+BF104</f>
        <v>0</v>
      </c>
      <c r="BH104" s="275">
        <f t="shared" si="435"/>
        <v>0</v>
      </c>
      <c r="BI104" s="275">
        <f>+BH104</f>
        <v>0</v>
      </c>
      <c r="BJ104" s="275">
        <f>+BI104</f>
        <v>0</v>
      </c>
      <c r="BK104" s="276">
        <f t="shared" si="435"/>
        <v>0</v>
      </c>
      <c r="BL104" s="275">
        <f t="shared" ref="BL104:BS104" si="436">+BK104</f>
        <v>0</v>
      </c>
      <c r="BM104" s="275">
        <f t="shared" si="436"/>
        <v>0</v>
      </c>
      <c r="BN104" s="275">
        <f t="shared" si="436"/>
        <v>0</v>
      </c>
      <c r="BO104" s="276">
        <f t="shared" si="436"/>
        <v>0</v>
      </c>
      <c r="BP104" s="275">
        <f t="shared" si="436"/>
        <v>0</v>
      </c>
      <c r="BQ104" s="275">
        <f t="shared" si="436"/>
        <v>0</v>
      </c>
      <c r="BR104" s="275">
        <f t="shared" si="436"/>
        <v>0</v>
      </c>
      <c r="BS104" s="276">
        <f t="shared" si="436"/>
        <v>0</v>
      </c>
      <c r="BT104" s="275">
        <f t="shared" ref="BT104" si="437">+BS104</f>
        <v>0</v>
      </c>
      <c r="BU104" s="275">
        <f t="shared" ref="BU104" si="438">+BT104</f>
        <v>0</v>
      </c>
      <c r="BV104" s="275">
        <f t="shared" ref="BV104" si="439">+BU104</f>
        <v>0</v>
      </c>
      <c r="BW104" s="276">
        <f t="shared" ref="BW104" si="440">+BV104</f>
        <v>0</v>
      </c>
      <c r="BX104" s="1068"/>
      <c r="BY104" s="1069"/>
      <c r="BZ104" s="1070"/>
      <c r="CA104" s="1070"/>
      <c r="CB104" s="1070"/>
      <c r="CC104" s="1070"/>
      <c r="CD104" s="1070"/>
      <c r="CE104" s="1070"/>
      <c r="CF104" s="1070"/>
      <c r="CG104" s="1069"/>
      <c r="CH104" s="1070">
        <f>+AQ104</f>
        <v>0</v>
      </c>
      <c r="CI104" s="1070">
        <f>+AU104</f>
        <v>0</v>
      </c>
      <c r="CJ104" s="1070">
        <f>+AY104</f>
        <v>0</v>
      </c>
      <c r="CK104" s="1070">
        <f>+BC104</f>
        <v>0</v>
      </c>
      <c r="CL104" s="1070">
        <f>+BG104</f>
        <v>0</v>
      </c>
      <c r="CM104" s="1070">
        <f>+BK104</f>
        <v>0</v>
      </c>
      <c r="CN104" s="1070">
        <f>+BO104</f>
        <v>0</v>
      </c>
      <c r="CO104" s="1070">
        <f>+BS104</f>
        <v>0</v>
      </c>
      <c r="CP104" s="1071">
        <f>+BW104</f>
        <v>0</v>
      </c>
      <c r="CQ104" s="1068"/>
      <c r="CR104" s="1069"/>
      <c r="CS104" s="1070"/>
      <c r="CT104" s="1070"/>
      <c r="CU104" s="1070"/>
      <c r="CV104" s="1070"/>
      <c r="CW104" s="1070"/>
      <c r="CX104" s="1070"/>
      <c r="CY104" s="1070"/>
      <c r="CZ104" s="1070"/>
      <c r="DA104" s="1070"/>
      <c r="DB104" s="1070"/>
      <c r="DC104" s="1070"/>
      <c r="DD104" s="1070"/>
      <c r="DE104" s="1070"/>
      <c r="DF104" s="1070"/>
      <c r="DG104" s="1070"/>
      <c r="DH104" s="1071"/>
      <c r="DI104" s="1054"/>
    </row>
    <row r="105" spans="1:113" ht="14.25" customHeight="1">
      <c r="A105" s="11"/>
      <c r="B105" s="612"/>
      <c r="C105" s="24"/>
      <c r="D105" s="163"/>
      <c r="E105" s="163"/>
      <c r="F105" s="163"/>
      <c r="G105" s="170"/>
      <c r="H105" s="163"/>
      <c r="I105" s="163"/>
      <c r="J105" s="163"/>
      <c r="K105" s="170"/>
      <c r="L105" s="163"/>
      <c r="M105" s="163"/>
      <c r="N105" s="163"/>
      <c r="O105" s="170"/>
      <c r="P105" s="163"/>
      <c r="Q105" s="163"/>
      <c r="R105" s="163"/>
      <c r="S105" s="170"/>
      <c r="T105" s="163"/>
      <c r="U105" s="163"/>
      <c r="V105" s="163"/>
      <c r="W105" s="170"/>
      <c r="X105" s="163"/>
      <c r="Y105" s="163"/>
      <c r="Z105" s="163"/>
      <c r="AA105" s="170"/>
      <c r="AB105" s="163"/>
      <c r="AC105" s="163"/>
      <c r="AD105" s="163"/>
      <c r="AE105" s="170"/>
      <c r="AF105" s="163"/>
      <c r="AG105" s="163"/>
      <c r="AH105" s="163"/>
      <c r="AI105" s="170"/>
      <c r="AJ105" s="163"/>
      <c r="AK105" s="163"/>
      <c r="AL105" s="163"/>
      <c r="AM105" s="170"/>
      <c r="AN105" s="635"/>
      <c r="AO105" s="163"/>
      <c r="AP105" s="163"/>
      <c r="AQ105" s="170"/>
      <c r="AR105" s="635"/>
      <c r="AS105" s="163"/>
      <c r="AT105" s="163"/>
      <c r="AU105" s="170"/>
      <c r="AV105" s="635"/>
      <c r="AW105" s="163"/>
      <c r="AX105" s="163"/>
      <c r="AY105" s="170"/>
      <c r="AZ105" s="163"/>
      <c r="BA105" s="163"/>
      <c r="BB105" s="163"/>
      <c r="BC105" s="170"/>
      <c r="BD105" s="163"/>
      <c r="BE105" s="163"/>
      <c r="BF105" s="163"/>
      <c r="BG105" s="170"/>
      <c r="BH105" s="163"/>
      <c r="BI105" s="163"/>
      <c r="BJ105" s="163"/>
      <c r="BK105" s="170"/>
      <c r="BL105" s="163"/>
      <c r="BM105" s="163"/>
      <c r="BN105" s="163"/>
      <c r="BO105" s="170"/>
      <c r="BP105" s="163"/>
      <c r="BQ105" s="163"/>
      <c r="BR105" s="163"/>
      <c r="BS105" s="170"/>
      <c r="BT105" s="163"/>
      <c r="BU105" s="163"/>
      <c r="BV105" s="163"/>
      <c r="BW105" s="170"/>
      <c r="BX105" s="20"/>
      <c r="BY105" s="172"/>
      <c r="BZ105" s="171"/>
      <c r="CA105" s="171"/>
      <c r="CB105" s="171"/>
      <c r="CC105" s="171"/>
      <c r="CD105" s="171"/>
      <c r="CE105" s="171"/>
      <c r="CF105" s="171"/>
      <c r="CG105" s="172"/>
      <c r="CH105" s="171"/>
      <c r="CI105" s="171"/>
      <c r="CJ105" s="171"/>
      <c r="CK105" s="171"/>
      <c r="CL105" s="171"/>
      <c r="CM105" s="171"/>
      <c r="CN105" s="171"/>
      <c r="CO105" s="171"/>
      <c r="CP105" s="173"/>
      <c r="CQ105" s="20"/>
      <c r="CR105" s="172"/>
      <c r="CS105" s="171"/>
      <c r="CT105" s="171"/>
      <c r="CU105" s="171"/>
      <c r="CV105" s="171"/>
      <c r="CW105" s="171"/>
      <c r="CX105" s="171"/>
      <c r="CY105" s="171"/>
      <c r="CZ105" s="171"/>
      <c r="DA105" s="171"/>
      <c r="DB105" s="171"/>
      <c r="DC105" s="171"/>
      <c r="DD105" s="171"/>
      <c r="DE105" s="171"/>
      <c r="DF105" s="171"/>
      <c r="DG105" s="171"/>
      <c r="DH105" s="173"/>
      <c r="DI105" s="22"/>
    </row>
    <row r="106" spans="1:113" ht="14.25" customHeight="1">
      <c r="A106" s="11"/>
      <c r="B106" s="607" t="s">
        <v>315</v>
      </c>
      <c r="C106" s="24"/>
      <c r="D106" s="163"/>
      <c r="E106" s="163"/>
      <c r="F106" s="163"/>
      <c r="G106" s="170"/>
      <c r="H106" s="163"/>
      <c r="I106" s="163"/>
      <c r="J106" s="163"/>
      <c r="K106" s="170"/>
      <c r="L106" s="163"/>
      <c r="M106" s="163"/>
      <c r="N106" s="163"/>
      <c r="O106" s="170"/>
      <c r="P106" s="163"/>
      <c r="Q106" s="163"/>
      <c r="R106" s="163"/>
      <c r="S106" s="170"/>
      <c r="T106" s="163"/>
      <c r="U106" s="163"/>
      <c r="V106" s="163"/>
      <c r="W106" s="170"/>
      <c r="X106" s="163"/>
      <c r="Y106" s="163"/>
      <c r="Z106" s="163"/>
      <c r="AA106" s="170"/>
      <c r="AB106" s="163"/>
      <c r="AC106" s="163"/>
      <c r="AD106" s="163"/>
      <c r="AE106" s="170"/>
      <c r="AF106" s="163"/>
      <c r="AG106" s="163"/>
      <c r="AH106" s="163"/>
      <c r="AI106" s="170"/>
      <c r="AJ106" s="163"/>
      <c r="AK106" s="163"/>
      <c r="AL106" s="163"/>
      <c r="AM106" s="170"/>
      <c r="AN106" s="635"/>
      <c r="AO106" s="163"/>
      <c r="AP106" s="163"/>
      <c r="AQ106" s="170"/>
      <c r="AR106" s="635"/>
      <c r="AS106" s="163"/>
      <c r="AT106" s="163"/>
      <c r="AU106" s="170"/>
      <c r="AV106" s="635"/>
      <c r="AW106" s="163"/>
      <c r="AX106" s="163"/>
      <c r="AY106" s="170"/>
      <c r="AZ106" s="163"/>
      <c r="BA106" s="163"/>
      <c r="BB106" s="163"/>
      <c r="BC106" s="170"/>
      <c r="BD106" s="163"/>
      <c r="BE106" s="163"/>
      <c r="BF106" s="163"/>
      <c r="BG106" s="170"/>
      <c r="BH106" s="163"/>
      <c r="BI106" s="163"/>
      <c r="BJ106" s="163"/>
      <c r="BK106" s="170"/>
      <c r="BL106" s="163"/>
      <c r="BM106" s="163"/>
      <c r="BN106" s="163"/>
      <c r="BO106" s="170"/>
      <c r="BP106" s="163"/>
      <c r="BQ106" s="163"/>
      <c r="BR106" s="163"/>
      <c r="BS106" s="170"/>
      <c r="BT106" s="163"/>
      <c r="BU106" s="163"/>
      <c r="BV106" s="163"/>
      <c r="BW106" s="170"/>
      <c r="BX106" s="20"/>
      <c r="BY106" s="172"/>
      <c r="BZ106" s="171"/>
      <c r="CA106" s="171"/>
      <c r="CB106" s="171"/>
      <c r="CC106" s="171"/>
      <c r="CD106" s="171"/>
      <c r="CE106" s="171"/>
      <c r="CF106" s="171"/>
      <c r="CG106" s="172"/>
      <c r="CH106" s="171"/>
      <c r="CI106" s="171"/>
      <c r="CJ106" s="171"/>
      <c r="CK106" s="171"/>
      <c r="CL106" s="171"/>
      <c r="CM106" s="171"/>
      <c r="CN106" s="171"/>
      <c r="CO106" s="171"/>
      <c r="CP106" s="173"/>
      <c r="CQ106" s="20"/>
      <c r="CR106" s="172"/>
      <c r="CS106" s="171"/>
      <c r="CT106" s="171"/>
      <c r="CU106" s="171"/>
      <c r="CV106" s="171"/>
      <c r="CW106" s="171"/>
      <c r="CX106" s="171"/>
      <c r="CY106" s="171"/>
      <c r="CZ106" s="171"/>
      <c r="DA106" s="171"/>
      <c r="DB106" s="171"/>
      <c r="DC106" s="171"/>
      <c r="DD106" s="171"/>
      <c r="DE106" s="171"/>
      <c r="DF106" s="171"/>
      <c r="DG106" s="171"/>
      <c r="DH106" s="173"/>
      <c r="DI106" s="22"/>
    </row>
    <row r="107" spans="1:113" ht="14.25" customHeight="1">
      <c r="A107" s="1066"/>
      <c r="B107" s="1072" t="str">
        <f>B$96</f>
        <v>2.125% Junior Subordinated Conv. Debentures due 2027</v>
      </c>
      <c r="C107" s="367"/>
      <c r="D107" s="275"/>
      <c r="E107" s="275"/>
      <c r="F107" s="275"/>
      <c r="G107" s="276"/>
      <c r="H107" s="275"/>
      <c r="I107" s="275"/>
      <c r="J107" s="275"/>
      <c r="K107" s="276"/>
      <c r="L107" s="275"/>
      <c r="M107" s="275"/>
      <c r="N107" s="275"/>
      <c r="O107" s="276"/>
      <c r="P107" s="275"/>
      <c r="Q107" s="275"/>
      <c r="R107" s="275"/>
      <c r="S107" s="276"/>
      <c r="T107" s="275"/>
      <c r="U107" s="275"/>
      <c r="V107" s="275"/>
      <c r="W107" s="276"/>
      <c r="X107" s="275"/>
      <c r="Y107" s="275"/>
      <c r="Z107" s="275"/>
      <c r="AA107" s="276"/>
      <c r="AB107" s="275"/>
      <c r="AC107" s="275"/>
      <c r="AD107" s="275"/>
      <c r="AE107" s="276"/>
      <c r="AF107" s="275"/>
      <c r="AG107" s="275"/>
      <c r="AH107" s="275"/>
      <c r="AI107" s="276"/>
      <c r="AJ107" s="275"/>
      <c r="AK107" s="275"/>
      <c r="AL107" s="275"/>
      <c r="AM107" s="276"/>
      <c r="AN107" s="1067"/>
      <c r="AO107" s="275"/>
      <c r="AP107" s="275"/>
      <c r="AQ107" s="1073"/>
      <c r="AR107" s="1075">
        <v>2.1250000000000002E-2</v>
      </c>
      <c r="AS107" s="1074">
        <v>2.1250000000000002E-2</v>
      </c>
      <c r="AT107" s="1074">
        <v>2.1250000000000002E-2</v>
      </c>
      <c r="AU107" s="1073">
        <v>2.1250000000000002E-2</v>
      </c>
      <c r="AV107" s="1075">
        <v>2.1250000000000002E-2</v>
      </c>
      <c r="AW107" s="1074">
        <v>2.1250000000000002E-2</v>
      </c>
      <c r="AX107" s="1074">
        <v>2.1250000000000002E-2</v>
      </c>
      <c r="AY107" s="1073">
        <v>2.1250000000000002E-2</v>
      </c>
      <c r="AZ107" s="1074">
        <v>2.1250000000000002E-2</v>
      </c>
      <c r="BA107" s="1074">
        <v>2.1250000000000002E-2</v>
      </c>
      <c r="BB107" s="1074">
        <v>2.1250000000000002E-2</v>
      </c>
      <c r="BC107" s="1073">
        <v>2.1250000000000002E-2</v>
      </c>
      <c r="BD107" s="1074">
        <v>2.1250000000000002E-2</v>
      </c>
      <c r="BE107" s="1074">
        <v>2.1250000000000002E-2</v>
      </c>
      <c r="BF107" s="1074">
        <v>2.1250000000000002E-2</v>
      </c>
      <c r="BG107" s="1073">
        <v>2.1250000000000002E-2</v>
      </c>
      <c r="BH107" s="1074">
        <v>2.1250000000000002E-2</v>
      </c>
      <c r="BI107" s="1074">
        <v>2.1250000000000002E-2</v>
      </c>
      <c r="BJ107" s="1074">
        <v>2.1250000000000002E-2</v>
      </c>
      <c r="BK107" s="1073">
        <v>2.1250000000000002E-2</v>
      </c>
      <c r="BL107" s="1074">
        <v>2.1250000000000002E-2</v>
      </c>
      <c r="BM107" s="1074">
        <v>2.1250000000000002E-2</v>
      </c>
      <c r="BN107" s="1074">
        <v>2.1250000000000002E-2</v>
      </c>
      <c r="BO107" s="1073">
        <v>2.1250000000000002E-2</v>
      </c>
      <c r="BP107" s="1074">
        <v>2.1250000000000002E-2</v>
      </c>
      <c r="BQ107" s="1074">
        <v>2.1250000000000002E-2</v>
      </c>
      <c r="BR107" s="1074">
        <v>2.1250000000000002E-2</v>
      </c>
      <c r="BS107" s="1073">
        <v>2.1250000000000002E-2</v>
      </c>
      <c r="BT107" s="1074">
        <v>2.1250000000000002E-2</v>
      </c>
      <c r="BU107" s="1074">
        <v>2.1250000000000002E-2</v>
      </c>
      <c r="BV107" s="1074">
        <v>2.1250000000000002E-2</v>
      </c>
      <c r="BW107" s="1073">
        <v>2.1250000000000002E-2</v>
      </c>
      <c r="BX107" s="1068"/>
      <c r="BY107" s="1069"/>
      <c r="BZ107" s="1070"/>
      <c r="CA107" s="1070"/>
      <c r="CB107" s="1070"/>
      <c r="CC107" s="1070"/>
      <c r="CD107" s="1070"/>
      <c r="CE107" s="1070"/>
      <c r="CF107" s="1070"/>
      <c r="CG107" s="1069"/>
      <c r="CH107" s="1070"/>
      <c r="CI107" s="1070">
        <f>+AU107</f>
        <v>2.1250000000000002E-2</v>
      </c>
      <c r="CJ107" s="1070">
        <f>+AY107</f>
        <v>2.1250000000000002E-2</v>
      </c>
      <c r="CK107" s="1070">
        <f>+BC107</f>
        <v>2.1250000000000002E-2</v>
      </c>
      <c r="CL107" s="1070">
        <f>+BG107</f>
        <v>2.1250000000000002E-2</v>
      </c>
      <c r="CM107" s="1070">
        <f>+BK107</f>
        <v>2.1250000000000002E-2</v>
      </c>
      <c r="CN107" s="1070">
        <f>+BO107</f>
        <v>2.1250000000000002E-2</v>
      </c>
      <c r="CO107" s="1070">
        <f>+BS107</f>
        <v>2.1250000000000002E-2</v>
      </c>
      <c r="CP107" s="1071">
        <f>+BW107</f>
        <v>2.1250000000000002E-2</v>
      </c>
      <c r="CQ107" s="1068"/>
      <c r="CR107" s="1069"/>
      <c r="CS107" s="1070"/>
      <c r="CT107" s="1070"/>
      <c r="CU107" s="1070"/>
      <c r="CV107" s="1070"/>
      <c r="CW107" s="1070"/>
      <c r="CX107" s="1070"/>
      <c r="CY107" s="1070"/>
      <c r="CZ107" s="1070"/>
      <c r="DA107" s="1070"/>
      <c r="DB107" s="1070"/>
      <c r="DC107" s="1070"/>
      <c r="DD107" s="1070"/>
      <c r="DE107" s="1070"/>
      <c r="DF107" s="1070"/>
      <c r="DG107" s="1070"/>
      <c r="DH107" s="1071"/>
      <c r="DI107" s="1054"/>
    </row>
    <row r="108" spans="1:113" ht="14.25" customHeight="1">
      <c r="A108" s="11"/>
      <c r="B108" s="612"/>
      <c r="C108" s="24"/>
      <c r="D108" s="163"/>
      <c r="E108" s="163"/>
      <c r="F108" s="163"/>
      <c r="G108" s="170"/>
      <c r="H108" s="163"/>
      <c r="I108" s="163"/>
      <c r="J108" s="163"/>
      <c r="K108" s="170"/>
      <c r="L108" s="163"/>
      <c r="M108" s="163"/>
      <c r="N108" s="163"/>
      <c r="O108" s="170"/>
      <c r="P108" s="163"/>
      <c r="Q108" s="163"/>
      <c r="R108" s="163"/>
      <c r="S108" s="170"/>
      <c r="T108" s="163"/>
      <c r="U108" s="163"/>
      <c r="V108" s="163"/>
      <c r="W108" s="170"/>
      <c r="X108" s="163"/>
      <c r="Y108" s="163"/>
      <c r="Z108" s="163"/>
      <c r="AA108" s="170"/>
      <c r="AB108" s="163"/>
      <c r="AC108" s="163"/>
      <c r="AD108" s="163"/>
      <c r="AE108" s="170"/>
      <c r="AF108" s="163"/>
      <c r="AG108" s="163"/>
      <c r="AH108" s="163"/>
      <c r="AI108" s="170"/>
      <c r="AJ108" s="163"/>
      <c r="AK108" s="163"/>
      <c r="AL108" s="163"/>
      <c r="AM108" s="170"/>
      <c r="AN108" s="635"/>
      <c r="AO108" s="163"/>
      <c r="AP108" s="163"/>
      <c r="AQ108" s="170"/>
      <c r="AR108" s="635"/>
      <c r="AS108" s="163"/>
      <c r="AT108" s="163"/>
      <c r="AU108" s="170"/>
      <c r="AV108" s="635"/>
      <c r="AW108" s="163"/>
      <c r="AX108" s="163"/>
      <c r="AY108" s="170"/>
      <c r="AZ108" s="163"/>
      <c r="BA108" s="163"/>
      <c r="BB108" s="163"/>
      <c r="BC108" s="170"/>
      <c r="BD108" s="163"/>
      <c r="BE108" s="163"/>
      <c r="BF108" s="163"/>
      <c r="BG108" s="170"/>
      <c r="BH108" s="163"/>
      <c r="BI108" s="163"/>
      <c r="BJ108" s="163"/>
      <c r="BK108" s="170"/>
      <c r="BL108" s="163"/>
      <c r="BM108" s="163"/>
      <c r="BN108" s="163"/>
      <c r="BO108" s="170"/>
      <c r="BP108" s="163"/>
      <c r="BQ108" s="163"/>
      <c r="BR108" s="163"/>
      <c r="BS108" s="170"/>
      <c r="BT108" s="163"/>
      <c r="BU108" s="163"/>
      <c r="BV108" s="163"/>
      <c r="BW108" s="170"/>
      <c r="BX108" s="20"/>
      <c r="BY108" s="172"/>
      <c r="BZ108" s="171"/>
      <c r="CA108" s="171"/>
      <c r="CB108" s="171"/>
      <c r="CC108" s="171"/>
      <c r="CD108" s="171"/>
      <c r="CE108" s="171"/>
      <c r="CF108" s="171"/>
      <c r="CG108" s="172"/>
      <c r="CH108" s="171"/>
      <c r="CI108" s="171"/>
      <c r="CJ108" s="171"/>
      <c r="CK108" s="171"/>
      <c r="CL108" s="171"/>
      <c r="CM108" s="171"/>
      <c r="CN108" s="171"/>
      <c r="CO108" s="171"/>
      <c r="CP108" s="173"/>
      <c r="CQ108" s="20"/>
      <c r="CR108" s="172"/>
      <c r="CS108" s="171"/>
      <c r="CT108" s="171"/>
      <c r="CU108" s="171"/>
      <c r="CV108" s="171"/>
      <c r="CW108" s="171"/>
      <c r="CX108" s="171"/>
      <c r="CY108" s="171"/>
      <c r="CZ108" s="171"/>
      <c r="DA108" s="171"/>
      <c r="DB108" s="171"/>
      <c r="DC108" s="171"/>
      <c r="DD108" s="171"/>
      <c r="DE108" s="171"/>
      <c r="DF108" s="171"/>
      <c r="DG108" s="171"/>
      <c r="DH108" s="173"/>
      <c r="DI108" s="22"/>
    </row>
    <row r="109" spans="1:113" ht="14.25" customHeight="1">
      <c r="A109" s="11"/>
      <c r="B109" s="607" t="s">
        <v>318</v>
      </c>
      <c r="C109" s="24"/>
      <c r="D109" s="163"/>
      <c r="E109" s="163"/>
      <c r="F109" s="163"/>
      <c r="G109" s="170"/>
      <c r="H109" s="163"/>
      <c r="I109" s="163"/>
      <c r="J109" s="163"/>
      <c r="K109" s="170"/>
      <c r="L109" s="163"/>
      <c r="M109" s="163"/>
      <c r="N109" s="163"/>
      <c r="O109" s="170"/>
      <c r="P109" s="163"/>
      <c r="Q109" s="163"/>
      <c r="R109" s="163"/>
      <c r="S109" s="170"/>
      <c r="T109" s="163"/>
      <c r="U109" s="163"/>
      <c r="V109" s="163"/>
      <c r="W109" s="170"/>
      <c r="X109" s="163"/>
      <c r="Y109" s="163"/>
      <c r="Z109" s="163"/>
      <c r="AA109" s="170"/>
      <c r="AB109" s="163"/>
      <c r="AC109" s="163"/>
      <c r="AD109" s="163"/>
      <c r="AE109" s="170"/>
      <c r="AF109" s="163"/>
      <c r="AG109" s="163"/>
      <c r="AH109" s="163"/>
      <c r="AI109" s="170"/>
      <c r="AJ109" s="163"/>
      <c r="AK109" s="163"/>
      <c r="AL109" s="163"/>
      <c r="AM109" s="170"/>
      <c r="AN109" s="635"/>
      <c r="AO109" s="163"/>
      <c r="AP109" s="163"/>
      <c r="AQ109" s="170"/>
      <c r="AR109" s="635"/>
      <c r="AS109" s="163"/>
      <c r="AT109" s="163"/>
      <c r="AU109" s="170"/>
      <c r="AV109" s="635"/>
      <c r="AW109" s="163"/>
      <c r="AX109" s="163"/>
      <c r="AY109" s="170"/>
      <c r="AZ109" s="163"/>
      <c r="BA109" s="163"/>
      <c r="BB109" s="163"/>
      <c r="BC109" s="170"/>
      <c r="BD109" s="163"/>
      <c r="BE109" s="163"/>
      <c r="BF109" s="163"/>
      <c r="BG109" s="170"/>
      <c r="BH109" s="163"/>
      <c r="BI109" s="163"/>
      <c r="BJ109" s="163"/>
      <c r="BK109" s="170"/>
      <c r="BL109" s="163"/>
      <c r="BM109" s="163"/>
      <c r="BN109" s="163"/>
      <c r="BO109" s="170"/>
      <c r="BP109" s="163"/>
      <c r="BQ109" s="163"/>
      <c r="BR109" s="163"/>
      <c r="BS109" s="170"/>
      <c r="BT109" s="163"/>
      <c r="BU109" s="163"/>
      <c r="BV109" s="163"/>
      <c r="BW109" s="170"/>
      <c r="BX109" s="20"/>
      <c r="BY109" s="172"/>
      <c r="BZ109" s="171"/>
      <c r="CA109" s="171"/>
      <c r="CB109" s="171"/>
      <c r="CC109" s="171"/>
      <c r="CD109" s="171"/>
      <c r="CE109" s="171"/>
      <c r="CF109" s="171"/>
      <c r="CG109" s="172"/>
      <c r="CH109" s="171"/>
      <c r="CI109" s="171"/>
      <c r="CJ109" s="171"/>
      <c r="CK109" s="171"/>
      <c r="CL109" s="171"/>
      <c r="CM109" s="171"/>
      <c r="CN109" s="171"/>
      <c r="CO109" s="171"/>
      <c r="CP109" s="173"/>
      <c r="CQ109" s="20"/>
      <c r="CR109" s="172"/>
      <c r="CS109" s="171"/>
      <c r="CT109" s="171"/>
      <c r="CU109" s="171"/>
      <c r="CV109" s="171"/>
      <c r="CW109" s="171"/>
      <c r="CX109" s="171"/>
      <c r="CY109" s="171"/>
      <c r="CZ109" s="171"/>
      <c r="DA109" s="171"/>
      <c r="DB109" s="171"/>
      <c r="DC109" s="171"/>
      <c r="DD109" s="171"/>
      <c r="DE109" s="171"/>
      <c r="DF109" s="171"/>
      <c r="DG109" s="171"/>
      <c r="DH109" s="173"/>
      <c r="DI109" s="22"/>
    </row>
    <row r="110" spans="1:113" ht="14.25" customHeight="1">
      <c r="A110" s="1059"/>
      <c r="B110" s="616" t="s">
        <v>328</v>
      </c>
      <c r="C110" s="437"/>
      <c r="D110" s="741"/>
      <c r="E110" s="741"/>
      <c r="F110" s="741"/>
      <c r="G110" s="742"/>
      <c r="H110" s="741"/>
      <c r="I110" s="741"/>
      <c r="J110" s="741"/>
      <c r="K110" s="742"/>
      <c r="L110" s="741"/>
      <c r="M110" s="741"/>
      <c r="N110" s="741"/>
      <c r="O110" s="742"/>
      <c r="P110" s="741"/>
      <c r="Q110" s="741"/>
      <c r="R110" s="741"/>
      <c r="S110" s="742"/>
      <c r="T110" s="741"/>
      <c r="U110" s="741"/>
      <c r="V110" s="741"/>
      <c r="W110" s="742"/>
      <c r="X110" s="741"/>
      <c r="Y110" s="741"/>
      <c r="Z110" s="741"/>
      <c r="AA110" s="742"/>
      <c r="AB110" s="741"/>
      <c r="AC110" s="741"/>
      <c r="AD110" s="741"/>
      <c r="AE110" s="742"/>
      <c r="AF110" s="741"/>
      <c r="AG110" s="741"/>
      <c r="AH110" s="741"/>
      <c r="AI110" s="742"/>
      <c r="AJ110" s="741"/>
      <c r="AK110" s="741"/>
      <c r="AL110" s="741"/>
      <c r="AM110" s="742"/>
      <c r="AN110" s="743"/>
      <c r="AO110" s="741"/>
      <c r="AP110" s="741"/>
      <c r="AQ110" s="742"/>
      <c r="AR110" s="743"/>
      <c r="AS110" s="741"/>
      <c r="AT110" s="741"/>
      <c r="AU110" s="742"/>
      <c r="AV110" s="743"/>
      <c r="AW110" s="741"/>
      <c r="AX110" s="741"/>
      <c r="AY110" s="742"/>
      <c r="AZ110" s="741"/>
      <c r="BA110" s="741"/>
      <c r="BB110" s="741"/>
      <c r="BC110" s="742"/>
      <c r="BD110" s="741"/>
      <c r="BE110" s="741"/>
      <c r="BF110" s="741"/>
      <c r="BG110" s="742"/>
      <c r="BH110" s="741"/>
      <c r="BI110" s="741"/>
      <c r="BJ110" s="741"/>
      <c r="BK110" s="742"/>
      <c r="BL110" s="741"/>
      <c r="BM110" s="741"/>
      <c r="BN110" s="741"/>
      <c r="BO110" s="742"/>
      <c r="BP110" s="741"/>
      <c r="BQ110" s="741"/>
      <c r="BR110" s="741"/>
      <c r="BS110" s="742"/>
      <c r="BT110" s="741"/>
      <c r="BU110" s="741"/>
      <c r="BV110" s="741"/>
      <c r="BW110" s="742"/>
      <c r="BX110" s="442"/>
      <c r="BY110" s="744"/>
      <c r="BZ110" s="745"/>
      <c r="CA110" s="745"/>
      <c r="CB110" s="745"/>
      <c r="CC110" s="745"/>
      <c r="CD110" s="745"/>
      <c r="CE110" s="745"/>
      <c r="CF110" s="745"/>
      <c r="CG110" s="744"/>
      <c r="CH110" s="745"/>
      <c r="CI110" s="171"/>
      <c r="CJ110" s="171"/>
      <c r="CK110" s="171"/>
      <c r="CL110" s="171"/>
      <c r="CM110" s="171"/>
      <c r="CN110" s="171"/>
      <c r="CO110" s="171"/>
      <c r="CP110" s="173"/>
      <c r="CQ110" s="442"/>
      <c r="CR110" s="744"/>
      <c r="CS110" s="745"/>
      <c r="CT110" s="745"/>
      <c r="CU110" s="745"/>
      <c r="CV110" s="745"/>
      <c r="CW110" s="745"/>
      <c r="CX110" s="745"/>
      <c r="CY110" s="745"/>
      <c r="CZ110" s="745"/>
      <c r="DA110" s="745"/>
      <c r="DB110" s="745"/>
      <c r="DC110" s="745"/>
      <c r="DD110" s="745"/>
      <c r="DE110" s="745"/>
      <c r="DF110" s="745"/>
      <c r="DG110" s="745"/>
      <c r="DH110" s="746"/>
      <c r="DI110" s="313"/>
    </row>
    <row r="111" spans="1:113" ht="14.25" customHeight="1">
      <c r="A111" s="734"/>
      <c r="B111" s="727" t="str">
        <f>B$96</f>
        <v>2.125% Junior Subordinated Conv. Debentures due 2027</v>
      </c>
      <c r="C111" s="549"/>
      <c r="D111" s="705"/>
      <c r="E111" s="705"/>
      <c r="F111" s="705"/>
      <c r="G111" s="704"/>
      <c r="H111" s="705"/>
      <c r="I111" s="705"/>
      <c r="J111" s="705"/>
      <c r="K111" s="704"/>
      <c r="L111" s="705"/>
      <c r="M111" s="705"/>
      <c r="N111" s="705"/>
      <c r="O111" s="704"/>
      <c r="P111" s="705"/>
      <c r="Q111" s="705"/>
      <c r="R111" s="705"/>
      <c r="S111" s="704"/>
      <c r="T111" s="705"/>
      <c r="U111" s="705"/>
      <c r="V111" s="705"/>
      <c r="W111" s="704"/>
      <c r="X111" s="705"/>
      <c r="Y111" s="705"/>
      <c r="Z111" s="705"/>
      <c r="AA111" s="704"/>
      <c r="AB111" s="705"/>
      <c r="AC111" s="705"/>
      <c r="AD111" s="705"/>
      <c r="AE111" s="704"/>
      <c r="AF111" s="705"/>
      <c r="AG111" s="705"/>
      <c r="AH111" s="705"/>
      <c r="AI111" s="704"/>
      <c r="AJ111" s="705"/>
      <c r="AK111" s="705"/>
      <c r="AL111" s="705"/>
      <c r="AM111" s="704"/>
      <c r="AN111" s="706"/>
      <c r="AO111" s="705"/>
      <c r="AP111" s="705"/>
      <c r="AQ111" s="704"/>
      <c r="AR111" s="706">
        <f>+AR104*AR$100/4</f>
        <v>0</v>
      </c>
      <c r="AS111" s="705">
        <f>+AS104*AS$100/4</f>
        <v>0</v>
      </c>
      <c r="AT111" s="705">
        <f>+AT104*AT$100/4</f>
        <v>0</v>
      </c>
      <c r="AU111" s="704">
        <f t="shared" ref="AU111:BJ111" si="441">+AU104*AT$100/4</f>
        <v>0</v>
      </c>
      <c r="AV111" s="706">
        <f t="shared" si="441"/>
        <v>0</v>
      </c>
      <c r="AW111" s="705">
        <f t="shared" si="441"/>
        <v>0</v>
      </c>
      <c r="AX111" s="705">
        <f t="shared" si="441"/>
        <v>0</v>
      </c>
      <c r="AY111" s="704">
        <f t="shared" si="441"/>
        <v>0</v>
      </c>
      <c r="AZ111" s="705">
        <f t="shared" si="441"/>
        <v>0</v>
      </c>
      <c r="BA111" s="705">
        <f t="shared" si="441"/>
        <v>0</v>
      </c>
      <c r="BB111" s="705">
        <f t="shared" si="441"/>
        <v>0</v>
      </c>
      <c r="BC111" s="704">
        <f t="shared" si="441"/>
        <v>0</v>
      </c>
      <c r="BD111" s="705">
        <f t="shared" si="441"/>
        <v>0</v>
      </c>
      <c r="BE111" s="705">
        <f t="shared" si="441"/>
        <v>0</v>
      </c>
      <c r="BF111" s="705">
        <f t="shared" si="441"/>
        <v>0</v>
      </c>
      <c r="BG111" s="704">
        <f t="shared" si="441"/>
        <v>0</v>
      </c>
      <c r="BH111" s="705">
        <f t="shared" si="441"/>
        <v>0</v>
      </c>
      <c r="BI111" s="705">
        <f t="shared" si="441"/>
        <v>0</v>
      </c>
      <c r="BJ111" s="705">
        <f t="shared" si="441"/>
        <v>0</v>
      </c>
      <c r="BK111" s="704">
        <f t="shared" ref="BK111:BO111" si="442">+BK104*BJ$100/4</f>
        <v>0</v>
      </c>
      <c r="BL111" s="705">
        <f t="shared" si="442"/>
        <v>0</v>
      </c>
      <c r="BM111" s="705">
        <f t="shared" si="442"/>
        <v>0</v>
      </c>
      <c r="BN111" s="705">
        <f t="shared" si="442"/>
        <v>0</v>
      </c>
      <c r="BO111" s="704">
        <f t="shared" si="442"/>
        <v>0</v>
      </c>
      <c r="BP111" s="705">
        <f t="shared" ref="BP111:BW111" si="443">+BP104*BO$100/4</f>
        <v>0</v>
      </c>
      <c r="BQ111" s="705">
        <f t="shared" si="443"/>
        <v>0</v>
      </c>
      <c r="BR111" s="705">
        <f t="shared" si="443"/>
        <v>0</v>
      </c>
      <c r="BS111" s="704">
        <f t="shared" si="443"/>
        <v>0</v>
      </c>
      <c r="BT111" s="705">
        <f t="shared" si="443"/>
        <v>0</v>
      </c>
      <c r="BU111" s="705">
        <f t="shared" si="443"/>
        <v>0</v>
      </c>
      <c r="BV111" s="705">
        <f t="shared" si="443"/>
        <v>0</v>
      </c>
      <c r="BW111" s="704">
        <f t="shared" si="443"/>
        <v>0</v>
      </c>
      <c r="BX111" s="552"/>
      <c r="BY111" s="707"/>
      <c r="BZ111" s="708"/>
      <c r="CA111" s="708"/>
      <c r="CB111" s="708"/>
      <c r="CC111" s="708"/>
      <c r="CD111" s="708"/>
      <c r="CE111" s="708"/>
      <c r="CF111" s="708"/>
      <c r="CG111" s="707"/>
      <c r="CH111" s="708"/>
      <c r="CI111" s="708">
        <f>+SUM(AR111:AU111)</f>
        <v>0</v>
      </c>
      <c r="CJ111" s="708">
        <f>+SUM(AV111:AY111)</f>
        <v>0</v>
      </c>
      <c r="CK111" s="708">
        <f>+SUM(AZ111:BC111)</f>
        <v>0</v>
      </c>
      <c r="CL111" s="708">
        <f>+SUM(BD111:BG111)</f>
        <v>0</v>
      </c>
      <c r="CM111" s="708">
        <f>+SUM(BH111:BK111)</f>
        <v>0</v>
      </c>
      <c r="CN111" s="708">
        <f>+SUM(BL111:BO111)</f>
        <v>0</v>
      </c>
      <c r="CO111" s="708">
        <f>+SUM(BP111:BS111)</f>
        <v>0</v>
      </c>
      <c r="CP111" s="709">
        <f>+SUM(BT111:BW111)</f>
        <v>0</v>
      </c>
      <c r="CQ111" s="552"/>
      <c r="CR111" s="707"/>
      <c r="CS111" s="708"/>
      <c r="CT111" s="708"/>
      <c r="CU111" s="708"/>
      <c r="CV111" s="708"/>
      <c r="CW111" s="708"/>
      <c r="CX111" s="708"/>
      <c r="CY111" s="708"/>
      <c r="CZ111" s="708"/>
      <c r="DA111" s="708"/>
      <c r="DB111" s="708"/>
      <c r="DC111" s="708"/>
      <c r="DD111" s="708"/>
      <c r="DE111" s="708"/>
      <c r="DF111" s="708"/>
      <c r="DG111" s="708"/>
      <c r="DH111" s="709"/>
      <c r="DI111" s="556"/>
    </row>
    <row r="112" spans="1:113" ht="14.25" customHeight="1">
      <c r="A112" s="11"/>
      <c r="B112" s="730" t="s">
        <v>297</v>
      </c>
      <c r="C112" s="24"/>
      <c r="D112" s="163"/>
      <c r="E112" s="163"/>
      <c r="F112" s="163"/>
      <c r="G112" s="170"/>
      <c r="H112" s="163"/>
      <c r="I112" s="163"/>
      <c r="J112" s="163"/>
      <c r="K112" s="170"/>
      <c r="L112" s="163"/>
      <c r="M112" s="163"/>
      <c r="N112" s="163"/>
      <c r="O112" s="170"/>
      <c r="P112" s="163"/>
      <c r="Q112" s="163"/>
      <c r="R112" s="163"/>
      <c r="S112" s="170"/>
      <c r="T112" s="163"/>
      <c r="U112" s="163"/>
      <c r="V112" s="163"/>
      <c r="W112" s="170"/>
      <c r="X112" s="163"/>
      <c r="Y112" s="163"/>
      <c r="Z112" s="163"/>
      <c r="AA112" s="170"/>
      <c r="AB112" s="163"/>
      <c r="AC112" s="163"/>
      <c r="AD112" s="163"/>
      <c r="AE112" s="170"/>
      <c r="AF112" s="163"/>
      <c r="AG112" s="163"/>
      <c r="AH112" s="163"/>
      <c r="AI112" s="170"/>
      <c r="AJ112" s="163"/>
      <c r="AK112" s="163"/>
      <c r="AL112" s="163"/>
      <c r="AM112" s="170"/>
      <c r="AN112" s="635"/>
      <c r="AO112" s="163"/>
      <c r="AP112" s="163"/>
      <c r="AQ112" s="170"/>
      <c r="AR112" s="635">
        <f t="shared" ref="AR112:AW112" si="444">+SUM(AR111)</f>
        <v>0</v>
      </c>
      <c r="AS112" s="163">
        <f t="shared" si="444"/>
        <v>0</v>
      </c>
      <c r="AT112" s="163">
        <f t="shared" si="444"/>
        <v>0</v>
      </c>
      <c r="AU112" s="170">
        <f t="shared" si="444"/>
        <v>0</v>
      </c>
      <c r="AV112" s="635">
        <f t="shared" si="444"/>
        <v>0</v>
      </c>
      <c r="AW112" s="163">
        <f t="shared" si="444"/>
        <v>0</v>
      </c>
      <c r="AX112" s="163">
        <f t="shared" ref="AX112:BF112" si="445">+SUM(AX111)</f>
        <v>0</v>
      </c>
      <c r="AY112" s="170">
        <f t="shared" si="445"/>
        <v>0</v>
      </c>
      <c r="AZ112" s="163">
        <f t="shared" si="445"/>
        <v>0</v>
      </c>
      <c r="BA112" s="163">
        <f t="shared" si="445"/>
        <v>0</v>
      </c>
      <c r="BB112" s="163">
        <f t="shared" si="445"/>
        <v>0</v>
      </c>
      <c r="BC112" s="170">
        <f t="shared" si="445"/>
        <v>0</v>
      </c>
      <c r="BD112" s="163">
        <f t="shared" si="445"/>
        <v>0</v>
      </c>
      <c r="BE112" s="163">
        <f t="shared" si="445"/>
        <v>0</v>
      </c>
      <c r="BF112" s="163">
        <f t="shared" si="445"/>
        <v>0</v>
      </c>
      <c r="BG112" s="170">
        <f>+SUM(BG111)</f>
        <v>0</v>
      </c>
      <c r="BH112" s="163">
        <f>+SUM(BH111)</f>
        <v>0</v>
      </c>
      <c r="BI112" s="163">
        <f t="shared" ref="BI112" si="446">+SUM(BI111)</f>
        <v>0</v>
      </c>
      <c r="BJ112" s="163">
        <f t="shared" ref="BJ112" si="447">+SUM(BJ111)</f>
        <v>0</v>
      </c>
      <c r="BK112" s="170">
        <f t="shared" ref="BK112:BO112" si="448">+SUM(BK111)</f>
        <v>0</v>
      </c>
      <c r="BL112" s="163">
        <f t="shared" si="448"/>
        <v>0</v>
      </c>
      <c r="BM112" s="163">
        <f t="shared" si="448"/>
        <v>0</v>
      </c>
      <c r="BN112" s="163">
        <f t="shared" si="448"/>
        <v>0</v>
      </c>
      <c r="BO112" s="170">
        <f t="shared" si="448"/>
        <v>0</v>
      </c>
      <c r="BP112" s="163">
        <f t="shared" ref="BP112:BW112" si="449">+SUM(BP111)</f>
        <v>0</v>
      </c>
      <c r="BQ112" s="163">
        <f t="shared" si="449"/>
        <v>0</v>
      </c>
      <c r="BR112" s="163">
        <f t="shared" si="449"/>
        <v>0</v>
      </c>
      <c r="BS112" s="170">
        <f t="shared" si="449"/>
        <v>0</v>
      </c>
      <c r="BT112" s="163">
        <f t="shared" si="449"/>
        <v>0</v>
      </c>
      <c r="BU112" s="163">
        <f t="shared" si="449"/>
        <v>0</v>
      </c>
      <c r="BV112" s="163">
        <f t="shared" si="449"/>
        <v>0</v>
      </c>
      <c r="BW112" s="170">
        <f t="shared" si="449"/>
        <v>0</v>
      </c>
      <c r="BX112" s="20"/>
      <c r="BY112" s="172"/>
      <c r="BZ112" s="171"/>
      <c r="CA112" s="171"/>
      <c r="CB112" s="171"/>
      <c r="CC112" s="171"/>
      <c r="CD112" s="171"/>
      <c r="CE112" s="171"/>
      <c r="CF112" s="171"/>
      <c r="CG112" s="172"/>
      <c r="CH112" s="171"/>
      <c r="CI112" s="171">
        <f t="shared" ref="CI112:CO112" si="450">+SUM(CI110:CI111)</f>
        <v>0</v>
      </c>
      <c r="CJ112" s="171">
        <f t="shared" si="450"/>
        <v>0</v>
      </c>
      <c r="CK112" s="171">
        <f t="shared" si="450"/>
        <v>0</v>
      </c>
      <c r="CL112" s="171">
        <f t="shared" si="450"/>
        <v>0</v>
      </c>
      <c r="CM112" s="171">
        <f t="shared" si="450"/>
        <v>0</v>
      </c>
      <c r="CN112" s="171">
        <f t="shared" si="450"/>
        <v>0</v>
      </c>
      <c r="CO112" s="171">
        <f t="shared" si="450"/>
        <v>0</v>
      </c>
      <c r="CP112" s="173">
        <f t="shared" ref="CP112" si="451">+SUM(CP110:CP111)</f>
        <v>0</v>
      </c>
      <c r="CQ112" s="20"/>
      <c r="CR112" s="172"/>
      <c r="CS112" s="171"/>
      <c r="CT112" s="171"/>
      <c r="CU112" s="171"/>
      <c r="CV112" s="171"/>
      <c r="CW112" s="171"/>
      <c r="CX112" s="171"/>
      <c r="CY112" s="171"/>
      <c r="CZ112" s="171"/>
      <c r="DA112" s="171"/>
      <c r="DB112" s="171"/>
      <c r="DC112" s="171"/>
      <c r="DD112" s="171"/>
      <c r="DE112" s="171"/>
      <c r="DF112" s="171"/>
      <c r="DG112" s="171"/>
      <c r="DH112" s="173"/>
      <c r="DI112" s="22"/>
    </row>
    <row r="113" spans="1:113" ht="14.25" customHeight="1">
      <c r="A113" s="1060"/>
      <c r="B113" s="730"/>
      <c r="C113" s="680"/>
      <c r="D113" s="681"/>
      <c r="E113" s="681"/>
      <c r="F113" s="681"/>
      <c r="G113" s="682"/>
      <c r="H113" s="681"/>
      <c r="I113" s="681"/>
      <c r="J113" s="681"/>
      <c r="K113" s="682"/>
      <c r="L113" s="681"/>
      <c r="M113" s="681"/>
      <c r="N113" s="681"/>
      <c r="O113" s="682"/>
      <c r="P113" s="681"/>
      <c r="Q113" s="681"/>
      <c r="R113" s="681"/>
      <c r="S113" s="682"/>
      <c r="T113" s="681"/>
      <c r="U113" s="681"/>
      <c r="V113" s="681"/>
      <c r="W113" s="682"/>
      <c r="X113" s="681"/>
      <c r="Y113" s="681"/>
      <c r="Z113" s="681"/>
      <c r="AA113" s="682"/>
      <c r="AB113" s="681"/>
      <c r="AC113" s="681"/>
      <c r="AD113" s="681"/>
      <c r="AE113" s="682"/>
      <c r="AF113" s="681"/>
      <c r="AG113" s="681"/>
      <c r="AH113" s="681"/>
      <c r="AI113" s="682"/>
      <c r="AJ113" s="681"/>
      <c r="AK113" s="681"/>
      <c r="AL113" s="681"/>
      <c r="AM113" s="682"/>
      <c r="AN113" s="699"/>
      <c r="AO113" s="681"/>
      <c r="AP113" s="690"/>
      <c r="AQ113" s="682"/>
      <c r="AR113" s="699"/>
      <c r="AS113" s="681"/>
      <c r="AT113" s="681"/>
      <c r="AU113" s="682"/>
      <c r="AV113" s="699"/>
      <c r="AW113" s="681"/>
      <c r="AX113" s="681"/>
      <c r="AY113" s="682"/>
      <c r="AZ113" s="681"/>
      <c r="BA113" s="681"/>
      <c r="BB113" s="681"/>
      <c r="BC113" s="682"/>
      <c r="BD113" s="681"/>
      <c r="BE113" s="681"/>
      <c r="BF113" s="681"/>
      <c r="BG113" s="682"/>
      <c r="BH113" s="681"/>
      <c r="BI113" s="681"/>
      <c r="BJ113" s="681"/>
      <c r="BK113" s="682"/>
      <c r="BL113" s="681"/>
      <c r="BM113" s="681"/>
      <c r="BN113" s="681"/>
      <c r="BO113" s="682"/>
      <c r="BP113" s="681"/>
      <c r="BQ113" s="681"/>
      <c r="BR113" s="681"/>
      <c r="BS113" s="682"/>
      <c r="BT113" s="681"/>
      <c r="BU113" s="681"/>
      <c r="BV113" s="681"/>
      <c r="BW113" s="682"/>
      <c r="BX113" s="683"/>
      <c r="BY113" s="685"/>
      <c r="BZ113" s="684"/>
      <c r="CA113" s="684"/>
      <c r="CB113" s="684"/>
      <c r="CC113" s="684"/>
      <c r="CD113" s="684"/>
      <c r="CE113" s="684"/>
      <c r="CF113" s="684"/>
      <c r="CG113" s="685"/>
      <c r="CH113" s="684"/>
      <c r="CI113" s="684"/>
      <c r="CJ113" s="684"/>
      <c r="CK113" s="684"/>
      <c r="CL113" s="684"/>
      <c r="CM113" s="684"/>
      <c r="CN113" s="684"/>
      <c r="CO113" s="684"/>
      <c r="CP113" s="686"/>
      <c r="CQ113" s="683"/>
      <c r="CR113" s="685"/>
      <c r="CS113" s="684"/>
      <c r="CT113" s="684"/>
      <c r="CU113" s="684"/>
      <c r="CV113" s="684"/>
      <c r="CW113" s="684"/>
      <c r="CX113" s="684"/>
      <c r="CY113" s="684"/>
      <c r="CZ113" s="684"/>
      <c r="DA113" s="684"/>
      <c r="DB113" s="684"/>
      <c r="DC113" s="684"/>
      <c r="DD113" s="684"/>
      <c r="DE113" s="684"/>
      <c r="DF113" s="684"/>
      <c r="DG113" s="684"/>
      <c r="DH113" s="686"/>
      <c r="DI113" s="687"/>
    </row>
    <row r="114" spans="1:113" ht="14.25" customHeight="1">
      <c r="A114" s="1060"/>
      <c r="B114" s="607" t="s">
        <v>319</v>
      </c>
      <c r="C114" s="680"/>
      <c r="D114" s="681"/>
      <c r="E114" s="681"/>
      <c r="F114" s="681"/>
      <c r="G114" s="682"/>
      <c r="H114" s="681"/>
      <c r="I114" s="681"/>
      <c r="J114" s="681"/>
      <c r="K114" s="682"/>
      <c r="L114" s="681"/>
      <c r="M114" s="681"/>
      <c r="N114" s="681"/>
      <c r="O114" s="682"/>
      <c r="P114" s="681"/>
      <c r="Q114" s="681"/>
      <c r="R114" s="681"/>
      <c r="S114" s="682"/>
      <c r="T114" s="681"/>
      <c r="U114" s="681"/>
      <c r="V114" s="681"/>
      <c r="W114" s="682"/>
      <c r="X114" s="681"/>
      <c r="Y114" s="681"/>
      <c r="Z114" s="681"/>
      <c r="AA114" s="682"/>
      <c r="AB114" s="681"/>
      <c r="AC114" s="681"/>
      <c r="AD114" s="681"/>
      <c r="AE114" s="682"/>
      <c r="AF114" s="681"/>
      <c r="AG114" s="681"/>
      <c r="AH114" s="681"/>
      <c r="AI114" s="682"/>
      <c r="AJ114" s="681"/>
      <c r="AK114" s="681"/>
      <c r="AL114" s="681"/>
      <c r="AM114" s="682"/>
      <c r="AN114" s="699"/>
      <c r="AO114" s="681"/>
      <c r="AP114" s="690"/>
      <c r="AQ114" s="682"/>
      <c r="AR114" s="699"/>
      <c r="AS114" s="681"/>
      <c r="AT114" s="681"/>
      <c r="AU114" s="682"/>
      <c r="AV114" s="699"/>
      <c r="AW114" s="681"/>
      <c r="AX114" s="681"/>
      <c r="AY114" s="682"/>
      <c r="AZ114" s="681"/>
      <c r="BA114" s="681"/>
      <c r="BB114" s="681"/>
      <c r="BC114" s="682"/>
      <c r="BD114" s="681"/>
      <c r="BE114" s="681"/>
      <c r="BF114" s="681"/>
      <c r="BG114" s="682"/>
      <c r="BH114" s="681"/>
      <c r="BI114" s="681"/>
      <c r="BJ114" s="681"/>
      <c r="BK114" s="682"/>
      <c r="BL114" s="681"/>
      <c r="BM114" s="681"/>
      <c r="BN114" s="681"/>
      <c r="BO114" s="682"/>
      <c r="BP114" s="681"/>
      <c r="BQ114" s="681"/>
      <c r="BR114" s="681"/>
      <c r="BS114" s="682"/>
      <c r="BT114" s="681"/>
      <c r="BU114" s="681"/>
      <c r="BV114" s="681"/>
      <c r="BW114" s="682"/>
      <c r="BX114" s="683"/>
      <c r="BY114" s="685"/>
      <c r="BZ114" s="684"/>
      <c r="CA114" s="684"/>
      <c r="CB114" s="684"/>
      <c r="CC114" s="684"/>
      <c r="CD114" s="684"/>
      <c r="CE114" s="684"/>
      <c r="CF114" s="684"/>
      <c r="CG114" s="685"/>
      <c r="CH114" s="684"/>
      <c r="CI114" s="684"/>
      <c r="CJ114" s="684"/>
      <c r="CK114" s="684"/>
      <c r="CL114" s="684"/>
      <c r="CM114" s="684"/>
      <c r="CN114" s="684"/>
      <c r="CO114" s="684"/>
      <c r="CP114" s="686"/>
      <c r="CQ114" s="683"/>
      <c r="CR114" s="685"/>
      <c r="CS114" s="684"/>
      <c r="CT114" s="684"/>
      <c r="CU114" s="684"/>
      <c r="CV114" s="684"/>
      <c r="CW114" s="684"/>
      <c r="CX114" s="684"/>
      <c r="CY114" s="684"/>
      <c r="CZ114" s="684"/>
      <c r="DA114" s="684"/>
      <c r="DB114" s="684"/>
      <c r="DC114" s="684"/>
      <c r="DD114" s="684"/>
      <c r="DE114" s="684"/>
      <c r="DF114" s="684"/>
      <c r="DG114" s="684"/>
      <c r="DH114" s="686"/>
      <c r="DI114" s="687"/>
    </row>
    <row r="115" spans="1:113" ht="14.25" customHeight="1">
      <c r="A115" s="1061"/>
      <c r="B115" s="727" t="str">
        <f>B$96</f>
        <v>2.125% Junior Subordinated Conv. Debentures due 2027</v>
      </c>
      <c r="C115" s="771"/>
      <c r="D115" s="772"/>
      <c r="E115" s="772"/>
      <c r="F115" s="772"/>
      <c r="G115" s="773"/>
      <c r="H115" s="772"/>
      <c r="I115" s="772"/>
      <c r="J115" s="772"/>
      <c r="K115" s="773"/>
      <c r="L115" s="772"/>
      <c r="M115" s="772"/>
      <c r="N115" s="772"/>
      <c r="O115" s="773"/>
      <c r="P115" s="772"/>
      <c r="Q115" s="772"/>
      <c r="R115" s="772"/>
      <c r="S115" s="773"/>
      <c r="T115" s="772"/>
      <c r="U115" s="772"/>
      <c r="V115" s="772"/>
      <c r="W115" s="773"/>
      <c r="X115" s="772"/>
      <c r="Y115" s="772"/>
      <c r="Z115" s="772"/>
      <c r="AA115" s="773"/>
      <c r="AB115" s="772"/>
      <c r="AC115" s="772"/>
      <c r="AD115" s="772"/>
      <c r="AE115" s="773"/>
      <c r="AF115" s="772"/>
      <c r="AG115" s="772"/>
      <c r="AH115" s="772"/>
      <c r="AI115" s="773"/>
      <c r="AJ115" s="772"/>
      <c r="AK115" s="772"/>
      <c r="AL115" s="772"/>
      <c r="AM115" s="773"/>
      <c r="AN115" s="774"/>
      <c r="AO115" s="772"/>
      <c r="AP115" s="705"/>
      <c r="AQ115" s="704"/>
      <c r="AR115" s="706">
        <f t="shared" ref="AR115:AX115" si="452">+AR107*AR$96/4</f>
        <v>6.109375</v>
      </c>
      <c r="AS115" s="705">
        <f t="shared" si="452"/>
        <v>6.109375</v>
      </c>
      <c r="AT115" s="705">
        <f t="shared" si="452"/>
        <v>6.109375</v>
      </c>
      <c r="AU115" s="704">
        <f t="shared" si="452"/>
        <v>6.109375</v>
      </c>
      <c r="AV115" s="706">
        <f t="shared" si="452"/>
        <v>6.109375</v>
      </c>
      <c r="AW115" s="705">
        <f t="shared" si="452"/>
        <v>6.109375</v>
      </c>
      <c r="AX115" s="705">
        <f t="shared" si="452"/>
        <v>6.109375</v>
      </c>
      <c r="AY115" s="704">
        <f t="shared" ref="AY115:BF115" si="453">+AY107*AY$96/4</f>
        <v>6.109375</v>
      </c>
      <c r="AZ115" s="705">
        <f t="shared" si="453"/>
        <v>6.109375</v>
      </c>
      <c r="BA115" s="705">
        <f t="shared" si="453"/>
        <v>6.109375</v>
      </c>
      <c r="BB115" s="705">
        <f t="shared" si="453"/>
        <v>6.109375</v>
      </c>
      <c r="BC115" s="704">
        <f t="shared" si="453"/>
        <v>6.109375</v>
      </c>
      <c r="BD115" s="705">
        <f t="shared" si="453"/>
        <v>6.109375</v>
      </c>
      <c r="BE115" s="705">
        <f t="shared" si="453"/>
        <v>6.109375</v>
      </c>
      <c r="BF115" s="705">
        <f t="shared" si="453"/>
        <v>6.109375</v>
      </c>
      <c r="BG115" s="704">
        <f>+BG107*BG$96/4</f>
        <v>6.109375</v>
      </c>
      <c r="BH115" s="705">
        <f>+BH107*BH$96/4</f>
        <v>6.109375</v>
      </c>
      <c r="BI115" s="705">
        <f t="shared" ref="BI115:BJ115" si="454">+BI107*BI$96/4</f>
        <v>6.109375</v>
      </c>
      <c r="BJ115" s="705">
        <f t="shared" si="454"/>
        <v>6.109375</v>
      </c>
      <c r="BK115" s="704">
        <f t="shared" ref="BK115:BO115" si="455">+BK107*BK$96/4</f>
        <v>6.109375</v>
      </c>
      <c r="BL115" s="705">
        <f t="shared" si="455"/>
        <v>6.109375</v>
      </c>
      <c r="BM115" s="705">
        <f t="shared" si="455"/>
        <v>6.109375</v>
      </c>
      <c r="BN115" s="705">
        <f t="shared" si="455"/>
        <v>6.109375</v>
      </c>
      <c r="BO115" s="704">
        <f t="shared" si="455"/>
        <v>6.109375</v>
      </c>
      <c r="BP115" s="705">
        <f t="shared" ref="BP115:BW115" si="456">+BP107*BP$96/4</f>
        <v>6.109375</v>
      </c>
      <c r="BQ115" s="705">
        <f t="shared" si="456"/>
        <v>6.109375</v>
      </c>
      <c r="BR115" s="705">
        <f t="shared" si="456"/>
        <v>6.109375</v>
      </c>
      <c r="BS115" s="704">
        <f t="shared" si="456"/>
        <v>6.109375</v>
      </c>
      <c r="BT115" s="705">
        <f t="shared" si="456"/>
        <v>6.109375</v>
      </c>
      <c r="BU115" s="705">
        <f t="shared" si="456"/>
        <v>6.109375</v>
      </c>
      <c r="BV115" s="705">
        <f t="shared" si="456"/>
        <v>6.109375</v>
      </c>
      <c r="BW115" s="704">
        <f t="shared" si="456"/>
        <v>6.109375</v>
      </c>
      <c r="BX115" s="775"/>
      <c r="BY115" s="776"/>
      <c r="BZ115" s="777"/>
      <c r="CA115" s="777"/>
      <c r="CB115" s="777"/>
      <c r="CC115" s="777"/>
      <c r="CD115" s="777"/>
      <c r="CE115" s="777"/>
      <c r="CF115" s="777"/>
      <c r="CG115" s="776"/>
      <c r="CH115" s="777"/>
      <c r="CI115" s="708">
        <f>+SUM(AR115:AU115)</f>
        <v>24.4375</v>
      </c>
      <c r="CJ115" s="708">
        <f>+SUM(AV115:AY115)</f>
        <v>24.4375</v>
      </c>
      <c r="CK115" s="708">
        <f>+SUM(AZ115:BC115)</f>
        <v>24.4375</v>
      </c>
      <c r="CL115" s="708">
        <f>+SUM(BD115:BG115)</f>
        <v>24.4375</v>
      </c>
      <c r="CM115" s="708">
        <f>+SUM(BH115:BK115)</f>
        <v>24.4375</v>
      </c>
      <c r="CN115" s="708">
        <f>+SUM(BL115:BO115)</f>
        <v>24.4375</v>
      </c>
      <c r="CO115" s="708">
        <f>+SUM(BP115:BS115)</f>
        <v>24.4375</v>
      </c>
      <c r="CP115" s="709">
        <f>+SUM(BT115:BW115)</f>
        <v>24.4375</v>
      </c>
      <c r="CQ115" s="775"/>
      <c r="CR115" s="776"/>
      <c r="CS115" s="777"/>
      <c r="CT115" s="777"/>
      <c r="CU115" s="777"/>
      <c r="CV115" s="777"/>
      <c r="CW115" s="777"/>
      <c r="CX115" s="777"/>
      <c r="CY115" s="777"/>
      <c r="CZ115" s="777"/>
      <c r="DA115" s="777"/>
      <c r="DB115" s="777"/>
      <c r="DC115" s="777"/>
      <c r="DD115" s="777"/>
      <c r="DE115" s="777"/>
      <c r="DF115" s="777"/>
      <c r="DG115" s="777"/>
      <c r="DH115" s="778"/>
      <c r="DI115" s="779"/>
    </row>
    <row r="116" spans="1:113" ht="14.25" customHeight="1">
      <c r="A116" s="1060"/>
      <c r="B116" s="730" t="s">
        <v>297</v>
      </c>
      <c r="C116" s="680"/>
      <c r="D116" s="681"/>
      <c r="E116" s="681"/>
      <c r="F116" s="681"/>
      <c r="G116" s="682"/>
      <c r="H116" s="681"/>
      <c r="I116" s="681"/>
      <c r="J116" s="681"/>
      <c r="K116" s="682"/>
      <c r="L116" s="681"/>
      <c r="M116" s="681"/>
      <c r="N116" s="681"/>
      <c r="O116" s="682"/>
      <c r="P116" s="681"/>
      <c r="Q116" s="681"/>
      <c r="R116" s="681"/>
      <c r="S116" s="682"/>
      <c r="T116" s="681"/>
      <c r="U116" s="681"/>
      <c r="V116" s="681"/>
      <c r="W116" s="682"/>
      <c r="X116" s="681"/>
      <c r="Y116" s="681"/>
      <c r="Z116" s="681"/>
      <c r="AA116" s="682"/>
      <c r="AB116" s="681"/>
      <c r="AC116" s="681"/>
      <c r="AD116" s="681"/>
      <c r="AE116" s="682"/>
      <c r="AF116" s="681"/>
      <c r="AG116" s="681"/>
      <c r="AH116" s="681"/>
      <c r="AI116" s="682"/>
      <c r="AJ116" s="681"/>
      <c r="AK116" s="681"/>
      <c r="AL116" s="681"/>
      <c r="AM116" s="682"/>
      <c r="AN116" s="699"/>
      <c r="AO116" s="681"/>
      <c r="AP116" s="163"/>
      <c r="AQ116" s="170"/>
      <c r="AR116" s="635">
        <f t="shared" ref="AR116:AX116" si="457">+SUM(AR115)</f>
        <v>6.109375</v>
      </c>
      <c r="AS116" s="163">
        <f t="shared" si="457"/>
        <v>6.109375</v>
      </c>
      <c r="AT116" s="163">
        <f t="shared" si="457"/>
        <v>6.109375</v>
      </c>
      <c r="AU116" s="170">
        <f t="shared" si="457"/>
        <v>6.109375</v>
      </c>
      <c r="AV116" s="635">
        <f t="shared" si="457"/>
        <v>6.109375</v>
      </c>
      <c r="AW116" s="163">
        <f t="shared" si="457"/>
        <v>6.109375</v>
      </c>
      <c r="AX116" s="163">
        <f t="shared" si="457"/>
        <v>6.109375</v>
      </c>
      <c r="AY116" s="170">
        <f t="shared" ref="AY116:BF116" si="458">+SUM(AY115)</f>
        <v>6.109375</v>
      </c>
      <c r="AZ116" s="163">
        <f t="shared" si="458"/>
        <v>6.109375</v>
      </c>
      <c r="BA116" s="163">
        <f t="shared" si="458"/>
        <v>6.109375</v>
      </c>
      <c r="BB116" s="163">
        <f t="shared" si="458"/>
        <v>6.109375</v>
      </c>
      <c r="BC116" s="170">
        <f t="shared" si="458"/>
        <v>6.109375</v>
      </c>
      <c r="BD116" s="163">
        <f t="shared" si="458"/>
        <v>6.109375</v>
      </c>
      <c r="BE116" s="163">
        <f t="shared" si="458"/>
        <v>6.109375</v>
      </c>
      <c r="BF116" s="163">
        <f t="shared" si="458"/>
        <v>6.109375</v>
      </c>
      <c r="BG116" s="170">
        <f>+SUM(BG115)</f>
        <v>6.109375</v>
      </c>
      <c r="BH116" s="163">
        <f>+SUM(BH115)</f>
        <v>6.109375</v>
      </c>
      <c r="BI116" s="163">
        <f t="shared" ref="BI116" si="459">+SUM(BI115)</f>
        <v>6.109375</v>
      </c>
      <c r="BJ116" s="163">
        <f t="shared" ref="BJ116" si="460">+SUM(BJ115)</f>
        <v>6.109375</v>
      </c>
      <c r="BK116" s="170">
        <f t="shared" ref="BK116:BO116" si="461">+SUM(BK115)</f>
        <v>6.109375</v>
      </c>
      <c r="BL116" s="163">
        <f t="shared" si="461"/>
        <v>6.109375</v>
      </c>
      <c r="BM116" s="163">
        <f t="shared" si="461"/>
        <v>6.109375</v>
      </c>
      <c r="BN116" s="163">
        <f t="shared" si="461"/>
        <v>6.109375</v>
      </c>
      <c r="BO116" s="170">
        <f t="shared" si="461"/>
        <v>6.109375</v>
      </c>
      <c r="BP116" s="163">
        <f t="shared" ref="BP116:BW116" si="462">+SUM(BP115)</f>
        <v>6.109375</v>
      </c>
      <c r="BQ116" s="163">
        <f t="shared" si="462"/>
        <v>6.109375</v>
      </c>
      <c r="BR116" s="163">
        <f t="shared" si="462"/>
        <v>6.109375</v>
      </c>
      <c r="BS116" s="170">
        <f t="shared" si="462"/>
        <v>6.109375</v>
      </c>
      <c r="BT116" s="163">
        <f t="shared" si="462"/>
        <v>6.109375</v>
      </c>
      <c r="BU116" s="163">
        <f t="shared" si="462"/>
        <v>6.109375</v>
      </c>
      <c r="BV116" s="163">
        <f t="shared" si="462"/>
        <v>6.109375</v>
      </c>
      <c r="BW116" s="170">
        <f t="shared" si="462"/>
        <v>6.109375</v>
      </c>
      <c r="BX116" s="683"/>
      <c r="BY116" s="685"/>
      <c r="BZ116" s="684"/>
      <c r="CA116" s="684"/>
      <c r="CB116" s="684"/>
      <c r="CC116" s="684"/>
      <c r="CD116" s="684"/>
      <c r="CE116" s="684"/>
      <c r="CF116" s="684"/>
      <c r="CG116" s="685"/>
      <c r="CH116" s="684"/>
      <c r="CI116" s="171">
        <f t="shared" ref="CI116:CO116" si="463">+SUM(CI115)</f>
        <v>24.4375</v>
      </c>
      <c r="CJ116" s="171">
        <f t="shared" si="463"/>
        <v>24.4375</v>
      </c>
      <c r="CK116" s="171">
        <f t="shared" si="463"/>
        <v>24.4375</v>
      </c>
      <c r="CL116" s="171">
        <f t="shared" si="463"/>
        <v>24.4375</v>
      </c>
      <c r="CM116" s="171">
        <f t="shared" si="463"/>
        <v>24.4375</v>
      </c>
      <c r="CN116" s="171">
        <f t="shared" si="463"/>
        <v>24.4375</v>
      </c>
      <c r="CO116" s="171">
        <f t="shared" si="463"/>
        <v>24.4375</v>
      </c>
      <c r="CP116" s="173">
        <f t="shared" ref="CP116" si="464">+SUM(CP115)</f>
        <v>24.4375</v>
      </c>
      <c r="CQ116" s="683"/>
      <c r="CR116" s="685"/>
      <c r="CS116" s="684"/>
      <c r="CT116" s="684"/>
      <c r="CU116" s="684"/>
      <c r="CV116" s="684"/>
      <c r="CW116" s="684"/>
      <c r="CX116" s="684"/>
      <c r="CY116" s="684"/>
      <c r="CZ116" s="684"/>
      <c r="DA116" s="684"/>
      <c r="DB116" s="684"/>
      <c r="DC116" s="684"/>
      <c r="DD116" s="684"/>
      <c r="DE116" s="684"/>
      <c r="DF116" s="684"/>
      <c r="DG116" s="684"/>
      <c r="DH116" s="686"/>
      <c r="DI116" s="687"/>
    </row>
    <row r="117" spans="1:113" ht="14.25" customHeight="1">
      <c r="A117" s="1060"/>
      <c r="B117" s="730"/>
      <c r="C117" s="680"/>
      <c r="D117" s="681"/>
      <c r="E117" s="681"/>
      <c r="F117" s="681"/>
      <c r="G117" s="682"/>
      <c r="H117" s="681"/>
      <c r="I117" s="681"/>
      <c r="J117" s="681"/>
      <c r="K117" s="682"/>
      <c r="L117" s="681"/>
      <c r="M117" s="681"/>
      <c r="N117" s="681"/>
      <c r="O117" s="682"/>
      <c r="P117" s="681"/>
      <c r="Q117" s="681"/>
      <c r="R117" s="681"/>
      <c r="S117" s="682"/>
      <c r="T117" s="681"/>
      <c r="U117" s="681"/>
      <c r="V117" s="681"/>
      <c r="W117" s="682"/>
      <c r="X117" s="681"/>
      <c r="Y117" s="681"/>
      <c r="Z117" s="681"/>
      <c r="AA117" s="682"/>
      <c r="AB117" s="681"/>
      <c r="AC117" s="681"/>
      <c r="AD117" s="681"/>
      <c r="AE117" s="682"/>
      <c r="AF117" s="681"/>
      <c r="AG117" s="681"/>
      <c r="AH117" s="681"/>
      <c r="AI117" s="682"/>
      <c r="AJ117" s="681"/>
      <c r="AK117" s="681"/>
      <c r="AL117" s="681"/>
      <c r="AM117" s="682"/>
      <c r="AN117" s="699"/>
      <c r="AO117" s="681"/>
      <c r="AP117" s="163"/>
      <c r="AQ117" s="170"/>
      <c r="AR117" s="635"/>
      <c r="AS117" s="163"/>
      <c r="AT117" s="163"/>
      <c r="AU117" s="170"/>
      <c r="AV117" s="635"/>
      <c r="AW117" s="163"/>
      <c r="AX117" s="163"/>
      <c r="AY117" s="170"/>
      <c r="AZ117" s="163"/>
      <c r="BA117" s="163"/>
      <c r="BB117" s="163"/>
      <c r="BC117" s="170"/>
      <c r="BD117" s="163"/>
      <c r="BE117" s="163"/>
      <c r="BF117" s="163"/>
      <c r="BG117" s="170"/>
      <c r="BH117" s="163"/>
      <c r="BI117" s="163"/>
      <c r="BJ117" s="163"/>
      <c r="BK117" s="170"/>
      <c r="BL117" s="163"/>
      <c r="BM117" s="163"/>
      <c r="BN117" s="163"/>
      <c r="BO117" s="170"/>
      <c r="BP117" s="163"/>
      <c r="BQ117" s="163"/>
      <c r="BR117" s="163"/>
      <c r="BS117" s="170"/>
      <c r="BT117" s="163"/>
      <c r="BU117" s="163"/>
      <c r="BV117" s="163"/>
      <c r="BW117" s="170"/>
      <c r="BX117" s="683"/>
      <c r="BY117" s="685"/>
      <c r="BZ117" s="684"/>
      <c r="CA117" s="684"/>
      <c r="CB117" s="684"/>
      <c r="CC117" s="684"/>
      <c r="CD117" s="684"/>
      <c r="CE117" s="684"/>
      <c r="CF117" s="684"/>
      <c r="CG117" s="685"/>
      <c r="CH117" s="684"/>
      <c r="CI117" s="171"/>
      <c r="CJ117" s="171"/>
      <c r="CK117" s="171"/>
      <c r="CL117" s="171"/>
      <c r="CM117" s="171"/>
      <c r="CN117" s="171"/>
      <c r="CO117" s="171"/>
      <c r="CP117" s="173"/>
      <c r="CQ117" s="683"/>
      <c r="CR117" s="685"/>
      <c r="CS117" s="684"/>
      <c r="CT117" s="684"/>
      <c r="CU117" s="684"/>
      <c r="CV117" s="684"/>
      <c r="CW117" s="684"/>
      <c r="CX117" s="684"/>
      <c r="CY117" s="684"/>
      <c r="CZ117" s="684"/>
      <c r="DA117" s="684"/>
      <c r="DB117" s="684"/>
      <c r="DC117" s="684"/>
      <c r="DD117" s="684"/>
      <c r="DE117" s="684"/>
      <c r="DF117" s="684"/>
      <c r="DG117" s="684"/>
      <c r="DH117" s="686"/>
      <c r="DI117" s="687"/>
    </row>
    <row r="118" spans="1:113" ht="14.25" customHeight="1">
      <c r="A118" s="1060"/>
      <c r="B118" s="607" t="s">
        <v>317</v>
      </c>
      <c r="C118" s="680"/>
      <c r="D118" s="681"/>
      <c r="E118" s="681"/>
      <c r="F118" s="681"/>
      <c r="G118" s="682"/>
      <c r="H118" s="681"/>
      <c r="I118" s="681"/>
      <c r="J118" s="681"/>
      <c r="K118" s="682"/>
      <c r="L118" s="681"/>
      <c r="M118" s="681"/>
      <c r="N118" s="681"/>
      <c r="O118" s="682"/>
      <c r="P118" s="681"/>
      <c r="Q118" s="681"/>
      <c r="R118" s="681"/>
      <c r="S118" s="682"/>
      <c r="T118" s="681"/>
      <c r="U118" s="681"/>
      <c r="V118" s="681"/>
      <c r="W118" s="682"/>
      <c r="X118" s="681"/>
      <c r="Y118" s="681"/>
      <c r="Z118" s="681"/>
      <c r="AA118" s="682"/>
      <c r="AB118" s="681"/>
      <c r="AC118" s="681"/>
      <c r="AD118" s="681"/>
      <c r="AE118" s="682"/>
      <c r="AF118" s="681"/>
      <c r="AG118" s="681"/>
      <c r="AH118" s="681"/>
      <c r="AI118" s="682"/>
      <c r="AJ118" s="681"/>
      <c r="AK118" s="681"/>
      <c r="AL118" s="681"/>
      <c r="AM118" s="682"/>
      <c r="AN118" s="699"/>
      <c r="AO118" s="681"/>
      <c r="AP118" s="690"/>
      <c r="AQ118" s="682"/>
      <c r="AR118" s="699"/>
      <c r="AS118" s="681"/>
      <c r="AT118" s="1063"/>
      <c r="AU118" s="682"/>
      <c r="AV118" s="699"/>
      <c r="AW118" s="681"/>
      <c r="AX118" s="681"/>
      <c r="AY118" s="682"/>
      <c r="AZ118" s="681"/>
      <c r="BA118" s="681"/>
      <c r="BB118" s="681"/>
      <c r="BC118" s="682"/>
      <c r="BD118" s="681"/>
      <c r="BE118" s="681"/>
      <c r="BF118" s="681"/>
      <c r="BG118" s="682"/>
      <c r="BH118" s="681"/>
      <c r="BI118" s="681"/>
      <c r="BJ118" s="681"/>
      <c r="BK118" s="682"/>
      <c r="BL118" s="681"/>
      <c r="BM118" s="681"/>
      <c r="BN118" s="681"/>
      <c r="BO118" s="682"/>
      <c r="BP118" s="681"/>
      <c r="BQ118" s="681"/>
      <c r="BR118" s="681"/>
      <c r="BS118" s="682"/>
      <c r="BT118" s="681"/>
      <c r="BU118" s="681"/>
      <c r="BV118" s="681"/>
      <c r="BW118" s="682"/>
      <c r="BX118" s="683"/>
      <c r="BY118" s="685"/>
      <c r="BZ118" s="684"/>
      <c r="CA118" s="684"/>
      <c r="CB118" s="684"/>
      <c r="CC118" s="684"/>
      <c r="CD118" s="684"/>
      <c r="CE118" s="684"/>
      <c r="CF118" s="684"/>
      <c r="CG118" s="685"/>
      <c r="CH118" s="684"/>
      <c r="CI118" s="684"/>
      <c r="CJ118" s="684"/>
      <c r="CK118" s="684"/>
      <c r="CL118" s="684"/>
      <c r="CM118" s="684"/>
      <c r="CN118" s="684"/>
      <c r="CO118" s="684"/>
      <c r="CP118" s="686"/>
      <c r="CQ118" s="683"/>
      <c r="CR118" s="685"/>
      <c r="CS118" s="684"/>
      <c r="CT118" s="684"/>
      <c r="CU118" s="684"/>
      <c r="CV118" s="684"/>
      <c r="CW118" s="684"/>
      <c r="CX118" s="684"/>
      <c r="CY118" s="684"/>
      <c r="CZ118" s="684"/>
      <c r="DA118" s="684"/>
      <c r="DB118" s="684"/>
      <c r="DC118" s="684"/>
      <c r="DD118" s="684"/>
      <c r="DE118" s="684"/>
      <c r="DF118" s="684"/>
      <c r="DG118" s="684"/>
      <c r="DH118" s="686"/>
      <c r="DI118" s="687"/>
    </row>
    <row r="119" spans="1:113" ht="14.25" customHeight="1">
      <c r="A119" s="1062"/>
      <c r="B119" s="1077" t="s">
        <v>328</v>
      </c>
      <c r="C119" s="747"/>
      <c r="D119" s="748"/>
      <c r="E119" s="748"/>
      <c r="F119" s="748"/>
      <c r="G119" s="717"/>
      <c r="H119" s="748"/>
      <c r="I119" s="748"/>
      <c r="J119" s="748"/>
      <c r="K119" s="717"/>
      <c r="L119" s="748"/>
      <c r="M119" s="748"/>
      <c r="N119" s="748"/>
      <c r="O119" s="717"/>
      <c r="P119" s="748"/>
      <c r="Q119" s="748"/>
      <c r="R119" s="748"/>
      <c r="S119" s="717"/>
      <c r="T119" s="748"/>
      <c r="U119" s="748"/>
      <c r="V119" s="748"/>
      <c r="W119" s="717"/>
      <c r="X119" s="748"/>
      <c r="Y119" s="748"/>
      <c r="Z119" s="748"/>
      <c r="AA119" s="717"/>
      <c r="AB119" s="748"/>
      <c r="AC119" s="748"/>
      <c r="AD119" s="748"/>
      <c r="AE119" s="717"/>
      <c r="AF119" s="748"/>
      <c r="AG119" s="748"/>
      <c r="AH119" s="748"/>
      <c r="AI119" s="717"/>
      <c r="AJ119" s="748"/>
      <c r="AK119" s="748"/>
      <c r="AL119" s="748"/>
      <c r="AM119" s="717"/>
      <c r="AN119" s="749"/>
      <c r="AO119" s="748"/>
      <c r="AP119" s="748"/>
      <c r="AQ119" s="1058"/>
      <c r="AR119" s="1108">
        <v>0</v>
      </c>
      <c r="AS119" s="795">
        <v>0</v>
      </c>
      <c r="AT119" s="795">
        <v>0</v>
      </c>
      <c r="AU119" s="1187">
        <f t="shared" ref="AU119:BJ119" si="465">+AT119</f>
        <v>0</v>
      </c>
      <c r="AV119" s="716">
        <f t="shared" si="465"/>
        <v>0</v>
      </c>
      <c r="AW119" s="795">
        <f t="shared" si="465"/>
        <v>0</v>
      </c>
      <c r="AX119" s="715">
        <f t="shared" si="465"/>
        <v>0</v>
      </c>
      <c r="AY119" s="1187">
        <f t="shared" si="465"/>
        <v>0</v>
      </c>
      <c r="AZ119" s="1065">
        <f t="shared" si="465"/>
        <v>0</v>
      </c>
      <c r="BA119" s="1065">
        <f t="shared" si="465"/>
        <v>0</v>
      </c>
      <c r="BB119" s="1065">
        <f t="shared" si="465"/>
        <v>0</v>
      </c>
      <c r="BC119" s="1064">
        <f t="shared" si="465"/>
        <v>0</v>
      </c>
      <c r="BD119" s="1065">
        <f t="shared" si="465"/>
        <v>0</v>
      </c>
      <c r="BE119" s="1065">
        <f t="shared" si="465"/>
        <v>0</v>
      </c>
      <c r="BF119" s="1065">
        <f t="shared" si="465"/>
        <v>0</v>
      </c>
      <c r="BG119" s="1064">
        <f t="shared" si="465"/>
        <v>0</v>
      </c>
      <c r="BH119" s="1065">
        <f t="shared" si="465"/>
        <v>0</v>
      </c>
      <c r="BI119" s="1065">
        <f t="shared" si="465"/>
        <v>0</v>
      </c>
      <c r="BJ119" s="1065">
        <f t="shared" si="465"/>
        <v>0</v>
      </c>
      <c r="BK119" s="1064">
        <f t="shared" ref="BK119:BO119" si="466">+BJ119</f>
        <v>0</v>
      </c>
      <c r="BL119" s="1065">
        <f t="shared" si="466"/>
        <v>0</v>
      </c>
      <c r="BM119" s="1065">
        <f t="shared" si="466"/>
        <v>0</v>
      </c>
      <c r="BN119" s="1065">
        <f t="shared" si="466"/>
        <v>0</v>
      </c>
      <c r="BO119" s="1064">
        <f t="shared" si="466"/>
        <v>0</v>
      </c>
      <c r="BP119" s="1065">
        <f t="shared" ref="BP119:BW119" si="467">+BO119</f>
        <v>0</v>
      </c>
      <c r="BQ119" s="1065">
        <f t="shared" si="467"/>
        <v>0</v>
      </c>
      <c r="BR119" s="1065">
        <f t="shared" si="467"/>
        <v>0</v>
      </c>
      <c r="BS119" s="1064">
        <f t="shared" si="467"/>
        <v>0</v>
      </c>
      <c r="BT119" s="1065">
        <f t="shared" si="467"/>
        <v>0</v>
      </c>
      <c r="BU119" s="1065">
        <f t="shared" si="467"/>
        <v>0</v>
      </c>
      <c r="BV119" s="1065">
        <f t="shared" si="467"/>
        <v>0</v>
      </c>
      <c r="BW119" s="1064">
        <f t="shared" si="467"/>
        <v>0</v>
      </c>
      <c r="BX119" s="750"/>
      <c r="BY119" s="749"/>
      <c r="BZ119" s="748"/>
      <c r="CA119" s="748"/>
      <c r="CB119" s="748"/>
      <c r="CC119" s="748"/>
      <c r="CD119" s="748"/>
      <c r="CE119" s="748"/>
      <c r="CF119" s="748"/>
      <c r="CG119" s="749"/>
      <c r="CH119" s="748"/>
      <c r="CI119" s="171">
        <f>+SUM(AR119:AU119)</f>
        <v>0</v>
      </c>
      <c r="CJ119" s="171">
        <f>+SUM(AV119:AY119)</f>
        <v>0</v>
      </c>
      <c r="CK119" s="171">
        <f t="shared" ref="CK119:CK120" si="468">+SUM(AZ119:BC119)</f>
        <v>0</v>
      </c>
      <c r="CL119" s="171">
        <f t="shared" ref="CL119:CL120" si="469">+SUM(BD119:BG119)</f>
        <v>0</v>
      </c>
      <c r="CM119" s="171">
        <f t="shared" ref="CM119:CM120" si="470">+SUM(BH119:BK119)</f>
        <v>0</v>
      </c>
      <c r="CN119" s="171">
        <f t="shared" ref="CN119:CN120" si="471">+SUM(BL119:BO119)</f>
        <v>0</v>
      </c>
      <c r="CO119" s="171">
        <f t="shared" ref="CO119:CO120" si="472">+SUM(BP119:BS119)</f>
        <v>0</v>
      </c>
      <c r="CP119" s="173">
        <f t="shared" ref="CP119:CP120" si="473">+SUM(BT119:BW119)</f>
        <v>0</v>
      </c>
      <c r="CQ119" s="750"/>
      <c r="CR119" s="749"/>
      <c r="CS119" s="748"/>
      <c r="CT119" s="748"/>
      <c r="CU119" s="748"/>
      <c r="CV119" s="748"/>
      <c r="CW119" s="748"/>
      <c r="CX119" s="748"/>
      <c r="CY119" s="748"/>
      <c r="CZ119" s="748"/>
      <c r="DA119" s="748"/>
      <c r="DB119" s="748"/>
      <c r="DC119" s="748"/>
      <c r="DD119" s="748"/>
      <c r="DE119" s="748"/>
      <c r="DF119" s="748"/>
      <c r="DG119" s="748"/>
      <c r="DH119" s="717"/>
      <c r="DI119" s="751"/>
    </row>
    <row r="120" spans="1:113" ht="14.25" customHeight="1">
      <c r="A120" s="865"/>
      <c r="B120" s="756" t="str">
        <f>B$96</f>
        <v>2.125% Junior Subordinated Conv. Debentures due 2027</v>
      </c>
      <c r="C120" s="718"/>
      <c r="D120" s="719"/>
      <c r="E120" s="719"/>
      <c r="F120" s="719"/>
      <c r="G120" s="720"/>
      <c r="H120" s="719"/>
      <c r="I120" s="719"/>
      <c r="J120" s="719"/>
      <c r="K120" s="720"/>
      <c r="L120" s="719"/>
      <c r="M120" s="719"/>
      <c r="N120" s="719"/>
      <c r="O120" s="720"/>
      <c r="P120" s="719"/>
      <c r="Q120" s="719"/>
      <c r="R120" s="719"/>
      <c r="S120" s="720"/>
      <c r="T120" s="719"/>
      <c r="U120" s="719"/>
      <c r="V120" s="719"/>
      <c r="W120" s="720"/>
      <c r="X120" s="719"/>
      <c r="Y120" s="719"/>
      <c r="Z120" s="719"/>
      <c r="AA120" s="720"/>
      <c r="AB120" s="719"/>
      <c r="AC120" s="719"/>
      <c r="AD120" s="719"/>
      <c r="AE120" s="720"/>
      <c r="AF120" s="719"/>
      <c r="AG120" s="719"/>
      <c r="AH120" s="719"/>
      <c r="AI120" s="720"/>
      <c r="AJ120" s="719"/>
      <c r="AK120" s="719"/>
      <c r="AL120" s="719"/>
      <c r="AM120" s="720"/>
      <c r="AN120" s="721"/>
      <c r="AO120" s="719"/>
      <c r="AP120" s="719"/>
      <c r="AQ120" s="720"/>
      <c r="AR120" s="721">
        <f t="shared" ref="AR120:AX120" si="474">+AR111-AR115</f>
        <v>-6.109375</v>
      </c>
      <c r="AS120" s="719">
        <f t="shared" si="474"/>
        <v>-6.109375</v>
      </c>
      <c r="AT120" s="719">
        <f t="shared" si="474"/>
        <v>-6.109375</v>
      </c>
      <c r="AU120" s="720">
        <f t="shared" si="474"/>
        <v>-6.109375</v>
      </c>
      <c r="AV120" s="721">
        <f t="shared" si="474"/>
        <v>-6.109375</v>
      </c>
      <c r="AW120" s="719">
        <f t="shared" si="474"/>
        <v>-6.109375</v>
      </c>
      <c r="AX120" s="719">
        <f t="shared" si="474"/>
        <v>-6.109375</v>
      </c>
      <c r="AY120" s="720">
        <f t="shared" ref="AY120:BF120" si="475">+AY111-AY115</f>
        <v>-6.109375</v>
      </c>
      <c r="AZ120" s="645">
        <f t="shared" si="475"/>
        <v>-6.109375</v>
      </c>
      <c r="BA120" s="645">
        <f t="shared" si="475"/>
        <v>-6.109375</v>
      </c>
      <c r="BB120" s="645">
        <f t="shared" si="475"/>
        <v>-6.109375</v>
      </c>
      <c r="BC120" s="646">
        <f t="shared" si="475"/>
        <v>-6.109375</v>
      </c>
      <c r="BD120" s="645">
        <f t="shared" si="475"/>
        <v>-6.109375</v>
      </c>
      <c r="BE120" s="645">
        <f t="shared" si="475"/>
        <v>-6.109375</v>
      </c>
      <c r="BF120" s="645">
        <f t="shared" si="475"/>
        <v>-6.109375</v>
      </c>
      <c r="BG120" s="646">
        <f>+BG111-BG115</f>
        <v>-6.109375</v>
      </c>
      <c r="BH120" s="645">
        <f>+BH111-BH115</f>
        <v>-6.109375</v>
      </c>
      <c r="BI120" s="645">
        <f t="shared" ref="BI120:BJ120" si="476">+BI111-BI115</f>
        <v>-6.109375</v>
      </c>
      <c r="BJ120" s="645">
        <f t="shared" si="476"/>
        <v>-6.109375</v>
      </c>
      <c r="BK120" s="646">
        <f t="shared" ref="BK120:BO120" si="477">+BK111-BK115</f>
        <v>-6.109375</v>
      </c>
      <c r="BL120" s="645">
        <f t="shared" si="477"/>
        <v>-6.109375</v>
      </c>
      <c r="BM120" s="645">
        <f t="shared" si="477"/>
        <v>-6.109375</v>
      </c>
      <c r="BN120" s="645">
        <f t="shared" si="477"/>
        <v>-6.109375</v>
      </c>
      <c r="BO120" s="646">
        <f t="shared" si="477"/>
        <v>-6.109375</v>
      </c>
      <c r="BP120" s="645">
        <f t="shared" ref="BP120:BW120" si="478">+BP111-BP115</f>
        <v>-6.109375</v>
      </c>
      <c r="BQ120" s="645">
        <f t="shared" si="478"/>
        <v>-6.109375</v>
      </c>
      <c r="BR120" s="645">
        <f t="shared" si="478"/>
        <v>-6.109375</v>
      </c>
      <c r="BS120" s="646">
        <f t="shared" si="478"/>
        <v>-6.109375</v>
      </c>
      <c r="BT120" s="645">
        <f t="shared" si="478"/>
        <v>-6.109375</v>
      </c>
      <c r="BU120" s="645">
        <f t="shared" si="478"/>
        <v>-6.109375</v>
      </c>
      <c r="BV120" s="645">
        <f t="shared" si="478"/>
        <v>-6.109375</v>
      </c>
      <c r="BW120" s="646">
        <f t="shared" si="478"/>
        <v>-6.109375</v>
      </c>
      <c r="BX120" s="722"/>
      <c r="BY120" s="752"/>
      <c r="BZ120" s="753"/>
      <c r="CA120" s="753"/>
      <c r="CB120" s="753"/>
      <c r="CC120" s="753"/>
      <c r="CD120" s="753"/>
      <c r="CE120" s="753"/>
      <c r="CF120" s="753"/>
      <c r="CG120" s="752"/>
      <c r="CH120" s="753"/>
      <c r="CI120" s="754">
        <f>+SUM(AR120:AU120)</f>
        <v>-24.4375</v>
      </c>
      <c r="CJ120" s="754">
        <f>+SUM(AV120:AY120)</f>
        <v>-24.4375</v>
      </c>
      <c r="CK120" s="754">
        <f t="shared" si="468"/>
        <v>-24.4375</v>
      </c>
      <c r="CL120" s="754">
        <f t="shared" si="469"/>
        <v>-24.4375</v>
      </c>
      <c r="CM120" s="754">
        <f t="shared" si="470"/>
        <v>-24.4375</v>
      </c>
      <c r="CN120" s="754">
        <f t="shared" si="471"/>
        <v>-24.4375</v>
      </c>
      <c r="CO120" s="754">
        <f t="shared" si="472"/>
        <v>-24.4375</v>
      </c>
      <c r="CP120" s="755">
        <f t="shared" si="473"/>
        <v>-24.4375</v>
      </c>
      <c r="CQ120" s="722"/>
      <c r="CR120" s="723"/>
      <c r="CS120" s="724"/>
      <c r="CT120" s="724"/>
      <c r="CU120" s="724"/>
      <c r="CV120" s="724"/>
      <c r="CW120" s="724"/>
      <c r="CX120" s="724"/>
      <c r="CY120" s="724"/>
      <c r="CZ120" s="724"/>
      <c r="DA120" s="724"/>
      <c r="DB120" s="724"/>
      <c r="DC120" s="724"/>
      <c r="DD120" s="724"/>
      <c r="DE120" s="724"/>
      <c r="DF120" s="724"/>
      <c r="DG120" s="724"/>
      <c r="DH120" s="725"/>
      <c r="DI120" s="726"/>
    </row>
    <row r="121" spans="1:113" ht="14.25" customHeight="1">
      <c r="A121" s="227"/>
      <c r="B121" s="731" t="s">
        <v>297</v>
      </c>
      <c r="C121" s="244"/>
      <c r="D121" s="695"/>
      <c r="E121" s="695"/>
      <c r="F121" s="695"/>
      <c r="G121" s="696"/>
      <c r="H121" s="695"/>
      <c r="I121" s="695"/>
      <c r="J121" s="695"/>
      <c r="K121" s="696"/>
      <c r="L121" s="695"/>
      <c r="M121" s="695"/>
      <c r="N121" s="695"/>
      <c r="O121" s="696"/>
      <c r="P121" s="695"/>
      <c r="Q121" s="695"/>
      <c r="R121" s="695"/>
      <c r="S121" s="696"/>
      <c r="T121" s="695"/>
      <c r="U121" s="695"/>
      <c r="V121" s="695"/>
      <c r="W121" s="696"/>
      <c r="X121" s="695"/>
      <c r="Y121" s="695"/>
      <c r="Z121" s="695"/>
      <c r="AA121" s="696"/>
      <c r="AB121" s="695"/>
      <c r="AC121" s="695"/>
      <c r="AD121" s="695"/>
      <c r="AE121" s="696"/>
      <c r="AF121" s="695"/>
      <c r="AG121" s="695"/>
      <c r="AH121" s="695"/>
      <c r="AI121" s="696"/>
      <c r="AJ121" s="695"/>
      <c r="AK121" s="695"/>
      <c r="AL121" s="695"/>
      <c r="AM121" s="696"/>
      <c r="AN121" s="700"/>
      <c r="AO121" s="695"/>
      <c r="AP121" s="695"/>
      <c r="AQ121" s="696"/>
      <c r="AR121" s="700">
        <f t="shared" ref="AR121:AW121" si="479">+SUM(AR119:AR120)</f>
        <v>-6.109375</v>
      </c>
      <c r="AS121" s="695">
        <f t="shared" si="479"/>
        <v>-6.109375</v>
      </c>
      <c r="AT121" s="695">
        <f t="shared" si="479"/>
        <v>-6.109375</v>
      </c>
      <c r="AU121" s="696">
        <f t="shared" si="479"/>
        <v>-6.109375</v>
      </c>
      <c r="AV121" s="700">
        <f t="shared" si="479"/>
        <v>-6.109375</v>
      </c>
      <c r="AW121" s="695">
        <f t="shared" si="479"/>
        <v>-6.109375</v>
      </c>
      <c r="AX121" s="695">
        <f t="shared" ref="AX121:BC121" si="480">+SUM(AX119:AX120)</f>
        <v>-6.109375</v>
      </c>
      <c r="AY121" s="696">
        <f>+SUM(AY119:AY120)</f>
        <v>-6.109375</v>
      </c>
      <c r="AZ121" s="695">
        <f t="shared" si="480"/>
        <v>-6.109375</v>
      </c>
      <c r="BA121" s="695">
        <f>+SUM(BA119:BA120)</f>
        <v>-6.109375</v>
      </c>
      <c r="BB121" s="695">
        <f>+SUM(BB119:BB120)</f>
        <v>-6.109375</v>
      </c>
      <c r="BC121" s="696">
        <f t="shared" si="480"/>
        <v>-6.109375</v>
      </c>
      <c r="BD121" s="695">
        <f t="shared" ref="BD121:BK121" si="481">+SUM(BD119:BD120)</f>
        <v>-6.109375</v>
      </c>
      <c r="BE121" s="695">
        <f t="shared" ref="BE121:BI121" si="482">+SUM(BE119:BE120)</f>
        <v>-6.109375</v>
      </c>
      <c r="BF121" s="695">
        <f t="shared" si="482"/>
        <v>-6.109375</v>
      </c>
      <c r="BG121" s="696">
        <f t="shared" si="482"/>
        <v>-6.109375</v>
      </c>
      <c r="BH121" s="695">
        <f t="shared" si="482"/>
        <v>-6.109375</v>
      </c>
      <c r="BI121" s="695">
        <f t="shared" si="482"/>
        <v>-6.109375</v>
      </c>
      <c r="BJ121" s="695">
        <f t="shared" ref="BJ121" si="483">+SUM(BJ119:BJ120)</f>
        <v>-6.109375</v>
      </c>
      <c r="BK121" s="696">
        <f t="shared" si="481"/>
        <v>-6.109375</v>
      </c>
      <c r="BL121" s="695">
        <f t="shared" ref="BL121:BS121" si="484">+SUM(BL119:BL120)</f>
        <v>-6.109375</v>
      </c>
      <c r="BM121" s="695">
        <f t="shared" si="484"/>
        <v>-6.109375</v>
      </c>
      <c r="BN121" s="695">
        <f t="shared" si="484"/>
        <v>-6.109375</v>
      </c>
      <c r="BO121" s="696">
        <f t="shared" si="484"/>
        <v>-6.109375</v>
      </c>
      <c r="BP121" s="695">
        <f t="shared" si="484"/>
        <v>-6.109375</v>
      </c>
      <c r="BQ121" s="695">
        <f t="shared" si="484"/>
        <v>-6.109375</v>
      </c>
      <c r="BR121" s="695">
        <f t="shared" si="484"/>
        <v>-6.109375</v>
      </c>
      <c r="BS121" s="696">
        <f t="shared" si="484"/>
        <v>-6.109375</v>
      </c>
      <c r="BT121" s="695">
        <f t="shared" ref="BT121:BW121" si="485">+SUM(BT119:BT120)</f>
        <v>-6.109375</v>
      </c>
      <c r="BU121" s="695">
        <f t="shared" si="485"/>
        <v>-6.109375</v>
      </c>
      <c r="BV121" s="695">
        <f t="shared" si="485"/>
        <v>-6.109375</v>
      </c>
      <c r="BW121" s="696">
        <f t="shared" si="485"/>
        <v>-6.109375</v>
      </c>
      <c r="BX121" s="594"/>
      <c r="BY121" s="701"/>
      <c r="BZ121" s="702"/>
      <c r="CA121" s="702"/>
      <c r="CB121" s="702"/>
      <c r="CC121" s="702"/>
      <c r="CD121" s="702"/>
      <c r="CE121" s="702"/>
      <c r="CF121" s="702"/>
      <c r="CG121" s="701"/>
      <c r="CH121" s="702"/>
      <c r="CI121" s="174">
        <f t="shared" ref="CI121:CO121" si="486">+SUM(CI119:CI120)</f>
        <v>-24.4375</v>
      </c>
      <c r="CJ121" s="174">
        <f t="shared" si="486"/>
        <v>-24.4375</v>
      </c>
      <c r="CK121" s="174">
        <f t="shared" si="486"/>
        <v>-24.4375</v>
      </c>
      <c r="CL121" s="174">
        <f t="shared" si="486"/>
        <v>-24.4375</v>
      </c>
      <c r="CM121" s="174">
        <f t="shared" si="486"/>
        <v>-24.4375</v>
      </c>
      <c r="CN121" s="174">
        <f t="shared" si="486"/>
        <v>-24.4375</v>
      </c>
      <c r="CO121" s="174">
        <f t="shared" si="486"/>
        <v>-24.4375</v>
      </c>
      <c r="CP121" s="175">
        <f t="shared" ref="CP121" si="487">+SUM(CP119:CP120)</f>
        <v>-24.4375</v>
      </c>
      <c r="CQ121" s="594"/>
      <c r="CR121" s="701"/>
      <c r="CS121" s="702"/>
      <c r="CT121" s="702"/>
      <c r="CU121" s="702"/>
      <c r="CV121" s="702"/>
      <c r="CW121" s="702"/>
      <c r="CX121" s="702"/>
      <c r="CY121" s="702"/>
      <c r="CZ121" s="702"/>
      <c r="DA121" s="702"/>
      <c r="DB121" s="702"/>
      <c r="DC121" s="702"/>
      <c r="DD121" s="702"/>
      <c r="DE121" s="702"/>
      <c r="DF121" s="702"/>
      <c r="DG121" s="702"/>
      <c r="DH121" s="703"/>
      <c r="DI121" s="350"/>
    </row>
    <row r="122" spans="1:113" ht="14.25" customHeight="1">
      <c r="A122" s="8"/>
      <c r="B122" s="618"/>
      <c r="C122" s="68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  <c r="BB122" s="163"/>
      <c r="BC122" s="163"/>
      <c r="BD122" s="163"/>
      <c r="BE122" s="163"/>
      <c r="BF122" s="163"/>
      <c r="BG122" s="163"/>
      <c r="BH122" s="163"/>
      <c r="BI122" s="163"/>
      <c r="BJ122" s="163"/>
      <c r="BK122" s="163"/>
      <c r="BL122" s="163"/>
      <c r="BM122" s="163"/>
      <c r="BN122" s="163"/>
      <c r="BO122" s="163"/>
      <c r="BP122" s="163"/>
      <c r="BQ122" s="163"/>
      <c r="BR122" s="163"/>
      <c r="BS122" s="163"/>
      <c r="BT122" s="163"/>
      <c r="BU122" s="163"/>
      <c r="BV122" s="163"/>
      <c r="BW122" s="163"/>
      <c r="BX122" s="14"/>
      <c r="BY122" s="171"/>
      <c r="BZ122" s="171"/>
      <c r="CA122" s="171"/>
      <c r="CB122" s="171"/>
      <c r="CC122" s="171"/>
      <c r="CD122" s="171"/>
      <c r="CE122" s="171"/>
      <c r="CF122" s="171"/>
      <c r="CG122" s="171"/>
      <c r="CH122" s="171"/>
      <c r="CI122" s="171"/>
      <c r="CJ122" s="171"/>
      <c r="CK122" s="171"/>
      <c r="CL122" s="171"/>
      <c r="CM122" s="171"/>
      <c r="CN122" s="171"/>
      <c r="CO122" s="171"/>
      <c r="CP122" s="171"/>
      <c r="CQ122" s="14"/>
      <c r="CR122" s="171"/>
      <c r="CS122" s="171"/>
      <c r="CT122" s="171"/>
      <c r="CU122" s="171"/>
      <c r="CV122" s="171"/>
      <c r="CW122" s="171"/>
      <c r="CX122" s="171"/>
      <c r="CY122" s="171"/>
      <c r="CZ122" s="171"/>
      <c r="DA122" s="171"/>
      <c r="DB122" s="171"/>
      <c r="DC122" s="171"/>
      <c r="DD122" s="171"/>
      <c r="DE122" s="171"/>
      <c r="DF122" s="171"/>
      <c r="DG122" s="171"/>
      <c r="DH122" s="171"/>
      <c r="DI122" s="14"/>
    </row>
    <row r="123" spans="1:113" ht="14.25" customHeight="1">
      <c r="A123" s="8"/>
      <c r="B123" s="668" t="s">
        <v>321</v>
      </c>
      <c r="C123" s="589"/>
      <c r="D123" s="17" t="str">
        <f t="shared" ref="D123:AM123" si="488">D$60</f>
        <v>F1Q03A</v>
      </c>
      <c r="E123" s="18" t="str">
        <f t="shared" si="488"/>
        <v>F2Q03A</v>
      </c>
      <c r="F123" s="18" t="str">
        <f t="shared" si="488"/>
        <v>F3Q03A</v>
      </c>
      <c r="G123" s="19" t="str">
        <f t="shared" si="488"/>
        <v>F4Q03A</v>
      </c>
      <c r="H123" s="17" t="str">
        <f t="shared" si="488"/>
        <v>F1Q04A</v>
      </c>
      <c r="I123" s="18" t="str">
        <f t="shared" si="488"/>
        <v>F2Q04A</v>
      </c>
      <c r="J123" s="18" t="str">
        <f t="shared" si="488"/>
        <v>F3Q04A</v>
      </c>
      <c r="K123" s="19" t="str">
        <f t="shared" si="488"/>
        <v>F4Q04A</v>
      </c>
      <c r="L123" s="17" t="str">
        <f t="shared" si="488"/>
        <v>F1Q05A</v>
      </c>
      <c r="M123" s="18" t="str">
        <f t="shared" si="488"/>
        <v>F2Q05A</v>
      </c>
      <c r="N123" s="18" t="str">
        <f t="shared" si="488"/>
        <v>F3Q05A</v>
      </c>
      <c r="O123" s="19" t="str">
        <f t="shared" si="488"/>
        <v>F4Q05A</v>
      </c>
      <c r="P123" s="17" t="str">
        <f t="shared" si="488"/>
        <v>F1Q06A</v>
      </c>
      <c r="Q123" s="18" t="str">
        <f t="shared" si="488"/>
        <v>F2Q06A</v>
      </c>
      <c r="R123" s="18" t="str">
        <f t="shared" si="488"/>
        <v>F3Q06A</v>
      </c>
      <c r="S123" s="19" t="str">
        <f t="shared" si="488"/>
        <v>F4Q06A</v>
      </c>
      <c r="T123" s="17" t="str">
        <f t="shared" si="488"/>
        <v>F1Q07A</v>
      </c>
      <c r="U123" s="18" t="str">
        <f t="shared" si="488"/>
        <v>F2Q07A</v>
      </c>
      <c r="V123" s="18" t="str">
        <f t="shared" si="488"/>
        <v>F3Q07A</v>
      </c>
      <c r="W123" s="19" t="str">
        <f t="shared" si="488"/>
        <v>F4Q07A</v>
      </c>
      <c r="X123" s="17" t="str">
        <f t="shared" si="488"/>
        <v>F1Q08A</v>
      </c>
      <c r="Y123" s="18" t="str">
        <f t="shared" si="488"/>
        <v>F2Q08A</v>
      </c>
      <c r="Z123" s="18" t="str">
        <f t="shared" si="488"/>
        <v>F3Q08A</v>
      </c>
      <c r="AA123" s="19" t="str">
        <f t="shared" si="488"/>
        <v>F4Q08A</v>
      </c>
      <c r="AB123" s="17" t="str">
        <f t="shared" si="488"/>
        <v>F1Q09A</v>
      </c>
      <c r="AC123" s="18" t="str">
        <f t="shared" si="488"/>
        <v>F2Q09A</v>
      </c>
      <c r="AD123" s="18" t="str">
        <f t="shared" si="488"/>
        <v>F3Q09A</v>
      </c>
      <c r="AE123" s="19" t="str">
        <f t="shared" si="488"/>
        <v>F4Q09A</v>
      </c>
      <c r="AF123" s="17" t="str">
        <f t="shared" si="488"/>
        <v>F1Q10A</v>
      </c>
      <c r="AG123" s="18" t="str">
        <f t="shared" si="488"/>
        <v>F2Q10A</v>
      </c>
      <c r="AH123" s="18" t="str">
        <f t="shared" si="488"/>
        <v>F3Q10A</v>
      </c>
      <c r="AI123" s="19" t="str">
        <f t="shared" si="488"/>
        <v>F4Q10A</v>
      </c>
      <c r="AJ123" s="17" t="str">
        <f t="shared" si="488"/>
        <v>F1Q11A</v>
      </c>
      <c r="AK123" s="18" t="str">
        <f t="shared" si="488"/>
        <v>F2Q11A</v>
      </c>
      <c r="AL123" s="18" t="str">
        <f t="shared" si="488"/>
        <v>F3Q11A</v>
      </c>
      <c r="AM123" s="19" t="str">
        <f t="shared" si="488"/>
        <v>F4Q11A</v>
      </c>
      <c r="AN123" s="17" t="str">
        <f>AN$60</f>
        <v>F1Q12A</v>
      </c>
      <c r="AO123" s="18" t="str">
        <f t="shared" ref="AO123:BW123" si="489">AO$60</f>
        <v>F2Q12A</v>
      </c>
      <c r="AP123" s="18" t="str">
        <f t="shared" si="489"/>
        <v>F3Q12A</v>
      </c>
      <c r="AQ123" s="19" t="str">
        <f t="shared" si="489"/>
        <v>F4Q12A</v>
      </c>
      <c r="AR123" s="17" t="str">
        <f t="shared" si="489"/>
        <v>F1Q13A</v>
      </c>
      <c r="AS123" s="18" t="str">
        <f t="shared" si="489"/>
        <v>F2Q13A</v>
      </c>
      <c r="AT123" s="18" t="str">
        <f t="shared" si="489"/>
        <v>F3Q13A</v>
      </c>
      <c r="AU123" s="19" t="str">
        <f t="shared" si="489"/>
        <v>F4Q13A</v>
      </c>
      <c r="AV123" s="17" t="str">
        <f t="shared" si="489"/>
        <v>F1Q14A</v>
      </c>
      <c r="AW123" s="18" t="str">
        <f t="shared" si="489"/>
        <v>F2Q14A</v>
      </c>
      <c r="AX123" s="18" t="str">
        <f t="shared" si="489"/>
        <v>F3Q14A</v>
      </c>
      <c r="AY123" s="19" t="str">
        <f t="shared" si="489"/>
        <v>F4Q14A</v>
      </c>
      <c r="AZ123" s="18" t="str">
        <f t="shared" si="489"/>
        <v>F1Q15A</v>
      </c>
      <c r="BA123" s="18" t="str">
        <f t="shared" si="489"/>
        <v>F2Q15A</v>
      </c>
      <c r="BB123" s="18" t="str">
        <f t="shared" si="489"/>
        <v>F3Q15A</v>
      </c>
      <c r="BC123" s="19" t="str">
        <f t="shared" si="489"/>
        <v>F4Q15A</v>
      </c>
      <c r="BD123" s="18" t="str">
        <f t="shared" si="489"/>
        <v>F1Q16A</v>
      </c>
      <c r="BE123" s="18" t="str">
        <f t="shared" si="489"/>
        <v>F2Q16A</v>
      </c>
      <c r="BF123" s="18" t="str">
        <f t="shared" si="489"/>
        <v>F3Q16A</v>
      </c>
      <c r="BG123" s="19" t="str">
        <f t="shared" si="489"/>
        <v>F4Q16A</v>
      </c>
      <c r="BH123" s="18" t="str">
        <f t="shared" si="489"/>
        <v>F1Q17A</v>
      </c>
      <c r="BI123" s="1327" t="str">
        <f t="shared" si="489"/>
        <v>F2Q17A</v>
      </c>
      <c r="BJ123" s="1374" t="str">
        <f t="shared" si="489"/>
        <v>F3Q17A</v>
      </c>
      <c r="BK123" s="19" t="str">
        <f t="shared" si="489"/>
        <v>F4Q17A</v>
      </c>
      <c r="BL123" s="18" t="str">
        <f t="shared" si="489"/>
        <v>F1Q18A</v>
      </c>
      <c r="BM123" s="18" t="str">
        <f t="shared" si="489"/>
        <v>F2Q18A</v>
      </c>
      <c r="BN123" s="18" t="str">
        <f t="shared" si="489"/>
        <v>F3Q18A</v>
      </c>
      <c r="BO123" s="19" t="str">
        <f t="shared" si="489"/>
        <v>F4Q18E</v>
      </c>
      <c r="BP123" s="18" t="str">
        <f t="shared" si="489"/>
        <v>F1Q19E</v>
      </c>
      <c r="BQ123" s="18" t="str">
        <f t="shared" si="489"/>
        <v>F2Q19E</v>
      </c>
      <c r="BR123" s="18" t="str">
        <f t="shared" si="489"/>
        <v>F3Q19E</v>
      </c>
      <c r="BS123" s="19" t="str">
        <f t="shared" si="489"/>
        <v>F4Q19E</v>
      </c>
      <c r="BT123" s="1374" t="str">
        <f t="shared" si="489"/>
        <v>F1Q20E</v>
      </c>
      <c r="BU123" s="1374" t="str">
        <f t="shared" si="489"/>
        <v>F2Q20E</v>
      </c>
      <c r="BV123" s="1374" t="str">
        <f t="shared" si="489"/>
        <v>F3Q20E</v>
      </c>
      <c r="BW123" s="1375" t="str">
        <f t="shared" si="489"/>
        <v>F4Q20E</v>
      </c>
      <c r="BX123" s="20"/>
      <c r="BY123" s="18" t="str">
        <f>BY$60</f>
        <v>FY2003A</v>
      </c>
      <c r="BZ123" s="18" t="str">
        <f>BZ$60</f>
        <v>FY2004A</v>
      </c>
      <c r="CA123" s="18" t="str">
        <f>CA$60</f>
        <v>FY2005A</v>
      </c>
      <c r="CB123" s="18" t="str">
        <f>CB$60</f>
        <v>FY2006A</v>
      </c>
      <c r="CC123" s="18" t="str">
        <f t="shared" ref="CC123:CP123" si="490">CC$60</f>
        <v>FY2007A</v>
      </c>
      <c r="CD123" s="18" t="str">
        <f t="shared" si="490"/>
        <v>FY2008A</v>
      </c>
      <c r="CE123" s="18" t="str">
        <f t="shared" si="490"/>
        <v>FY2009A</v>
      </c>
      <c r="CF123" s="18" t="str">
        <f t="shared" si="490"/>
        <v>FY2010A</v>
      </c>
      <c r="CG123" s="17" t="str">
        <f t="shared" si="490"/>
        <v>FY2011A</v>
      </c>
      <c r="CH123" s="18" t="str">
        <f t="shared" si="490"/>
        <v>FY2012A</v>
      </c>
      <c r="CI123" s="18" t="str">
        <f t="shared" si="490"/>
        <v>FY2013A</v>
      </c>
      <c r="CJ123" s="18" t="str">
        <f t="shared" si="490"/>
        <v>FY2014A</v>
      </c>
      <c r="CK123" s="18" t="str">
        <f t="shared" si="490"/>
        <v>FY2015A</v>
      </c>
      <c r="CL123" s="18" t="str">
        <f t="shared" si="490"/>
        <v>FY2016A</v>
      </c>
      <c r="CM123" s="18" t="str">
        <f t="shared" si="490"/>
        <v>FY2017A</v>
      </c>
      <c r="CN123" s="18" t="str">
        <f t="shared" si="490"/>
        <v>FY2018E</v>
      </c>
      <c r="CO123" s="1374" t="str">
        <f t="shared" si="490"/>
        <v>FY2019E</v>
      </c>
      <c r="CP123" s="1375" t="str">
        <f t="shared" si="490"/>
        <v>FY2020E</v>
      </c>
      <c r="CQ123" s="20"/>
      <c r="CR123" s="17" t="str">
        <f>CR$60</f>
        <v>CY2003</v>
      </c>
      <c r="CS123" s="18" t="str">
        <f>CS$60</f>
        <v>CY2004</v>
      </c>
      <c r="CT123" s="18" t="str">
        <f>CT$60</f>
        <v>CY2005</v>
      </c>
      <c r="CU123" s="18" t="str">
        <f>CU$60</f>
        <v>CY2006</v>
      </c>
      <c r="CV123" s="18" t="str">
        <f t="shared" ref="CV123:DH123" si="491">CV$60</f>
        <v>CY2007</v>
      </c>
      <c r="CW123" s="18" t="str">
        <f t="shared" si="491"/>
        <v>CY2008</v>
      </c>
      <c r="CX123" s="18" t="str">
        <f t="shared" si="491"/>
        <v>CY2009</v>
      </c>
      <c r="CY123" s="18" t="str">
        <f t="shared" si="491"/>
        <v>CY2010</v>
      </c>
      <c r="CZ123" s="18" t="str">
        <f t="shared" si="491"/>
        <v>CY2011</v>
      </c>
      <c r="DA123" s="18" t="str">
        <f t="shared" si="491"/>
        <v>CY2012</v>
      </c>
      <c r="DB123" s="18" t="str">
        <f t="shared" si="491"/>
        <v>CY2013</v>
      </c>
      <c r="DC123" s="18" t="str">
        <f t="shared" si="491"/>
        <v>CY2014</v>
      </c>
      <c r="DD123" s="18" t="str">
        <f t="shared" si="491"/>
        <v>CY2015</v>
      </c>
      <c r="DE123" s="18" t="str">
        <f t="shared" si="491"/>
        <v>CY2016</v>
      </c>
      <c r="DF123" s="18" t="str">
        <f t="shared" si="491"/>
        <v>CY2017</v>
      </c>
      <c r="DG123" s="1439" t="str">
        <f t="shared" si="491"/>
        <v>CY2018</v>
      </c>
      <c r="DH123" s="1440" t="str">
        <f t="shared" si="491"/>
        <v>CY2019</v>
      </c>
      <c r="DI123" s="22"/>
    </row>
    <row r="124" spans="1:113" ht="14.25" customHeight="1">
      <c r="A124" s="8"/>
      <c r="B124" s="330" t="s">
        <v>454</v>
      </c>
      <c r="C124" s="68"/>
      <c r="D124" s="635">
        <f>D32+D36+D37</f>
        <v>0</v>
      </c>
      <c r="E124" s="163">
        <f t="shared" ref="E124:BC124" si="492">E32+E36+E37</f>
        <v>0</v>
      </c>
      <c r="F124" s="163">
        <f t="shared" si="492"/>
        <v>0</v>
      </c>
      <c r="G124" s="170">
        <f t="shared" si="492"/>
        <v>0</v>
      </c>
      <c r="H124" s="635">
        <f t="shared" si="492"/>
        <v>0</v>
      </c>
      <c r="I124" s="163">
        <f t="shared" si="492"/>
        <v>0</v>
      </c>
      <c r="J124" s="163">
        <f t="shared" si="492"/>
        <v>0</v>
      </c>
      <c r="K124" s="170">
        <f t="shared" si="492"/>
        <v>0</v>
      </c>
      <c r="L124" s="635">
        <f t="shared" si="492"/>
        <v>0</v>
      </c>
      <c r="M124" s="163">
        <f t="shared" si="492"/>
        <v>42.274999999999999</v>
      </c>
      <c r="N124" s="163">
        <f t="shared" si="492"/>
        <v>44.252000000000002</v>
      </c>
      <c r="O124" s="170">
        <f t="shared" si="492"/>
        <v>45.454000000000001</v>
      </c>
      <c r="P124" s="635">
        <f t="shared" si="492"/>
        <v>45.454000000000001</v>
      </c>
      <c r="Q124" s="163">
        <f t="shared" si="492"/>
        <v>45.454000000000001</v>
      </c>
      <c r="R124" s="163">
        <f t="shared" si="492"/>
        <v>45.454000000000001</v>
      </c>
      <c r="S124" s="170">
        <f t="shared" si="492"/>
        <v>268.95400000000001</v>
      </c>
      <c r="T124" s="635">
        <f t="shared" si="492"/>
        <v>137.5</v>
      </c>
      <c r="U124" s="163">
        <f t="shared" si="492"/>
        <v>80.8</v>
      </c>
      <c r="V124" s="163">
        <f t="shared" si="492"/>
        <v>29.5</v>
      </c>
      <c r="W124" s="170">
        <f t="shared" si="492"/>
        <v>0</v>
      </c>
      <c r="X124" s="635">
        <f t="shared" si="492"/>
        <v>107.89</v>
      </c>
      <c r="Y124" s="163">
        <f t="shared" si="492"/>
        <v>106.03100000000001</v>
      </c>
      <c r="Z124" s="163">
        <f t="shared" si="492"/>
        <v>1150.1030000000001</v>
      </c>
      <c r="AA124" s="170">
        <f t="shared" si="492"/>
        <v>1150.1279999999999</v>
      </c>
      <c r="AB124" s="635">
        <f t="shared" si="492"/>
        <v>1150.2270000000001</v>
      </c>
      <c r="AC124" s="163">
        <f t="shared" si="492"/>
        <v>1149.5039999999999</v>
      </c>
      <c r="AD124" s="163">
        <f t="shared" si="492"/>
        <v>1148.9749999999999</v>
      </c>
      <c r="AE124" s="170">
        <f t="shared" si="492"/>
        <v>1149.184</v>
      </c>
      <c r="AF124" s="635">
        <f t="shared" si="492"/>
        <v>335.53899999999999</v>
      </c>
      <c r="AG124" s="163">
        <f t="shared" si="492"/>
        <v>337.40300000000002</v>
      </c>
      <c r="AH124" s="163">
        <f t="shared" si="492"/>
        <v>339</v>
      </c>
      <c r="AI124" s="170">
        <f t="shared" si="492"/>
        <v>340.67200000000003</v>
      </c>
      <c r="AJ124" s="635">
        <f t="shared" si="492"/>
        <v>342.22300000000001</v>
      </c>
      <c r="AK124" s="163">
        <f t="shared" si="492"/>
        <v>344.08499999999998</v>
      </c>
      <c r="AL124" s="163">
        <f t="shared" si="492"/>
        <v>345.58100000000002</v>
      </c>
      <c r="AM124" s="170">
        <f t="shared" si="492"/>
        <v>347.334</v>
      </c>
      <c r="AN124" s="635">
        <f t="shared" si="492"/>
        <v>349.10899999999998</v>
      </c>
      <c r="AO124" s="163">
        <f t="shared" si="492"/>
        <v>351.37099999999998</v>
      </c>
      <c r="AP124" s="163">
        <f t="shared" si="492"/>
        <v>353.34100000000001</v>
      </c>
      <c r="AQ124" s="170">
        <f t="shared" si="492"/>
        <v>355.05</v>
      </c>
      <c r="AR124" s="635">
        <f t="shared" si="492"/>
        <v>357.35500000000002</v>
      </c>
      <c r="AS124" s="163">
        <f t="shared" si="492"/>
        <v>959.65599999999995</v>
      </c>
      <c r="AT124" s="163">
        <f t="shared" si="492"/>
        <v>971.40899999999999</v>
      </c>
      <c r="AU124" s="170">
        <f t="shared" si="492"/>
        <v>983.38499999999999</v>
      </c>
      <c r="AV124" s="635">
        <f t="shared" si="492"/>
        <v>974.25</v>
      </c>
      <c r="AW124" s="163">
        <f t="shared" si="492"/>
        <v>1006.287</v>
      </c>
      <c r="AX124" s="163">
        <f>AX32+AX36+AX37</f>
        <v>1019.471</v>
      </c>
      <c r="AY124" s="170">
        <f>AY32+AY36+AY37</f>
        <v>1020.758</v>
      </c>
      <c r="AZ124" s="163">
        <f>AZ32+AZ36+AZ37</f>
        <v>1353.1779999999999</v>
      </c>
      <c r="BA124" s="163">
        <f>BA32+BA36+BA37</f>
        <v>1341.3710000000001</v>
      </c>
      <c r="BB124" s="163">
        <f>BB32+BB36+BB37</f>
        <v>1359.595</v>
      </c>
      <c r="BC124" s="164">
        <f t="shared" si="492"/>
        <v>1826.8579999999999</v>
      </c>
      <c r="BD124" s="163">
        <f t="shared" ref="BD124:BI124" si="493">BD32+BD36+BD37</f>
        <v>1858.6970000000001</v>
      </c>
      <c r="BE124" s="163">
        <f t="shared" si="493"/>
        <v>2687.8739999999998</v>
      </c>
      <c r="BF124" s="163">
        <f t="shared" si="493"/>
        <v>2406.4740000000002</v>
      </c>
      <c r="BG124" s="164">
        <f t="shared" si="493"/>
        <v>2483.0370000000003</v>
      </c>
      <c r="BH124" s="163">
        <f t="shared" si="493"/>
        <v>3336.5039999999999</v>
      </c>
      <c r="BI124" s="163">
        <f t="shared" si="493"/>
        <v>3105.433</v>
      </c>
      <c r="BJ124" s="163">
        <f t="shared" ref="BJ124" si="494">BJ32+BJ36+BJ37</f>
        <v>3123.9940000000001</v>
      </c>
      <c r="BK124" s="164">
        <f t="shared" ref="BK124:BO124" si="495">BK32+BK36+BK37</f>
        <v>2900.5239999999999</v>
      </c>
      <c r="BL124" s="163">
        <f t="shared" si="495"/>
        <v>2983.9079999999999</v>
      </c>
      <c r="BM124" s="163">
        <f t="shared" si="495"/>
        <v>3011.8519999999999</v>
      </c>
      <c r="BN124" s="163">
        <f t="shared" si="495"/>
        <v>3039.623</v>
      </c>
      <c r="BO124" s="164">
        <f t="shared" si="495"/>
        <v>3039.623</v>
      </c>
      <c r="BP124" s="163">
        <f t="shared" ref="BP124:BW124" si="496">BP32+BP36+BP37</f>
        <v>3039.623</v>
      </c>
      <c r="BQ124" s="163">
        <f t="shared" si="496"/>
        <v>3039.623</v>
      </c>
      <c r="BR124" s="163">
        <f t="shared" si="496"/>
        <v>3039.623</v>
      </c>
      <c r="BS124" s="164">
        <f t="shared" si="496"/>
        <v>3039.623</v>
      </c>
      <c r="BT124" s="163">
        <f t="shared" si="496"/>
        <v>3039.623</v>
      </c>
      <c r="BU124" s="163">
        <f t="shared" si="496"/>
        <v>3039.623</v>
      </c>
      <c r="BV124" s="163">
        <f t="shared" si="496"/>
        <v>3039.623</v>
      </c>
      <c r="BW124" s="164">
        <f t="shared" si="496"/>
        <v>3039.623</v>
      </c>
      <c r="BX124" s="20"/>
      <c r="BY124" s="1230">
        <f t="shared" ref="BY124:CK124" si="497">BY32+BY36+BY37</f>
        <v>0</v>
      </c>
      <c r="BZ124" s="171">
        <f t="shared" si="497"/>
        <v>0</v>
      </c>
      <c r="CA124" s="171">
        <f t="shared" si="497"/>
        <v>45.454000000000001</v>
      </c>
      <c r="CB124" s="171">
        <f t="shared" si="497"/>
        <v>268.95400000000001</v>
      </c>
      <c r="CC124" s="171">
        <f t="shared" si="497"/>
        <v>0</v>
      </c>
      <c r="CD124" s="171">
        <f t="shared" si="497"/>
        <v>1150.1279999999999</v>
      </c>
      <c r="CE124" s="171">
        <f t="shared" si="497"/>
        <v>1149.184</v>
      </c>
      <c r="CF124" s="171">
        <f t="shared" si="497"/>
        <v>340.67200000000003</v>
      </c>
      <c r="CG124" s="172">
        <f t="shared" si="497"/>
        <v>347.334</v>
      </c>
      <c r="CH124" s="171">
        <f t="shared" si="497"/>
        <v>355.05</v>
      </c>
      <c r="CI124" s="171">
        <f t="shared" si="497"/>
        <v>983.38499999999999</v>
      </c>
      <c r="CJ124" s="171">
        <f t="shared" si="497"/>
        <v>1020.758</v>
      </c>
      <c r="CK124" s="171">
        <f t="shared" si="497"/>
        <v>1826.8579999999999</v>
      </c>
      <c r="CL124" s="1230">
        <f>CL32+CL36+CL37</f>
        <v>2483.0370000000003</v>
      </c>
      <c r="CM124" s="1230">
        <f>CM32+CM36+CM37</f>
        <v>2900.5239999999999</v>
      </c>
      <c r="CN124" s="1230">
        <f>CN32+CN36+CN37</f>
        <v>3039.623</v>
      </c>
      <c r="CO124" s="1230">
        <f>CO32+CO36+CO37</f>
        <v>3039.623</v>
      </c>
      <c r="CP124" s="1127">
        <f>CP32+CP36+CP37</f>
        <v>3039.623</v>
      </c>
      <c r="CQ124" s="20"/>
      <c r="CR124" s="1475"/>
      <c r="CS124" s="1230"/>
      <c r="CT124" s="1230"/>
      <c r="CU124" s="1230"/>
      <c r="CV124" s="1230"/>
      <c r="CW124" s="1230"/>
      <c r="CX124" s="1230"/>
      <c r="CY124" s="1230"/>
      <c r="CZ124" s="1230"/>
      <c r="DA124" s="1230"/>
      <c r="DB124" s="1230"/>
      <c r="DC124" s="1230"/>
      <c r="DD124" s="1230"/>
      <c r="DE124" s="1230"/>
      <c r="DF124" s="1230"/>
      <c r="DG124" s="1230"/>
      <c r="DH124" s="1127"/>
      <c r="DI124" s="14"/>
    </row>
    <row r="125" spans="1:113" ht="14.25" customHeight="1">
      <c r="A125" s="8"/>
      <c r="B125" s="330" t="s">
        <v>455</v>
      </c>
      <c r="C125" s="68"/>
      <c r="D125" s="635"/>
      <c r="E125" s="163">
        <f>AVERAGE(D124,E124)</f>
        <v>0</v>
      </c>
      <c r="F125" s="163">
        <f t="shared" ref="F125:BD125" si="498">AVERAGE(E124,F124)</f>
        <v>0</v>
      </c>
      <c r="G125" s="170">
        <f t="shared" si="498"/>
        <v>0</v>
      </c>
      <c r="H125" s="635">
        <f t="shared" si="498"/>
        <v>0</v>
      </c>
      <c r="I125" s="163">
        <f t="shared" si="498"/>
        <v>0</v>
      </c>
      <c r="J125" s="163">
        <f t="shared" si="498"/>
        <v>0</v>
      </c>
      <c r="K125" s="170">
        <f t="shared" si="498"/>
        <v>0</v>
      </c>
      <c r="L125" s="635">
        <f t="shared" si="498"/>
        <v>0</v>
      </c>
      <c r="M125" s="163">
        <f t="shared" si="498"/>
        <v>21.137499999999999</v>
      </c>
      <c r="N125" s="163">
        <f t="shared" si="498"/>
        <v>43.263500000000001</v>
      </c>
      <c r="O125" s="170">
        <f t="shared" si="498"/>
        <v>44.853000000000002</v>
      </c>
      <c r="P125" s="635">
        <f t="shared" si="498"/>
        <v>45.454000000000001</v>
      </c>
      <c r="Q125" s="163">
        <f t="shared" si="498"/>
        <v>45.454000000000001</v>
      </c>
      <c r="R125" s="163">
        <f t="shared" si="498"/>
        <v>45.454000000000001</v>
      </c>
      <c r="S125" s="170">
        <f t="shared" si="498"/>
        <v>157.20400000000001</v>
      </c>
      <c r="T125" s="635">
        <f t="shared" si="498"/>
        <v>203.227</v>
      </c>
      <c r="U125" s="163">
        <f t="shared" si="498"/>
        <v>109.15</v>
      </c>
      <c r="V125" s="163">
        <f t="shared" si="498"/>
        <v>55.15</v>
      </c>
      <c r="W125" s="170">
        <f t="shared" si="498"/>
        <v>14.75</v>
      </c>
      <c r="X125" s="635">
        <f t="shared" si="498"/>
        <v>53.945</v>
      </c>
      <c r="Y125" s="163">
        <f t="shared" si="498"/>
        <v>106.9605</v>
      </c>
      <c r="Z125" s="163">
        <f t="shared" si="498"/>
        <v>628.06700000000001</v>
      </c>
      <c r="AA125" s="170">
        <f t="shared" si="498"/>
        <v>1150.1154999999999</v>
      </c>
      <c r="AB125" s="635">
        <f t="shared" si="498"/>
        <v>1150.1775</v>
      </c>
      <c r="AC125" s="163">
        <f t="shared" si="498"/>
        <v>1149.8654999999999</v>
      </c>
      <c r="AD125" s="163">
        <f t="shared" si="498"/>
        <v>1149.2394999999999</v>
      </c>
      <c r="AE125" s="170">
        <f t="shared" si="498"/>
        <v>1149.0794999999998</v>
      </c>
      <c r="AF125" s="635">
        <f t="shared" si="498"/>
        <v>742.36149999999998</v>
      </c>
      <c r="AG125" s="163">
        <f t="shared" si="498"/>
        <v>336.471</v>
      </c>
      <c r="AH125" s="163">
        <f t="shared" si="498"/>
        <v>338.20150000000001</v>
      </c>
      <c r="AI125" s="170">
        <f t="shared" si="498"/>
        <v>339.83600000000001</v>
      </c>
      <c r="AJ125" s="635">
        <f t="shared" si="498"/>
        <v>341.44749999999999</v>
      </c>
      <c r="AK125" s="163">
        <f t="shared" si="498"/>
        <v>343.154</v>
      </c>
      <c r="AL125" s="163">
        <f t="shared" si="498"/>
        <v>344.83299999999997</v>
      </c>
      <c r="AM125" s="170">
        <f t="shared" si="498"/>
        <v>346.45749999999998</v>
      </c>
      <c r="AN125" s="635">
        <f t="shared" si="498"/>
        <v>348.22149999999999</v>
      </c>
      <c r="AO125" s="163">
        <f t="shared" si="498"/>
        <v>350.24</v>
      </c>
      <c r="AP125" s="163">
        <f t="shared" si="498"/>
        <v>352.35599999999999</v>
      </c>
      <c r="AQ125" s="170">
        <f t="shared" si="498"/>
        <v>354.19550000000004</v>
      </c>
      <c r="AR125" s="635">
        <f t="shared" si="498"/>
        <v>356.20249999999999</v>
      </c>
      <c r="AS125" s="163">
        <f t="shared" si="498"/>
        <v>658.50549999999998</v>
      </c>
      <c r="AT125" s="163">
        <f t="shared" si="498"/>
        <v>965.53250000000003</v>
      </c>
      <c r="AU125" s="170">
        <f t="shared" si="498"/>
        <v>977.39699999999993</v>
      </c>
      <c r="AV125" s="635">
        <f t="shared" si="498"/>
        <v>978.8175</v>
      </c>
      <c r="AW125" s="163">
        <f t="shared" si="498"/>
        <v>990.26850000000002</v>
      </c>
      <c r="AX125" s="163">
        <f t="shared" si="498"/>
        <v>1012.879</v>
      </c>
      <c r="AY125" s="170">
        <f t="shared" si="498"/>
        <v>1020.1145</v>
      </c>
      <c r="AZ125" s="163">
        <f t="shared" si="498"/>
        <v>1186.9679999999998</v>
      </c>
      <c r="BA125" s="163">
        <f>AVERAGE(AZ124,BA124)</f>
        <v>1347.2745</v>
      </c>
      <c r="BB125" s="163">
        <f>AVERAGE(BA124,BB124)</f>
        <v>1350.4830000000002</v>
      </c>
      <c r="BC125" s="170">
        <f t="shared" si="498"/>
        <v>1593.2265</v>
      </c>
      <c r="BD125" s="163">
        <f t="shared" si="498"/>
        <v>1842.7775000000001</v>
      </c>
      <c r="BE125" s="163">
        <f t="shared" ref="BE125:BJ125" si="499">AVERAGE(BD124,BE124)</f>
        <v>2273.2855</v>
      </c>
      <c r="BF125" s="163">
        <f t="shared" si="499"/>
        <v>2547.174</v>
      </c>
      <c r="BG125" s="170">
        <f t="shared" si="499"/>
        <v>2444.7555000000002</v>
      </c>
      <c r="BH125" s="163">
        <f t="shared" si="499"/>
        <v>2909.7705000000001</v>
      </c>
      <c r="BI125" s="163">
        <f t="shared" si="499"/>
        <v>3220.9684999999999</v>
      </c>
      <c r="BJ125" s="163">
        <f t="shared" si="499"/>
        <v>3114.7134999999998</v>
      </c>
      <c r="BK125" s="170">
        <f t="shared" ref="BK125:BO125" si="500">AVERAGE(BJ124,BK124)</f>
        <v>3012.259</v>
      </c>
      <c r="BL125" s="163">
        <f t="shared" si="500"/>
        <v>2942.2159999999999</v>
      </c>
      <c r="BM125" s="163">
        <f t="shared" si="500"/>
        <v>2997.88</v>
      </c>
      <c r="BN125" s="163">
        <f t="shared" si="500"/>
        <v>3025.7375000000002</v>
      </c>
      <c r="BO125" s="170">
        <f t="shared" si="500"/>
        <v>3039.623</v>
      </c>
      <c r="BP125" s="163">
        <f t="shared" ref="BP125:BW125" si="501">AVERAGE(BO124,BP124)</f>
        <v>3039.623</v>
      </c>
      <c r="BQ125" s="163">
        <f t="shared" si="501"/>
        <v>3039.623</v>
      </c>
      <c r="BR125" s="163">
        <f t="shared" si="501"/>
        <v>3039.623</v>
      </c>
      <c r="BS125" s="170">
        <f t="shared" si="501"/>
        <v>3039.623</v>
      </c>
      <c r="BT125" s="163">
        <f t="shared" si="501"/>
        <v>3039.623</v>
      </c>
      <c r="BU125" s="163">
        <f t="shared" si="501"/>
        <v>3039.623</v>
      </c>
      <c r="BV125" s="163">
        <f t="shared" si="501"/>
        <v>3039.623</v>
      </c>
      <c r="BW125" s="170">
        <f t="shared" si="501"/>
        <v>3039.623</v>
      </c>
      <c r="BX125" s="20"/>
      <c r="BY125" s="171">
        <f t="shared" ref="BY125:CP125" si="502">AVERAGE(BX124,BY124)</f>
        <v>0</v>
      </c>
      <c r="BZ125" s="171">
        <f t="shared" si="502"/>
        <v>0</v>
      </c>
      <c r="CA125" s="171">
        <f t="shared" si="502"/>
        <v>22.727</v>
      </c>
      <c r="CB125" s="171">
        <f t="shared" si="502"/>
        <v>157.20400000000001</v>
      </c>
      <c r="CC125" s="171">
        <f t="shared" si="502"/>
        <v>134.477</v>
      </c>
      <c r="CD125" s="171">
        <f t="shared" si="502"/>
        <v>575.06399999999996</v>
      </c>
      <c r="CE125" s="171">
        <f t="shared" si="502"/>
        <v>1149.6559999999999</v>
      </c>
      <c r="CF125" s="171">
        <f t="shared" si="502"/>
        <v>744.928</v>
      </c>
      <c r="CG125" s="172">
        <f t="shared" si="502"/>
        <v>344.00300000000004</v>
      </c>
      <c r="CH125" s="171">
        <f t="shared" si="502"/>
        <v>351.19200000000001</v>
      </c>
      <c r="CI125" s="171">
        <f t="shared" si="502"/>
        <v>669.21749999999997</v>
      </c>
      <c r="CJ125" s="171">
        <f t="shared" si="502"/>
        <v>1002.0715</v>
      </c>
      <c r="CK125" s="171">
        <f t="shared" si="502"/>
        <v>1423.808</v>
      </c>
      <c r="CL125" s="171">
        <f t="shared" si="502"/>
        <v>2154.9475000000002</v>
      </c>
      <c r="CM125" s="171">
        <f t="shared" si="502"/>
        <v>2691.7804999999998</v>
      </c>
      <c r="CN125" s="171">
        <f t="shared" si="502"/>
        <v>2970.0735</v>
      </c>
      <c r="CO125" s="171">
        <f t="shared" si="502"/>
        <v>3039.623</v>
      </c>
      <c r="CP125" s="173">
        <f t="shared" si="502"/>
        <v>3039.623</v>
      </c>
      <c r="CQ125" s="20"/>
      <c r="CR125" s="172"/>
      <c r="CS125" s="171"/>
      <c r="CT125" s="171"/>
      <c r="CU125" s="171"/>
      <c r="CV125" s="171"/>
      <c r="CW125" s="171"/>
      <c r="CX125" s="171"/>
      <c r="CY125" s="171"/>
      <c r="CZ125" s="171"/>
      <c r="DA125" s="171"/>
      <c r="DB125" s="171"/>
      <c r="DC125" s="171"/>
      <c r="DD125" s="171"/>
      <c r="DE125" s="171"/>
      <c r="DF125" s="171"/>
      <c r="DG125" s="171"/>
      <c r="DH125" s="173"/>
      <c r="DI125" s="14"/>
    </row>
    <row r="126" spans="1:113" ht="14.25" customHeight="1">
      <c r="A126" s="8"/>
      <c r="B126" s="330" t="s">
        <v>112</v>
      </c>
      <c r="C126" s="68"/>
      <c r="D126" s="635"/>
      <c r="E126" s="163">
        <f>-IS!E69</f>
        <v>0.122</v>
      </c>
      <c r="F126" s="163">
        <f>-IS!F69</f>
        <v>0.114</v>
      </c>
      <c r="G126" s="170">
        <f>-IS!G69</f>
        <v>0.121</v>
      </c>
      <c r="H126" s="635">
        <f>-IS!H69</f>
        <v>5.3999999999999999E-2</v>
      </c>
      <c r="I126" s="163">
        <f>-IS!I69</f>
        <v>6.2E-2</v>
      </c>
      <c r="J126" s="163">
        <f>-IS!J69</f>
        <v>5.1999999999999998E-2</v>
      </c>
      <c r="K126" s="170">
        <f>-IS!K69</f>
        <v>8.1000000000000016E-2</v>
      </c>
      <c r="L126" s="635">
        <f>-IS!L69</f>
        <v>0.13600000000000001</v>
      </c>
      <c r="M126" s="163">
        <f>-IS!M69</f>
        <v>0.20699999999999999</v>
      </c>
      <c r="N126" s="163">
        <f>-IS!N69</f>
        <v>0.27100000000000002</v>
      </c>
      <c r="O126" s="170">
        <f>-IS!O69</f>
        <v>0.32599999999999996</v>
      </c>
      <c r="P126" s="635">
        <f>-IS!P69</f>
        <v>0.433</v>
      </c>
      <c r="Q126" s="163">
        <f>-IS!Q69</f>
        <v>0.505</v>
      </c>
      <c r="R126" s="163">
        <f>-IS!R69</f>
        <v>0.55900000000000005</v>
      </c>
      <c r="S126" s="170">
        <f>-IS!S69</f>
        <v>0.46999999999999992</v>
      </c>
      <c r="T126" s="635">
        <f>-IS!T69</f>
        <v>2.4889999999999999</v>
      </c>
      <c r="U126" s="163">
        <f>-IS!U69</f>
        <v>0</v>
      </c>
      <c r="V126" s="163">
        <f>-IS!V69</f>
        <v>0</v>
      </c>
      <c r="W126" s="170">
        <f>-IS!W69</f>
        <v>0</v>
      </c>
      <c r="X126" s="635">
        <f>-IS!X69</f>
        <v>0</v>
      </c>
      <c r="Y126" s="163">
        <f>-IS!Y69</f>
        <v>0</v>
      </c>
      <c r="Z126" s="163">
        <f>-IS!Z69</f>
        <v>1.635</v>
      </c>
      <c r="AA126" s="170">
        <f>-IS!AA69</f>
        <v>7.8599999999999994</v>
      </c>
      <c r="AB126" s="635">
        <f>-IS!AB69</f>
        <v>7.6420000000000003</v>
      </c>
      <c r="AC126" s="163">
        <f>-IS!AC69</f>
        <v>6.87</v>
      </c>
      <c r="AD126" s="163">
        <f>-IS!AD69</f>
        <v>7.0960000000000001</v>
      </c>
      <c r="AE126" s="170">
        <f>-IS!AE69</f>
        <v>7.8319999999999999</v>
      </c>
      <c r="AF126" s="635">
        <f>-IS!AF69</f>
        <v>7.5190000000000001</v>
      </c>
      <c r="AG126" s="163">
        <f>-IS!AG69</f>
        <v>8.0299999999999994</v>
      </c>
      <c r="AH126" s="163">
        <f>-IS!AH69</f>
        <v>7.7629999999999999</v>
      </c>
      <c r="AI126" s="170">
        <f>-IS!AI69</f>
        <v>7.838000000000001</v>
      </c>
      <c r="AJ126" s="635">
        <f>-IS!AJ69</f>
        <v>7.7389999999999999</v>
      </c>
      <c r="AK126" s="163">
        <f>-IS!AK69</f>
        <v>8.0449999999999999</v>
      </c>
      <c r="AL126" s="163">
        <f>-IS!AL69</f>
        <v>7.6719999999999997</v>
      </c>
      <c r="AM126" s="170">
        <f>-IS!AM69</f>
        <v>8.0650000000000013</v>
      </c>
      <c r="AN126" s="635">
        <f>-IS!AN69</f>
        <v>8.0150000000000006</v>
      </c>
      <c r="AO126" s="163">
        <f>-IS!AO69</f>
        <v>8.9109999999999996</v>
      </c>
      <c r="AP126" s="163">
        <f>-IS!AP69</f>
        <v>8.9939999999999998</v>
      </c>
      <c r="AQ126" s="170">
        <f>-IS!AQ69</f>
        <v>8.3459999999999965</v>
      </c>
      <c r="AR126" s="635">
        <f>-IS!AR69</f>
        <v>9.1479999999999997</v>
      </c>
      <c r="AS126" s="163">
        <f>-IS!AS69</f>
        <v>10.757999999999999</v>
      </c>
      <c r="AT126" s="163">
        <f>-IS!AT69</f>
        <v>11.077</v>
      </c>
      <c r="AU126" s="170">
        <f>-IS!AU69</f>
        <v>9.9320000000000004</v>
      </c>
      <c r="AV126" s="635">
        <f>-IS!AV69</f>
        <v>11.856</v>
      </c>
      <c r="AW126" s="163">
        <f>-IS!AW69</f>
        <v>12.353999999999999</v>
      </c>
      <c r="AX126" s="163">
        <f>-IS!AX69</f>
        <v>12.545</v>
      </c>
      <c r="AY126" s="170">
        <f>-IS!AY69</f>
        <v>7.8470000000000013</v>
      </c>
      <c r="AZ126" s="163">
        <f>-IS!AZ69</f>
        <v>0</v>
      </c>
      <c r="BA126" s="163">
        <f>-IS!BA69</f>
        <v>0</v>
      </c>
      <c r="BB126" s="163">
        <f>-IS!BB69</f>
        <v>11.756</v>
      </c>
      <c r="BC126" s="170">
        <f>-IS!BC69</f>
        <v>0</v>
      </c>
      <c r="BD126" s="163">
        <f>-IS!BD69</f>
        <v>0</v>
      </c>
      <c r="BE126" s="163">
        <f>-IS!BE69</f>
        <v>0</v>
      </c>
      <c r="BF126" s="163">
        <f>-IS!BF69</f>
        <v>0</v>
      </c>
      <c r="BG126" s="170">
        <f>-IS!BG69</f>
        <v>0</v>
      </c>
      <c r="BH126" s="163">
        <f>-IS!BH69</f>
        <v>0</v>
      </c>
      <c r="BI126" s="163">
        <f>-IS!BI69</f>
        <v>0</v>
      </c>
      <c r="BJ126" s="163">
        <f>-IS!BJ69</f>
        <v>0</v>
      </c>
      <c r="BK126" s="170">
        <f>-IS!BK69</f>
        <v>0</v>
      </c>
      <c r="BL126" s="163">
        <f>-IS!BL69</f>
        <v>0</v>
      </c>
      <c r="BM126" s="163">
        <f>-IS!BM69</f>
        <v>0</v>
      </c>
      <c r="BN126" s="163">
        <f>-IS!BN69</f>
        <v>0</v>
      </c>
      <c r="BO126" s="170">
        <f>-IS!BO69</f>
        <v>0</v>
      </c>
      <c r="BP126" s="163">
        <f>-IS!BP69</f>
        <v>0</v>
      </c>
      <c r="BQ126" s="163">
        <f>-IS!BQ69</f>
        <v>0</v>
      </c>
      <c r="BR126" s="163">
        <f>-IS!BR69</f>
        <v>0</v>
      </c>
      <c r="BS126" s="170">
        <f>-IS!BS69</f>
        <v>0</v>
      </c>
      <c r="BT126" s="163">
        <f>-IS!BT69</f>
        <v>0</v>
      </c>
      <c r="BU126" s="163">
        <f>-IS!BU69</f>
        <v>0</v>
      </c>
      <c r="BV126" s="163">
        <f>-IS!BV69</f>
        <v>0</v>
      </c>
      <c r="BW126" s="170">
        <f>-IS!BW69</f>
        <v>0</v>
      </c>
      <c r="BX126" s="20"/>
      <c r="BY126" s="1204">
        <f>-IS!BY69</f>
        <v>0.49299999999999999</v>
      </c>
      <c r="BZ126" s="1204">
        <f>-IS!BZ69</f>
        <v>0.249</v>
      </c>
      <c r="CA126" s="1204">
        <f>-IS!CA69</f>
        <v>0.94</v>
      </c>
      <c r="CB126" s="1204">
        <f>-IS!CB69</f>
        <v>1.9669999999999999</v>
      </c>
      <c r="CC126" s="1204">
        <f>-IS!CC69</f>
        <v>2.4889999999999999</v>
      </c>
      <c r="CD126" s="1204">
        <f>-IS!CD69</f>
        <v>9.4949999999999992</v>
      </c>
      <c r="CE126" s="1204">
        <f>-IS!CE69</f>
        <v>29.44</v>
      </c>
      <c r="CF126" s="1204">
        <f>-IS!CF69</f>
        <v>31.15</v>
      </c>
      <c r="CG126" s="1203">
        <f>-IS!CG69</f>
        <v>31.521000000000001</v>
      </c>
      <c r="CH126" s="1204">
        <f>-IS!CH69</f>
        <v>34.265999999999998</v>
      </c>
      <c r="CI126" s="1204">
        <f>-IS!CI69</f>
        <v>40.914999999999999</v>
      </c>
      <c r="CJ126" s="713">
        <f>-IS!CJ69</f>
        <v>44.602000000000004</v>
      </c>
      <c r="CK126" s="713">
        <f>-IS!CK69</f>
        <v>11.756</v>
      </c>
      <c r="CL126" s="713">
        <f>-IS!CL69</f>
        <v>0</v>
      </c>
      <c r="CM126" s="713">
        <f>-IS!CM69</f>
        <v>0</v>
      </c>
      <c r="CN126" s="713">
        <f>-IS!CN69</f>
        <v>0</v>
      </c>
      <c r="CO126" s="713">
        <f>-IS!CO69</f>
        <v>0</v>
      </c>
      <c r="CP126" s="714">
        <f>-IS!CP69</f>
        <v>0</v>
      </c>
      <c r="CQ126" s="20"/>
      <c r="CR126" s="172"/>
      <c r="CS126" s="171"/>
      <c r="CT126" s="171"/>
      <c r="CU126" s="171"/>
      <c r="CV126" s="171"/>
      <c r="CW126" s="171"/>
      <c r="CX126" s="171"/>
      <c r="CY126" s="171"/>
      <c r="CZ126" s="171"/>
      <c r="DA126" s="171"/>
      <c r="DB126" s="171"/>
      <c r="DC126" s="171"/>
      <c r="DD126" s="171"/>
      <c r="DE126" s="171"/>
      <c r="DF126" s="171"/>
      <c r="DG126" s="171"/>
      <c r="DH126" s="173"/>
      <c r="DI126" s="14"/>
    </row>
    <row r="127" spans="1:113" ht="14.25" customHeight="1">
      <c r="A127" s="8"/>
      <c r="B127" s="476" t="s">
        <v>313</v>
      </c>
      <c r="C127" s="72"/>
      <c r="D127" s="1126"/>
      <c r="E127" s="1123"/>
      <c r="F127" s="1123"/>
      <c r="G127" s="1128"/>
      <c r="H127" s="1126"/>
      <c r="I127" s="1123"/>
      <c r="J127" s="1123"/>
      <c r="K127" s="1128"/>
      <c r="L127" s="1126"/>
      <c r="M127" s="1123">
        <f t="shared" ref="M127:AX127" si="503">M126/M125*4</f>
        <v>3.9172087522176227E-2</v>
      </c>
      <c r="N127" s="1123">
        <f t="shared" si="503"/>
        <v>2.5055762941047305E-2</v>
      </c>
      <c r="O127" s="1128">
        <f t="shared" si="503"/>
        <v>2.9072748757050806E-2</v>
      </c>
      <c r="P127" s="1126">
        <f t="shared" si="503"/>
        <v>3.8104457253487038E-2</v>
      </c>
      <c r="Q127" s="1123">
        <f t="shared" si="503"/>
        <v>4.4440533286399436E-2</v>
      </c>
      <c r="R127" s="1123">
        <f t="shared" si="503"/>
        <v>4.9192590311083736E-2</v>
      </c>
      <c r="S127" s="1128">
        <f t="shared" si="503"/>
        <v>1.1958983231978828E-2</v>
      </c>
      <c r="T127" s="1126">
        <f t="shared" si="503"/>
        <v>4.8989553553415638E-2</v>
      </c>
      <c r="U127" s="1123">
        <f t="shared" si="503"/>
        <v>0</v>
      </c>
      <c r="V127" s="1123">
        <f t="shared" si="503"/>
        <v>0</v>
      </c>
      <c r="W127" s="1128">
        <f t="shared" si="503"/>
        <v>0</v>
      </c>
      <c r="X127" s="1126">
        <f t="shared" si="503"/>
        <v>0</v>
      </c>
      <c r="Y127" s="1123">
        <f t="shared" si="503"/>
        <v>0</v>
      </c>
      <c r="Z127" s="1123">
        <f t="shared" si="503"/>
        <v>1.0412901808246573E-2</v>
      </c>
      <c r="AA127" s="1128">
        <f t="shared" si="503"/>
        <v>2.7336384910906775E-2</v>
      </c>
      <c r="AB127" s="1126">
        <f t="shared" si="503"/>
        <v>2.6576767498929513E-2</v>
      </c>
      <c r="AC127" s="1123">
        <f t="shared" si="503"/>
        <v>2.3898447253178745E-2</v>
      </c>
      <c r="AD127" s="1123">
        <f t="shared" si="503"/>
        <v>2.4698072072879503E-2</v>
      </c>
      <c r="AE127" s="1128">
        <f t="shared" si="503"/>
        <v>2.726356183362422E-2</v>
      </c>
      <c r="AF127" s="1126">
        <f t="shared" si="503"/>
        <v>4.0513954454804033E-2</v>
      </c>
      <c r="AG127" s="1123">
        <f t="shared" si="503"/>
        <v>9.5461421638120367E-2</v>
      </c>
      <c r="AH127" s="1123">
        <f t="shared" si="503"/>
        <v>9.1815086568214507E-2</v>
      </c>
      <c r="AI127" s="1128">
        <f t="shared" si="503"/>
        <v>9.2256264786544112E-2</v>
      </c>
      <c r="AJ127" s="1126">
        <f t="shared" si="503"/>
        <v>9.0661082596885323E-2</v>
      </c>
      <c r="AK127" s="1123">
        <f t="shared" si="503"/>
        <v>9.3777137961381776E-2</v>
      </c>
      <c r="AL127" s="1123">
        <f t="shared" si="503"/>
        <v>8.8993802797296087E-2</v>
      </c>
      <c r="AM127" s="1128">
        <f t="shared" si="503"/>
        <v>9.3113873996089003E-2</v>
      </c>
      <c r="AN127" s="1126">
        <f t="shared" si="503"/>
        <v>9.2067836133036027E-2</v>
      </c>
      <c r="AO127" s="1123">
        <f t="shared" si="503"/>
        <v>0.1017702147099132</v>
      </c>
      <c r="AP127" s="1123">
        <f t="shared" si="503"/>
        <v>0.10210128392875387</v>
      </c>
      <c r="AQ127" s="1128">
        <f t="shared" si="503"/>
        <v>9.4253032576641943E-2</v>
      </c>
      <c r="AR127" s="1126">
        <f t="shared" si="503"/>
        <v>0.1027280830426513</v>
      </c>
      <c r="AS127" s="1123">
        <f t="shared" si="503"/>
        <v>6.5347973555270222E-2</v>
      </c>
      <c r="AT127" s="1123">
        <f t="shared" si="503"/>
        <v>4.588970335022384E-2</v>
      </c>
      <c r="AU127" s="1128">
        <f t="shared" si="503"/>
        <v>4.0646738224078861E-2</v>
      </c>
      <c r="AV127" s="1126">
        <f t="shared" si="503"/>
        <v>4.8450298446850407E-2</v>
      </c>
      <c r="AW127" s="1123">
        <v>4.0906292986252445E-2</v>
      </c>
      <c r="AX127" s="1123">
        <f t="shared" si="503"/>
        <v>4.9541949235792228E-2</v>
      </c>
      <c r="AY127" s="1128">
        <f>AY126/AY125*4</f>
        <v>3.076909503786095E-2</v>
      </c>
      <c r="AZ127" s="1123">
        <f>AZ126/AZ125*4</f>
        <v>0</v>
      </c>
      <c r="BA127" s="1123">
        <f>BA126/BA125*4</f>
        <v>0</v>
      </c>
      <c r="BB127" s="1124">
        <f>BB126/BB125*4</f>
        <v>3.4820134722169771E-2</v>
      </c>
      <c r="BC127" s="1125">
        <v>0.04</v>
      </c>
      <c r="BD127" s="1124">
        <v>3.3000000000000002E-2</v>
      </c>
      <c r="BE127" s="1124">
        <v>0.03</v>
      </c>
      <c r="BF127" s="1124">
        <v>0.03</v>
      </c>
      <c r="BG127" s="1125">
        <v>0.04</v>
      </c>
      <c r="BH127" s="1124">
        <v>3.3000000000000002E-2</v>
      </c>
      <c r="BI127" s="1124">
        <v>0.03</v>
      </c>
      <c r="BJ127" s="1124">
        <v>0.03</v>
      </c>
      <c r="BK127" s="1125">
        <f t="shared" ref="BK127:BO127" si="504">BJ127</f>
        <v>0.03</v>
      </c>
      <c r="BL127" s="1124">
        <f t="shared" si="504"/>
        <v>0.03</v>
      </c>
      <c r="BM127" s="1124">
        <f t="shared" si="504"/>
        <v>0.03</v>
      </c>
      <c r="BN127" s="1124">
        <f t="shared" si="504"/>
        <v>0.03</v>
      </c>
      <c r="BO127" s="1125">
        <f t="shared" si="504"/>
        <v>0.03</v>
      </c>
      <c r="BP127" s="1124">
        <f t="shared" ref="BP127:BW127" si="505">BO127</f>
        <v>0.03</v>
      </c>
      <c r="BQ127" s="1124">
        <f t="shared" si="505"/>
        <v>0.03</v>
      </c>
      <c r="BR127" s="1124">
        <f t="shared" si="505"/>
        <v>0.03</v>
      </c>
      <c r="BS127" s="1125">
        <f t="shared" si="505"/>
        <v>0.03</v>
      </c>
      <c r="BT127" s="1124">
        <f t="shared" si="505"/>
        <v>0.03</v>
      </c>
      <c r="BU127" s="1124">
        <f t="shared" si="505"/>
        <v>0.03</v>
      </c>
      <c r="BV127" s="1124">
        <f t="shared" si="505"/>
        <v>0.03</v>
      </c>
      <c r="BW127" s="1125">
        <f t="shared" si="505"/>
        <v>0.03</v>
      </c>
      <c r="BX127" s="20"/>
      <c r="BY127" s="1123"/>
      <c r="BZ127" s="1123"/>
      <c r="CA127" s="1123">
        <f t="shared" ref="CA127:CK127" si="506">CA126/CA125</f>
        <v>4.1360496325955912E-2</v>
      </c>
      <c r="CB127" s="1123">
        <f t="shared" si="506"/>
        <v>1.251240426452253E-2</v>
      </c>
      <c r="CC127" s="1123">
        <f t="shared" si="506"/>
        <v>1.8508741271741635E-2</v>
      </c>
      <c r="CD127" s="1123">
        <f t="shared" si="506"/>
        <v>1.6511205709277575E-2</v>
      </c>
      <c r="CE127" s="1123">
        <f t="shared" si="506"/>
        <v>2.5607660030478683E-2</v>
      </c>
      <c r="CF127" s="1123">
        <f t="shared" si="506"/>
        <v>4.1816121826538939E-2</v>
      </c>
      <c r="CG127" s="1126">
        <f t="shared" si="506"/>
        <v>9.1630014854521602E-2</v>
      </c>
      <c r="CH127" s="1123">
        <f t="shared" si="506"/>
        <v>9.7570559693842679E-2</v>
      </c>
      <c r="CI127" s="1123">
        <f t="shared" si="506"/>
        <v>6.1138568552077617E-2</v>
      </c>
      <c r="CJ127" s="1123">
        <f t="shared" si="506"/>
        <v>4.4509797953539244E-2</v>
      </c>
      <c r="CK127" s="1123">
        <f t="shared" si="506"/>
        <v>8.2567312446622017E-3</v>
      </c>
      <c r="CL127" s="1123">
        <f>CL126/CL125</f>
        <v>0</v>
      </c>
      <c r="CM127" s="1123">
        <f>CM126/CM125</f>
        <v>0</v>
      </c>
      <c r="CN127" s="1123">
        <f>CN126/CN125</f>
        <v>0</v>
      </c>
      <c r="CO127" s="1123">
        <f>CO126/CO125</f>
        <v>0</v>
      </c>
      <c r="CP127" s="1128">
        <f>CP126/CP125</f>
        <v>0</v>
      </c>
      <c r="CQ127" s="20"/>
      <c r="CR127" s="1476"/>
      <c r="CS127" s="1477"/>
      <c r="CT127" s="1477"/>
      <c r="CU127" s="1477"/>
      <c r="CV127" s="1477"/>
      <c r="CW127" s="1477"/>
      <c r="CX127" s="1477"/>
      <c r="CY127" s="1477"/>
      <c r="CZ127" s="1477"/>
      <c r="DA127" s="1477"/>
      <c r="DB127" s="1477"/>
      <c r="DC127" s="1477"/>
      <c r="DD127" s="1477"/>
      <c r="DE127" s="1477"/>
      <c r="DF127" s="1477"/>
      <c r="DG127" s="1477"/>
      <c r="DH127" s="1478"/>
      <c r="DI127" s="14"/>
    </row>
    <row r="128" spans="1:113" ht="14.25" customHeight="1">
      <c r="A128" s="8"/>
      <c r="B128" s="618"/>
      <c r="C128" s="68"/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  <c r="BB128" s="163"/>
      <c r="BC128" s="163"/>
      <c r="BD128" s="163"/>
      <c r="BE128" s="163"/>
      <c r="BF128" s="163"/>
      <c r="BG128" s="163"/>
      <c r="BH128" s="163"/>
      <c r="BI128" s="163"/>
      <c r="BJ128" s="163"/>
      <c r="BK128" s="163"/>
      <c r="BL128" s="163"/>
      <c r="BM128" s="163"/>
      <c r="BN128" s="163"/>
      <c r="BO128" s="163"/>
      <c r="BP128" s="163"/>
      <c r="BQ128" s="163"/>
      <c r="BR128" s="163"/>
      <c r="BS128" s="163"/>
      <c r="BT128" s="163"/>
      <c r="BU128" s="163"/>
      <c r="BV128" s="163"/>
      <c r="BW128" s="163"/>
      <c r="BX128" s="14"/>
      <c r="BY128" s="171"/>
      <c r="BZ128" s="171"/>
      <c r="CA128" s="171"/>
      <c r="CB128" s="171"/>
      <c r="CC128" s="171"/>
      <c r="CD128" s="171"/>
      <c r="CE128" s="171"/>
      <c r="CF128" s="171"/>
      <c r="CG128" s="171"/>
      <c r="CH128" s="171"/>
      <c r="CI128" s="171"/>
      <c r="CJ128" s="171"/>
      <c r="CK128" s="171"/>
      <c r="CL128" s="171"/>
      <c r="CM128" s="171"/>
      <c r="CN128" s="171"/>
      <c r="CO128" s="171"/>
      <c r="CP128" s="171"/>
      <c r="CQ128" s="14"/>
      <c r="CR128" s="171"/>
      <c r="CS128" s="171"/>
      <c r="CT128" s="171"/>
      <c r="CU128" s="171"/>
      <c r="CV128" s="171"/>
      <c r="CW128" s="171"/>
      <c r="CX128" s="171"/>
      <c r="CY128" s="171"/>
      <c r="CZ128" s="171"/>
      <c r="DA128" s="171"/>
      <c r="DB128" s="171"/>
      <c r="DC128" s="171"/>
      <c r="DD128" s="171"/>
      <c r="DE128" s="171"/>
      <c r="DF128" s="171"/>
      <c r="DG128" s="171"/>
      <c r="DH128" s="171"/>
      <c r="DI128" s="14"/>
    </row>
    <row r="129" spans="1:113" ht="14.25" customHeight="1">
      <c r="A129" s="8"/>
      <c r="B129" s="618"/>
      <c r="C129" s="68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  <c r="BB129" s="163"/>
      <c r="BC129" s="163"/>
      <c r="BD129" s="163"/>
      <c r="BE129" s="163"/>
      <c r="BF129" s="163"/>
      <c r="BG129" s="163"/>
      <c r="BH129" s="163"/>
      <c r="BI129" s="163"/>
      <c r="BJ129" s="163"/>
      <c r="BK129" s="163"/>
      <c r="BL129" s="163"/>
      <c r="BM129" s="163"/>
      <c r="BN129" s="163"/>
      <c r="BO129" s="163"/>
      <c r="BP129" s="163"/>
      <c r="BQ129" s="163"/>
      <c r="BR129" s="163"/>
      <c r="BS129" s="163"/>
      <c r="BT129" s="163"/>
      <c r="BU129" s="163"/>
      <c r="BV129" s="163"/>
      <c r="BW129" s="163"/>
      <c r="BX129" s="14"/>
      <c r="BY129" s="171"/>
      <c r="BZ129" s="171"/>
      <c r="CA129" s="171"/>
      <c r="CB129" s="171"/>
      <c r="CC129" s="171"/>
      <c r="CD129" s="171"/>
      <c r="CE129" s="171"/>
      <c r="CF129" s="171"/>
      <c r="CG129" s="171"/>
      <c r="CH129" s="171"/>
      <c r="CI129" s="171"/>
      <c r="CJ129" s="171"/>
      <c r="CK129" s="171"/>
      <c r="CL129" s="171"/>
      <c r="CM129" s="171"/>
      <c r="CN129" s="171"/>
      <c r="CO129" s="171"/>
      <c r="CP129" s="171"/>
      <c r="CQ129" s="14"/>
      <c r="CR129" s="171"/>
      <c r="CS129" s="171"/>
      <c r="CT129" s="171"/>
      <c r="CU129" s="171"/>
      <c r="CV129" s="171"/>
      <c r="CW129" s="171"/>
      <c r="CX129" s="171"/>
      <c r="CY129" s="171"/>
      <c r="CZ129" s="171"/>
      <c r="DA129" s="171"/>
      <c r="DB129" s="171"/>
      <c r="DC129" s="171"/>
      <c r="DD129" s="171"/>
      <c r="DE129" s="171"/>
      <c r="DF129" s="171"/>
      <c r="DG129" s="171"/>
      <c r="DH129" s="171"/>
      <c r="DI129" s="14"/>
    </row>
    <row r="130" spans="1:113" ht="14.25" customHeight="1">
      <c r="A130" s="8"/>
      <c r="B130" s="621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14"/>
      <c r="CK130" s="14"/>
      <c r="CL130" s="14"/>
      <c r="CM130" s="8"/>
      <c r="CN130" s="14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14"/>
      <c r="DE130" s="14"/>
      <c r="DF130" s="14"/>
      <c r="DG130" s="14"/>
      <c r="DH130" s="8"/>
      <c r="DI130" s="8"/>
    </row>
    <row r="131" spans="1:113" ht="14.25" customHeight="1">
      <c r="A131" s="8"/>
      <c r="B131" s="668" t="s">
        <v>307</v>
      </c>
      <c r="C131" s="589"/>
      <c r="D131" s="17" t="str">
        <f t="shared" ref="D131:O131" si="507">D$60</f>
        <v>F1Q03A</v>
      </c>
      <c r="E131" s="18" t="str">
        <f t="shared" si="507"/>
        <v>F2Q03A</v>
      </c>
      <c r="F131" s="18" t="str">
        <f t="shared" si="507"/>
        <v>F3Q03A</v>
      </c>
      <c r="G131" s="19" t="str">
        <f t="shared" si="507"/>
        <v>F4Q03A</v>
      </c>
      <c r="H131" s="17" t="str">
        <f t="shared" si="507"/>
        <v>F1Q04A</v>
      </c>
      <c r="I131" s="18" t="str">
        <f t="shared" si="507"/>
        <v>F2Q04A</v>
      </c>
      <c r="J131" s="18" t="str">
        <f t="shared" si="507"/>
        <v>F3Q04A</v>
      </c>
      <c r="K131" s="19" t="str">
        <f t="shared" si="507"/>
        <v>F4Q04A</v>
      </c>
      <c r="L131" s="17" t="str">
        <f t="shared" si="507"/>
        <v>F1Q05A</v>
      </c>
      <c r="M131" s="18" t="str">
        <f t="shared" si="507"/>
        <v>F2Q05A</v>
      </c>
      <c r="N131" s="18" t="str">
        <f t="shared" si="507"/>
        <v>F3Q05A</v>
      </c>
      <c r="O131" s="19" t="str">
        <f t="shared" si="507"/>
        <v>F4Q05A</v>
      </c>
      <c r="P131" s="17" t="str">
        <f t="shared" ref="P131:AM131" si="508">P$60</f>
        <v>F1Q06A</v>
      </c>
      <c r="Q131" s="18" t="str">
        <f t="shared" si="508"/>
        <v>F2Q06A</v>
      </c>
      <c r="R131" s="18" t="str">
        <f t="shared" si="508"/>
        <v>F3Q06A</v>
      </c>
      <c r="S131" s="19" t="str">
        <f t="shared" si="508"/>
        <v>F4Q06A</v>
      </c>
      <c r="T131" s="17" t="str">
        <f t="shared" si="508"/>
        <v>F1Q07A</v>
      </c>
      <c r="U131" s="18" t="str">
        <f t="shared" si="508"/>
        <v>F2Q07A</v>
      </c>
      <c r="V131" s="18" t="str">
        <f t="shared" si="508"/>
        <v>F3Q07A</v>
      </c>
      <c r="W131" s="19" t="str">
        <f t="shared" si="508"/>
        <v>F4Q07A</v>
      </c>
      <c r="X131" s="17" t="str">
        <f t="shared" si="508"/>
        <v>F1Q08A</v>
      </c>
      <c r="Y131" s="18" t="str">
        <f t="shared" si="508"/>
        <v>F2Q08A</v>
      </c>
      <c r="Z131" s="18" t="str">
        <f t="shared" si="508"/>
        <v>F3Q08A</v>
      </c>
      <c r="AA131" s="19" t="str">
        <f t="shared" si="508"/>
        <v>F4Q08A</v>
      </c>
      <c r="AB131" s="17" t="str">
        <f t="shared" si="508"/>
        <v>F1Q09A</v>
      </c>
      <c r="AC131" s="18" t="str">
        <f t="shared" si="508"/>
        <v>F2Q09A</v>
      </c>
      <c r="AD131" s="18" t="str">
        <f t="shared" si="508"/>
        <v>F3Q09A</v>
      </c>
      <c r="AE131" s="19" t="str">
        <f t="shared" si="508"/>
        <v>F4Q09A</v>
      </c>
      <c r="AF131" s="17" t="str">
        <f t="shared" si="508"/>
        <v>F1Q10A</v>
      </c>
      <c r="AG131" s="18" t="str">
        <f t="shared" si="508"/>
        <v>F2Q10A</v>
      </c>
      <c r="AH131" s="18" t="str">
        <f t="shared" si="508"/>
        <v>F3Q10A</v>
      </c>
      <c r="AI131" s="19" t="str">
        <f t="shared" si="508"/>
        <v>F4Q10A</v>
      </c>
      <c r="AJ131" s="17" t="str">
        <f t="shared" si="508"/>
        <v>F1Q11A</v>
      </c>
      <c r="AK131" s="18" t="str">
        <f t="shared" si="508"/>
        <v>F2Q11A</v>
      </c>
      <c r="AL131" s="18" t="str">
        <f t="shared" si="508"/>
        <v>F3Q11A</v>
      </c>
      <c r="AM131" s="19" t="str">
        <f t="shared" si="508"/>
        <v>F4Q11A</v>
      </c>
      <c r="AN131" s="17" t="str">
        <f>AN$60</f>
        <v>F1Q12A</v>
      </c>
      <c r="AO131" s="18" t="str">
        <f t="shared" ref="AO131:BW131" si="509">AO$60</f>
        <v>F2Q12A</v>
      </c>
      <c r="AP131" s="18" t="str">
        <f t="shared" si="509"/>
        <v>F3Q12A</v>
      </c>
      <c r="AQ131" s="19" t="str">
        <f t="shared" si="509"/>
        <v>F4Q12A</v>
      </c>
      <c r="AR131" s="18" t="str">
        <f t="shared" si="509"/>
        <v>F1Q13A</v>
      </c>
      <c r="AS131" s="18" t="str">
        <f t="shared" si="509"/>
        <v>F2Q13A</v>
      </c>
      <c r="AT131" s="18" t="str">
        <f t="shared" si="509"/>
        <v>F3Q13A</v>
      </c>
      <c r="AU131" s="18" t="str">
        <f t="shared" si="509"/>
        <v>F4Q13A</v>
      </c>
      <c r="AV131" s="17" t="str">
        <f t="shared" si="509"/>
        <v>F1Q14A</v>
      </c>
      <c r="AW131" s="18" t="str">
        <f t="shared" si="509"/>
        <v>F2Q14A</v>
      </c>
      <c r="AX131" s="18" t="str">
        <f t="shared" si="509"/>
        <v>F3Q14A</v>
      </c>
      <c r="AY131" s="19" t="str">
        <f t="shared" si="509"/>
        <v>F4Q14A</v>
      </c>
      <c r="AZ131" s="17" t="str">
        <f t="shared" si="509"/>
        <v>F1Q15A</v>
      </c>
      <c r="BA131" s="18" t="str">
        <f t="shared" si="509"/>
        <v>F2Q15A</v>
      </c>
      <c r="BB131" s="18" t="str">
        <f t="shared" si="509"/>
        <v>F3Q15A</v>
      </c>
      <c r="BC131" s="19" t="str">
        <f t="shared" si="509"/>
        <v>F4Q15A</v>
      </c>
      <c r="BD131" s="17" t="str">
        <f t="shared" si="509"/>
        <v>F1Q16A</v>
      </c>
      <c r="BE131" s="18" t="str">
        <f t="shared" si="509"/>
        <v>F2Q16A</v>
      </c>
      <c r="BF131" s="18" t="str">
        <f t="shared" si="509"/>
        <v>F3Q16A</v>
      </c>
      <c r="BG131" s="19" t="str">
        <f t="shared" si="509"/>
        <v>F4Q16A</v>
      </c>
      <c r="BH131" s="17" t="str">
        <f t="shared" si="509"/>
        <v>F1Q17A</v>
      </c>
      <c r="BI131" s="1327" t="str">
        <f t="shared" si="509"/>
        <v>F2Q17A</v>
      </c>
      <c r="BJ131" s="1374" t="str">
        <f t="shared" si="509"/>
        <v>F3Q17A</v>
      </c>
      <c r="BK131" s="19" t="str">
        <f t="shared" si="509"/>
        <v>F4Q17A</v>
      </c>
      <c r="BL131" s="17" t="str">
        <f t="shared" si="509"/>
        <v>F1Q18A</v>
      </c>
      <c r="BM131" s="18" t="str">
        <f t="shared" si="509"/>
        <v>F2Q18A</v>
      </c>
      <c r="BN131" s="18" t="str">
        <f t="shared" si="509"/>
        <v>F3Q18A</v>
      </c>
      <c r="BO131" s="19" t="str">
        <f t="shared" si="509"/>
        <v>F4Q18E</v>
      </c>
      <c r="BP131" s="17" t="str">
        <f t="shared" si="509"/>
        <v>F1Q19E</v>
      </c>
      <c r="BQ131" s="18" t="str">
        <f t="shared" si="509"/>
        <v>F2Q19E</v>
      </c>
      <c r="BR131" s="18" t="str">
        <f t="shared" si="509"/>
        <v>F3Q19E</v>
      </c>
      <c r="BS131" s="19" t="str">
        <f t="shared" si="509"/>
        <v>F4Q19E</v>
      </c>
      <c r="BT131" s="1373" t="str">
        <f t="shared" si="509"/>
        <v>F1Q20E</v>
      </c>
      <c r="BU131" s="1374" t="str">
        <f t="shared" si="509"/>
        <v>F2Q20E</v>
      </c>
      <c r="BV131" s="1374" t="str">
        <f t="shared" si="509"/>
        <v>F3Q20E</v>
      </c>
      <c r="BW131" s="1375" t="str">
        <f t="shared" si="509"/>
        <v>F4Q20E</v>
      </c>
      <c r="BX131" s="20"/>
      <c r="BY131" s="17" t="str">
        <f>BY$60</f>
        <v>FY2003A</v>
      </c>
      <c r="BZ131" s="18" t="str">
        <f>BZ$60</f>
        <v>FY2004A</v>
      </c>
      <c r="CA131" s="18" t="str">
        <f>CA$60</f>
        <v>FY2005A</v>
      </c>
      <c r="CB131" s="18" t="str">
        <f>CB$60</f>
        <v>FY2006A</v>
      </c>
      <c r="CC131" s="18" t="str">
        <f t="shared" ref="CC131:CP131" si="510">CC$60</f>
        <v>FY2007A</v>
      </c>
      <c r="CD131" s="18" t="str">
        <f t="shared" si="510"/>
        <v>FY2008A</v>
      </c>
      <c r="CE131" s="18" t="str">
        <f t="shared" si="510"/>
        <v>FY2009A</v>
      </c>
      <c r="CF131" s="18" t="str">
        <f t="shared" si="510"/>
        <v>FY2010A</v>
      </c>
      <c r="CG131" s="17" t="str">
        <f t="shared" si="510"/>
        <v>FY2011A</v>
      </c>
      <c r="CH131" s="18" t="str">
        <f t="shared" si="510"/>
        <v>FY2012A</v>
      </c>
      <c r="CI131" s="18" t="str">
        <f t="shared" si="510"/>
        <v>FY2013A</v>
      </c>
      <c r="CJ131" s="18" t="str">
        <f t="shared" si="510"/>
        <v>FY2014A</v>
      </c>
      <c r="CK131" s="18" t="str">
        <f t="shared" si="510"/>
        <v>FY2015A</v>
      </c>
      <c r="CL131" s="18" t="str">
        <f t="shared" si="510"/>
        <v>FY2016A</v>
      </c>
      <c r="CM131" s="18" t="str">
        <f t="shared" si="510"/>
        <v>FY2017A</v>
      </c>
      <c r="CN131" s="18" t="str">
        <f t="shared" si="510"/>
        <v>FY2018E</v>
      </c>
      <c r="CO131" s="1374" t="str">
        <f t="shared" si="510"/>
        <v>FY2019E</v>
      </c>
      <c r="CP131" s="1375" t="str">
        <f t="shared" si="510"/>
        <v>FY2020E</v>
      </c>
      <c r="CQ131" s="20"/>
      <c r="CR131" s="17" t="str">
        <f>CR$60</f>
        <v>CY2003</v>
      </c>
      <c r="CS131" s="18" t="str">
        <f>CS$60</f>
        <v>CY2004</v>
      </c>
      <c r="CT131" s="18" t="str">
        <f>CT$60</f>
        <v>CY2005</v>
      </c>
      <c r="CU131" s="18" t="str">
        <f>CU$60</f>
        <v>CY2006</v>
      </c>
      <c r="CV131" s="18" t="str">
        <f t="shared" ref="CV131:DH131" si="511">CV$60</f>
        <v>CY2007</v>
      </c>
      <c r="CW131" s="18" t="str">
        <f t="shared" si="511"/>
        <v>CY2008</v>
      </c>
      <c r="CX131" s="18" t="str">
        <f t="shared" si="511"/>
        <v>CY2009</v>
      </c>
      <c r="CY131" s="18" t="str">
        <f t="shared" si="511"/>
        <v>CY2010</v>
      </c>
      <c r="CZ131" s="18" t="str">
        <f t="shared" si="511"/>
        <v>CY2011</v>
      </c>
      <c r="DA131" s="18" t="str">
        <f t="shared" si="511"/>
        <v>CY2012</v>
      </c>
      <c r="DB131" s="18" t="str">
        <f t="shared" si="511"/>
        <v>CY2013</v>
      </c>
      <c r="DC131" s="18" t="str">
        <f t="shared" si="511"/>
        <v>CY2014</v>
      </c>
      <c r="DD131" s="18" t="str">
        <f t="shared" si="511"/>
        <v>CY2015</v>
      </c>
      <c r="DE131" s="18" t="str">
        <f t="shared" si="511"/>
        <v>CY2016</v>
      </c>
      <c r="DF131" s="18" t="str">
        <f t="shared" si="511"/>
        <v>CY2017</v>
      </c>
      <c r="DG131" s="1439" t="str">
        <f t="shared" si="511"/>
        <v>CY2018</v>
      </c>
      <c r="DH131" s="1440" t="str">
        <f t="shared" si="511"/>
        <v>CY2019</v>
      </c>
      <c r="DI131" s="22"/>
    </row>
    <row r="132" spans="1:113" ht="14.25" customHeight="1">
      <c r="A132" s="68"/>
      <c r="B132" s="676" t="s">
        <v>311</v>
      </c>
      <c r="C132" s="215"/>
      <c r="D132" s="566"/>
      <c r="E132" s="559"/>
      <c r="F132" s="559"/>
      <c r="G132" s="590"/>
      <c r="H132" s="566"/>
      <c r="I132" s="559"/>
      <c r="J132" s="559"/>
      <c r="K132" s="590"/>
      <c r="L132" s="566"/>
      <c r="M132" s="559"/>
      <c r="N132" s="559"/>
      <c r="O132" s="590"/>
      <c r="P132" s="566"/>
      <c r="Q132" s="559"/>
      <c r="R132" s="559"/>
      <c r="S132" s="590"/>
      <c r="T132" s="566"/>
      <c r="U132" s="559"/>
      <c r="V132" s="559"/>
      <c r="W132" s="590"/>
      <c r="X132" s="566"/>
      <c r="Y132" s="559"/>
      <c r="Z132" s="559"/>
      <c r="AA132" s="590"/>
      <c r="AB132" s="566"/>
      <c r="AC132" s="559"/>
      <c r="AD132" s="559"/>
      <c r="AE132" s="590"/>
      <c r="AF132" s="566"/>
      <c r="AG132" s="559"/>
      <c r="AH132" s="559"/>
      <c r="AI132" s="590"/>
      <c r="AJ132" s="566"/>
      <c r="AK132" s="559"/>
      <c r="AL132" s="559"/>
      <c r="AM132" s="590"/>
      <c r="AN132" s="566"/>
      <c r="AO132" s="559"/>
      <c r="AP132" s="559"/>
      <c r="AQ132" s="590"/>
      <c r="AR132" s="559"/>
      <c r="AS132" s="559"/>
      <c r="AT132" s="559"/>
      <c r="AU132" s="559"/>
      <c r="AV132" s="566"/>
      <c r="AW132" s="559"/>
      <c r="AX132" s="559"/>
      <c r="AY132" s="590"/>
      <c r="AZ132" s="566"/>
      <c r="BA132" s="559"/>
      <c r="BB132" s="559"/>
      <c r="BC132" s="590"/>
      <c r="BD132" s="566"/>
      <c r="BE132" s="559"/>
      <c r="BF132" s="559"/>
      <c r="BG132" s="590"/>
      <c r="BH132" s="566"/>
      <c r="BI132" s="559"/>
      <c r="BJ132" s="559"/>
      <c r="BK132" s="590"/>
      <c r="BL132" s="566"/>
      <c r="BM132" s="559"/>
      <c r="BN132" s="559"/>
      <c r="BO132" s="590"/>
      <c r="BP132" s="566"/>
      <c r="BQ132" s="559"/>
      <c r="BR132" s="559"/>
      <c r="BS132" s="590"/>
      <c r="BT132" s="566"/>
      <c r="BU132" s="559"/>
      <c r="BV132" s="559"/>
      <c r="BW132" s="590"/>
      <c r="BX132" s="160"/>
      <c r="BY132" s="566"/>
      <c r="BZ132" s="559"/>
      <c r="CA132" s="559"/>
      <c r="CB132" s="559"/>
      <c r="CC132" s="559"/>
      <c r="CD132" s="559"/>
      <c r="CE132" s="559"/>
      <c r="CF132" s="559"/>
      <c r="CG132" s="566"/>
      <c r="CH132" s="559"/>
      <c r="CI132" s="559"/>
      <c r="CJ132" s="559"/>
      <c r="CK132" s="559"/>
      <c r="CL132" s="559"/>
      <c r="CM132" s="559"/>
      <c r="CN132" s="559"/>
      <c r="CO132" s="559"/>
      <c r="CP132" s="590"/>
      <c r="CQ132" s="160"/>
      <c r="CR132" s="566"/>
      <c r="CS132" s="559"/>
      <c r="CT132" s="559"/>
      <c r="CU132" s="559"/>
      <c r="CV132" s="559"/>
      <c r="CW132" s="559"/>
      <c r="CX132" s="559"/>
      <c r="CY132" s="559"/>
      <c r="CZ132" s="559"/>
      <c r="DA132" s="559"/>
      <c r="DB132" s="559"/>
      <c r="DC132" s="559"/>
      <c r="DD132" s="559"/>
      <c r="DE132" s="559"/>
      <c r="DF132" s="559"/>
      <c r="DG132" s="559"/>
      <c r="DH132" s="590"/>
      <c r="DI132" s="23"/>
    </row>
    <row r="133" spans="1:113" ht="14.25" customHeight="1">
      <c r="A133" s="8"/>
      <c r="B133" s="612" t="s">
        <v>309</v>
      </c>
      <c r="C133" s="68"/>
      <c r="D133" s="635"/>
      <c r="E133" s="163">
        <f t="shared" ref="E133:S133" si="512">+D9</f>
        <v>62.52</v>
      </c>
      <c r="F133" s="163">
        <f t="shared" si="512"/>
        <v>45.65</v>
      </c>
      <c r="G133" s="170">
        <f t="shared" si="512"/>
        <v>48.335999999999999</v>
      </c>
      <c r="H133" s="635">
        <f t="shared" si="512"/>
        <v>53.908999999999999</v>
      </c>
      <c r="I133" s="163">
        <f t="shared" si="512"/>
        <v>47.649000000000001</v>
      </c>
      <c r="J133" s="163">
        <f t="shared" si="512"/>
        <v>44.462000000000003</v>
      </c>
      <c r="K133" s="170">
        <f t="shared" si="512"/>
        <v>58.173999999999999</v>
      </c>
      <c r="L133" s="635">
        <f t="shared" si="512"/>
        <v>105.334</v>
      </c>
      <c r="M133" s="163">
        <f t="shared" si="512"/>
        <v>86.885999999999996</v>
      </c>
      <c r="N133" s="163">
        <f t="shared" si="512"/>
        <v>75.224999999999994</v>
      </c>
      <c r="O133" s="170">
        <f t="shared" si="512"/>
        <v>76.183000000000007</v>
      </c>
      <c r="P133" s="635">
        <f t="shared" si="512"/>
        <v>68.73</v>
      </c>
      <c r="Q133" s="163">
        <f t="shared" si="512"/>
        <v>141.37200000000001</v>
      </c>
      <c r="R133" s="163">
        <f t="shared" si="512"/>
        <v>110.08</v>
      </c>
      <c r="S133" s="170">
        <f t="shared" si="512"/>
        <v>157.452</v>
      </c>
      <c r="T133" s="635">
        <f t="shared" ref="T133:AQ133" si="513">+S9</f>
        <v>565.27300000000002</v>
      </c>
      <c r="U133" s="163">
        <f t="shared" si="513"/>
        <v>136.65600000000001</v>
      </c>
      <c r="V133" s="163">
        <f t="shared" si="513"/>
        <v>132.56899999999999</v>
      </c>
      <c r="W133" s="170">
        <f t="shared" si="513"/>
        <v>153.27699999999999</v>
      </c>
      <c r="X133" s="635">
        <f t="shared" si="513"/>
        <v>167.477</v>
      </c>
      <c r="Y133" s="163">
        <f t="shared" si="513"/>
        <v>168.00299999999999</v>
      </c>
      <c r="Z133" s="163">
        <f t="shared" si="513"/>
        <v>174.22499999999999</v>
      </c>
      <c r="AA133" s="170">
        <f t="shared" si="513"/>
        <v>831.005</v>
      </c>
      <c r="AB133" s="635">
        <f t="shared" si="513"/>
        <v>487.73599999999999</v>
      </c>
      <c r="AC133" s="163">
        <f t="shared" si="513"/>
        <v>685.57500000000005</v>
      </c>
      <c r="AD133" s="163">
        <f t="shared" si="513"/>
        <v>311.738</v>
      </c>
      <c r="AE133" s="170">
        <f t="shared" si="513"/>
        <v>391.19400000000002</v>
      </c>
      <c r="AF133" s="635">
        <f t="shared" si="513"/>
        <v>446.32900000000001</v>
      </c>
      <c r="AG133" s="163">
        <f t="shared" si="513"/>
        <v>576.97900000000004</v>
      </c>
      <c r="AH133" s="163">
        <f t="shared" si="513"/>
        <v>541.04499999999996</v>
      </c>
      <c r="AI133" s="170">
        <f t="shared" si="513"/>
        <v>361.291</v>
      </c>
      <c r="AJ133" s="635">
        <f t="shared" si="513"/>
        <v>492.13</v>
      </c>
      <c r="AK133" s="163">
        <f t="shared" si="513"/>
        <v>523.47400000000005</v>
      </c>
      <c r="AL133" s="163">
        <f t="shared" si="513"/>
        <v>423.721</v>
      </c>
      <c r="AM133" s="170">
        <f t="shared" si="513"/>
        <v>500.61599999999999</v>
      </c>
      <c r="AN133" s="635">
        <f t="shared" si="513"/>
        <v>703.92399999999998</v>
      </c>
      <c r="AO133" s="163">
        <f t="shared" si="513"/>
        <v>651.38300000000004</v>
      </c>
      <c r="AP133" s="163">
        <f t="shared" si="513"/>
        <v>675.12900000000002</v>
      </c>
      <c r="AQ133" s="170">
        <f t="shared" si="513"/>
        <v>605.72500000000002</v>
      </c>
      <c r="AR133" s="163">
        <f t="shared" ref="AR133:AU134" si="514">+AQ9</f>
        <v>635.755</v>
      </c>
      <c r="AS133" s="163">
        <f t="shared" si="514"/>
        <v>779.84799999999996</v>
      </c>
      <c r="AT133" s="163">
        <f t="shared" si="514"/>
        <v>436.73500000000001</v>
      </c>
      <c r="AU133" s="163">
        <f t="shared" si="514"/>
        <v>465.29300000000001</v>
      </c>
      <c r="AV133" s="635">
        <f t="shared" ref="AV133:BJ133" si="515">+AU9</f>
        <v>528.33399999999995</v>
      </c>
      <c r="AW133" s="163">
        <f t="shared" si="515"/>
        <v>403.23099999999999</v>
      </c>
      <c r="AX133" s="163">
        <f t="shared" si="515"/>
        <v>344.202</v>
      </c>
      <c r="AY133" s="170">
        <f t="shared" si="515"/>
        <v>375.1</v>
      </c>
      <c r="AZ133" s="635">
        <f t="shared" si="515"/>
        <v>466.60300000000001</v>
      </c>
      <c r="BA133" s="163">
        <f t="shared" si="515"/>
        <v>617.77</v>
      </c>
      <c r="BB133" s="163">
        <f t="shared" si="515"/>
        <v>481.43900000000002</v>
      </c>
      <c r="BC133" s="170">
        <f t="shared" si="515"/>
        <v>456.339</v>
      </c>
      <c r="BD133" s="635">
        <f t="shared" ref="BD133:BK133" si="516">+BC9</f>
        <v>607.81500000000005</v>
      </c>
      <c r="BE133" s="163">
        <f t="shared" si="515"/>
        <v>563.54700000000003</v>
      </c>
      <c r="BF133" s="163">
        <f t="shared" si="515"/>
        <v>539.07799999999997</v>
      </c>
      <c r="BG133" s="170">
        <f t="shared" si="515"/>
        <v>331.45100000000002</v>
      </c>
      <c r="BH133" s="635">
        <f t="shared" si="516"/>
        <v>2092.7510000000002</v>
      </c>
      <c r="BI133" s="163">
        <f t="shared" si="515"/>
        <v>600.52599999999995</v>
      </c>
      <c r="BJ133" s="163">
        <f t="shared" si="515"/>
        <v>489.988</v>
      </c>
      <c r="BK133" s="170">
        <f t="shared" si="516"/>
        <v>663.93799999999999</v>
      </c>
      <c r="BL133" s="635">
        <f t="shared" ref="BL133:BS133" si="517">+BK9</f>
        <v>908.68399999999997</v>
      </c>
      <c r="BM133" s="163">
        <f t="shared" si="517"/>
        <v>773.03599999999994</v>
      </c>
      <c r="BN133" s="163">
        <f t="shared" si="517"/>
        <v>826.40700000000004</v>
      </c>
      <c r="BO133" s="170">
        <f t="shared" si="517"/>
        <v>672.07899999999995</v>
      </c>
      <c r="BP133" s="635">
        <f t="shared" si="517"/>
        <v>905.80638599740155</v>
      </c>
      <c r="BQ133" s="163">
        <f t="shared" si="517"/>
        <v>1158.9528898418225</v>
      </c>
      <c r="BR133" s="163">
        <f t="shared" si="517"/>
        <v>1414.2165595832134</v>
      </c>
      <c r="BS133" s="170">
        <f t="shared" si="517"/>
        <v>1696.2471215812475</v>
      </c>
      <c r="BT133" s="635">
        <f t="shared" ref="BT133" si="518">+BS9</f>
        <v>1976.2383428177222</v>
      </c>
      <c r="BU133" s="163">
        <f t="shared" ref="BU133" si="519">+BT9</f>
        <v>2251.5789171630254</v>
      </c>
      <c r="BV133" s="163">
        <f t="shared" ref="BV133" si="520">+BU9</f>
        <v>2528.5782448541158</v>
      </c>
      <c r="BW133" s="170">
        <f t="shared" ref="BW133" si="521">+BV9</f>
        <v>2845.8919431339154</v>
      </c>
      <c r="BX133" s="20"/>
      <c r="BY133" s="80"/>
      <c r="BZ133" s="81">
        <f t="shared" ref="BZ133:CB134" si="522">+BY9</f>
        <v>53.908999999999999</v>
      </c>
      <c r="CA133" s="81">
        <f t="shared" si="522"/>
        <v>105.334</v>
      </c>
      <c r="CB133" s="81">
        <f t="shared" si="522"/>
        <v>68.73</v>
      </c>
      <c r="CC133" s="81">
        <f t="shared" ref="CC133:CH134" si="523">+CB9</f>
        <v>565.27300000000002</v>
      </c>
      <c r="CD133" s="81">
        <f t="shared" si="523"/>
        <v>167.477</v>
      </c>
      <c r="CE133" s="81">
        <f t="shared" si="523"/>
        <v>487.73599999999999</v>
      </c>
      <c r="CF133" s="81">
        <f t="shared" si="523"/>
        <v>446.32900000000001</v>
      </c>
      <c r="CG133" s="80">
        <f t="shared" si="523"/>
        <v>492.13</v>
      </c>
      <c r="CH133" s="81">
        <f t="shared" si="523"/>
        <v>703.92399999999998</v>
      </c>
      <c r="CI133" s="81">
        <f t="shared" ref="CI133:CP134" si="524">+CH9</f>
        <v>635.755</v>
      </c>
      <c r="CJ133" s="81">
        <f t="shared" si="524"/>
        <v>528.33399999999995</v>
      </c>
      <c r="CK133" s="81">
        <f t="shared" si="524"/>
        <v>466.60300000000001</v>
      </c>
      <c r="CL133" s="81">
        <f t="shared" si="524"/>
        <v>607.81500000000005</v>
      </c>
      <c r="CM133" s="81">
        <f t="shared" si="524"/>
        <v>2092.7510000000002</v>
      </c>
      <c r="CN133" s="81">
        <f t="shared" si="524"/>
        <v>908.68399999999997</v>
      </c>
      <c r="CO133" s="81">
        <f t="shared" si="524"/>
        <v>905.80638599740155</v>
      </c>
      <c r="CP133" s="82">
        <f t="shared" si="524"/>
        <v>1976.2383428177222</v>
      </c>
      <c r="CQ133" s="20"/>
      <c r="CR133" s="80"/>
      <c r="CS133" s="81"/>
      <c r="CT133" s="81"/>
      <c r="CU133" s="81"/>
      <c r="CV133" s="81"/>
      <c r="CW133" s="81"/>
      <c r="CX133" s="81"/>
      <c r="CY133" s="81"/>
      <c r="CZ133" s="81"/>
      <c r="DA133" s="81"/>
      <c r="DB133" s="81"/>
      <c r="DC133" s="81"/>
      <c r="DD133" s="81"/>
      <c r="DE133" s="81"/>
      <c r="DF133" s="81"/>
      <c r="DG133" s="81"/>
      <c r="DH133" s="82"/>
      <c r="DI133" s="22"/>
    </row>
    <row r="134" spans="1:113" ht="14.25" customHeight="1">
      <c r="A134" s="625"/>
      <c r="B134" s="674" t="s">
        <v>310</v>
      </c>
      <c r="C134" s="738"/>
      <c r="D134" s="697"/>
      <c r="E134" s="645">
        <f t="shared" ref="E134:S134" si="525">+D10</f>
        <v>221.52500000000001</v>
      </c>
      <c r="F134" s="645">
        <f t="shared" si="525"/>
        <v>95.677999999999997</v>
      </c>
      <c r="G134" s="646">
        <f t="shared" si="525"/>
        <v>149.89499999999998</v>
      </c>
      <c r="H134" s="697">
        <f t="shared" si="525"/>
        <v>162.602</v>
      </c>
      <c r="I134" s="645">
        <f t="shared" si="525"/>
        <v>224.953</v>
      </c>
      <c r="J134" s="645">
        <f t="shared" si="525"/>
        <v>306.41500000000002</v>
      </c>
      <c r="K134" s="646">
        <f t="shared" si="525"/>
        <v>392.26600000000002</v>
      </c>
      <c r="L134" s="697">
        <f t="shared" si="525"/>
        <v>369.21600000000001</v>
      </c>
      <c r="M134" s="645">
        <f t="shared" si="525"/>
        <v>451.97800000000001</v>
      </c>
      <c r="N134" s="645">
        <f t="shared" si="525"/>
        <v>530.63499999999999</v>
      </c>
      <c r="O134" s="646">
        <f t="shared" si="525"/>
        <v>619.60599999999999</v>
      </c>
      <c r="P134" s="697">
        <f t="shared" si="525"/>
        <v>665.87400000000002</v>
      </c>
      <c r="Q134" s="645">
        <f t="shared" si="525"/>
        <v>673.66700000000003</v>
      </c>
      <c r="R134" s="645">
        <f t="shared" si="525"/>
        <v>792.41</v>
      </c>
      <c r="S134" s="646">
        <f t="shared" si="525"/>
        <v>834.89800000000002</v>
      </c>
      <c r="T134" s="697">
        <f t="shared" ref="T134:AQ134" si="526">+S10</f>
        <v>199.49100000000001</v>
      </c>
      <c r="U134" s="645">
        <f t="shared" si="526"/>
        <v>617.13300000000004</v>
      </c>
      <c r="V134" s="645">
        <f t="shared" si="526"/>
        <v>479.44600000000003</v>
      </c>
      <c r="W134" s="646">
        <f t="shared" si="526"/>
        <v>575.27499999999998</v>
      </c>
      <c r="X134" s="697">
        <f t="shared" si="526"/>
        <v>583</v>
      </c>
      <c r="Y134" s="645">
        <f t="shared" si="526"/>
        <v>553.56899999999996</v>
      </c>
      <c r="Z134" s="645">
        <f t="shared" si="526"/>
        <v>659.08100000000002</v>
      </c>
      <c r="AA134" s="646">
        <f t="shared" si="526"/>
        <v>607.01099999999997</v>
      </c>
      <c r="AB134" s="697">
        <f t="shared" si="526"/>
        <v>837.05399999999997</v>
      </c>
      <c r="AC134" s="645">
        <f t="shared" si="526"/>
        <v>353.58800000000002</v>
      </c>
      <c r="AD134" s="645">
        <f t="shared" si="526"/>
        <v>796.67700000000002</v>
      </c>
      <c r="AE134" s="646">
        <f t="shared" si="526"/>
        <v>1006.417</v>
      </c>
      <c r="AF134" s="697">
        <f t="shared" si="526"/>
        <v>943.61599999999999</v>
      </c>
      <c r="AG134" s="645">
        <f t="shared" si="526"/>
        <v>830.45600000000002</v>
      </c>
      <c r="AH134" s="645">
        <f t="shared" si="526"/>
        <v>822.94899999999996</v>
      </c>
      <c r="AI134" s="646">
        <f t="shared" si="526"/>
        <v>716.68299999999999</v>
      </c>
      <c r="AJ134" s="697">
        <f t="shared" si="526"/>
        <v>722.19299999999998</v>
      </c>
      <c r="AK134" s="645">
        <f t="shared" si="526"/>
        <v>792.34199999999998</v>
      </c>
      <c r="AL134" s="645">
        <f t="shared" si="526"/>
        <v>955.04700000000003</v>
      </c>
      <c r="AM134" s="646">
        <f t="shared" si="526"/>
        <v>690.56799999999998</v>
      </c>
      <c r="AN134" s="697">
        <f t="shared" si="526"/>
        <v>539.572</v>
      </c>
      <c r="AO134" s="645">
        <f t="shared" si="526"/>
        <v>866.36900000000003</v>
      </c>
      <c r="AP134" s="645">
        <f t="shared" si="526"/>
        <v>740.30899999999997</v>
      </c>
      <c r="AQ134" s="646">
        <f t="shared" si="526"/>
        <v>696.548</v>
      </c>
      <c r="AR134" s="645">
        <f t="shared" si="514"/>
        <v>823.25400000000002</v>
      </c>
      <c r="AS134" s="645">
        <f t="shared" si="514"/>
        <v>881.91300000000001</v>
      </c>
      <c r="AT134" s="645">
        <f t="shared" si="514"/>
        <v>1116.675</v>
      </c>
      <c r="AU134" s="645">
        <f t="shared" si="514"/>
        <v>1157.01</v>
      </c>
      <c r="AV134" s="697">
        <f>+AU10</f>
        <v>1050.2629999999999</v>
      </c>
      <c r="AW134" s="645">
        <f>+AV10+AV20</f>
        <v>1492.019</v>
      </c>
      <c r="AX134" s="645">
        <f>+AW10+AW20</f>
        <v>1637.3649999999998</v>
      </c>
      <c r="AY134" s="646">
        <f>+AX10</f>
        <v>932.30200000000002</v>
      </c>
      <c r="AZ134" s="697">
        <f t="shared" ref="AZ134:BK134" si="527">+AY10+AY20</f>
        <v>1676.894</v>
      </c>
      <c r="BA134" s="645">
        <f t="shared" si="527"/>
        <v>1669.6299999999999</v>
      </c>
      <c r="BB134" s="645">
        <f t="shared" si="527"/>
        <v>1642.9470000000001</v>
      </c>
      <c r="BC134" s="646">
        <f t="shared" si="527"/>
        <v>1773.3429999999998</v>
      </c>
      <c r="BD134" s="697">
        <f t="shared" si="527"/>
        <v>1734.38</v>
      </c>
      <c r="BE134" s="645">
        <f t="shared" si="527"/>
        <v>1867.027</v>
      </c>
      <c r="BF134" s="645">
        <f t="shared" si="527"/>
        <v>2047.3759999999997</v>
      </c>
      <c r="BG134" s="646">
        <f t="shared" si="527"/>
        <v>2066.4380000000001</v>
      </c>
      <c r="BH134" s="697">
        <f t="shared" si="527"/>
        <v>471.83299999999997</v>
      </c>
      <c r="BI134" s="645">
        <f t="shared" si="527"/>
        <v>1.266</v>
      </c>
      <c r="BJ134" s="645">
        <f t="shared" si="527"/>
        <v>0.84799999999999998</v>
      </c>
      <c r="BK134" s="646">
        <f t="shared" si="527"/>
        <v>35.712000000000003</v>
      </c>
      <c r="BL134" s="697">
        <f t="shared" ref="BL134:BS134" si="528">+BK10+BK20</f>
        <v>501.54500000000002</v>
      </c>
      <c r="BM134" s="645">
        <f t="shared" si="528"/>
        <v>877.66800000000001</v>
      </c>
      <c r="BN134" s="645">
        <f t="shared" si="528"/>
        <v>1017.446</v>
      </c>
      <c r="BO134" s="646">
        <f t="shared" si="528"/>
        <v>1312.9059999999999</v>
      </c>
      <c r="BP134" s="697">
        <f t="shared" si="528"/>
        <v>1312.9059999999999</v>
      </c>
      <c r="BQ134" s="645">
        <f t="shared" si="528"/>
        <v>1312.9059999999999</v>
      </c>
      <c r="BR134" s="645">
        <f t="shared" si="528"/>
        <v>1312.9059999999999</v>
      </c>
      <c r="BS134" s="646">
        <f t="shared" si="528"/>
        <v>1312.9059999999999</v>
      </c>
      <c r="BT134" s="697">
        <f t="shared" ref="BT134" si="529">+BS10+BS20</f>
        <v>1312.9059999999999</v>
      </c>
      <c r="BU134" s="645">
        <f t="shared" ref="BU134" si="530">+BT10+BT20</f>
        <v>1312.9059999999999</v>
      </c>
      <c r="BV134" s="645">
        <f t="shared" ref="BV134" si="531">+BU10+BU20</f>
        <v>1312.9059999999999</v>
      </c>
      <c r="BW134" s="646">
        <f t="shared" ref="BW134" si="532">+BV10+BV20</f>
        <v>1312.9059999999999</v>
      </c>
      <c r="BX134" s="647"/>
      <c r="BY134" s="649"/>
      <c r="BZ134" s="648">
        <f t="shared" si="522"/>
        <v>162.602</v>
      </c>
      <c r="CA134" s="648">
        <f t="shared" si="522"/>
        <v>369.21600000000001</v>
      </c>
      <c r="CB134" s="648">
        <f t="shared" si="522"/>
        <v>665.87400000000002</v>
      </c>
      <c r="CC134" s="648">
        <f t="shared" si="523"/>
        <v>199.49100000000001</v>
      </c>
      <c r="CD134" s="648">
        <f t="shared" si="523"/>
        <v>583</v>
      </c>
      <c r="CE134" s="648">
        <f t="shared" si="523"/>
        <v>837.05399999999997</v>
      </c>
      <c r="CF134" s="648">
        <f t="shared" si="523"/>
        <v>943.61599999999999</v>
      </c>
      <c r="CG134" s="649">
        <f t="shared" si="523"/>
        <v>722.19299999999998</v>
      </c>
      <c r="CH134" s="740">
        <f t="shared" si="523"/>
        <v>539.572</v>
      </c>
      <c r="CI134" s="648">
        <f t="shared" si="524"/>
        <v>823.25400000000002</v>
      </c>
      <c r="CJ134" s="648">
        <f t="shared" si="524"/>
        <v>1050.2629999999999</v>
      </c>
      <c r="CK134" s="648">
        <f t="shared" si="524"/>
        <v>878.18200000000002</v>
      </c>
      <c r="CL134" s="648">
        <f t="shared" si="524"/>
        <v>1351.0540000000001</v>
      </c>
      <c r="CM134" s="648">
        <f t="shared" si="524"/>
        <v>353.28399999999999</v>
      </c>
      <c r="CN134" s="648">
        <f t="shared" si="524"/>
        <v>394.08800000000002</v>
      </c>
      <c r="CO134" s="648">
        <f t="shared" si="524"/>
        <v>427.51400000000001</v>
      </c>
      <c r="CP134" s="650">
        <f t="shared" si="524"/>
        <v>427.51400000000001</v>
      </c>
      <c r="CQ134" s="647"/>
      <c r="CR134" s="649"/>
      <c r="CS134" s="648"/>
      <c r="CT134" s="648"/>
      <c r="CU134" s="648"/>
      <c r="CV134" s="648"/>
      <c r="CW134" s="648"/>
      <c r="CX134" s="648"/>
      <c r="CY134" s="648"/>
      <c r="CZ134" s="648"/>
      <c r="DA134" s="648"/>
      <c r="DB134" s="648"/>
      <c r="DC134" s="648"/>
      <c r="DD134" s="648"/>
      <c r="DE134" s="648"/>
      <c r="DF134" s="648"/>
      <c r="DG134" s="648"/>
      <c r="DH134" s="650"/>
      <c r="DI134" s="651"/>
    </row>
    <row r="135" spans="1:113" ht="14.25" customHeight="1">
      <c r="A135" s="101"/>
      <c r="B135" s="607" t="s">
        <v>297</v>
      </c>
      <c r="C135" s="950"/>
      <c r="D135" s="637"/>
      <c r="E135" s="630">
        <f t="shared" ref="E135:S135" si="533">+SUM(E133:E134)</f>
        <v>284.04500000000002</v>
      </c>
      <c r="F135" s="630">
        <f t="shared" si="533"/>
        <v>141.328</v>
      </c>
      <c r="G135" s="631">
        <f t="shared" si="533"/>
        <v>198.23099999999999</v>
      </c>
      <c r="H135" s="637">
        <f t="shared" si="533"/>
        <v>216.511</v>
      </c>
      <c r="I135" s="630">
        <f t="shared" si="533"/>
        <v>272.60199999999998</v>
      </c>
      <c r="J135" s="630">
        <f t="shared" si="533"/>
        <v>350.87700000000001</v>
      </c>
      <c r="K135" s="631">
        <f t="shared" si="533"/>
        <v>450.44</v>
      </c>
      <c r="L135" s="637">
        <f t="shared" si="533"/>
        <v>474.55</v>
      </c>
      <c r="M135" s="630">
        <f t="shared" si="533"/>
        <v>538.86400000000003</v>
      </c>
      <c r="N135" s="630">
        <f t="shared" si="533"/>
        <v>605.86</v>
      </c>
      <c r="O135" s="631">
        <f t="shared" si="533"/>
        <v>695.78899999999999</v>
      </c>
      <c r="P135" s="637">
        <f t="shared" si="533"/>
        <v>734.60400000000004</v>
      </c>
      <c r="Q135" s="630">
        <f t="shared" si="533"/>
        <v>815.03899999999999</v>
      </c>
      <c r="R135" s="630">
        <f t="shared" si="533"/>
        <v>902.49</v>
      </c>
      <c r="S135" s="631">
        <f t="shared" si="533"/>
        <v>992.35</v>
      </c>
      <c r="T135" s="637">
        <f t="shared" ref="T135:AQ135" si="534">+SUM(T133:T134)</f>
        <v>764.76400000000001</v>
      </c>
      <c r="U135" s="630">
        <f t="shared" si="534"/>
        <v>753.78899999999999</v>
      </c>
      <c r="V135" s="630">
        <f t="shared" si="534"/>
        <v>612.01499999999999</v>
      </c>
      <c r="W135" s="631">
        <f t="shared" si="534"/>
        <v>728.55199999999991</v>
      </c>
      <c r="X135" s="637">
        <f t="shared" si="534"/>
        <v>750.47699999999998</v>
      </c>
      <c r="Y135" s="630">
        <f t="shared" si="534"/>
        <v>721.57199999999989</v>
      </c>
      <c r="Z135" s="630">
        <f t="shared" si="534"/>
        <v>833.30600000000004</v>
      </c>
      <c r="AA135" s="631">
        <f t="shared" si="534"/>
        <v>1438.0160000000001</v>
      </c>
      <c r="AB135" s="637">
        <f t="shared" si="534"/>
        <v>1324.79</v>
      </c>
      <c r="AC135" s="630">
        <f t="shared" si="534"/>
        <v>1039.163</v>
      </c>
      <c r="AD135" s="630">
        <f t="shared" si="534"/>
        <v>1108.415</v>
      </c>
      <c r="AE135" s="631">
        <f t="shared" si="534"/>
        <v>1397.6110000000001</v>
      </c>
      <c r="AF135" s="637">
        <f t="shared" si="534"/>
        <v>1389.9449999999999</v>
      </c>
      <c r="AG135" s="630">
        <f t="shared" si="534"/>
        <v>1407.4349999999999</v>
      </c>
      <c r="AH135" s="630">
        <f t="shared" si="534"/>
        <v>1363.9939999999999</v>
      </c>
      <c r="AI135" s="631">
        <f t="shared" si="534"/>
        <v>1077.9739999999999</v>
      </c>
      <c r="AJ135" s="637">
        <f t="shared" si="534"/>
        <v>1214.3229999999999</v>
      </c>
      <c r="AK135" s="630">
        <f t="shared" si="534"/>
        <v>1315.816</v>
      </c>
      <c r="AL135" s="630">
        <f t="shared" si="534"/>
        <v>1378.768</v>
      </c>
      <c r="AM135" s="631">
        <f t="shared" si="534"/>
        <v>1191.184</v>
      </c>
      <c r="AN135" s="637">
        <f t="shared" si="534"/>
        <v>1243.4960000000001</v>
      </c>
      <c r="AO135" s="630">
        <f t="shared" si="534"/>
        <v>1517.752</v>
      </c>
      <c r="AP135" s="630">
        <f t="shared" si="534"/>
        <v>1415.4380000000001</v>
      </c>
      <c r="AQ135" s="631">
        <f t="shared" si="534"/>
        <v>1302.2730000000001</v>
      </c>
      <c r="AR135" s="630">
        <f t="shared" ref="AR135:BC135" si="535">+SUM(AR133:AR134)</f>
        <v>1459.009</v>
      </c>
      <c r="AS135" s="630">
        <f t="shared" si="535"/>
        <v>1661.761</v>
      </c>
      <c r="AT135" s="630">
        <f t="shared" si="535"/>
        <v>1553.4099999999999</v>
      </c>
      <c r="AU135" s="630">
        <f t="shared" si="535"/>
        <v>1622.3029999999999</v>
      </c>
      <c r="AV135" s="637">
        <f t="shared" si="535"/>
        <v>1578.5969999999998</v>
      </c>
      <c r="AW135" s="630">
        <f t="shared" si="535"/>
        <v>1895.25</v>
      </c>
      <c r="AX135" s="630">
        <f t="shared" si="535"/>
        <v>1981.5669999999998</v>
      </c>
      <c r="AY135" s="631">
        <f>+SUM(AY133:AY134)</f>
        <v>1307.402</v>
      </c>
      <c r="AZ135" s="637">
        <f t="shared" si="535"/>
        <v>2143.4969999999998</v>
      </c>
      <c r="BA135" s="630">
        <f>+SUM(BA133:BA134)</f>
        <v>2287.3999999999996</v>
      </c>
      <c r="BB135" s="630">
        <f>+SUM(BB133:BB134)</f>
        <v>2124.386</v>
      </c>
      <c r="BC135" s="631">
        <f t="shared" si="535"/>
        <v>2229.6819999999998</v>
      </c>
      <c r="BD135" s="637">
        <f t="shared" ref="BD135:BK135" si="536">+SUM(BD133:BD134)</f>
        <v>2342.1950000000002</v>
      </c>
      <c r="BE135" s="630">
        <f t="shared" ref="BE135:BI135" si="537">+SUM(BE133:BE134)</f>
        <v>2430.5740000000001</v>
      </c>
      <c r="BF135" s="630">
        <f t="shared" si="537"/>
        <v>2586.4539999999997</v>
      </c>
      <c r="BG135" s="631">
        <f t="shared" si="537"/>
        <v>2397.8890000000001</v>
      </c>
      <c r="BH135" s="637">
        <f t="shared" si="537"/>
        <v>2564.5840000000003</v>
      </c>
      <c r="BI135" s="630">
        <f t="shared" si="537"/>
        <v>601.79199999999992</v>
      </c>
      <c r="BJ135" s="630">
        <f t="shared" ref="BJ135" si="538">+SUM(BJ133:BJ134)</f>
        <v>490.83600000000001</v>
      </c>
      <c r="BK135" s="631">
        <f t="shared" si="536"/>
        <v>699.65</v>
      </c>
      <c r="BL135" s="637">
        <f t="shared" ref="BL135:BS135" si="539">+SUM(BL133:BL134)</f>
        <v>1410.229</v>
      </c>
      <c r="BM135" s="630">
        <f t="shared" si="539"/>
        <v>1650.704</v>
      </c>
      <c r="BN135" s="630">
        <f t="shared" si="539"/>
        <v>1843.8530000000001</v>
      </c>
      <c r="BO135" s="631">
        <f t="shared" si="539"/>
        <v>1984.9849999999999</v>
      </c>
      <c r="BP135" s="637">
        <f t="shared" si="539"/>
        <v>2218.7123859974017</v>
      </c>
      <c r="BQ135" s="630">
        <f t="shared" si="539"/>
        <v>2471.8588898418225</v>
      </c>
      <c r="BR135" s="630">
        <f t="shared" si="539"/>
        <v>2727.1225595832134</v>
      </c>
      <c r="BS135" s="631">
        <f t="shared" si="539"/>
        <v>3009.1531215812474</v>
      </c>
      <c r="BT135" s="637">
        <f t="shared" ref="BT135:BW135" si="540">+SUM(BT133:BT134)</f>
        <v>3289.1443428177222</v>
      </c>
      <c r="BU135" s="630">
        <f t="shared" si="540"/>
        <v>3564.4849171630253</v>
      </c>
      <c r="BV135" s="630">
        <f t="shared" si="540"/>
        <v>3841.4842448541158</v>
      </c>
      <c r="BW135" s="631">
        <f t="shared" si="540"/>
        <v>4158.7979431339154</v>
      </c>
      <c r="BX135" s="312"/>
      <c r="BY135" s="633"/>
      <c r="BZ135" s="632">
        <f>+SUM(BZ133:BZ134)</f>
        <v>216.511</v>
      </c>
      <c r="CA135" s="632">
        <f>+SUM(CA133:CA134)</f>
        <v>474.55</v>
      </c>
      <c r="CB135" s="632">
        <f>+SUM(CB133:CB134)</f>
        <v>734.60400000000004</v>
      </c>
      <c r="CC135" s="632">
        <f t="shared" ref="CC135:CH135" si="541">+SUM(CC133:CC134)</f>
        <v>764.76400000000001</v>
      </c>
      <c r="CD135" s="632">
        <f t="shared" si="541"/>
        <v>750.47699999999998</v>
      </c>
      <c r="CE135" s="632">
        <f t="shared" si="541"/>
        <v>1324.79</v>
      </c>
      <c r="CF135" s="632">
        <f t="shared" si="541"/>
        <v>1389.9449999999999</v>
      </c>
      <c r="CG135" s="633">
        <f t="shared" si="541"/>
        <v>1214.3229999999999</v>
      </c>
      <c r="CH135" s="632">
        <f t="shared" si="541"/>
        <v>1243.4960000000001</v>
      </c>
      <c r="CI135" s="632">
        <f t="shared" ref="CI135:CO135" si="542">+SUM(CI133:CI134)</f>
        <v>1459.009</v>
      </c>
      <c r="CJ135" s="632">
        <f t="shared" si="542"/>
        <v>1578.5969999999998</v>
      </c>
      <c r="CK135" s="632">
        <f t="shared" si="542"/>
        <v>1344.7850000000001</v>
      </c>
      <c r="CL135" s="632">
        <f t="shared" si="542"/>
        <v>1958.8690000000001</v>
      </c>
      <c r="CM135" s="632">
        <f t="shared" si="542"/>
        <v>2446.0350000000003</v>
      </c>
      <c r="CN135" s="632">
        <f t="shared" si="542"/>
        <v>1302.7719999999999</v>
      </c>
      <c r="CO135" s="632">
        <f t="shared" si="542"/>
        <v>1333.3203859974014</v>
      </c>
      <c r="CP135" s="634">
        <f t="shared" ref="CP135" si="543">+SUM(CP133:CP134)</f>
        <v>2403.7523428177224</v>
      </c>
      <c r="CQ135" s="312"/>
      <c r="CR135" s="633"/>
      <c r="CS135" s="632"/>
      <c r="CT135" s="632"/>
      <c r="CU135" s="632"/>
      <c r="CV135" s="632"/>
      <c r="CW135" s="632"/>
      <c r="CX135" s="632"/>
      <c r="CY135" s="632"/>
      <c r="CZ135" s="632"/>
      <c r="DA135" s="632"/>
      <c r="DB135" s="632"/>
      <c r="DC135" s="632"/>
      <c r="DD135" s="632"/>
      <c r="DE135" s="632"/>
      <c r="DF135" s="632"/>
      <c r="DG135" s="632"/>
      <c r="DH135" s="634"/>
      <c r="DI135" s="467"/>
    </row>
    <row r="136" spans="1:113" ht="14.25" customHeight="1">
      <c r="A136" s="8"/>
      <c r="B136" s="612"/>
      <c r="C136" s="68"/>
      <c r="D136" s="635"/>
      <c r="E136" s="163"/>
      <c r="F136" s="163"/>
      <c r="G136" s="170"/>
      <c r="H136" s="635"/>
      <c r="I136" s="163"/>
      <c r="J136" s="163"/>
      <c r="K136" s="170"/>
      <c r="L136" s="635"/>
      <c r="M136" s="163"/>
      <c r="N136" s="163"/>
      <c r="O136" s="170"/>
      <c r="P136" s="635"/>
      <c r="Q136" s="163"/>
      <c r="R136" s="163"/>
      <c r="S136" s="170"/>
      <c r="T136" s="635"/>
      <c r="U136" s="163"/>
      <c r="V136" s="163"/>
      <c r="W136" s="170"/>
      <c r="X136" s="635"/>
      <c r="Y136" s="163"/>
      <c r="Z136" s="163"/>
      <c r="AA136" s="170"/>
      <c r="AB136" s="635"/>
      <c r="AC136" s="163"/>
      <c r="AD136" s="163"/>
      <c r="AE136" s="170"/>
      <c r="AF136" s="635"/>
      <c r="AG136" s="163"/>
      <c r="AH136" s="163"/>
      <c r="AI136" s="170"/>
      <c r="AJ136" s="635"/>
      <c r="AK136" s="163"/>
      <c r="AL136" s="163"/>
      <c r="AM136" s="170"/>
      <c r="AN136" s="635"/>
      <c r="AO136" s="163"/>
      <c r="AP136" s="163"/>
      <c r="AQ136" s="170"/>
      <c r="AR136" s="163"/>
      <c r="AS136" s="163"/>
      <c r="AT136" s="163"/>
      <c r="AU136" s="163"/>
      <c r="AV136" s="635"/>
      <c r="AW136" s="163"/>
      <c r="AX136" s="163"/>
      <c r="AY136" s="170"/>
      <c r="AZ136" s="635"/>
      <c r="BA136" s="163"/>
      <c r="BB136" s="163"/>
      <c r="BC136" s="170"/>
      <c r="BD136" s="635"/>
      <c r="BE136" s="163"/>
      <c r="BF136" s="163"/>
      <c r="BG136" s="170"/>
      <c r="BH136" s="635"/>
      <c r="BI136" s="163"/>
      <c r="BJ136" s="163"/>
      <c r="BK136" s="170"/>
      <c r="BL136" s="635"/>
      <c r="BM136" s="163"/>
      <c r="BN136" s="163"/>
      <c r="BO136" s="170"/>
      <c r="BP136" s="635"/>
      <c r="BQ136" s="163"/>
      <c r="BR136" s="163"/>
      <c r="BS136" s="170"/>
      <c r="BT136" s="635"/>
      <c r="BU136" s="163"/>
      <c r="BV136" s="163"/>
      <c r="BW136" s="170"/>
      <c r="BX136" s="20"/>
      <c r="BY136" s="172"/>
      <c r="BZ136" s="171"/>
      <c r="CA136" s="171"/>
      <c r="CB136" s="171"/>
      <c r="CC136" s="171"/>
      <c r="CD136" s="171"/>
      <c r="CE136" s="171"/>
      <c r="CF136" s="171"/>
      <c r="CG136" s="172"/>
      <c r="CH136" s="171"/>
      <c r="CI136" s="171"/>
      <c r="CJ136" s="171"/>
      <c r="CK136" s="171"/>
      <c r="CL136" s="171"/>
      <c r="CM136" s="171"/>
      <c r="CN136" s="171"/>
      <c r="CO136" s="171"/>
      <c r="CP136" s="173"/>
      <c r="CQ136" s="20"/>
      <c r="CR136" s="172"/>
      <c r="CS136" s="171"/>
      <c r="CT136" s="171"/>
      <c r="CU136" s="171"/>
      <c r="CV136" s="171"/>
      <c r="CW136" s="171"/>
      <c r="CX136" s="171"/>
      <c r="CY136" s="171"/>
      <c r="CZ136" s="171"/>
      <c r="DA136" s="171"/>
      <c r="DB136" s="171"/>
      <c r="DC136" s="171"/>
      <c r="DD136" s="171"/>
      <c r="DE136" s="171"/>
      <c r="DF136" s="171"/>
      <c r="DG136" s="171"/>
      <c r="DH136" s="173"/>
      <c r="DI136" s="22"/>
    </row>
    <row r="137" spans="1:113" ht="14.25" customHeight="1">
      <c r="A137" s="8"/>
      <c r="B137" s="676" t="s">
        <v>312</v>
      </c>
      <c r="C137" s="68"/>
      <c r="D137" s="635"/>
      <c r="E137" s="163"/>
      <c r="F137" s="163"/>
      <c r="G137" s="170"/>
      <c r="H137" s="635"/>
      <c r="I137" s="163"/>
      <c r="J137" s="163"/>
      <c r="K137" s="170"/>
      <c r="L137" s="635"/>
      <c r="M137" s="163"/>
      <c r="N137" s="163"/>
      <c r="O137" s="170"/>
      <c r="P137" s="635"/>
      <c r="Q137" s="163"/>
      <c r="R137" s="163"/>
      <c r="S137" s="170"/>
      <c r="T137" s="635"/>
      <c r="U137" s="163"/>
      <c r="V137" s="163"/>
      <c r="W137" s="170"/>
      <c r="X137" s="635"/>
      <c r="Y137" s="163"/>
      <c r="Z137" s="163"/>
      <c r="AA137" s="170"/>
      <c r="AB137" s="635"/>
      <c r="AC137" s="163"/>
      <c r="AD137" s="163"/>
      <c r="AE137" s="170"/>
      <c r="AF137" s="635"/>
      <c r="AG137" s="163"/>
      <c r="AH137" s="163"/>
      <c r="AI137" s="170"/>
      <c r="AJ137" s="635"/>
      <c r="AK137" s="163"/>
      <c r="AL137" s="163"/>
      <c r="AM137" s="170"/>
      <c r="AN137" s="635"/>
      <c r="AO137" s="163"/>
      <c r="AP137" s="163"/>
      <c r="AQ137" s="170"/>
      <c r="AR137" s="163"/>
      <c r="AS137" s="163"/>
      <c r="AT137" s="163"/>
      <c r="AU137" s="163"/>
      <c r="AV137" s="635"/>
      <c r="AW137" s="163"/>
      <c r="AX137" s="163"/>
      <c r="AY137" s="170"/>
      <c r="AZ137" s="635"/>
      <c r="BA137" s="163"/>
      <c r="BB137" s="163"/>
      <c r="BC137" s="170"/>
      <c r="BD137" s="635"/>
      <c r="BE137" s="163"/>
      <c r="BF137" s="163"/>
      <c r="BG137" s="170"/>
      <c r="BH137" s="635"/>
      <c r="BI137" s="163"/>
      <c r="BJ137" s="163"/>
      <c r="BK137" s="170"/>
      <c r="BL137" s="635"/>
      <c r="BM137" s="163"/>
      <c r="BN137" s="163"/>
      <c r="BO137" s="170"/>
      <c r="BP137" s="635"/>
      <c r="BQ137" s="163"/>
      <c r="BR137" s="163"/>
      <c r="BS137" s="170"/>
      <c r="BT137" s="635"/>
      <c r="BU137" s="163"/>
      <c r="BV137" s="163"/>
      <c r="BW137" s="170"/>
      <c r="BX137" s="20"/>
      <c r="BY137" s="172"/>
      <c r="BZ137" s="171"/>
      <c r="CA137" s="171"/>
      <c r="CB137" s="171"/>
      <c r="CC137" s="171"/>
      <c r="CD137" s="171"/>
      <c r="CE137" s="171"/>
      <c r="CF137" s="171"/>
      <c r="CG137" s="172"/>
      <c r="CH137" s="171"/>
      <c r="CI137" s="171"/>
      <c r="CJ137" s="171"/>
      <c r="CK137" s="171"/>
      <c r="CL137" s="171"/>
      <c r="CM137" s="171"/>
      <c r="CN137" s="171"/>
      <c r="CO137" s="171"/>
      <c r="CP137" s="173"/>
      <c r="CQ137" s="20"/>
      <c r="CR137" s="172"/>
      <c r="CS137" s="171"/>
      <c r="CT137" s="171"/>
      <c r="CU137" s="171"/>
      <c r="CV137" s="171"/>
      <c r="CW137" s="171"/>
      <c r="CX137" s="171"/>
      <c r="CY137" s="171"/>
      <c r="CZ137" s="171"/>
      <c r="DA137" s="171"/>
      <c r="DB137" s="171"/>
      <c r="DC137" s="171"/>
      <c r="DD137" s="171"/>
      <c r="DE137" s="171"/>
      <c r="DF137" s="171"/>
      <c r="DG137" s="171"/>
      <c r="DH137" s="173"/>
      <c r="DI137" s="22"/>
    </row>
    <row r="138" spans="1:113" ht="14.25" customHeight="1">
      <c r="A138" s="8"/>
      <c r="B138" s="612" t="s">
        <v>309</v>
      </c>
      <c r="C138" s="68"/>
      <c r="D138" s="163"/>
      <c r="E138" s="163">
        <f t="shared" ref="E138:K138" si="544">+E9</f>
        <v>45.65</v>
      </c>
      <c r="F138" s="163">
        <f t="shared" si="544"/>
        <v>48.335999999999999</v>
      </c>
      <c r="G138" s="163">
        <f t="shared" si="544"/>
        <v>53.908999999999999</v>
      </c>
      <c r="H138" s="635">
        <f t="shared" si="544"/>
        <v>47.649000000000001</v>
      </c>
      <c r="I138" s="163">
        <f t="shared" si="544"/>
        <v>44.462000000000003</v>
      </c>
      <c r="J138" s="163">
        <f t="shared" si="544"/>
        <v>58.173999999999999</v>
      </c>
      <c r="K138" s="170">
        <f t="shared" si="544"/>
        <v>105.334</v>
      </c>
      <c r="L138" s="635">
        <f t="shared" ref="L138:S139" si="545">+L9</f>
        <v>86.885999999999996</v>
      </c>
      <c r="M138" s="163">
        <f t="shared" si="545"/>
        <v>75.224999999999994</v>
      </c>
      <c r="N138" s="163">
        <f t="shared" si="545"/>
        <v>76.183000000000007</v>
      </c>
      <c r="O138" s="170">
        <f t="shared" si="545"/>
        <v>68.73</v>
      </c>
      <c r="P138" s="635">
        <f t="shared" si="545"/>
        <v>141.37200000000001</v>
      </c>
      <c r="Q138" s="163">
        <f t="shared" si="545"/>
        <v>110.08</v>
      </c>
      <c r="R138" s="163">
        <f t="shared" si="545"/>
        <v>157.452</v>
      </c>
      <c r="S138" s="170">
        <f t="shared" si="545"/>
        <v>565.27300000000002</v>
      </c>
      <c r="T138" s="635">
        <f t="shared" ref="T138:AQ138" si="546">+T9</f>
        <v>136.65600000000001</v>
      </c>
      <c r="U138" s="163">
        <f t="shared" si="546"/>
        <v>132.56899999999999</v>
      </c>
      <c r="V138" s="163">
        <f t="shared" si="546"/>
        <v>153.27699999999999</v>
      </c>
      <c r="W138" s="170">
        <f t="shared" si="546"/>
        <v>167.477</v>
      </c>
      <c r="X138" s="635">
        <f t="shared" si="546"/>
        <v>168.00299999999999</v>
      </c>
      <c r="Y138" s="163">
        <f t="shared" si="546"/>
        <v>174.22499999999999</v>
      </c>
      <c r="Z138" s="163">
        <f t="shared" si="546"/>
        <v>831.005</v>
      </c>
      <c r="AA138" s="170">
        <f t="shared" si="546"/>
        <v>487.73599999999999</v>
      </c>
      <c r="AB138" s="635">
        <f t="shared" si="546"/>
        <v>685.57500000000005</v>
      </c>
      <c r="AC138" s="163">
        <f t="shared" si="546"/>
        <v>311.738</v>
      </c>
      <c r="AD138" s="163">
        <f t="shared" si="546"/>
        <v>391.19400000000002</v>
      </c>
      <c r="AE138" s="170">
        <f t="shared" si="546"/>
        <v>446.32900000000001</v>
      </c>
      <c r="AF138" s="635">
        <f t="shared" si="546"/>
        <v>576.97900000000004</v>
      </c>
      <c r="AG138" s="163">
        <f t="shared" si="546"/>
        <v>541.04499999999996</v>
      </c>
      <c r="AH138" s="163">
        <f t="shared" si="546"/>
        <v>361.291</v>
      </c>
      <c r="AI138" s="170">
        <f t="shared" si="546"/>
        <v>492.13</v>
      </c>
      <c r="AJ138" s="635">
        <f t="shared" si="546"/>
        <v>523.47400000000005</v>
      </c>
      <c r="AK138" s="163">
        <f t="shared" si="546"/>
        <v>423.721</v>
      </c>
      <c r="AL138" s="163">
        <f t="shared" si="546"/>
        <v>500.61599999999999</v>
      </c>
      <c r="AM138" s="170">
        <f t="shared" si="546"/>
        <v>703.92399999999998</v>
      </c>
      <c r="AN138" s="635">
        <f t="shared" si="546"/>
        <v>651.38300000000004</v>
      </c>
      <c r="AO138" s="163">
        <f t="shared" si="546"/>
        <v>675.12900000000002</v>
      </c>
      <c r="AP138" s="163">
        <f t="shared" si="546"/>
        <v>605.72500000000002</v>
      </c>
      <c r="AQ138" s="170">
        <f t="shared" si="546"/>
        <v>635.755</v>
      </c>
      <c r="AR138" s="163">
        <f t="shared" ref="AR138:BC138" si="547">+AR9</f>
        <v>779.84799999999996</v>
      </c>
      <c r="AS138" s="163">
        <f t="shared" si="547"/>
        <v>436.73500000000001</v>
      </c>
      <c r="AT138" s="163">
        <f t="shared" si="547"/>
        <v>465.29300000000001</v>
      </c>
      <c r="AU138" s="163">
        <f t="shared" si="547"/>
        <v>528.33399999999995</v>
      </c>
      <c r="AV138" s="635">
        <f>+AV9</f>
        <v>403.23099999999999</v>
      </c>
      <c r="AW138" s="163">
        <f t="shared" si="547"/>
        <v>344.202</v>
      </c>
      <c r="AX138" s="163">
        <f t="shared" si="547"/>
        <v>375.1</v>
      </c>
      <c r="AY138" s="170">
        <f>+AY9</f>
        <v>466.60300000000001</v>
      </c>
      <c r="AZ138" s="635">
        <f t="shared" si="547"/>
        <v>617.77</v>
      </c>
      <c r="BA138" s="163">
        <f>+BA9</f>
        <v>481.43900000000002</v>
      </c>
      <c r="BB138" s="163">
        <f>+BB9</f>
        <v>456.339</v>
      </c>
      <c r="BC138" s="170">
        <f t="shared" si="547"/>
        <v>607.81500000000005</v>
      </c>
      <c r="BD138" s="635">
        <f>+BD9</f>
        <v>563.54700000000003</v>
      </c>
      <c r="BE138" s="163">
        <f t="shared" ref="BE138:BG139" si="548">+BE9</f>
        <v>539.07799999999997</v>
      </c>
      <c r="BF138" s="163">
        <f t="shared" si="548"/>
        <v>331.45100000000002</v>
      </c>
      <c r="BG138" s="170">
        <f t="shared" si="548"/>
        <v>2092.7510000000002</v>
      </c>
      <c r="BH138" s="635">
        <f>+BH9</f>
        <v>600.52599999999995</v>
      </c>
      <c r="BI138" s="163">
        <f t="shared" ref="BI138:BJ138" si="549">+BI9</f>
        <v>489.988</v>
      </c>
      <c r="BJ138" s="163">
        <f t="shared" si="549"/>
        <v>663.93799999999999</v>
      </c>
      <c r="BK138" s="170">
        <f t="shared" ref="BK138:BK139" si="550">+BK9</f>
        <v>908.68399999999997</v>
      </c>
      <c r="BL138" s="635">
        <f t="shared" ref="BL138:BO139" si="551">+BL9</f>
        <v>773.03599999999994</v>
      </c>
      <c r="BM138" s="163">
        <f t="shared" si="551"/>
        <v>826.40700000000004</v>
      </c>
      <c r="BN138" s="163">
        <f t="shared" si="551"/>
        <v>672.07899999999995</v>
      </c>
      <c r="BO138" s="170">
        <f t="shared" si="551"/>
        <v>905.80638599740155</v>
      </c>
      <c r="BP138" s="635">
        <f t="shared" ref="BP138:BS139" si="552">+BP9</f>
        <v>1158.9528898418225</v>
      </c>
      <c r="BQ138" s="163">
        <f t="shared" si="552"/>
        <v>1414.2165595832134</v>
      </c>
      <c r="BR138" s="163">
        <f t="shared" si="552"/>
        <v>1696.2471215812475</v>
      </c>
      <c r="BS138" s="170">
        <f t="shared" si="552"/>
        <v>1976.2383428177222</v>
      </c>
      <c r="BT138" s="635">
        <f t="shared" ref="BT138:BW138" si="553">+BT9</f>
        <v>2251.5789171630254</v>
      </c>
      <c r="BU138" s="163">
        <f t="shared" si="553"/>
        <v>2528.5782448541158</v>
      </c>
      <c r="BV138" s="163">
        <f t="shared" si="553"/>
        <v>2845.8919431339154</v>
      </c>
      <c r="BW138" s="170">
        <f t="shared" si="553"/>
        <v>3145.8306567301674</v>
      </c>
      <c r="BX138" s="20"/>
      <c r="BY138" s="172"/>
      <c r="BZ138" s="171">
        <f t="shared" ref="BZ138:CB139" si="554">+BZ9</f>
        <v>105.334</v>
      </c>
      <c r="CA138" s="171">
        <f t="shared" si="554"/>
        <v>68.73</v>
      </c>
      <c r="CB138" s="171">
        <f t="shared" si="554"/>
        <v>565.27300000000002</v>
      </c>
      <c r="CC138" s="171">
        <f t="shared" ref="CC138:CH138" si="555">+CC9</f>
        <v>167.477</v>
      </c>
      <c r="CD138" s="171">
        <f t="shared" si="555"/>
        <v>487.73599999999999</v>
      </c>
      <c r="CE138" s="171">
        <f t="shared" si="555"/>
        <v>446.32900000000001</v>
      </c>
      <c r="CF138" s="171">
        <f t="shared" si="555"/>
        <v>492.13</v>
      </c>
      <c r="CG138" s="172">
        <f t="shared" si="555"/>
        <v>703.92399999999998</v>
      </c>
      <c r="CH138" s="171">
        <f t="shared" si="555"/>
        <v>635.755</v>
      </c>
      <c r="CI138" s="171">
        <f t="shared" ref="CI138:CK139" si="556">+CI9</f>
        <v>528.33399999999995</v>
      </c>
      <c r="CJ138" s="171">
        <f t="shared" si="556"/>
        <v>466.60300000000001</v>
      </c>
      <c r="CK138" s="171">
        <f t="shared" si="556"/>
        <v>607.81500000000005</v>
      </c>
      <c r="CL138" s="171">
        <f t="shared" ref="CL138:CN139" si="557">+CL9</f>
        <v>2092.7510000000002</v>
      </c>
      <c r="CM138" s="171">
        <f t="shared" si="557"/>
        <v>908.68399999999997</v>
      </c>
      <c r="CN138" s="171">
        <f t="shared" si="557"/>
        <v>905.80638599740155</v>
      </c>
      <c r="CO138" s="171">
        <f>+CO9</f>
        <v>1976.2383428177222</v>
      </c>
      <c r="CP138" s="173">
        <f>+CP9</f>
        <v>3145.8306567301674</v>
      </c>
      <c r="CQ138" s="20"/>
      <c r="CR138" s="172"/>
      <c r="CS138" s="171"/>
      <c r="CT138" s="171"/>
      <c r="CU138" s="171"/>
      <c r="CV138" s="171"/>
      <c r="CW138" s="171"/>
      <c r="CX138" s="171"/>
      <c r="CY138" s="171"/>
      <c r="CZ138" s="171"/>
      <c r="DA138" s="171"/>
      <c r="DB138" s="171"/>
      <c r="DC138" s="171"/>
      <c r="DD138" s="171"/>
      <c r="DE138" s="171"/>
      <c r="DF138" s="171"/>
      <c r="DG138" s="171"/>
      <c r="DH138" s="173"/>
      <c r="DI138" s="22"/>
    </row>
    <row r="139" spans="1:113" ht="14.25" customHeight="1">
      <c r="A139" s="554"/>
      <c r="B139" s="610" t="s">
        <v>310</v>
      </c>
      <c r="C139" s="951"/>
      <c r="D139" s="705"/>
      <c r="E139" s="705">
        <f t="shared" ref="E139:K139" si="558">+E10</f>
        <v>95.677999999999997</v>
      </c>
      <c r="F139" s="705">
        <f t="shared" si="558"/>
        <v>149.89499999999998</v>
      </c>
      <c r="G139" s="705">
        <f t="shared" si="558"/>
        <v>162.602</v>
      </c>
      <c r="H139" s="706">
        <f t="shared" si="558"/>
        <v>224.953</v>
      </c>
      <c r="I139" s="705">
        <f t="shared" si="558"/>
        <v>306.41500000000002</v>
      </c>
      <c r="J139" s="705">
        <f t="shared" si="558"/>
        <v>392.26600000000002</v>
      </c>
      <c r="K139" s="704">
        <f t="shared" si="558"/>
        <v>369.21600000000001</v>
      </c>
      <c r="L139" s="706">
        <f t="shared" si="545"/>
        <v>451.97800000000001</v>
      </c>
      <c r="M139" s="705">
        <f t="shared" si="545"/>
        <v>530.63499999999999</v>
      </c>
      <c r="N139" s="705">
        <f t="shared" si="545"/>
        <v>619.60599999999999</v>
      </c>
      <c r="O139" s="704">
        <f t="shared" si="545"/>
        <v>665.87400000000002</v>
      </c>
      <c r="P139" s="706">
        <f t="shared" si="545"/>
        <v>673.66700000000003</v>
      </c>
      <c r="Q139" s="705">
        <f t="shared" si="545"/>
        <v>792.41</v>
      </c>
      <c r="R139" s="705">
        <f t="shared" si="545"/>
        <v>834.89800000000002</v>
      </c>
      <c r="S139" s="704">
        <f t="shared" si="545"/>
        <v>199.49100000000001</v>
      </c>
      <c r="T139" s="706">
        <f t="shared" ref="T139:AQ139" si="559">+T10</f>
        <v>617.13300000000004</v>
      </c>
      <c r="U139" s="705">
        <f t="shared" si="559"/>
        <v>479.44600000000003</v>
      </c>
      <c r="V139" s="705">
        <f t="shared" si="559"/>
        <v>575.27499999999998</v>
      </c>
      <c r="W139" s="704">
        <f t="shared" si="559"/>
        <v>583</v>
      </c>
      <c r="X139" s="706">
        <f t="shared" si="559"/>
        <v>553.56899999999996</v>
      </c>
      <c r="Y139" s="705">
        <f t="shared" si="559"/>
        <v>659.08100000000002</v>
      </c>
      <c r="Z139" s="705">
        <f t="shared" si="559"/>
        <v>607.01099999999997</v>
      </c>
      <c r="AA139" s="704">
        <f t="shared" si="559"/>
        <v>837.05399999999997</v>
      </c>
      <c r="AB139" s="706">
        <f t="shared" si="559"/>
        <v>353.58800000000002</v>
      </c>
      <c r="AC139" s="705">
        <f t="shared" si="559"/>
        <v>796.67700000000002</v>
      </c>
      <c r="AD139" s="705">
        <f t="shared" si="559"/>
        <v>1006.417</v>
      </c>
      <c r="AE139" s="704">
        <f t="shared" si="559"/>
        <v>943.61599999999999</v>
      </c>
      <c r="AF139" s="706">
        <f t="shared" si="559"/>
        <v>830.45600000000002</v>
      </c>
      <c r="AG139" s="705">
        <f t="shared" si="559"/>
        <v>822.94899999999996</v>
      </c>
      <c r="AH139" s="705">
        <f t="shared" si="559"/>
        <v>716.68299999999999</v>
      </c>
      <c r="AI139" s="704">
        <f t="shared" si="559"/>
        <v>722.19299999999998</v>
      </c>
      <c r="AJ139" s="706">
        <f t="shared" si="559"/>
        <v>792.34199999999998</v>
      </c>
      <c r="AK139" s="705">
        <f t="shared" si="559"/>
        <v>955.04700000000003</v>
      </c>
      <c r="AL139" s="705">
        <f t="shared" si="559"/>
        <v>690.56799999999998</v>
      </c>
      <c r="AM139" s="704">
        <f t="shared" si="559"/>
        <v>539.572</v>
      </c>
      <c r="AN139" s="706">
        <f t="shared" si="559"/>
        <v>866.36900000000003</v>
      </c>
      <c r="AO139" s="705">
        <f t="shared" si="559"/>
        <v>740.30899999999997</v>
      </c>
      <c r="AP139" s="705">
        <f t="shared" si="559"/>
        <v>696.548</v>
      </c>
      <c r="AQ139" s="704">
        <f t="shared" si="559"/>
        <v>823.25400000000002</v>
      </c>
      <c r="AR139" s="705">
        <f t="shared" ref="AR139:BC139" si="560">+AR10</f>
        <v>881.91300000000001</v>
      </c>
      <c r="AS139" s="705">
        <f t="shared" si="560"/>
        <v>1116.675</v>
      </c>
      <c r="AT139" s="705">
        <f t="shared" si="560"/>
        <v>1157.01</v>
      </c>
      <c r="AU139" s="705">
        <f t="shared" si="560"/>
        <v>1050.2629999999999</v>
      </c>
      <c r="AV139" s="706">
        <f>+AV10</f>
        <v>558.64400000000001</v>
      </c>
      <c r="AW139" s="705">
        <f t="shared" si="560"/>
        <v>807.70899999999995</v>
      </c>
      <c r="AX139" s="705">
        <f t="shared" si="560"/>
        <v>932.30200000000002</v>
      </c>
      <c r="AY139" s="704">
        <f>+AY10</f>
        <v>878.18200000000002</v>
      </c>
      <c r="AZ139" s="706">
        <f t="shared" si="560"/>
        <v>1142.0909999999999</v>
      </c>
      <c r="BA139" s="705">
        <f>+BA10</f>
        <v>801.67</v>
      </c>
      <c r="BB139" s="705">
        <f>+BB10</f>
        <v>666.11900000000003</v>
      </c>
      <c r="BC139" s="704">
        <f t="shared" si="560"/>
        <v>1351.0540000000001</v>
      </c>
      <c r="BD139" s="706">
        <f>+BD10</f>
        <v>969.00300000000004</v>
      </c>
      <c r="BE139" s="705">
        <f t="shared" si="548"/>
        <v>1462.4659999999999</v>
      </c>
      <c r="BF139" s="705">
        <f t="shared" si="548"/>
        <v>676.44899999999996</v>
      </c>
      <c r="BG139" s="704">
        <f t="shared" si="548"/>
        <v>353.28399999999999</v>
      </c>
      <c r="BH139" s="706">
        <f>+BH10</f>
        <v>1.266</v>
      </c>
      <c r="BI139" s="705">
        <f t="shared" ref="BI139:BJ139" si="561">+BI10</f>
        <v>0.84799999999999998</v>
      </c>
      <c r="BJ139" s="705">
        <f t="shared" si="561"/>
        <v>5.7050000000000001</v>
      </c>
      <c r="BK139" s="704">
        <f t="shared" si="550"/>
        <v>394.08800000000002</v>
      </c>
      <c r="BL139" s="706">
        <f t="shared" si="551"/>
        <v>457.21</v>
      </c>
      <c r="BM139" s="705">
        <f t="shared" si="551"/>
        <v>488.197</v>
      </c>
      <c r="BN139" s="705">
        <f t="shared" si="551"/>
        <v>427.51400000000001</v>
      </c>
      <c r="BO139" s="704">
        <f t="shared" si="551"/>
        <v>427.51400000000001</v>
      </c>
      <c r="BP139" s="706">
        <f t="shared" si="552"/>
        <v>427.51400000000001</v>
      </c>
      <c r="BQ139" s="705">
        <f t="shared" si="552"/>
        <v>427.51400000000001</v>
      </c>
      <c r="BR139" s="705">
        <f t="shared" si="552"/>
        <v>427.51400000000001</v>
      </c>
      <c r="BS139" s="704">
        <f t="shared" si="552"/>
        <v>427.51400000000001</v>
      </c>
      <c r="BT139" s="706">
        <f t="shared" ref="BT139:BW139" si="562">+BT10</f>
        <v>427.51400000000001</v>
      </c>
      <c r="BU139" s="705">
        <f t="shared" si="562"/>
        <v>427.51400000000001</v>
      </c>
      <c r="BV139" s="705">
        <f t="shared" si="562"/>
        <v>427.51400000000001</v>
      </c>
      <c r="BW139" s="704">
        <f t="shared" si="562"/>
        <v>427.51400000000001</v>
      </c>
      <c r="BX139" s="552"/>
      <c r="BY139" s="707"/>
      <c r="BZ139" s="708">
        <f t="shared" si="554"/>
        <v>369.21600000000001</v>
      </c>
      <c r="CA139" s="708">
        <f t="shared" si="554"/>
        <v>665.87400000000002</v>
      </c>
      <c r="CB139" s="708">
        <f t="shared" si="554"/>
        <v>199.49100000000001</v>
      </c>
      <c r="CC139" s="708">
        <f t="shared" ref="CC139:CH139" si="563">+CC10</f>
        <v>583</v>
      </c>
      <c r="CD139" s="708">
        <f t="shared" si="563"/>
        <v>837.05399999999997</v>
      </c>
      <c r="CE139" s="708">
        <f t="shared" si="563"/>
        <v>943.61599999999999</v>
      </c>
      <c r="CF139" s="708">
        <f t="shared" si="563"/>
        <v>722.19299999999998</v>
      </c>
      <c r="CG139" s="707">
        <f t="shared" si="563"/>
        <v>539.572</v>
      </c>
      <c r="CH139" s="708">
        <f t="shared" si="563"/>
        <v>823.25400000000002</v>
      </c>
      <c r="CI139" s="708">
        <f t="shared" si="556"/>
        <v>1050.2629999999999</v>
      </c>
      <c r="CJ139" s="708">
        <f t="shared" si="556"/>
        <v>878.18200000000002</v>
      </c>
      <c r="CK139" s="708">
        <f t="shared" si="556"/>
        <v>1351.0540000000001</v>
      </c>
      <c r="CL139" s="708">
        <f t="shared" si="557"/>
        <v>353.28399999999999</v>
      </c>
      <c r="CM139" s="708">
        <f t="shared" si="557"/>
        <v>394.08800000000002</v>
      </c>
      <c r="CN139" s="708">
        <f t="shared" si="557"/>
        <v>427.51400000000001</v>
      </c>
      <c r="CO139" s="708">
        <f>+CO10</f>
        <v>427.51400000000001</v>
      </c>
      <c r="CP139" s="709">
        <f>+CP10</f>
        <v>427.51400000000001</v>
      </c>
      <c r="CQ139" s="552"/>
      <c r="CR139" s="707"/>
      <c r="CS139" s="708"/>
      <c r="CT139" s="708"/>
      <c r="CU139" s="708"/>
      <c r="CV139" s="708"/>
      <c r="CW139" s="708"/>
      <c r="CX139" s="708"/>
      <c r="CY139" s="708"/>
      <c r="CZ139" s="708"/>
      <c r="DA139" s="708"/>
      <c r="DB139" s="708"/>
      <c r="DC139" s="708"/>
      <c r="DD139" s="708"/>
      <c r="DE139" s="708"/>
      <c r="DF139" s="708"/>
      <c r="DG139" s="708"/>
      <c r="DH139" s="709"/>
      <c r="DI139" s="556"/>
    </row>
    <row r="140" spans="1:113" ht="14.25" customHeight="1">
      <c r="A140" s="101"/>
      <c r="B140" s="607" t="s">
        <v>297</v>
      </c>
      <c r="C140" s="950"/>
      <c r="D140" s="630"/>
      <c r="E140" s="630">
        <f t="shared" ref="E140:S140" si="564">+SUM(E138:E139)</f>
        <v>141.328</v>
      </c>
      <c r="F140" s="630">
        <f t="shared" si="564"/>
        <v>198.23099999999999</v>
      </c>
      <c r="G140" s="630">
        <f t="shared" si="564"/>
        <v>216.511</v>
      </c>
      <c r="H140" s="637">
        <f t="shared" si="564"/>
        <v>272.60199999999998</v>
      </c>
      <c r="I140" s="630">
        <f t="shared" si="564"/>
        <v>350.87700000000001</v>
      </c>
      <c r="J140" s="630">
        <f t="shared" si="564"/>
        <v>450.44</v>
      </c>
      <c r="K140" s="631">
        <f t="shared" si="564"/>
        <v>474.55</v>
      </c>
      <c r="L140" s="637">
        <f t="shared" si="564"/>
        <v>538.86400000000003</v>
      </c>
      <c r="M140" s="630">
        <f t="shared" si="564"/>
        <v>605.86</v>
      </c>
      <c r="N140" s="630">
        <f t="shared" si="564"/>
        <v>695.78899999999999</v>
      </c>
      <c r="O140" s="631">
        <f t="shared" si="564"/>
        <v>734.60400000000004</v>
      </c>
      <c r="P140" s="637">
        <f t="shared" si="564"/>
        <v>815.03899999999999</v>
      </c>
      <c r="Q140" s="630">
        <f t="shared" si="564"/>
        <v>902.49</v>
      </c>
      <c r="R140" s="630">
        <f t="shared" si="564"/>
        <v>992.35</v>
      </c>
      <c r="S140" s="631">
        <f t="shared" si="564"/>
        <v>764.76400000000001</v>
      </c>
      <c r="T140" s="637">
        <f t="shared" ref="T140:AQ140" si="565">+SUM(T138:T139)</f>
        <v>753.78899999999999</v>
      </c>
      <c r="U140" s="630">
        <f t="shared" si="565"/>
        <v>612.01499999999999</v>
      </c>
      <c r="V140" s="630">
        <f t="shared" si="565"/>
        <v>728.55199999999991</v>
      </c>
      <c r="W140" s="631">
        <f t="shared" si="565"/>
        <v>750.47699999999998</v>
      </c>
      <c r="X140" s="637">
        <f t="shared" si="565"/>
        <v>721.57199999999989</v>
      </c>
      <c r="Y140" s="630">
        <f t="shared" si="565"/>
        <v>833.30600000000004</v>
      </c>
      <c r="Z140" s="630">
        <f t="shared" si="565"/>
        <v>1438.0160000000001</v>
      </c>
      <c r="AA140" s="631">
        <f t="shared" si="565"/>
        <v>1324.79</v>
      </c>
      <c r="AB140" s="637">
        <f t="shared" si="565"/>
        <v>1039.163</v>
      </c>
      <c r="AC140" s="630">
        <f t="shared" si="565"/>
        <v>1108.415</v>
      </c>
      <c r="AD140" s="630">
        <f t="shared" si="565"/>
        <v>1397.6110000000001</v>
      </c>
      <c r="AE140" s="631">
        <f t="shared" si="565"/>
        <v>1389.9449999999999</v>
      </c>
      <c r="AF140" s="637">
        <f t="shared" si="565"/>
        <v>1407.4349999999999</v>
      </c>
      <c r="AG140" s="630">
        <f t="shared" si="565"/>
        <v>1363.9939999999999</v>
      </c>
      <c r="AH140" s="630">
        <f t="shared" si="565"/>
        <v>1077.9739999999999</v>
      </c>
      <c r="AI140" s="631">
        <f t="shared" si="565"/>
        <v>1214.3229999999999</v>
      </c>
      <c r="AJ140" s="637">
        <f t="shared" si="565"/>
        <v>1315.816</v>
      </c>
      <c r="AK140" s="630">
        <f t="shared" si="565"/>
        <v>1378.768</v>
      </c>
      <c r="AL140" s="630">
        <f t="shared" si="565"/>
        <v>1191.184</v>
      </c>
      <c r="AM140" s="631">
        <f t="shared" si="565"/>
        <v>1243.4960000000001</v>
      </c>
      <c r="AN140" s="637">
        <f t="shared" si="565"/>
        <v>1517.752</v>
      </c>
      <c r="AO140" s="630">
        <f t="shared" si="565"/>
        <v>1415.4380000000001</v>
      </c>
      <c r="AP140" s="630">
        <f t="shared" si="565"/>
        <v>1302.2730000000001</v>
      </c>
      <c r="AQ140" s="631">
        <f t="shared" si="565"/>
        <v>1459.009</v>
      </c>
      <c r="AR140" s="630">
        <f t="shared" ref="AR140:BC140" si="566">+SUM(AR138:AR139)</f>
        <v>1661.761</v>
      </c>
      <c r="AS140" s="630">
        <f t="shared" si="566"/>
        <v>1553.4099999999999</v>
      </c>
      <c r="AT140" s="630">
        <f t="shared" si="566"/>
        <v>1622.3029999999999</v>
      </c>
      <c r="AU140" s="630">
        <f t="shared" si="566"/>
        <v>1578.5969999999998</v>
      </c>
      <c r="AV140" s="637">
        <f t="shared" si="566"/>
        <v>961.875</v>
      </c>
      <c r="AW140" s="630">
        <f t="shared" si="566"/>
        <v>1151.9110000000001</v>
      </c>
      <c r="AX140" s="630">
        <f t="shared" si="566"/>
        <v>1307.402</v>
      </c>
      <c r="AY140" s="631">
        <f>+SUM(AY138:AY139)</f>
        <v>1344.7850000000001</v>
      </c>
      <c r="AZ140" s="637">
        <f t="shared" si="566"/>
        <v>1759.8609999999999</v>
      </c>
      <c r="BA140" s="630">
        <f>+SUM(BA138:BA139)</f>
        <v>1283.1089999999999</v>
      </c>
      <c r="BB140" s="630">
        <f>+SUM(BB138:BB139)</f>
        <v>1122.4580000000001</v>
      </c>
      <c r="BC140" s="631">
        <f t="shared" si="566"/>
        <v>1958.8690000000001</v>
      </c>
      <c r="BD140" s="637">
        <f t="shared" ref="BD140:BK140" si="567">+SUM(BD138:BD139)</f>
        <v>1532.5500000000002</v>
      </c>
      <c r="BE140" s="630">
        <f t="shared" ref="BE140:BI140" si="568">+SUM(BE138:BE139)</f>
        <v>2001.5439999999999</v>
      </c>
      <c r="BF140" s="630">
        <f t="shared" si="568"/>
        <v>1007.9</v>
      </c>
      <c r="BG140" s="631">
        <f t="shared" si="568"/>
        <v>2446.0350000000003</v>
      </c>
      <c r="BH140" s="637">
        <f t="shared" si="568"/>
        <v>601.79199999999992</v>
      </c>
      <c r="BI140" s="630">
        <f t="shared" si="568"/>
        <v>490.83600000000001</v>
      </c>
      <c r="BJ140" s="630">
        <f t="shared" ref="BJ140" si="569">+SUM(BJ138:BJ139)</f>
        <v>669.64300000000003</v>
      </c>
      <c r="BK140" s="631">
        <f t="shared" si="567"/>
        <v>1302.7719999999999</v>
      </c>
      <c r="BL140" s="637">
        <f t="shared" ref="BL140:BS140" si="570">+SUM(BL138:BL139)</f>
        <v>1230.2459999999999</v>
      </c>
      <c r="BM140" s="630">
        <f t="shared" si="570"/>
        <v>1314.604</v>
      </c>
      <c r="BN140" s="630">
        <f t="shared" si="570"/>
        <v>1099.5929999999998</v>
      </c>
      <c r="BO140" s="631">
        <f t="shared" si="570"/>
        <v>1333.3203859974014</v>
      </c>
      <c r="BP140" s="637">
        <f t="shared" si="570"/>
        <v>1586.4668898418226</v>
      </c>
      <c r="BQ140" s="630">
        <f t="shared" si="570"/>
        <v>1841.7305595832136</v>
      </c>
      <c r="BR140" s="630">
        <f t="shared" si="570"/>
        <v>2123.7611215812476</v>
      </c>
      <c r="BS140" s="631">
        <f t="shared" si="570"/>
        <v>2403.7523428177224</v>
      </c>
      <c r="BT140" s="637">
        <f t="shared" ref="BT140:BW140" si="571">+SUM(BT138:BT139)</f>
        <v>2679.0929171630255</v>
      </c>
      <c r="BU140" s="630">
        <f t="shared" si="571"/>
        <v>2956.092244854116</v>
      </c>
      <c r="BV140" s="630">
        <f t="shared" si="571"/>
        <v>3273.4059431339156</v>
      </c>
      <c r="BW140" s="631">
        <f t="shared" si="571"/>
        <v>3573.3446567301676</v>
      </c>
      <c r="BX140" s="312"/>
      <c r="BY140" s="633"/>
      <c r="BZ140" s="632">
        <f>+SUM(BZ138:BZ139)</f>
        <v>474.55</v>
      </c>
      <c r="CA140" s="632">
        <f>+SUM(CA138:CA139)</f>
        <v>734.60400000000004</v>
      </c>
      <c r="CB140" s="632">
        <f>+SUM(CB138:CB139)</f>
        <v>764.76400000000001</v>
      </c>
      <c r="CC140" s="632">
        <f t="shared" ref="CC140:CH140" si="572">+SUM(CC138:CC139)</f>
        <v>750.47699999999998</v>
      </c>
      <c r="CD140" s="632">
        <f t="shared" si="572"/>
        <v>1324.79</v>
      </c>
      <c r="CE140" s="632">
        <f t="shared" si="572"/>
        <v>1389.9449999999999</v>
      </c>
      <c r="CF140" s="632">
        <f t="shared" si="572"/>
        <v>1214.3229999999999</v>
      </c>
      <c r="CG140" s="633">
        <f t="shared" si="572"/>
        <v>1243.4960000000001</v>
      </c>
      <c r="CH140" s="632">
        <f t="shared" si="572"/>
        <v>1459.009</v>
      </c>
      <c r="CI140" s="632">
        <f t="shared" ref="CI140:CO140" si="573">+SUM(CI138:CI139)</f>
        <v>1578.5969999999998</v>
      </c>
      <c r="CJ140" s="632">
        <f t="shared" si="573"/>
        <v>1344.7850000000001</v>
      </c>
      <c r="CK140" s="632">
        <f t="shared" si="573"/>
        <v>1958.8690000000001</v>
      </c>
      <c r="CL140" s="632">
        <f t="shared" si="573"/>
        <v>2446.0350000000003</v>
      </c>
      <c r="CM140" s="632">
        <f t="shared" si="573"/>
        <v>1302.7719999999999</v>
      </c>
      <c r="CN140" s="632">
        <f t="shared" si="573"/>
        <v>1333.3203859974014</v>
      </c>
      <c r="CO140" s="632">
        <f t="shared" si="573"/>
        <v>2403.7523428177224</v>
      </c>
      <c r="CP140" s="634">
        <f t="shared" ref="CP140" si="574">+SUM(CP138:CP139)</f>
        <v>3573.3446567301676</v>
      </c>
      <c r="CQ140" s="312"/>
      <c r="CR140" s="633"/>
      <c r="CS140" s="632"/>
      <c r="CT140" s="632"/>
      <c r="CU140" s="632"/>
      <c r="CV140" s="632"/>
      <c r="CW140" s="632"/>
      <c r="CX140" s="632"/>
      <c r="CY140" s="632"/>
      <c r="CZ140" s="632"/>
      <c r="DA140" s="632"/>
      <c r="DB140" s="632"/>
      <c r="DC140" s="632"/>
      <c r="DD140" s="632"/>
      <c r="DE140" s="632"/>
      <c r="DF140" s="632"/>
      <c r="DG140" s="632"/>
      <c r="DH140" s="634"/>
      <c r="DI140" s="467"/>
    </row>
    <row r="141" spans="1:113" ht="14.25" customHeight="1">
      <c r="A141" s="8"/>
      <c r="B141" s="612"/>
      <c r="C141" s="68"/>
      <c r="D141" s="163"/>
      <c r="E141" s="163"/>
      <c r="F141" s="163"/>
      <c r="G141" s="163"/>
      <c r="H141" s="635"/>
      <c r="I141" s="163"/>
      <c r="J141" s="163"/>
      <c r="K141" s="170"/>
      <c r="L141" s="635"/>
      <c r="M141" s="163"/>
      <c r="N141" s="163"/>
      <c r="O141" s="170"/>
      <c r="P141" s="635"/>
      <c r="Q141" s="163"/>
      <c r="R141" s="163"/>
      <c r="S141" s="170"/>
      <c r="T141" s="635"/>
      <c r="U141" s="163"/>
      <c r="V141" s="163"/>
      <c r="W141" s="170"/>
      <c r="X141" s="635"/>
      <c r="Y141" s="163"/>
      <c r="Z141" s="163"/>
      <c r="AA141" s="170"/>
      <c r="AB141" s="635"/>
      <c r="AC141" s="163"/>
      <c r="AD141" s="163"/>
      <c r="AE141" s="170"/>
      <c r="AF141" s="635"/>
      <c r="AG141" s="163"/>
      <c r="AH141" s="163"/>
      <c r="AI141" s="170"/>
      <c r="AJ141" s="635"/>
      <c r="AK141" s="163"/>
      <c r="AL141" s="163"/>
      <c r="AM141" s="170"/>
      <c r="AN141" s="635"/>
      <c r="AO141" s="163"/>
      <c r="AP141" s="163"/>
      <c r="AQ141" s="170"/>
      <c r="AR141" s="163"/>
      <c r="AS141" s="163"/>
      <c r="AT141" s="163"/>
      <c r="AU141" s="163"/>
      <c r="AV141" s="635"/>
      <c r="AW141" s="163"/>
      <c r="AX141" s="163"/>
      <c r="AY141" s="170"/>
      <c r="AZ141" s="635"/>
      <c r="BA141" s="163"/>
      <c r="BB141" s="163"/>
      <c r="BC141" s="170"/>
      <c r="BD141" s="635"/>
      <c r="BE141" s="163"/>
      <c r="BF141" s="163"/>
      <c r="BG141" s="170"/>
      <c r="BH141" s="635"/>
      <c r="BI141" s="163"/>
      <c r="BJ141" s="163"/>
      <c r="BK141" s="170"/>
      <c r="BL141" s="635"/>
      <c r="BM141" s="163"/>
      <c r="BN141" s="163"/>
      <c r="BO141" s="170"/>
      <c r="BP141" s="635"/>
      <c r="BQ141" s="163"/>
      <c r="BR141" s="163"/>
      <c r="BS141" s="170"/>
      <c r="BT141" s="635"/>
      <c r="BU141" s="163"/>
      <c r="BV141" s="163"/>
      <c r="BW141" s="170"/>
      <c r="BX141" s="20"/>
      <c r="BY141" s="172"/>
      <c r="BZ141" s="171"/>
      <c r="CA141" s="171"/>
      <c r="CB141" s="171"/>
      <c r="CC141" s="171"/>
      <c r="CD141" s="171"/>
      <c r="CE141" s="171"/>
      <c r="CF141" s="171"/>
      <c r="CG141" s="172"/>
      <c r="CH141" s="171"/>
      <c r="CI141" s="171"/>
      <c r="CJ141" s="171"/>
      <c r="CK141" s="171"/>
      <c r="CL141" s="171"/>
      <c r="CM141" s="171"/>
      <c r="CN141" s="171"/>
      <c r="CO141" s="171"/>
      <c r="CP141" s="173"/>
      <c r="CQ141" s="20"/>
      <c r="CR141" s="172"/>
      <c r="CS141" s="171"/>
      <c r="CT141" s="171"/>
      <c r="CU141" s="171"/>
      <c r="CV141" s="171"/>
      <c r="CW141" s="171"/>
      <c r="CX141" s="171"/>
      <c r="CY141" s="171"/>
      <c r="CZ141" s="171"/>
      <c r="DA141" s="171"/>
      <c r="DB141" s="171"/>
      <c r="DC141" s="171"/>
      <c r="DD141" s="171"/>
      <c r="DE141" s="171"/>
      <c r="DF141" s="171"/>
      <c r="DG141" s="171"/>
      <c r="DH141" s="173"/>
      <c r="DI141" s="22"/>
    </row>
    <row r="142" spans="1:113" ht="14.25" customHeight="1">
      <c r="A142" s="689"/>
      <c r="B142" s="730" t="s">
        <v>313</v>
      </c>
      <c r="C142" s="952"/>
      <c r="D142" s="711"/>
      <c r="E142" s="1095"/>
      <c r="F142" s="690">
        <f>F143/E135*4</f>
        <v>9.5900297488074066E-3</v>
      </c>
      <c r="G142" s="690">
        <f t="shared" ref="G142:AV142" si="575">G143/F135*4</f>
        <v>1.9302615193026156E-2</v>
      </c>
      <c r="H142" s="710">
        <f t="shared" si="575"/>
        <v>1.5961176607089709E-2</v>
      </c>
      <c r="I142" s="690">
        <f t="shared" si="575"/>
        <v>1.6498007029665931E-2</v>
      </c>
      <c r="J142" s="690">
        <f t="shared" si="575"/>
        <v>1.7387986881974456E-2</v>
      </c>
      <c r="K142" s="691">
        <f t="shared" si="575"/>
        <v>2.3016612659136959E-2</v>
      </c>
      <c r="L142" s="710">
        <f t="shared" si="575"/>
        <v>2.593020158067667E-2</v>
      </c>
      <c r="M142" s="690">
        <f t="shared" si="575"/>
        <v>3.5949847223685591E-2</v>
      </c>
      <c r="N142" s="690">
        <f t="shared" si="575"/>
        <v>3.6461890198640101E-2</v>
      </c>
      <c r="O142" s="691">
        <f t="shared" si="575"/>
        <v>3.7678671640312938E-2</v>
      </c>
      <c r="P142" s="710">
        <f t="shared" si="575"/>
        <v>3.7827559791833443E-2</v>
      </c>
      <c r="Q142" s="690">
        <f t="shared" si="575"/>
        <v>4.0936341212408314E-2</v>
      </c>
      <c r="R142" s="690">
        <f t="shared" si="575"/>
        <v>4.2540295617755713E-2</v>
      </c>
      <c r="S142" s="691">
        <f t="shared" si="575"/>
        <v>4.4264202373433502E-2</v>
      </c>
      <c r="T142" s="710">
        <f t="shared" si="575"/>
        <v>5.6137451504005641E-2</v>
      </c>
      <c r="U142" s="690">
        <f t="shared" si="575"/>
        <v>6.9197817888917365E-2</v>
      </c>
      <c r="V142" s="690">
        <f t="shared" si="575"/>
        <v>7.6265373997232641E-2</v>
      </c>
      <c r="W142" s="691">
        <f t="shared" si="575"/>
        <v>9.1912779915524948E-2</v>
      </c>
      <c r="X142" s="710">
        <f t="shared" si="575"/>
        <v>8.1817083749684313E-2</v>
      </c>
      <c r="Y142" s="690">
        <f t="shared" si="575"/>
        <v>7.6847125228354768E-2</v>
      </c>
      <c r="Z142" s="690">
        <f t="shared" si="575"/>
        <v>7.4653672814355337E-2</v>
      </c>
      <c r="AA142" s="691">
        <f t="shared" si="575"/>
        <v>5.7909099418460931E-2</v>
      </c>
      <c r="AB142" s="710">
        <f t="shared" si="575"/>
        <v>2.8369642618719122E-2</v>
      </c>
      <c r="AC142" s="690">
        <f t="shared" si="575"/>
        <v>3.0652405286875656E-2</v>
      </c>
      <c r="AD142" s="690">
        <f t="shared" si="575"/>
        <v>2.8522955493988911E-2</v>
      </c>
      <c r="AE142" s="691">
        <f t="shared" si="575"/>
        <v>1.7264291804062568E-2</v>
      </c>
      <c r="AF142" s="710">
        <f t="shared" si="575"/>
        <v>9.450412167620317E-3</v>
      </c>
      <c r="AG142" s="690">
        <f t="shared" si="575"/>
        <v>1.2889718657932508E-2</v>
      </c>
      <c r="AH142" s="690">
        <f t="shared" si="575"/>
        <v>1.4056777044765833E-2</v>
      </c>
      <c r="AI142" s="691">
        <f t="shared" si="575"/>
        <v>7.6188018422368416E-3</v>
      </c>
      <c r="AJ142" s="710">
        <f t="shared" si="575"/>
        <v>1.6126548506735786E-2</v>
      </c>
      <c r="AK142" s="690">
        <f t="shared" si="575"/>
        <v>1.3406647160598953E-2</v>
      </c>
      <c r="AL142" s="690">
        <f t="shared" si="575"/>
        <v>1.2022957617174437E-2</v>
      </c>
      <c r="AM142" s="691">
        <f t="shared" si="575"/>
        <v>1.0534041985308619E-2</v>
      </c>
      <c r="AN142" s="710">
        <f t="shared" si="575"/>
        <v>1.3452161882631064E-2</v>
      </c>
      <c r="AO142" s="690">
        <f t="shared" si="575"/>
        <v>1.295701795582776E-2</v>
      </c>
      <c r="AP142" s="690">
        <f t="shared" si="575"/>
        <v>1.152757499248889E-2</v>
      </c>
      <c r="AQ142" s="691">
        <f t="shared" si="575"/>
        <v>1.5780274374433929E-2</v>
      </c>
      <c r="AR142" s="690">
        <f t="shared" si="575"/>
        <v>1.3305965799797736E-2</v>
      </c>
      <c r="AS142" s="690">
        <f t="shared" si="575"/>
        <v>1.0264501452698372E-2</v>
      </c>
      <c r="AT142" s="690">
        <f t="shared" si="575"/>
        <v>9.1782151584975224E-3</v>
      </c>
      <c r="AU142" s="690">
        <f t="shared" si="575"/>
        <v>9.4527523319664526E-3</v>
      </c>
      <c r="AV142" s="710">
        <f t="shared" si="575"/>
        <v>9.6776003003138135E-3</v>
      </c>
      <c r="AW142" s="690">
        <f>+AV142</f>
        <v>9.6776003003138135E-3</v>
      </c>
      <c r="AX142" s="690">
        <v>8.0000000000000002E-3</v>
      </c>
      <c r="AY142" s="691">
        <f>AY143/AX135*4</f>
        <v>0</v>
      </c>
      <c r="AZ142" s="710">
        <v>0.01</v>
      </c>
      <c r="BA142" s="690">
        <v>0.01</v>
      </c>
      <c r="BB142" s="690">
        <v>0.01</v>
      </c>
      <c r="BC142" s="691">
        <f>+BB142</f>
        <v>0.01</v>
      </c>
      <c r="BD142" s="710">
        <v>0.01</v>
      </c>
      <c r="BE142" s="690">
        <v>0.01</v>
      </c>
      <c r="BF142" s="690">
        <v>0.01</v>
      </c>
      <c r="BG142" s="691">
        <f>+BF142</f>
        <v>0.01</v>
      </c>
      <c r="BH142" s="710">
        <v>0.01</v>
      </c>
      <c r="BI142" s="690">
        <v>0.01</v>
      </c>
      <c r="BJ142" s="690">
        <v>0.01</v>
      </c>
      <c r="BK142" s="691">
        <f t="shared" ref="BK142:BO142" si="576">+BJ142</f>
        <v>0.01</v>
      </c>
      <c r="BL142" s="710">
        <f t="shared" si="576"/>
        <v>0.01</v>
      </c>
      <c r="BM142" s="690">
        <f t="shared" si="576"/>
        <v>0.01</v>
      </c>
      <c r="BN142" s="690">
        <f t="shared" si="576"/>
        <v>0.01</v>
      </c>
      <c r="BO142" s="691">
        <f t="shared" si="576"/>
        <v>0.01</v>
      </c>
      <c r="BP142" s="710">
        <f t="shared" ref="BP142:BW142" si="577">+BO142</f>
        <v>0.01</v>
      </c>
      <c r="BQ142" s="690">
        <f t="shared" si="577"/>
        <v>0.01</v>
      </c>
      <c r="BR142" s="690">
        <f t="shared" si="577"/>
        <v>0.01</v>
      </c>
      <c r="BS142" s="691">
        <f t="shared" si="577"/>
        <v>0.01</v>
      </c>
      <c r="BT142" s="710">
        <f t="shared" si="577"/>
        <v>0.01</v>
      </c>
      <c r="BU142" s="690">
        <f t="shared" si="577"/>
        <v>0.01</v>
      </c>
      <c r="BV142" s="690">
        <f t="shared" si="577"/>
        <v>0.01</v>
      </c>
      <c r="BW142" s="691">
        <f t="shared" si="577"/>
        <v>0.01</v>
      </c>
      <c r="BX142" s="1104"/>
      <c r="BY142" s="693"/>
      <c r="BZ142" s="711"/>
      <c r="CA142" s="692">
        <f>CA143/BZ135</f>
        <v>8.2231387781683138E-2</v>
      </c>
      <c r="CB142" s="692">
        <f t="shared" ref="CB142:CP142" si="578">CB143/CA135</f>
        <v>6.901907069855652E-2</v>
      </c>
      <c r="CC142" s="692">
        <f t="shared" si="578"/>
        <v>7.5676146604156794E-2</v>
      </c>
      <c r="CD142" s="692">
        <f t="shared" si="578"/>
        <v>7.1722779837963088E-2</v>
      </c>
      <c r="CE142" s="690">
        <f t="shared" si="578"/>
        <v>4.3365752714606846E-2</v>
      </c>
      <c r="CF142" s="690">
        <f t="shared" si="578"/>
        <v>1.1567871134292982E-2</v>
      </c>
      <c r="CG142" s="710">
        <f t="shared" si="578"/>
        <v>1.1512685753752847E-2</v>
      </c>
      <c r="CH142" s="690">
        <f t="shared" si="578"/>
        <v>1.4816486223187738E-2</v>
      </c>
      <c r="CI142" s="690">
        <f t="shared" si="578"/>
        <v>1.2513108204610228E-2</v>
      </c>
      <c r="CJ142" s="690">
        <f t="shared" si="578"/>
        <v>8.3453906041703642E-3</v>
      </c>
      <c r="CK142" s="690">
        <f t="shared" si="578"/>
        <v>0</v>
      </c>
      <c r="CL142" s="690">
        <f t="shared" si="578"/>
        <v>0</v>
      </c>
      <c r="CM142" s="690">
        <f t="shared" si="578"/>
        <v>0</v>
      </c>
      <c r="CN142" s="690">
        <f t="shared" si="578"/>
        <v>0</v>
      </c>
      <c r="CO142" s="690">
        <f t="shared" si="578"/>
        <v>0</v>
      </c>
      <c r="CP142" s="691">
        <f t="shared" si="578"/>
        <v>0</v>
      </c>
      <c r="CQ142" s="1104"/>
      <c r="CR142" s="693"/>
      <c r="CS142" s="692"/>
      <c r="CT142" s="692"/>
      <c r="CU142" s="692"/>
      <c r="CV142" s="692"/>
      <c r="CW142" s="692"/>
      <c r="CX142" s="692"/>
      <c r="CY142" s="692"/>
      <c r="CZ142" s="692"/>
      <c r="DA142" s="692"/>
      <c r="DB142" s="692"/>
      <c r="DC142" s="692"/>
      <c r="DD142" s="692"/>
      <c r="DE142" s="692"/>
      <c r="DF142" s="692"/>
      <c r="DG142" s="692"/>
      <c r="DH142" s="694"/>
      <c r="DI142" s="1105"/>
    </row>
    <row r="143" spans="1:113" ht="14.25" customHeight="1">
      <c r="A143" s="101"/>
      <c r="B143" s="677" t="s">
        <v>307</v>
      </c>
      <c r="C143" s="953"/>
      <c r="D143" s="638"/>
      <c r="E143" s="638">
        <f>+IS!E68</f>
        <v>1.0720000000000001</v>
      </c>
      <c r="F143" s="638">
        <f>+IS!F68</f>
        <v>0.68100000000000005</v>
      </c>
      <c r="G143" s="638">
        <f>+IS!G68</f>
        <v>0.68200000000000016</v>
      </c>
      <c r="H143" s="640">
        <f>+IS!H68</f>
        <v>0.79100000000000004</v>
      </c>
      <c r="I143" s="638">
        <f>+IS!I68</f>
        <v>0.89300000000000002</v>
      </c>
      <c r="J143" s="638">
        <f>+IS!J68</f>
        <v>1.1850000000000001</v>
      </c>
      <c r="K143" s="639">
        <f>+IS!K68</f>
        <v>2.0189999999999997</v>
      </c>
      <c r="L143" s="640">
        <f>+IS!L68</f>
        <v>2.92</v>
      </c>
      <c r="M143" s="638">
        <f>+IS!M68</f>
        <v>4.2649999999999997</v>
      </c>
      <c r="N143" s="638">
        <f>+IS!N68</f>
        <v>4.9119999999999999</v>
      </c>
      <c r="O143" s="639">
        <f>+IS!O68</f>
        <v>5.706999999999999</v>
      </c>
      <c r="P143" s="640">
        <f>+IS!P68</f>
        <v>6.58</v>
      </c>
      <c r="Q143" s="638">
        <f>+IS!Q68</f>
        <v>7.5179999999999998</v>
      </c>
      <c r="R143" s="638">
        <f>+IS!R68</f>
        <v>8.6679999999999993</v>
      </c>
      <c r="S143" s="639">
        <f>+IS!S68</f>
        <v>9.9870000000000001</v>
      </c>
      <c r="T143" s="640">
        <f>+IS!T68</f>
        <v>13.927</v>
      </c>
      <c r="U143" s="638">
        <f>+IS!U68</f>
        <v>13.23</v>
      </c>
      <c r="V143" s="638">
        <f>+IS!V68</f>
        <v>14.372</v>
      </c>
      <c r="W143" s="639">
        <f>+IS!W68</f>
        <v>14.063000000000001</v>
      </c>
      <c r="X143" s="640">
        <f>+IS!X68</f>
        <v>14.901999999999999</v>
      </c>
      <c r="Y143" s="638">
        <f>+IS!Y68</f>
        <v>14.417999999999999</v>
      </c>
      <c r="Z143" s="638">
        <f>+IS!Z68</f>
        <v>13.467000000000001</v>
      </c>
      <c r="AA143" s="639">
        <f>+IS!AA68</f>
        <v>12.064000000000002</v>
      </c>
      <c r="AB143" s="640">
        <f>+IS!AB68</f>
        <v>10.199</v>
      </c>
      <c r="AC143" s="638">
        <f>+IS!AC68</f>
        <v>10.151999999999999</v>
      </c>
      <c r="AD143" s="638">
        <f>+IS!AD68</f>
        <v>7.41</v>
      </c>
      <c r="AE143" s="639">
        <f>+IS!AE68</f>
        <v>4.7840000000000025</v>
      </c>
      <c r="AF143" s="640">
        <f>+IS!AF68</f>
        <v>3.302</v>
      </c>
      <c r="AG143" s="638">
        <f>+IS!AG68</f>
        <v>4.4790000000000001</v>
      </c>
      <c r="AH143" s="638">
        <f>+IS!AH68</f>
        <v>4.9459999999999997</v>
      </c>
      <c r="AI143" s="639">
        <f>+IS!AI68</f>
        <v>2.5979999999999994</v>
      </c>
      <c r="AJ143" s="640">
        <f>+IS!AJ68</f>
        <v>4.3460000000000001</v>
      </c>
      <c r="AK143" s="638">
        <f>+IS!AK68</f>
        <v>4.07</v>
      </c>
      <c r="AL143" s="638">
        <f>+IS!AL68</f>
        <v>3.9550000000000001</v>
      </c>
      <c r="AM143" s="639">
        <f>+IS!AM68</f>
        <v>3.6309999999999985</v>
      </c>
      <c r="AN143" s="640">
        <f>+IS!AN68</f>
        <v>4.0060000000000002</v>
      </c>
      <c r="AO143" s="638">
        <f>+IS!AO68</f>
        <v>4.0279999999999996</v>
      </c>
      <c r="AP143" s="638">
        <f>+IS!AP68</f>
        <v>4.3739999999999997</v>
      </c>
      <c r="AQ143" s="639">
        <f>+IS!AQ68</f>
        <v>5.5840000000000032</v>
      </c>
      <c r="AR143" s="638">
        <f>+IS!AR68</f>
        <v>4.3319999999999999</v>
      </c>
      <c r="AS143" s="638">
        <f>+IS!AS68</f>
        <v>3.7440000000000002</v>
      </c>
      <c r="AT143" s="638">
        <f>+IS!AT68</f>
        <v>3.8130000000000002</v>
      </c>
      <c r="AU143" s="638">
        <f>+IS!AU68</f>
        <v>3.6710000000000016</v>
      </c>
      <c r="AV143" s="640">
        <f>+IS!AV68</f>
        <v>3.9249999999999998</v>
      </c>
      <c r="AW143" s="638">
        <f>+IS!AW68</f>
        <v>4.01</v>
      </c>
      <c r="AX143" s="638">
        <f>+IS!AX68</f>
        <v>4.2409999999999997</v>
      </c>
      <c r="AY143" s="639">
        <f>+IS!AY68</f>
        <v>0</v>
      </c>
      <c r="AZ143" s="640">
        <f>+IS!AZ68</f>
        <v>0</v>
      </c>
      <c r="BA143" s="638">
        <f>+IS!BA68</f>
        <v>0</v>
      </c>
      <c r="BB143" s="638">
        <f>+IS!BB68</f>
        <v>0</v>
      </c>
      <c r="BC143" s="639">
        <f>+IS!BC68</f>
        <v>0</v>
      </c>
      <c r="BD143" s="640">
        <f>+IS!BD68</f>
        <v>0</v>
      </c>
      <c r="BE143" s="638">
        <f>+IS!BE68</f>
        <v>0</v>
      </c>
      <c r="BF143" s="638">
        <f>+IS!BF68</f>
        <v>0</v>
      </c>
      <c r="BG143" s="639">
        <f>+IS!BG68</f>
        <v>0</v>
      </c>
      <c r="BH143" s="640">
        <f>+IS!BH68</f>
        <v>0</v>
      </c>
      <c r="BI143" s="638">
        <f>+IS!BI68</f>
        <v>0</v>
      </c>
      <c r="BJ143" s="638">
        <f>+IS!BJ68</f>
        <v>0</v>
      </c>
      <c r="BK143" s="639">
        <f t="shared" ref="BK143:BO143" si="579">+BK142*BK135/4</f>
        <v>1.749125</v>
      </c>
      <c r="BL143" s="640">
        <f t="shared" si="579"/>
        <v>3.5255725</v>
      </c>
      <c r="BM143" s="638">
        <f t="shared" si="579"/>
        <v>4.12676</v>
      </c>
      <c r="BN143" s="638">
        <f t="shared" si="579"/>
        <v>4.6096325</v>
      </c>
      <c r="BO143" s="639">
        <f t="shared" si="579"/>
        <v>4.9624625</v>
      </c>
      <c r="BP143" s="640">
        <f t="shared" ref="BP143:BW143" si="580">+BP142*BP135/4</f>
        <v>5.5467809649935047</v>
      </c>
      <c r="BQ143" s="638">
        <f t="shared" si="580"/>
        <v>6.1796472246045564</v>
      </c>
      <c r="BR143" s="638">
        <f t="shared" si="580"/>
        <v>6.8178063989580338</v>
      </c>
      <c r="BS143" s="639">
        <f t="shared" si="580"/>
        <v>7.5228828039531184</v>
      </c>
      <c r="BT143" s="640">
        <f t="shared" si="580"/>
        <v>8.2228608570443065</v>
      </c>
      <c r="BU143" s="638">
        <f t="shared" si="580"/>
        <v>8.9112122929075639</v>
      </c>
      <c r="BV143" s="638">
        <f t="shared" si="580"/>
        <v>9.6037106121352895</v>
      </c>
      <c r="BW143" s="639">
        <f t="shared" si="580"/>
        <v>10.396994857834789</v>
      </c>
      <c r="BX143" s="312"/>
      <c r="BY143" s="641"/>
      <c r="BZ143" s="642">
        <f>IS!BZ68</f>
        <v>4.8879999999999999</v>
      </c>
      <c r="CA143" s="642">
        <f>IS!CA68</f>
        <v>17.803999999999998</v>
      </c>
      <c r="CB143" s="642">
        <f>IS!CB68</f>
        <v>32.753</v>
      </c>
      <c r="CC143" s="642">
        <f>IS!CC68</f>
        <v>55.591999999999999</v>
      </c>
      <c r="CD143" s="642">
        <f>IS!CD68</f>
        <v>54.850999999999999</v>
      </c>
      <c r="CE143" s="642">
        <f>IS!CE68</f>
        <v>32.545000000000002</v>
      </c>
      <c r="CF143" s="642">
        <f>IS!CF68</f>
        <v>15.324999999999999</v>
      </c>
      <c r="CG143" s="641">
        <f>IS!CG68</f>
        <v>16.001999999999999</v>
      </c>
      <c r="CH143" s="642">
        <f>IS!CH68</f>
        <v>17.992000000000001</v>
      </c>
      <c r="CI143" s="642">
        <f>IS!CI68</f>
        <v>15.560000000000002</v>
      </c>
      <c r="CJ143" s="642">
        <f>IS!CJ68</f>
        <v>12.175999999999998</v>
      </c>
      <c r="CK143" s="642">
        <f>IS!CK68</f>
        <v>0</v>
      </c>
      <c r="CL143" s="642">
        <f>IS!CL68</f>
        <v>0</v>
      </c>
      <c r="CM143" s="642">
        <f>IS!CM68</f>
        <v>0</v>
      </c>
      <c r="CN143" s="642">
        <f>IS!CN68</f>
        <v>0</v>
      </c>
      <c r="CO143" s="642">
        <f>IS!CO68</f>
        <v>0</v>
      </c>
      <c r="CP143" s="643">
        <f>IS!CP68</f>
        <v>0</v>
      </c>
      <c r="CQ143" s="312"/>
      <c r="CR143" s="641"/>
      <c r="CS143" s="642"/>
      <c r="CT143" s="642"/>
      <c r="CU143" s="642"/>
      <c r="CV143" s="642"/>
      <c r="CW143" s="642"/>
      <c r="CX143" s="642"/>
      <c r="CY143" s="642"/>
      <c r="CZ143" s="642"/>
      <c r="DA143" s="642"/>
      <c r="DB143" s="642"/>
      <c r="DC143" s="642"/>
      <c r="DD143" s="642"/>
      <c r="DE143" s="642"/>
      <c r="DF143" s="642"/>
      <c r="DG143" s="642"/>
      <c r="DH143" s="643"/>
      <c r="DI143" s="467"/>
    </row>
    <row r="144" spans="1:113" ht="14.25" customHeight="1">
      <c r="A144" s="11"/>
      <c r="B144" s="678"/>
      <c r="C144" s="215"/>
      <c r="D144" s="559"/>
      <c r="E144" s="559"/>
      <c r="F144" s="559"/>
      <c r="G144" s="559"/>
      <c r="H144" s="559"/>
      <c r="I144" s="559"/>
      <c r="J144" s="559"/>
      <c r="K144" s="559"/>
      <c r="L144" s="559"/>
      <c r="M144" s="559"/>
      <c r="N144" s="559"/>
      <c r="O144" s="559"/>
      <c r="P144" s="559"/>
      <c r="Q144" s="559"/>
      <c r="R144" s="559"/>
      <c r="S144" s="559"/>
      <c r="T144" s="559"/>
      <c r="U144" s="559"/>
      <c r="V144" s="559"/>
      <c r="W144" s="559"/>
      <c r="X144" s="559"/>
      <c r="Y144" s="559"/>
      <c r="Z144" s="559"/>
      <c r="AA144" s="559"/>
      <c r="AB144" s="559"/>
      <c r="AC144" s="559"/>
      <c r="AD144" s="559"/>
      <c r="AE144" s="559"/>
      <c r="AF144" s="559"/>
      <c r="AG144" s="559"/>
      <c r="AH144" s="559"/>
      <c r="AI144" s="559"/>
      <c r="AJ144" s="559"/>
      <c r="AK144" s="559"/>
      <c r="AL144" s="559"/>
      <c r="AM144" s="559"/>
      <c r="AN144" s="559"/>
      <c r="AO144" s="559"/>
      <c r="AP144" s="559"/>
      <c r="AQ144" s="559"/>
      <c r="AR144" s="559"/>
      <c r="AS144" s="559"/>
      <c r="AT144" s="559"/>
      <c r="AU144" s="559"/>
      <c r="AV144" s="559"/>
      <c r="AW144" s="559"/>
      <c r="AX144" s="559"/>
      <c r="AY144" s="559"/>
      <c r="AZ144" s="559"/>
      <c r="BA144" s="559"/>
      <c r="BB144" s="559"/>
      <c r="BC144" s="559"/>
      <c r="BD144" s="559"/>
      <c r="BE144" s="559"/>
      <c r="BF144" s="559"/>
      <c r="BG144" s="559"/>
      <c r="BH144" s="559"/>
      <c r="BI144" s="559"/>
      <c r="BJ144" s="559"/>
      <c r="BK144" s="559"/>
      <c r="BL144" s="559"/>
      <c r="BM144" s="559"/>
      <c r="BN144" s="559"/>
      <c r="BO144" s="559"/>
      <c r="BP144" s="559"/>
      <c r="BQ144" s="559"/>
      <c r="BR144" s="559"/>
      <c r="BS144" s="559"/>
      <c r="BT144" s="559"/>
      <c r="BU144" s="559"/>
      <c r="BV144" s="559"/>
      <c r="BW144" s="559"/>
      <c r="BX144" s="68"/>
      <c r="BY144" s="559"/>
      <c r="BZ144" s="559"/>
      <c r="CA144" s="559"/>
      <c r="CB144" s="559"/>
      <c r="CC144" s="559"/>
      <c r="CD144" s="559"/>
      <c r="CE144" s="559"/>
      <c r="CF144" s="559"/>
      <c r="CG144" s="559"/>
      <c r="CH144" s="559"/>
      <c r="CI144" s="559"/>
      <c r="CJ144" s="559"/>
      <c r="CK144" s="559"/>
      <c r="CL144" s="559"/>
      <c r="CM144" s="559"/>
      <c r="CN144" s="559"/>
      <c r="CO144" s="559"/>
      <c r="CP144" s="559"/>
      <c r="CQ144" s="68"/>
      <c r="CR144" s="559"/>
      <c r="CS144" s="559"/>
      <c r="CT144" s="559"/>
      <c r="CU144" s="559"/>
      <c r="CV144" s="559"/>
      <c r="CW144" s="559"/>
      <c r="CX144" s="559"/>
      <c r="CY144" s="559"/>
      <c r="CZ144" s="559"/>
      <c r="DA144" s="559"/>
      <c r="DB144" s="559"/>
      <c r="DC144" s="559"/>
      <c r="DD144" s="559"/>
      <c r="DE144" s="559"/>
      <c r="DF144" s="559"/>
      <c r="DG144" s="559"/>
      <c r="DH144" s="559"/>
      <c r="DI144" s="11"/>
    </row>
    <row r="145" spans="1:113" ht="14.25" customHeight="1">
      <c r="A145" s="11"/>
      <c r="B145" s="678"/>
      <c r="C145" s="215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59"/>
      <c r="AI145" s="559"/>
      <c r="AJ145" s="559"/>
      <c r="AK145" s="559"/>
      <c r="AL145" s="559"/>
      <c r="AM145" s="559"/>
      <c r="AN145" s="559"/>
      <c r="AO145" s="559"/>
      <c r="AP145" s="559"/>
      <c r="AQ145" s="559"/>
      <c r="AR145" s="559"/>
      <c r="AS145" s="559"/>
      <c r="AT145" s="559"/>
      <c r="AU145" s="559"/>
      <c r="AV145" s="559"/>
      <c r="AW145" s="559"/>
      <c r="AX145" s="559"/>
      <c r="AY145" s="559"/>
      <c r="AZ145" s="559"/>
      <c r="BA145" s="559"/>
      <c r="BB145" s="559"/>
      <c r="BC145" s="559"/>
      <c r="BD145" s="559"/>
      <c r="BE145" s="559"/>
      <c r="BF145" s="559"/>
      <c r="BG145" s="559"/>
      <c r="BH145" s="559"/>
      <c r="BI145" s="559"/>
      <c r="BJ145" s="559"/>
      <c r="BK145" s="559"/>
      <c r="BL145" s="559"/>
      <c r="BM145" s="559"/>
      <c r="BN145" s="559"/>
      <c r="BO145" s="559"/>
      <c r="BP145" s="559"/>
      <c r="BQ145" s="559"/>
      <c r="BR145" s="559"/>
      <c r="BS145" s="559"/>
      <c r="BT145" s="559"/>
      <c r="BU145" s="559"/>
      <c r="BV145" s="559"/>
      <c r="BW145" s="559"/>
      <c r="BX145" s="68"/>
      <c r="BY145" s="559"/>
      <c r="BZ145" s="559"/>
      <c r="CA145" s="559"/>
      <c r="CB145" s="559"/>
      <c r="CC145" s="559"/>
      <c r="CD145" s="559"/>
      <c r="CE145" s="559"/>
      <c r="CF145" s="559"/>
      <c r="CG145" s="559"/>
      <c r="CH145" s="559"/>
      <c r="CI145" s="559"/>
      <c r="CJ145" s="559"/>
      <c r="CK145" s="559"/>
      <c r="CL145" s="559"/>
      <c r="CM145" s="559"/>
      <c r="CN145" s="559"/>
      <c r="CO145" s="559"/>
      <c r="CP145" s="559"/>
      <c r="CQ145" s="68"/>
      <c r="CR145" s="559"/>
      <c r="CS145" s="559"/>
      <c r="CT145" s="559"/>
      <c r="CU145" s="559"/>
      <c r="CV145" s="559"/>
      <c r="CW145" s="559"/>
      <c r="CX145" s="559"/>
      <c r="CY145" s="559"/>
      <c r="CZ145" s="559"/>
      <c r="DA145" s="559"/>
      <c r="DB145" s="559"/>
      <c r="DC145" s="559"/>
      <c r="DD145" s="559"/>
      <c r="DE145" s="559"/>
      <c r="DF145" s="559"/>
      <c r="DG145" s="559"/>
      <c r="DH145" s="559"/>
      <c r="DI145" s="11"/>
    </row>
    <row r="146" spans="1:113" ht="14.25" customHeight="1" outlineLevel="1">
      <c r="A146" s="8"/>
      <c r="B146" s="621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14"/>
      <c r="CM146" s="8"/>
      <c r="CN146" s="14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14"/>
      <c r="DE146" s="14"/>
      <c r="DF146" s="8"/>
      <c r="DG146" s="8"/>
      <c r="DH146" s="8"/>
      <c r="DI146" s="8"/>
    </row>
    <row r="147" spans="1:113" ht="14.25" customHeight="1" outlineLevel="1">
      <c r="BT147"/>
      <c r="BU147"/>
      <c r="BV147"/>
      <c r="BW147"/>
      <c r="CP147"/>
      <c r="DG147"/>
      <c r="DH147"/>
    </row>
    <row r="148" spans="1:113" ht="14.25" customHeight="1" outlineLevel="1">
      <c r="A148" s="8"/>
      <c r="B148" s="623" t="s">
        <v>20</v>
      </c>
      <c r="C148" s="98"/>
      <c r="D148" s="99" t="e">
        <f>IS!D181</f>
        <v>#NAME?</v>
      </c>
      <c r="E148" s="99" t="e">
        <f>IS!E181</f>
        <v>#NAME?</v>
      </c>
      <c r="F148" s="99" t="e">
        <f>IS!F181</f>
        <v>#NAME?</v>
      </c>
      <c r="G148" s="99" t="e">
        <f>IS!G181</f>
        <v>#NAME?</v>
      </c>
      <c r="H148" s="99" t="e">
        <f>IS!H181</f>
        <v>#NAME?</v>
      </c>
      <c r="I148" s="99" t="e">
        <f>IS!I181</f>
        <v>#NAME?</v>
      </c>
      <c r="J148" s="99" t="e">
        <f>IS!J181</f>
        <v>#NAME?</v>
      </c>
      <c r="K148" s="99" t="e">
        <f>IS!K181</f>
        <v>#NAME?</v>
      </c>
      <c r="L148" s="99" t="e">
        <f>IS!L181</f>
        <v>#NAME?</v>
      </c>
      <c r="M148" s="99" t="e">
        <f>IS!M181</f>
        <v>#NAME?</v>
      </c>
      <c r="N148" s="99" t="e">
        <f>IS!N181</f>
        <v>#NAME?</v>
      </c>
      <c r="O148" s="99" t="e">
        <f>IS!O181</f>
        <v>#NAME?</v>
      </c>
      <c r="P148" s="99" t="e">
        <f>IS!P181</f>
        <v>#NAME?</v>
      </c>
      <c r="Q148" s="99" t="e">
        <f>IS!Q181</f>
        <v>#NAME?</v>
      </c>
      <c r="R148" s="99" t="e">
        <f>IS!R181</f>
        <v>#NAME?</v>
      </c>
      <c r="S148" s="99" t="e">
        <f>IS!S181</f>
        <v>#NAME?</v>
      </c>
      <c r="T148" s="99" t="e">
        <f>IS!T181</f>
        <v>#NAME?</v>
      </c>
      <c r="U148" s="99" t="e">
        <f>IS!U181</f>
        <v>#NAME?</v>
      </c>
      <c r="V148" s="99" t="e">
        <f>IS!V181</f>
        <v>#NAME?</v>
      </c>
      <c r="W148" s="99" t="e">
        <f>IS!W181</f>
        <v>#NAME?</v>
      </c>
      <c r="X148" s="99" t="e">
        <f>IS!X181</f>
        <v>#NAME?</v>
      </c>
      <c r="Y148" s="99" t="e">
        <f>IS!Y181</f>
        <v>#NAME?</v>
      </c>
      <c r="Z148" s="99" t="e">
        <f>IS!Z181</f>
        <v>#NAME?</v>
      </c>
      <c r="AA148" s="99" t="e">
        <f>IS!AA181</f>
        <v>#NAME?</v>
      </c>
      <c r="AB148" s="99" t="e">
        <f>IS!AB181</f>
        <v>#NAME?</v>
      </c>
      <c r="AC148" s="99" t="e">
        <f>IS!AC181</f>
        <v>#NAME?</v>
      </c>
      <c r="AD148" s="99" t="e">
        <f>IS!AD181</f>
        <v>#NAME?</v>
      </c>
      <c r="AE148" s="99" t="e">
        <f>IS!AE181</f>
        <v>#NAME?</v>
      </c>
      <c r="AF148" s="99" t="e">
        <f>IS!AF181</f>
        <v>#NAME?</v>
      </c>
      <c r="AG148" s="99" t="e">
        <f>IS!AG181</f>
        <v>#NAME?</v>
      </c>
      <c r="AH148" s="99" t="e">
        <f>IS!AH181</f>
        <v>#NAME?</v>
      </c>
      <c r="AI148" s="99" t="e">
        <f>IS!AI181</f>
        <v>#NAME?</v>
      </c>
      <c r="AJ148" s="99" t="e">
        <f>IS!AJ181</f>
        <v>#NAME?</v>
      </c>
      <c r="AK148" s="99" t="e">
        <f>IS!AK181</f>
        <v>#NAME?</v>
      </c>
      <c r="AL148" s="99" t="e">
        <f>IS!AL181</f>
        <v>#NAME?</v>
      </c>
      <c r="AM148" s="99" t="e">
        <f>IS!AM181</f>
        <v>#NAME?</v>
      </c>
      <c r="AN148" s="99" t="e">
        <f>IS!AN181</f>
        <v>#NAME?</v>
      </c>
      <c r="AO148" s="99" t="e">
        <f>IS!AO181</f>
        <v>#NAME?</v>
      </c>
      <c r="AP148" s="99" t="e">
        <f>IS!AP181</f>
        <v>#NAME?</v>
      </c>
      <c r="AQ148" s="99" t="e">
        <f>IS!AQ181</f>
        <v>#NAME?</v>
      </c>
      <c r="AR148" s="99" t="e">
        <f>IS!AR181</f>
        <v>#NAME?</v>
      </c>
      <c r="AS148" s="99" t="e">
        <f>IS!AS181</f>
        <v>#NAME?</v>
      </c>
      <c r="AT148" s="99" t="e">
        <f>IS!AT181</f>
        <v>#NAME?</v>
      </c>
      <c r="AU148" s="99" t="e">
        <f>IS!AU181</f>
        <v>#NAME?</v>
      </c>
      <c r="AV148" s="99" t="e">
        <f>IS!AV181</f>
        <v>#NAME?</v>
      </c>
      <c r="AW148" s="99" t="e">
        <f>IS!AW181</f>
        <v>#NAME?</v>
      </c>
      <c r="AX148" s="99" t="e">
        <f>IS!AX181</f>
        <v>#NAME?</v>
      </c>
      <c r="AY148" s="99" t="e">
        <f>IS!AY181</f>
        <v>#NAME?</v>
      </c>
      <c r="AZ148" s="99" t="e">
        <f>IS!AZ181</f>
        <v>#NAME?</v>
      </c>
      <c r="BA148" s="99" t="e">
        <f>IS!BA181</f>
        <v>#NAME?</v>
      </c>
      <c r="BB148" s="99" t="e">
        <f>IS!BB181</f>
        <v>#NAME?</v>
      </c>
      <c r="BC148" s="99" t="e">
        <f>IS!BC181</f>
        <v>#NAME?</v>
      </c>
      <c r="BD148" s="99" t="e">
        <f>IS!BD181</f>
        <v>#NAME?</v>
      </c>
      <c r="BE148" s="99" t="e">
        <f>IS!BE181</f>
        <v>#NAME?</v>
      </c>
      <c r="BF148" s="99" t="e">
        <f>IS!BF181</f>
        <v>#NAME?</v>
      </c>
      <c r="BG148" s="99" t="e">
        <f>IS!BG181</f>
        <v>#NAME?</v>
      </c>
      <c r="BH148" s="99" t="e">
        <f>IS!BH181</f>
        <v>#NAME?</v>
      </c>
      <c r="BI148" s="99" t="e">
        <f>IS!BI181</f>
        <v>#NAME?</v>
      </c>
      <c r="BJ148" s="99" t="e">
        <f>IS!BJ181</f>
        <v>#NAME?</v>
      </c>
      <c r="BK148" s="99" t="e">
        <f>IS!BK181</f>
        <v>#NAME?</v>
      </c>
      <c r="BL148" s="99" t="e">
        <f>IS!BL181</f>
        <v>#NAME?</v>
      </c>
      <c r="BM148" s="99" t="e">
        <f>IS!BM181</f>
        <v>#NAME?</v>
      </c>
      <c r="BN148" s="99" t="e">
        <f>IS!BN181</f>
        <v>#NAME?</v>
      </c>
      <c r="BO148" s="99" t="e">
        <f>IS!BO181</f>
        <v>#NAME?</v>
      </c>
      <c r="BP148" s="99" t="e">
        <f>IS!BP181</f>
        <v>#NAME?</v>
      </c>
      <c r="BQ148" s="99" t="e">
        <f>IS!BQ181</f>
        <v>#NAME?</v>
      </c>
      <c r="BR148" s="99" t="e">
        <f>IS!BR181</f>
        <v>#NAME?</v>
      </c>
      <c r="BS148" s="99" t="e">
        <f>IS!BS181</f>
        <v>#NAME?</v>
      </c>
      <c r="BT148" s="99" t="e">
        <f>IS!BT181</f>
        <v>#NAME?</v>
      </c>
      <c r="BU148" s="99" t="e">
        <f>IS!BU181</f>
        <v>#NAME?</v>
      </c>
      <c r="BV148" s="99" t="e">
        <f>IS!BV181</f>
        <v>#NAME?</v>
      </c>
      <c r="BW148" s="99" t="e">
        <f>IS!BW181</f>
        <v>#NAME?</v>
      </c>
      <c r="BX148" s="99"/>
      <c r="BY148" s="99" t="e">
        <f>IS!BY181</f>
        <v>#NAME?</v>
      </c>
      <c r="BZ148" s="99" t="e">
        <f>IS!BZ181</f>
        <v>#NAME?</v>
      </c>
      <c r="CA148" s="99" t="e">
        <f>IS!CA181</f>
        <v>#NAME?</v>
      </c>
      <c r="CB148" s="99" t="e">
        <f>IS!CB181</f>
        <v>#NAME?</v>
      </c>
      <c r="CC148" s="99" t="e">
        <f>IS!CC181</f>
        <v>#NAME?</v>
      </c>
      <c r="CD148" s="99" t="e">
        <f>IS!CD181</f>
        <v>#NAME?</v>
      </c>
      <c r="CE148" s="99" t="e">
        <f>IS!CE181</f>
        <v>#NAME?</v>
      </c>
      <c r="CF148" s="99" t="e">
        <f>IS!CF181</f>
        <v>#NAME?</v>
      </c>
      <c r="CG148" s="99" t="e">
        <f>IS!CG181</f>
        <v>#NAME?</v>
      </c>
      <c r="CH148" s="99" t="e">
        <f>IS!CH181</f>
        <v>#NAME?</v>
      </c>
      <c r="CI148" s="99" t="e">
        <f>IS!CI181</f>
        <v>#NAME?</v>
      </c>
      <c r="CJ148" s="99" t="e">
        <f>IS!CJ181</f>
        <v>#NAME?</v>
      </c>
      <c r="CK148" s="99" t="e">
        <f>IS!CK181</f>
        <v>#NAME?</v>
      </c>
      <c r="CL148" s="910" t="e">
        <f>IS!CL181</f>
        <v>#NAME?</v>
      </c>
      <c r="CM148" s="99" t="e">
        <f>IS!CM181</f>
        <v>#NAME?</v>
      </c>
      <c r="CN148" s="910" t="e">
        <f>IS!CN181</f>
        <v>#NAME?</v>
      </c>
      <c r="CO148" s="99" t="e">
        <f>IS!CO181</f>
        <v>#NAME?</v>
      </c>
      <c r="CP148" s="99" t="e">
        <f>IS!CP181</f>
        <v>#NAME?</v>
      </c>
      <c r="CQ148" s="8"/>
      <c r="CR148" s="99" t="e">
        <f>IS!CR181</f>
        <v>#NAME?</v>
      </c>
      <c r="CS148" s="99" t="e">
        <f>IS!CS181</f>
        <v>#NAME?</v>
      </c>
      <c r="CT148" s="99" t="e">
        <f>IS!CT181</f>
        <v>#NAME?</v>
      </c>
      <c r="CU148" s="99" t="e">
        <f>IS!CU181</f>
        <v>#NAME?</v>
      </c>
      <c r="CV148" s="99" t="e">
        <f>IS!CV181</f>
        <v>#NAME?</v>
      </c>
      <c r="CW148" s="99" t="e">
        <f>IS!CW181</f>
        <v>#NAME?</v>
      </c>
      <c r="CX148" s="99" t="e">
        <f>IS!CX181</f>
        <v>#NAME?</v>
      </c>
      <c r="CY148" s="99" t="e">
        <f>IS!CY181</f>
        <v>#NAME?</v>
      </c>
      <c r="CZ148" s="99" t="e">
        <f>IS!CZ181</f>
        <v>#NAME?</v>
      </c>
      <c r="DA148" s="99" t="e">
        <f>IS!DA181</f>
        <v>#NAME?</v>
      </c>
      <c r="DB148" s="99" t="str">
        <f>IS!DB181</f>
        <v>E</v>
      </c>
      <c r="DC148" s="99" t="e">
        <f>IS!DC181</f>
        <v>#NAME?</v>
      </c>
      <c r="DD148" s="910" t="e">
        <f>IS!DD181</f>
        <v>#NAME?</v>
      </c>
      <c r="DE148" s="910" t="e">
        <f>IS!DE181</f>
        <v>#NAME?</v>
      </c>
      <c r="DF148" s="99" t="e">
        <f>IS!DF181</f>
        <v>#NAME?</v>
      </c>
      <c r="DG148" s="99" t="e">
        <f>IS!DG181</f>
        <v>#NAME?</v>
      </c>
      <c r="DH148" s="99" t="e">
        <f>IS!DH181</f>
        <v>#NAME?</v>
      </c>
      <c r="DI148" s="8"/>
    </row>
    <row r="149" spans="1:113" ht="14.25" customHeight="1" outlineLevel="2">
      <c r="A149" s="8"/>
      <c r="B149" s="618" t="s">
        <v>58</v>
      </c>
      <c r="C149" s="68"/>
      <c r="D149" s="176" t="s">
        <v>59</v>
      </c>
      <c r="E149" s="176" t="s">
        <v>59</v>
      </c>
      <c r="F149" s="176" t="s">
        <v>59</v>
      </c>
      <c r="G149" s="176" t="s">
        <v>59</v>
      </c>
      <c r="H149" s="176" t="s">
        <v>59</v>
      </c>
      <c r="I149" s="176" t="s">
        <v>59</v>
      </c>
      <c r="J149" s="176" t="s">
        <v>59</v>
      </c>
      <c r="K149" s="176" t="s">
        <v>59</v>
      </c>
      <c r="L149" s="176" t="s">
        <v>59</v>
      </c>
      <c r="M149" s="176" t="s">
        <v>59</v>
      </c>
      <c r="N149" s="176" t="s">
        <v>59</v>
      </c>
      <c r="O149" s="176" t="s">
        <v>59</v>
      </c>
      <c r="P149" s="176" t="s">
        <v>59</v>
      </c>
      <c r="Q149" s="176" t="s">
        <v>59</v>
      </c>
      <c r="R149" s="176" t="s">
        <v>59</v>
      </c>
      <c r="S149" s="176" t="s">
        <v>59</v>
      </c>
      <c r="T149" s="176" t="s">
        <v>59</v>
      </c>
      <c r="U149" s="176" t="s">
        <v>59</v>
      </c>
      <c r="V149" s="176" t="s">
        <v>59</v>
      </c>
      <c r="W149" s="176" t="s">
        <v>59</v>
      </c>
      <c r="X149" s="176" t="s">
        <v>59</v>
      </c>
      <c r="Y149" s="176" t="s">
        <v>59</v>
      </c>
      <c r="Z149" s="176" t="s">
        <v>59</v>
      </c>
      <c r="AA149" s="176" t="s">
        <v>59</v>
      </c>
      <c r="AB149" s="176" t="s">
        <v>59</v>
      </c>
      <c r="AC149" s="176" t="s">
        <v>59</v>
      </c>
      <c r="AD149" s="176" t="s">
        <v>59</v>
      </c>
      <c r="AE149" s="176" t="s">
        <v>59</v>
      </c>
      <c r="AF149" s="176" t="s">
        <v>59</v>
      </c>
      <c r="AG149" s="176" t="s">
        <v>59</v>
      </c>
      <c r="AH149" s="176" t="s">
        <v>59</v>
      </c>
      <c r="AI149" s="176" t="s">
        <v>59</v>
      </c>
      <c r="AJ149" s="176" t="s">
        <v>59</v>
      </c>
      <c r="AK149" s="176" t="s">
        <v>59</v>
      </c>
      <c r="AL149" s="176" t="s">
        <v>59</v>
      </c>
      <c r="AM149" s="176" t="s">
        <v>59</v>
      </c>
      <c r="AN149" s="176" t="s">
        <v>59</v>
      </c>
      <c r="AO149" s="176" t="s">
        <v>59</v>
      </c>
      <c r="AP149" s="176" t="s">
        <v>59</v>
      </c>
      <c r="AQ149" s="176" t="s">
        <v>59</v>
      </c>
      <c r="AR149" s="176" t="s">
        <v>59</v>
      </c>
      <c r="AS149" s="176" t="s">
        <v>59</v>
      </c>
      <c r="AT149" s="176" t="s">
        <v>59</v>
      </c>
      <c r="AU149" s="176" t="s">
        <v>59</v>
      </c>
      <c r="AV149" s="176" t="s">
        <v>59</v>
      </c>
      <c r="AW149" s="176" t="s">
        <v>59</v>
      </c>
      <c r="AX149" s="176" t="s">
        <v>59</v>
      </c>
      <c r="AY149" s="176" t="s">
        <v>59</v>
      </c>
      <c r="AZ149" s="176" t="s">
        <v>59</v>
      </c>
      <c r="BA149" s="176" t="s">
        <v>59</v>
      </c>
      <c r="BB149" s="176" t="s">
        <v>59</v>
      </c>
      <c r="BC149" s="176" t="s">
        <v>59</v>
      </c>
      <c r="BD149" s="176" t="s">
        <v>59</v>
      </c>
      <c r="BE149" s="176" t="s">
        <v>59</v>
      </c>
      <c r="BF149" s="176" t="s">
        <v>59</v>
      </c>
      <c r="BG149" s="176" t="s">
        <v>59</v>
      </c>
      <c r="BH149" s="176" t="s">
        <v>59</v>
      </c>
      <c r="BI149" s="176" t="s">
        <v>59</v>
      </c>
      <c r="BJ149" s="176" t="s">
        <v>59</v>
      </c>
      <c r="BK149" s="176" t="s">
        <v>59</v>
      </c>
      <c r="BL149" s="176" t="s">
        <v>59</v>
      </c>
      <c r="BM149" s="176" t="s">
        <v>59</v>
      </c>
      <c r="BN149" s="176" t="s">
        <v>59</v>
      </c>
      <c r="BO149" s="176" t="s">
        <v>59</v>
      </c>
      <c r="BP149" s="176" t="s">
        <v>59</v>
      </c>
      <c r="BQ149" s="176" t="s">
        <v>59</v>
      </c>
      <c r="BR149" s="176" t="s">
        <v>59</v>
      </c>
      <c r="BS149" s="176" t="s">
        <v>59</v>
      </c>
      <c r="BT149" s="176" t="s">
        <v>59</v>
      </c>
      <c r="BU149" s="176" t="s">
        <v>59</v>
      </c>
      <c r="BV149" s="176" t="s">
        <v>59</v>
      </c>
      <c r="BW149" s="176" t="s">
        <v>59</v>
      </c>
      <c r="BX149" s="8"/>
      <c r="BY149" s="176" t="s">
        <v>59</v>
      </c>
      <c r="BZ149" s="176" t="s">
        <v>59</v>
      </c>
      <c r="CA149" s="176" t="s">
        <v>59</v>
      </c>
      <c r="CB149" s="176" t="s">
        <v>59</v>
      </c>
      <c r="CC149" s="176" t="s">
        <v>59</v>
      </c>
      <c r="CD149" s="176" t="s">
        <v>59</v>
      </c>
      <c r="CE149" s="176" t="s">
        <v>59</v>
      </c>
      <c r="CF149" s="176" t="s">
        <v>59</v>
      </c>
      <c r="CG149" s="176" t="s">
        <v>59</v>
      </c>
      <c r="CH149" s="176" t="s">
        <v>59</v>
      </c>
      <c r="CI149" s="176" t="s">
        <v>59</v>
      </c>
      <c r="CJ149" s="176" t="s">
        <v>59</v>
      </c>
      <c r="CK149" s="176" t="s">
        <v>59</v>
      </c>
      <c r="CL149" s="176" t="s">
        <v>59</v>
      </c>
      <c r="CM149" s="176" t="s">
        <v>59</v>
      </c>
      <c r="CN149" s="1231" t="s">
        <v>59</v>
      </c>
      <c r="CO149" s="176" t="s">
        <v>59</v>
      </c>
      <c r="CP149" s="176" t="s">
        <v>59</v>
      </c>
      <c r="CQ149" s="8"/>
      <c r="CR149" s="176" t="s">
        <v>59</v>
      </c>
      <c r="CS149" s="176" t="s">
        <v>59</v>
      </c>
      <c r="CT149" s="176" t="s">
        <v>59</v>
      </c>
      <c r="CU149" s="176" t="s">
        <v>59</v>
      </c>
      <c r="CV149" s="176" t="s">
        <v>59</v>
      </c>
      <c r="CW149" s="176" t="s">
        <v>59</v>
      </c>
      <c r="CX149" s="176" t="s">
        <v>59</v>
      </c>
      <c r="CY149" s="176" t="s">
        <v>59</v>
      </c>
      <c r="CZ149" s="176" t="s">
        <v>59</v>
      </c>
      <c r="DA149" s="176" t="s">
        <v>59</v>
      </c>
      <c r="DB149" s="176" t="s">
        <v>59</v>
      </c>
      <c r="DC149" s="176" t="s">
        <v>59</v>
      </c>
      <c r="DD149" s="1231" t="s">
        <v>59</v>
      </c>
      <c r="DE149" s="1231" t="s">
        <v>59</v>
      </c>
      <c r="DF149" s="176" t="s">
        <v>59</v>
      </c>
      <c r="DG149" s="176" t="s">
        <v>59</v>
      </c>
      <c r="DH149" s="176" t="s">
        <v>59</v>
      </c>
      <c r="DI149" s="8"/>
    </row>
    <row r="150" spans="1:113" ht="14.25" customHeight="1" outlineLevel="1">
      <c r="A150" s="8"/>
      <c r="B150" s="618" t="s">
        <v>60</v>
      </c>
      <c r="C150" s="68"/>
      <c r="D150" s="177">
        <f>C61-D61-D63+C63+D65-C65+D68-C68+D69-C69-IS!D86</f>
        <v>1105.7090000000001</v>
      </c>
      <c r="E150" s="177">
        <f>D61-E61-E63+D63+E65-D65+E68-D68+E69-D69-IS!E86</f>
        <v>7.0529999999999795</v>
      </c>
      <c r="F150" s="177">
        <f>E61-F61-F63+E63+F65-E65+F68-E68+F69-E69-IS!F86</f>
        <v>7.2920000000001011</v>
      </c>
      <c r="G150" s="177">
        <f>F61-G61-G63+F63+G65-F65+G68-F68+G69-F69-IS!G86</f>
        <v>-22.402000000000079</v>
      </c>
      <c r="H150" s="177">
        <f>G61-H61-H63+G63+H65-G65+H68-G68+H69-G69-IS!H86</f>
        <v>-4.922999999999961</v>
      </c>
      <c r="I150" s="177">
        <f>H61-I61-I63+H63+I65-H65+I68-H68+I69-H69-IS!I86</f>
        <v>19.700000000000102</v>
      </c>
      <c r="J150" s="177">
        <f>I61-J61-J63+I63+J65-I65+J68-I68+J69-I69-IS!J86</f>
        <v>29.514999999999816</v>
      </c>
      <c r="K150" s="177">
        <f>J61-K61-K63+J63+K65-J65+K68-J68+K69-J69-IS!K86</f>
        <v>4.4300000000000779</v>
      </c>
      <c r="L150" s="177">
        <f>K61-L61-L63+K63+L65-K65+L68-K68+L69-K69-IS!L86</f>
        <v>-15.400000000000013</v>
      </c>
      <c r="M150" s="177">
        <f>L61-M61-M63+L63+M65-L65+M68-L68+M69-L69-IS!M86</f>
        <v>-15.736999999999966</v>
      </c>
      <c r="N150" s="177">
        <f>M61-N61-N63+M63+N65-M65+N68-M68+N69-M69-IS!N86</f>
        <v>-18.887000000000064</v>
      </c>
      <c r="O150" s="177">
        <f>N61-O61-O63+N63+O65-N65+O68-N68+O69-N69-IS!O86</f>
        <v>-18.659999999999975</v>
      </c>
      <c r="P150" s="177">
        <f>O61-P61-P63+O63+P65-O65+P68-O68+P69-O69-IS!P86</f>
        <v>-19.093999999999923</v>
      </c>
      <c r="Q150" s="177">
        <f>P61-Q61-Q63+P63+Q65-P65+Q68-P68+Q69-P69-IS!Q86</f>
        <v>-1.6649999999997078</v>
      </c>
      <c r="R150" s="177">
        <f>Q61-R61-R63+Q63+R65-Q65+R68-Q68+R69-Q69-IS!R86</f>
        <v>0.78699999999962245</v>
      </c>
      <c r="S150" s="177">
        <f>R61-S61-S63+R63+S65-R65+S68-R68+S69-R69-IS!S86</f>
        <v>6.4410000000002441</v>
      </c>
      <c r="T150" s="177">
        <f>S61-T61-T63+S63+T65-S65+T68-S68+T69-S69-IS!T86</f>
        <v>-19.702000000000112</v>
      </c>
      <c r="U150" s="177">
        <f>T61-U61-U63+T63+U65-T65+U68-T68+U69-T69-IS!U86</f>
        <v>-22.938000000000059</v>
      </c>
      <c r="V150" s="177">
        <f>U61-V61-V63+U63+V65-U65+V68-U68+V69-U69-IS!V86</f>
        <v>-33.50899999999983</v>
      </c>
      <c r="W150" s="177">
        <f>V61-W61-W63+V63+W65-V65+W68-V68+W69-V69-IS!W86</f>
        <v>-15.150000000000006</v>
      </c>
      <c r="X150" s="177">
        <f>W61-X61-X63+W63+X65-W65+X68-W68+X69-W69-IS!X86</f>
        <v>-22.594999999999928</v>
      </c>
      <c r="Y150" s="177">
        <f>X61-Y61-Y63+X63+Y65-X65+Y68-X68+Y69-X69-IS!Y86</f>
        <v>-184.92600000000004</v>
      </c>
      <c r="Z150" s="177">
        <f>Y61-Z61-Z63+Y63+Z65-Y65+Z68-Y68+Z69-Y69-IS!Z86</f>
        <v>-861.74900000000002</v>
      </c>
      <c r="AA150" s="177">
        <f>Z61-AA61-AA63+Z63+AA65-Z65+AA68-Z68+AA69-Z69-IS!AA86</f>
        <v>-205.34499999999991</v>
      </c>
      <c r="AB150" s="177">
        <f>AA61-AB61-AB63+AA63+AB65-AA65+AB68-AA68+AB69-AA69-IS!AB86</f>
        <v>-56.023000000000138</v>
      </c>
      <c r="AC150" s="177">
        <f>AB61-AC61-AC63+AB63+AC65-AB65+AC68-AB68+AC69-AB69-IS!AC86</f>
        <v>-139.09799999999973</v>
      </c>
      <c r="AD150" s="177">
        <f>AC61-AD61-AD63+AC63+AD65-AC65+AD68-AC68+AD69-AC69-IS!AD86</f>
        <v>-48.968000000000075</v>
      </c>
      <c r="AE150" s="177">
        <f>AD61-AE61-AE63+AD63+AE65-AD65+AE68-AD68+AE69-AD69-IS!AE86</f>
        <v>-48.759000000000057</v>
      </c>
      <c r="AF150" s="177">
        <f>AE61-AF61-AF63+AE63+AF65-AE65+AF68-AE68+AF69-AE69-IS!AF86</f>
        <v>439.10399999999998</v>
      </c>
      <c r="AG150" s="177">
        <f>AF61-AG61-AG63+AF63+AG65-AF65+AG68-AF68+AG69-AF69-IS!AG86</f>
        <v>-43.443000000000083</v>
      </c>
      <c r="AH150" s="177">
        <f>AG61-AH61-AH63+AG63+AH65-AG65+AH68-AG68+AH69-AG69-IS!AH86</f>
        <v>-42.207999999999828</v>
      </c>
      <c r="AI150" s="177">
        <f>AH61-AI61-AI63+AH63+AI65-AH65+AI68-AH68+AI69-AH69-IS!AI86</f>
        <v>-26.564000000000092</v>
      </c>
      <c r="AJ150" s="177">
        <f>AI61-AJ61-AJ63+AI63+AJ65-AI65+AJ68-AI68+AJ69-AI69-IS!AJ86</f>
        <v>-48.196000000000112</v>
      </c>
      <c r="AK150" s="177">
        <f>AJ61-AK61-AK63+AJ63+AK65-AJ65+AK68-AJ68+AK69-AJ69-IS!AK86</f>
        <v>-39.422000000000111</v>
      </c>
      <c r="AL150" s="177">
        <f>AK61-AL61-AL63+AK63+AL65-AK65+AL68-AK68+AL69-AK69-IS!AL86</f>
        <v>-88.980999999999952</v>
      </c>
      <c r="AM150" s="177">
        <f>AL61-AM61-AM63+AL63+AM65-AL65+AM68-AL68+AM69-AL69-IS!AM86</f>
        <v>36.381999999999977</v>
      </c>
      <c r="AN150" s="177">
        <f>AM61-AN61-AN63+AM63+AN65-AM65+AN68-AM68+AN69-AM69-IS!AN86</f>
        <v>-34.435999999999808</v>
      </c>
      <c r="AO150" s="177">
        <f>AN61-AO61-AO63+AN63+AO65-AN65+AO68-AN68+AO69-AN69-IS!AO86</f>
        <v>-48.69</v>
      </c>
      <c r="AP150" s="177">
        <f>AO61-AP61-AP63+AO63+AP65-AO65+AP68-AO68+AP69-AO69-IS!AP86</f>
        <v>-38.963999999999899</v>
      </c>
      <c r="AQ150" s="177">
        <f>AP61-AQ61-AQ63+AP63+AQ65-AP65+AQ68-AP68+AQ69-AP69-IS!AQ86</f>
        <v>-36.124000000000279</v>
      </c>
      <c r="AR150" s="177">
        <f>AQ61-AR61-AR63+AQ63+AR65-AQ65+AR68-AQ68+AR69-AQ69-IS!AR86</f>
        <v>-51.254999999999853</v>
      </c>
      <c r="AS150" s="177">
        <f>AR61-AS61-AS63+AR63+AS65-AR65+AS68-AR68+AS69-AR69-IS!AS86</f>
        <v>-36.433999999999934</v>
      </c>
      <c r="AT150" s="177">
        <f>AS61-AT61-AT63+AS63+AT65-AS65+AT68-AS68+AT69-AS69-IS!AT86</f>
        <v>-47.270000000000245</v>
      </c>
      <c r="AU150" s="177">
        <f>AT61-AU61-AU63+AT63+AU65-AT65+AU68-AT68+AU69-AT69-IS!AU86</f>
        <v>-53.467000000000098</v>
      </c>
      <c r="AV150" s="177">
        <f>AU61-AV61-AV63+AU63+AV65-AU65+AV68-AU68+AV69-AU69-IS!AV86</f>
        <v>-47.740999999999985</v>
      </c>
      <c r="AW150" s="177">
        <f>AV61-AW61-AW63+AV63+AW65-AV65+AW68-AV68+AW69-AV69-IS!AW86</f>
        <v>-36.114999999999654</v>
      </c>
      <c r="AX150" s="177">
        <f>AW61-AX61-AX63+AW63+AX65-AW65+AX68-AW68+AX69-AW69-IS!AX86</f>
        <v>-48.778000000000446</v>
      </c>
      <c r="AY150" s="177">
        <f>AX61-AY61-AY63+AX63+AY65-AX65+AY68-AX68+AY69-AX69-IS!AY86</f>
        <v>-54.771999999999878</v>
      </c>
      <c r="AZ150" s="177">
        <f>AY61-AZ61-AZ63+AY63+AZ65-AY65+AZ68-AY68+AZ69-AY69-IS!AZ86</f>
        <v>-58.763000000000261</v>
      </c>
      <c r="BA150" s="177">
        <f>AZ61-BA61-BA63+AZ63+BA65-AZ65+BA68-AZ68+BA69-AZ69-IS!BA86</f>
        <v>-51.119000000000128</v>
      </c>
      <c r="BB150" s="177">
        <f>BA61-BB61-BB63+BA63+BB65-BA65+BB68-BA68+BB69-BA69-IS!BB86</f>
        <v>-53.408999999999907</v>
      </c>
      <c r="BC150" s="177">
        <f>BB61-BC61-BC63+BB63+BC65-BB65+BC68-BB68+BC69-BB69-IS!BC86</f>
        <v>-306.55000000000018</v>
      </c>
      <c r="BD150" s="177">
        <f>BC61-BD61-BD63+BC63+BD65-BC65+BD68-BC68+BD69-BC69-IS!BD86</f>
        <v>-60.192000000000064</v>
      </c>
      <c r="BE150" s="177">
        <f>BD61-BE61-BE63+BD63+BE65-BD65+BE68-BD68+BE69-BD69-IS!BE86</f>
        <v>-36.475999999999914</v>
      </c>
      <c r="BF150" s="177">
        <f>BE61-BF61-BF63+BE63+BF65-BE65+BF68-BE68+BF69-BE69-IS!BF86</f>
        <v>-56.594999999999928</v>
      </c>
      <c r="BG150" s="177">
        <f>BF61-BG61-BG63+BF63+BG65-BF65+BG68-BF68+BG69-BF69-IS!BG86</f>
        <v>-50.040999999999954</v>
      </c>
      <c r="BH150" s="177">
        <f>BG61-BH61-BH63+BG63+BH65-BG65+BH68-BG68+BH69-BG69-IS!BH86</f>
        <v>506.06399999999991</v>
      </c>
      <c r="BI150" s="177">
        <f>BH61-BI61-BI63+BH63+BI65-BH65+BI68-BH68+BI69-BH69-IS!BI86</f>
        <v>-45.488000000000014</v>
      </c>
      <c r="BJ150" s="177">
        <f>BI61-BJ61-BJ63+BI63+BJ65-BI65+BJ68-BI68+BJ69-BI69-IS!BJ86</f>
        <v>-64.856999999999985</v>
      </c>
      <c r="BK150" s="177">
        <f>BJ61-BK61-BK63+BJ63+BK65-BJ65+BK68-BJ68+BK69-BJ69-IS!BK86</f>
        <v>570.45500000000004</v>
      </c>
      <c r="BL150" s="177">
        <f>BK61-BL61-BL63+BK63+BL65-BK65+BL68-BK68+BL69-BK69-IS!BL86</f>
        <v>-23.989000000000004</v>
      </c>
      <c r="BM150" s="177">
        <f>BL61-BM61-BM63+BL63+BM65-BL65+BM68-BL68+BM69-BL69-IS!BM86</f>
        <v>-56.906999999999954</v>
      </c>
      <c r="BN150" s="177">
        <f>BM61-BN61-BN63+BM63+BN65-BM65+BN68-BM68+BN69-BM69-IS!BN86</f>
        <v>-105.58200000000033</v>
      </c>
      <c r="BO150" s="177">
        <f>BN61-BO61-BO63+BN63+BO65-BN65+BO68-BN68+BO69-BN69-IS!BO86</f>
        <v>-61.585502999999676</v>
      </c>
      <c r="BP150" s="177">
        <f>BO61-BP61-BP63+BO63+BP65-BO65+BP68-BO68+BP69-BO69-IS!BP86</f>
        <v>-61.767002999999875</v>
      </c>
      <c r="BQ150" s="177">
        <f>BP61-BQ61-BQ63+BP63+BQ65-BP65+BQ68-BP68+BQ69-BP69-IS!BQ86</f>
        <v>-61.948502999999675</v>
      </c>
      <c r="BR150" s="177">
        <f>BQ61-BR61-BR63+BQ63+BR65-BQ65+BR68-BQ68+BR69-BQ69-IS!BR86</f>
        <v>-62.130002999999988</v>
      </c>
      <c r="BS150" s="177">
        <f>BR61-BS61-BS63+BR63+BS65-BR65+BS68-BR68+BS69-BR69-IS!BS86</f>
        <v>-62.311502999999789</v>
      </c>
      <c r="BT150" s="177">
        <f>BS61-BT61-BT63+BS63+BT65-BS65+BT68-BS68+BT69-BS69-IS!BT86</f>
        <v>-62.493003000000158</v>
      </c>
      <c r="BU150" s="177">
        <f>BT61-BU61-BU63+BT63+BU65-BT65+BU68-BT68+BU69-BT69-IS!BU86</f>
        <v>-62.674502999999618</v>
      </c>
      <c r="BV150" s="177">
        <f>BU61-BV61-BV63+BU63+BV65-BU65+BV68-BU68+BV69-BU69-IS!BV86</f>
        <v>-62.856002999999646</v>
      </c>
      <c r="BW150" s="177">
        <f>BV61-BW61-BW63+BV63+BW65-BV65+BW68-BV68+BW69-BV69-IS!BW86</f>
        <v>-63.037503000000186</v>
      </c>
      <c r="BX150" s="177"/>
      <c r="BY150" s="177">
        <f>BX61-BY61-BY63+BX63+BY65-BX65+BY68-BX68+BY69-BX69-IS!BY86</f>
        <v>1097.652</v>
      </c>
      <c r="BZ150" s="177">
        <f>BY61-BZ61-BZ63+BY63+BZ65-BY65+BZ68-BY68+BZ69-BY69-IS!BZ86</f>
        <v>48.722000000000207</v>
      </c>
      <c r="CA150" s="177">
        <f>BZ61-CA61-CA63+BZ63+CA65-BZ65+CA68-BZ68+CA69-BZ69-IS!CA86</f>
        <v>-68.684000000000026</v>
      </c>
      <c r="CB150" s="177">
        <f>CA61-CB61-CB63+CA63+CB65-CA65+CB68-CA68+CB69-CA69-IS!CB86</f>
        <v>-13.531000000000091</v>
      </c>
      <c r="CC150" s="177">
        <f>CB61-CC61-CC63+CB63+CC65-CB65+CC68-CB68+CC69-CB69-IS!CC86</f>
        <v>-91.299000000000035</v>
      </c>
      <c r="CD150" s="177">
        <f>CC61-CD61-CD63+CC63+CD65-CC65+CD68-CC68+CD69-CC69-IS!CD86</f>
        <v>-1274.6150000000002</v>
      </c>
      <c r="CE150" s="177">
        <f>CD61-CE61-CE63+CD63+CE65-CD65+CE68-CD68+CE69-CD69-IS!CE86</f>
        <v>-292.84799999999996</v>
      </c>
      <c r="CF150" s="177">
        <f>CE61-CF61-CF63+CE63+CF65-CE65+CF68-CE68+CF69-CE69-IS!CF86</f>
        <v>326.88899999999978</v>
      </c>
      <c r="CG150" s="177">
        <f>CF61-CG61-CG63+CF63+CG65-CF65+CG68-CF68+CG69-CF69-IS!CG86</f>
        <v>-140.21699999999993</v>
      </c>
      <c r="CH150" s="177">
        <f>CG61-CH61-CH63+CG63+CH65-CG65+CH68-CG68+CH69-CG69-IS!CH86</f>
        <v>-158.21399999999994</v>
      </c>
      <c r="CI150" s="177">
        <f>CH61-CI61-CI63+CH63+CI65-CH65+CI68-CH68+CI69-CH69-IS!CI86</f>
        <v>-188.42600000000016</v>
      </c>
      <c r="CJ150" s="177">
        <f>CI61-CJ61-CJ63+CI63+CJ65-CI65+CJ68-CI68+CJ69-CI69-IS!CJ86</f>
        <v>-187.40600000000018</v>
      </c>
      <c r="CK150" s="177">
        <f>CJ61-CK61-CK63+CJ63+CK65-CJ65+CK68-CJ68+CK69-CJ69-IS!CK86</f>
        <v>-469.84100000000052</v>
      </c>
      <c r="CL150" s="177">
        <f>CK61-CL61-CL63+CK63+CL65-CK65+CL68-CK68+CL69-CK69-IS!CL86</f>
        <v>-203.30399999999969</v>
      </c>
      <c r="CM150" s="177">
        <f>CL61-CM61-CM63+CL63+CM65-CL65+CM68-CL68+CM69-CL69-IS!CM86</f>
        <v>966.17399999999986</v>
      </c>
      <c r="CN150" s="1232">
        <f>CM61-CN61-CN63+CM63+CN65-CM65+CN68-CM68+CN69-CM69-IS!CN86</f>
        <v>-248.06350300000014</v>
      </c>
      <c r="CO150" s="177">
        <f>CN61-CO61-CO63+CN63+CO65-CN65+CO68-CN68+CO69-CN69-IS!CO86</f>
        <v>-248.15701199999967</v>
      </c>
      <c r="CP150" s="177">
        <f>CO61-CP61-CP63+CO63+CP65-CO65+CP68-CO68+CP69-CO69-IS!CP86</f>
        <v>-251.06101199999944</v>
      </c>
      <c r="CQ150" s="177"/>
      <c r="CR150" s="177">
        <f>CQ61-CR61-CR63+CQ63+CR65-CQ65+CR68-CQ68+CR69-CQ69-IS!CR86</f>
        <v>1197.1379999999997</v>
      </c>
      <c r="CS150" s="177">
        <f>CR61-CS61-CS63+CR63+CS65-CR65+CS68-CR68+CS69-CR69-IS!CS86</f>
        <v>-45.594000000000051</v>
      </c>
      <c r="CT150" s="177">
        <f>CS61-CT61-CT63+CS63+CT65-CS65+CT68-CS68+CT69-CS69-IS!CT86</f>
        <v>-38.63199999999992</v>
      </c>
      <c r="CU150" s="177">
        <f>CT61-CU61-CU63+CT63+CU65-CT65+CU68-CT68+CU69-CT69-IS!CU86</f>
        <v>-69.707999999999913</v>
      </c>
      <c r="CV150" s="177">
        <f>CU61-CV61-CV63+CU63+CV65-CU65+CV68-CU68+CV69-CU69-IS!CV86</f>
        <v>-1084.42</v>
      </c>
      <c r="CW150" s="177">
        <f>CV61-CW61-CW63+CV63+CW65-CV65+CW68-CV68+CW69-CV69-IS!CW86</f>
        <v>-449.43399999999974</v>
      </c>
      <c r="CX150" s="177">
        <f>CW61-CX61-CX63+CW63+CX65-CW65+CX68-CW68+CX69-CW69-IS!CX86</f>
        <v>304.69400000000002</v>
      </c>
      <c r="CY150" s="177">
        <f>CX61-CY61-CY63+CX63+CY65-CX65+CY68-CX68+CY69-CX69-IS!CY86</f>
        <v>-203.16300000000024</v>
      </c>
      <c r="CZ150" s="177">
        <f>CY61-CZ61-CZ63+CY63+CZ65-CY65+CZ68-CY68+CZ69-CY69-IS!CZ86</f>
        <v>-85.708000000000084</v>
      </c>
      <c r="DA150" s="177">
        <f>CZ61-DA61-DA63+CZ63+DA65-CZ65+DA68-CZ68+DA69-CZ69-IS!DA86</f>
        <v>-171.08300000000008</v>
      </c>
      <c r="DB150" s="177">
        <f>DA61-DB61-DB63+DA63+DB65-DA65+DB68-DA68+DB69-DA69-IS!DB86</f>
        <v>-186.10100000000017</v>
      </c>
      <c r="DC150" s="177">
        <f>DB61-DC61-DC63+DB63+DC65-DB65+DC68-DB68+DC69-DB69-IS!DC86</f>
        <v>-218.06299999999999</v>
      </c>
      <c r="DD150" s="1232">
        <f>DC61-DD61-DD63+DC63+DD65-DC65+DD68-DC68+DD69-DC69-IS!DD86</f>
        <v>-459.81300000000044</v>
      </c>
      <c r="DE150" s="1232">
        <f>DD61-DE61-DE63+DD63+DE65-DD65+DE68-DD68+DE69-DD69-IS!DE86</f>
        <v>345.67799999999977</v>
      </c>
      <c r="DF150" s="177">
        <f>DE61-DF61-DF63+DE63+DF65-DE65+DF68-DE68+DF69-DE69-IS!DF86</f>
        <v>383.97699999999975</v>
      </c>
      <c r="DG150" s="177">
        <f>DF61-DG61-DG63+DF63+DG65-DF65+DG68-DF68+DG69-DF69-IS!DG86</f>
        <v>-247.4310119999991</v>
      </c>
      <c r="DH150" s="177">
        <f>DG61-DH61-DH63+DG63+DH65-DG65+DH68-DG68+DH69-DG69-IS!DH86</f>
        <v>-250.33501199999932</v>
      </c>
      <c r="DI150" s="8"/>
    </row>
    <row r="151" spans="1:113" ht="14.25" customHeight="1" outlineLevel="1">
      <c r="CN151" s="1174"/>
    </row>
    <row r="152" spans="1:113" ht="14.25" customHeight="1" outlineLevel="1">
      <c r="CN152" s="1174"/>
    </row>
    <row r="153" spans="1:113" ht="14.25" customHeight="1">
      <c r="CN153" s="1174"/>
    </row>
    <row r="154" spans="1:113" ht="14.25" customHeight="1">
      <c r="CN154" s="1174"/>
    </row>
    <row r="155" spans="1:113" ht="14.25" customHeight="1">
      <c r="CN155" s="1174"/>
    </row>
    <row r="156" spans="1:113" ht="14.25" customHeight="1">
      <c r="CN156" s="1174"/>
    </row>
    <row r="157" spans="1:113" ht="14.25" customHeight="1">
      <c r="CN157" s="1174"/>
    </row>
    <row r="158" spans="1:113" ht="14.25" customHeight="1">
      <c r="CN158" s="1174"/>
    </row>
    <row r="159" spans="1:113" ht="14.25" customHeight="1">
      <c r="CN159" s="1174"/>
    </row>
    <row r="160" spans="1:113" ht="14.25" customHeight="1">
      <c r="CN160" s="1174"/>
    </row>
    <row r="161" spans="92:92" ht="14.25" customHeight="1">
      <c r="CN161" s="1174"/>
    </row>
    <row r="162" spans="92:92" ht="14.25" customHeight="1">
      <c r="CN162" s="1174"/>
    </row>
    <row r="163" spans="92:92" ht="14.25" customHeight="1">
      <c r="CN163" s="1174"/>
    </row>
    <row r="164" spans="92:92" ht="14.25" customHeight="1">
      <c r="CN164" s="1174"/>
    </row>
    <row r="165" spans="92:92" ht="14.25" customHeight="1">
      <c r="CN165" s="1174"/>
    </row>
    <row r="166" spans="92:92" ht="14.25" customHeight="1">
      <c r="CN166" s="1174"/>
    </row>
    <row r="167" spans="92:92" ht="14.25" customHeight="1">
      <c r="CN167" s="1174"/>
    </row>
    <row r="168" spans="92:92" ht="14.25" customHeight="1">
      <c r="CN168" s="1174"/>
    </row>
    <row r="169" spans="92:92" ht="14.25" customHeight="1">
      <c r="CN169" s="1174"/>
    </row>
    <row r="170" spans="92:92" ht="14.25" customHeight="1">
      <c r="CN170" s="1174"/>
    </row>
    <row r="171" spans="92:92" ht="14.25" customHeight="1">
      <c r="CN171" s="1174"/>
    </row>
    <row r="172" spans="92:92" ht="14.25" customHeight="1">
      <c r="CN172" s="1174"/>
    </row>
    <row r="173" spans="92:92" ht="14.25" customHeight="1">
      <c r="CN173" s="1174"/>
    </row>
    <row r="174" spans="92:92" ht="14.25" customHeight="1">
      <c r="CN174" s="1174"/>
    </row>
    <row r="175" spans="92:92" ht="14.25" customHeight="1">
      <c r="CN175" s="1174"/>
    </row>
    <row r="176" spans="92:92" ht="14.25" customHeight="1">
      <c r="CN176" s="1174"/>
    </row>
    <row r="177" spans="92:92" ht="14.25" customHeight="1">
      <c r="CN177" s="1174"/>
    </row>
    <row r="178" spans="92:92" ht="14.25" customHeight="1">
      <c r="CN178" s="1174"/>
    </row>
    <row r="179" spans="92:92" ht="14.25" customHeight="1">
      <c r="CN179" s="1174"/>
    </row>
    <row r="180" spans="92:92" ht="14.25" customHeight="1">
      <c r="CN180" s="1174"/>
    </row>
    <row r="181" spans="92:92" ht="14.25" customHeight="1">
      <c r="CN181" s="1174"/>
    </row>
    <row r="182" spans="92:92" ht="14.25" customHeight="1">
      <c r="CN182" s="1174"/>
    </row>
    <row r="183" spans="92:92" ht="14.25" customHeight="1">
      <c r="CN183" s="1174"/>
    </row>
    <row r="184" spans="92:92" ht="14.25" customHeight="1">
      <c r="CN184" s="1174"/>
    </row>
    <row r="185" spans="92:92" ht="14.25" customHeight="1">
      <c r="CN185" s="1174"/>
    </row>
    <row r="186" spans="92:92" ht="14.25" customHeight="1">
      <c r="CN186" s="1174"/>
    </row>
    <row r="187" spans="92:92" ht="14.25" customHeight="1">
      <c r="CN187" s="1174"/>
    </row>
    <row r="188" spans="92:92" ht="14.25" customHeight="1">
      <c r="CN188" s="1174"/>
    </row>
    <row r="189" spans="92:92" ht="14.25" customHeight="1">
      <c r="CN189" s="1174"/>
    </row>
    <row r="190" spans="92:92" ht="14.25" customHeight="1">
      <c r="CN190" s="1174"/>
    </row>
    <row r="191" spans="92:92" ht="14.25" customHeight="1">
      <c r="CN191" s="1174"/>
    </row>
    <row r="192" spans="92:92" ht="14.25" customHeight="1">
      <c r="CN192" s="1174"/>
    </row>
    <row r="193" spans="92:92" ht="14.25" customHeight="1">
      <c r="CN193" s="1174"/>
    </row>
    <row r="194" spans="92:92" ht="14.25" customHeight="1">
      <c r="CN194" s="1174"/>
    </row>
    <row r="195" spans="92:92" ht="14.25" customHeight="1">
      <c r="CN195" s="1174"/>
    </row>
    <row r="196" spans="92:92" ht="14.25" customHeight="1">
      <c r="CN196" s="1174"/>
    </row>
    <row r="197" spans="92:92" ht="14.25" customHeight="1">
      <c r="CN197" s="1174"/>
    </row>
    <row r="198" spans="92:92" ht="14.25" customHeight="1">
      <c r="CN198" s="1174"/>
    </row>
    <row r="199" spans="92:92" ht="14.25" customHeight="1">
      <c r="CN199" s="1174"/>
    </row>
  </sheetData>
  <phoneticPr fontId="34" type="noConversion"/>
  <pageMargins left="0" right="0" top="0" bottom="0" header="0" footer="0"/>
  <pageSetup paperSize="5" scale="27" orientation="landscape" r:id="rId1"/>
  <headerFooter alignWithMargins="0"/>
  <colBreaks count="1" manualBreakCount="1">
    <brk id="94" min="3" max="99" man="1"/>
  </colBreaks>
  <ignoredErrors>
    <ignoredError sqref="AR34:AR35 CQ19:CQ20 AT34:AT35 DI19:DI20 AS34 AR25:AT27 BX19:BX20 CB22:CK45 DI22:DI39 BX130:BX146 CU47:DC55 BX22:BX70 AX58:AX60 CB47:CK55 CQ22:CQ70 DB90:DB122 CU22:DC45 CB144:CB146 CB130:CB132 DI130:DI146 CU130:CV146 CB141 CW130:DC146 AV73:AV77 AW58:AW61 AW130:BD131 AV130:AV131 AU74:AU77 BD58:BD60 AU59:AV60 AU144:AU146 CC130:CK141 CC144:CL146 AV145:AV146 BX72:BX122 AU130:AU141 CB72:CF77 CG72:CK77 CG89:CG122 CH89:CJ122 AU89:AW122 AX92:BD95 CK90:CK118 CQ72:CQ88 CU72:DA77 DI72:DI122 DB72:DB77 AY48:AY49 AV47:AW49 AX144:AX146 AW135:AW142 AZ135:AZ141 AX135:AX141 DC72:DC77 AX47:AX49 AW72:AW77 AY76:BC77 AX75:AX77 CQ90:CQ122 AZ47:BC49 AY58:AY61 AY65:AY67 AY144:BG146 BC142 AW133:AX133 AZ133 AX122:BD122 AX96:AX121 AZ96:AZ121 AZ58:BC60 BC65:BC66 AX90:AY91 BA90:BD91 AY79:AY85 BA79:BC85 BC67 CB89:CF122 CU90:DA122 DC90:DC122 AY72:AY74 BC72:BC74 BC61 DI41:DI70 DI40 CQ130:CQ146 AW132:AZ132 BB132:BD132 BC135:BD141 BC133:BD133 BC96:BD121 AY75:BB75 BD71:BD77 AV79:AV85 AU79:AU85 AW79:AW85 AX79:AX85 BD79:BD85 CB58:CK70 CU58:DC70 CG79:CK85 CU79:DA85 DB79:DB85 DC79:DC85 AW144:AW146 AU149 AV149 AX149 AY149:BG149 AW149 CC149:CL149 CB149 CU149:CV149 CW149:DC149 CB79:CF85 CK121:CK122 BX148:BX150 DI148:DI150 CQ148:CQ150" formula="1"/>
    <ignoredError sqref="P71:AT71 D71:O71" formulaRange="1"/>
    <ignoredError sqref="DI71 CB71:CK71 CQ71 BX71 CU71:DC71 AW71 AY71 BC71" formula="1" formulaRange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DI162"/>
  <sheetViews>
    <sheetView showGridLines="0" zoomScale="85" zoomScaleNormal="85" workbookViewId="0">
      <pane xSplit="3" ySplit="7" topLeftCell="BH8" activePane="bottomRight" state="frozen"/>
      <selection activeCell="H53" sqref="H53"/>
      <selection pane="topRight" activeCell="H53" sqref="H53"/>
      <selection pane="bottomLeft" activeCell="H53" sqref="H53"/>
      <selection pane="bottomRight" activeCell="B3" sqref="B3"/>
    </sheetView>
  </sheetViews>
  <sheetFormatPr defaultRowHeight="14.25" customHeight="1" outlineLevelRow="1" outlineLevelCol="2"/>
  <cols>
    <col min="1" max="1" width="1.7109375" customWidth="1"/>
    <col min="2" max="2" width="56" customWidth="1"/>
    <col min="3" max="3" width="1.7109375" customWidth="1"/>
    <col min="4" max="26" width="11.42578125" hidden="1" customWidth="1" outlineLevel="1"/>
    <col min="27" max="39" width="11.42578125" hidden="1" customWidth="1" outlineLevel="2"/>
    <col min="40" max="40" width="11.42578125" hidden="1" customWidth="1" outlineLevel="2" collapsed="1"/>
    <col min="41" max="42" width="11.42578125" hidden="1" customWidth="1" outlineLevel="2"/>
    <col min="43" max="43" width="10" hidden="1" customWidth="1" outlineLevel="2"/>
    <col min="44" max="55" width="11.42578125" hidden="1" customWidth="1" outlineLevel="1"/>
    <col min="56" max="56" width="11.42578125" hidden="1" customWidth="1" outlineLevel="1" collapsed="1"/>
    <col min="57" max="59" width="11.42578125" hidden="1" customWidth="1" outlineLevel="1"/>
    <col min="60" max="60" width="11.42578125" customWidth="1" collapsed="1"/>
    <col min="61" max="61" width="11.42578125" customWidth="1"/>
    <col min="62" max="62" width="11.5703125" customWidth="1"/>
    <col min="63" max="63" width="11.42578125" style="1430" customWidth="1"/>
    <col min="64" max="71" width="11.42578125" customWidth="1"/>
    <col min="72" max="75" width="11.42578125" style="1431" hidden="1" customWidth="1" outlineLevel="1"/>
    <col min="76" max="76" width="2.7109375" customWidth="1" collapsed="1"/>
    <col min="77" max="83" width="11.42578125" hidden="1" customWidth="1" outlineLevel="1"/>
    <col min="84" max="84" width="11.42578125" hidden="1" customWidth="1" outlineLevel="1" collapsed="1"/>
    <col min="85" max="87" width="11.42578125" hidden="1" customWidth="1" outlineLevel="1"/>
    <col min="88" max="88" width="11.42578125" customWidth="1" collapsed="1"/>
    <col min="89" max="93" width="11.42578125" customWidth="1"/>
    <col min="94" max="94" width="11.42578125" style="1431" customWidth="1" outlineLevel="1"/>
    <col min="95" max="95" width="4.85546875" customWidth="1"/>
    <col min="96" max="103" width="11.42578125" hidden="1" customWidth="1" outlineLevel="1"/>
    <col min="104" max="104" width="11.42578125" hidden="1" customWidth="1" outlineLevel="1" collapsed="1"/>
    <col min="105" max="105" width="11.42578125" hidden="1" customWidth="1" outlineLevel="1"/>
    <col min="106" max="106" width="11.42578125" hidden="1" customWidth="1" outlineLevel="1" collapsed="1"/>
    <col min="107" max="109" width="11.42578125" hidden="1" customWidth="1" outlineLevel="1"/>
    <col min="110" max="110" width="11.42578125" customWidth="1" collapsed="1"/>
    <col min="111" max="112" width="11.42578125" style="1474" customWidth="1"/>
    <col min="113" max="113" width="11.42578125" customWidth="1"/>
    <col min="114" max="114" width="33.7109375" customWidth="1"/>
  </cols>
  <sheetData>
    <row r="1" spans="1:113" ht="67.5" customHeight="1">
      <c r="A1" s="5"/>
      <c r="B1" s="602"/>
      <c r="C1" s="1"/>
      <c r="D1" s="2" t="str">
        <f>IF(SUM(BS)&lt;&gt;0,"BS BREAK","")</f>
        <v/>
      </c>
      <c r="E1" s="5"/>
      <c r="F1" s="2" t="str">
        <f>IF(SUM(BS)&lt;&gt;0,"BS BREAK","")</f>
        <v/>
      </c>
      <c r="G1" s="5"/>
      <c r="H1" s="2" t="str">
        <f>IF(SUM(BS)&lt;&gt;0,"BS BREAK","")</f>
        <v/>
      </c>
      <c r="I1" s="5"/>
      <c r="J1" s="2" t="str">
        <f>IF(SUM(BS)&lt;&gt;0,"BS BREAK","")</f>
        <v/>
      </c>
      <c r="K1" s="5"/>
      <c r="L1" s="2" t="str">
        <f>IF(SUM(BS)&lt;&gt;0,"BS BREAK","")</f>
        <v/>
      </c>
      <c r="M1" s="5"/>
      <c r="N1" s="2" t="str">
        <f>IF(SUM(BS)&lt;&gt;0,"BS BREAK","")</f>
        <v/>
      </c>
      <c r="O1" s="5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2" t="str">
        <f>IF(SUM(BS)&lt;&gt;0,"BS BREAK","")</f>
        <v/>
      </c>
      <c r="BI1" s="1"/>
      <c r="BJ1" s="2" t="str">
        <f>IF(SUM(BS)&lt;&gt;0,"BS BREAK","")</f>
        <v/>
      </c>
      <c r="BK1" s="1"/>
      <c r="BL1" s="2" t="str">
        <f>IF(SUM(BS)&lt;&gt;0,"BS BREAK","")</f>
        <v/>
      </c>
      <c r="BM1" s="1"/>
      <c r="BN1" s="2" t="str">
        <f>IF(SUM(BS)&lt;&gt;0,"BS BREAK","")</f>
        <v/>
      </c>
      <c r="BO1" s="1"/>
      <c r="BP1" s="1"/>
      <c r="BQ1" s="1"/>
      <c r="BR1" s="1"/>
      <c r="BS1" s="1"/>
      <c r="BT1" s="1"/>
      <c r="BU1" s="1"/>
      <c r="BV1" s="1"/>
      <c r="BW1" s="1"/>
      <c r="BX1" s="2" t="str">
        <f>IF(SUM(BS)&lt;&gt;0,"BS BREAK","")</f>
        <v/>
      </c>
      <c r="BY1" s="2" t="str">
        <f>IF(SUM(BS)&lt;&gt;0,"BS BREAK","")</f>
        <v/>
      </c>
      <c r="BZ1" s="2" t="str">
        <f>IF(SUM(BS)&lt;&gt;0,"BS BREAK","")</f>
        <v/>
      </c>
      <c r="CA1" s="2" t="str">
        <f>IF(SUM(BS)&lt;&gt;0,"BS BREAK","")</f>
        <v/>
      </c>
      <c r="CB1" s="1" t="str">
        <f>IF(SUM(BS)&lt;&gt;0,"BS BREAK","")</f>
        <v/>
      </c>
      <c r="CC1" s="1"/>
      <c r="CD1" s="2" t="str">
        <f>IF(SUM(BS)&lt;&gt;0,"BS BREAK","")</f>
        <v/>
      </c>
      <c r="CE1" s="1"/>
      <c r="CF1" s="2" t="str">
        <f>IF(SUM(BS)&lt;&gt;0,"BS BREAK","")</f>
        <v/>
      </c>
      <c r="CG1" s="1"/>
      <c r="CH1" s="2" t="str">
        <f>IF(SUM(BS)&lt;&gt;0,"BS BREAK","")</f>
        <v/>
      </c>
      <c r="CI1" s="1"/>
      <c r="CJ1" s="2" t="str">
        <f>IF(SUM(BS)&lt;&gt;0,"BS BREAK","")</f>
        <v/>
      </c>
      <c r="CK1" s="2"/>
      <c r="CL1" s="2" t="str">
        <f>IF(SUM(BS)&lt;&gt;0,"BS BREAK","")</f>
        <v/>
      </c>
      <c r="CM1" s="1" t="str">
        <f>IF(SUM(BS)&lt;&gt;0,"BS BREAK","")</f>
        <v/>
      </c>
      <c r="CN1" s="1" t="str">
        <f>IF(SUM(BS)&lt;&gt;0,"BS BREAK","")</f>
        <v/>
      </c>
      <c r="CO1" s="1" t="str">
        <f>IF(SUM(BS)&lt;&gt;0,"BS BREAK","")</f>
        <v/>
      </c>
      <c r="CP1" s="1"/>
      <c r="CQ1" s="1"/>
      <c r="CR1" s="2" t="str">
        <f>IF(SUM(BS)&lt;&gt;0,"BS BREAK","")</f>
        <v/>
      </c>
      <c r="CS1" s="2" t="str">
        <f>IF(SUM(BS)&lt;&gt;0,"BS BREAK","")</f>
        <v/>
      </c>
      <c r="CT1" s="2" t="str">
        <f>IF(SUM(BS)&lt;&gt;0,"BS BREAK","")</f>
        <v/>
      </c>
      <c r="CU1" s="1" t="str">
        <f>IF(SUM(BS)&lt;&gt;0,"BS BREAK","")</f>
        <v/>
      </c>
      <c r="CV1" s="1"/>
      <c r="CW1" s="2" t="str">
        <f>IF(SUM(BS)&lt;&gt;0,"BS BREAK","")</f>
        <v/>
      </c>
      <c r="CX1" s="1"/>
      <c r="CY1" s="2" t="str">
        <f>IF(SUM(BS)&lt;&gt;0,"BS BREAK","")</f>
        <v/>
      </c>
      <c r="CZ1" s="1"/>
      <c r="DA1" s="2" t="str">
        <f>IF(SUM(BS)&lt;&gt;0,"BS BREAK","")</f>
        <v/>
      </c>
      <c r="DB1" s="1"/>
      <c r="DC1" s="2" t="str">
        <f>IF(SUM(BS)&lt;&gt;0,"BS BREAK","")</f>
        <v/>
      </c>
      <c r="DD1" s="2" t="str">
        <f>IF(SUM(BS)&lt;&gt;0,"BS BREAK","")</f>
        <v/>
      </c>
      <c r="DE1" s="2" t="str">
        <f>IF(SUM(BS)&lt;&gt;0,"BS BREAK","")</f>
        <v/>
      </c>
      <c r="DF1" s="2" t="str">
        <f>IF(SUM(BS)&lt;&gt;0,"BS BREAK","")</f>
        <v/>
      </c>
      <c r="DG1" s="2"/>
      <c r="DH1" s="2"/>
      <c r="DI1" s="1"/>
    </row>
    <row r="2" spans="1:113" ht="18" customHeight="1">
      <c r="A2" s="1"/>
      <c r="B2" s="4" t="s">
        <v>344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79"/>
      <c r="BD2" s="179"/>
      <c r="BE2" s="179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79"/>
      <c r="DG2" s="179"/>
      <c r="DH2" s="1"/>
      <c r="DI2" s="1"/>
    </row>
    <row r="3" spans="1:11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79"/>
      <c r="BD3" s="1195"/>
      <c r="BE3" s="179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79"/>
      <c r="DG3" s="179"/>
      <c r="DH3" s="1"/>
      <c r="DI3" s="1"/>
    </row>
    <row r="4" spans="1:113" ht="14.25" customHeight="1">
      <c r="A4" s="1"/>
      <c r="B4" s="7"/>
      <c r="C4" s="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79"/>
      <c r="DG4" s="179"/>
      <c r="DH4" s="1"/>
      <c r="DI4" s="1"/>
    </row>
    <row r="5" spans="1:113" ht="14.25" customHeight="1">
      <c r="A5" s="8"/>
      <c r="B5" s="9" t="s">
        <v>351</v>
      </c>
      <c r="C5" s="10"/>
      <c r="D5" s="560" t="str">
        <f>BS!D5</f>
        <v>C2Q02A</v>
      </c>
      <c r="E5" s="561" t="str">
        <f>BS!E5</f>
        <v>C3Q02A</v>
      </c>
      <c r="F5" s="561" t="str">
        <f>BS!F5</f>
        <v>C4Q02A</v>
      </c>
      <c r="G5" s="562" t="str">
        <f>BS!G5</f>
        <v>C1Q03A</v>
      </c>
      <c r="H5" s="560" t="str">
        <f>BS!H5</f>
        <v>C2Q03A</v>
      </c>
      <c r="I5" s="561" t="str">
        <f>BS!I5</f>
        <v>C3Q03A</v>
      </c>
      <c r="J5" s="561" t="str">
        <f>BS!J5</f>
        <v>C4Q03A</v>
      </c>
      <c r="K5" s="562" t="str">
        <f>BS!K5</f>
        <v>C1Q04A</v>
      </c>
      <c r="L5" s="560" t="str">
        <f>BS!L5</f>
        <v>C2Q04A</v>
      </c>
      <c r="M5" s="561" t="str">
        <f>BS!M5</f>
        <v>C3Q04A</v>
      </c>
      <c r="N5" s="561" t="str">
        <f>BS!N5</f>
        <v>C4Q04A</v>
      </c>
      <c r="O5" s="562" t="str">
        <f>BS!O5</f>
        <v>C1Q05A</v>
      </c>
      <c r="P5" s="560" t="str">
        <f>BS!P5</f>
        <v>C2Q05A</v>
      </c>
      <c r="Q5" s="561" t="str">
        <f>BS!Q5</f>
        <v>C3Q05A</v>
      </c>
      <c r="R5" s="561" t="str">
        <f>BS!R5</f>
        <v>C4Q05A</v>
      </c>
      <c r="S5" s="562" t="str">
        <f>BS!S5</f>
        <v>C1Q06A</v>
      </c>
      <c r="T5" s="560" t="str">
        <f>BS!T5</f>
        <v>C2Q06A</v>
      </c>
      <c r="U5" s="561" t="str">
        <f>BS!U5</f>
        <v>C3Q06A</v>
      </c>
      <c r="V5" s="561" t="str">
        <f>BS!V5</f>
        <v>C4Q06A</v>
      </c>
      <c r="W5" s="562" t="str">
        <f>BS!W5</f>
        <v>C1Q07A</v>
      </c>
      <c r="X5" s="560" t="str">
        <f>BS!X5</f>
        <v>C2Q07A</v>
      </c>
      <c r="Y5" s="561" t="str">
        <f>BS!Y5</f>
        <v>C3Q07A</v>
      </c>
      <c r="Z5" s="561" t="str">
        <f>BS!Z5</f>
        <v>C4Q07A</v>
      </c>
      <c r="AA5" s="562" t="str">
        <f>BS!AA5</f>
        <v>C1Q08A</v>
      </c>
      <c r="AB5" s="560" t="str">
        <f>BS!AB5</f>
        <v>C2Q08A</v>
      </c>
      <c r="AC5" s="561" t="str">
        <f>BS!AC5</f>
        <v>C3Q08A</v>
      </c>
      <c r="AD5" s="561" t="str">
        <f>BS!AD5</f>
        <v>C4Q08A</v>
      </c>
      <c r="AE5" s="562" t="str">
        <f>BS!AE5</f>
        <v>C1Q09A</v>
      </c>
      <c r="AF5" s="560" t="str">
        <f>BS!AF5</f>
        <v>C2Q09A</v>
      </c>
      <c r="AG5" s="561" t="str">
        <f>BS!AG5</f>
        <v>C3Q09A</v>
      </c>
      <c r="AH5" s="561" t="str">
        <f>BS!AH5</f>
        <v>C4Q09A</v>
      </c>
      <c r="AI5" s="562" t="str">
        <f>BS!AI5</f>
        <v>C1Q10A</v>
      </c>
      <c r="AJ5" s="560" t="str">
        <f>BS!AJ5</f>
        <v>C2Q10A</v>
      </c>
      <c r="AK5" s="561" t="str">
        <f>BS!AK5</f>
        <v>C3Q10A</v>
      </c>
      <c r="AL5" s="561" t="str">
        <f>BS!AL5</f>
        <v>C4Q10A</v>
      </c>
      <c r="AM5" s="562" t="str">
        <f>BS!AM5</f>
        <v>C1Q11A</v>
      </c>
      <c r="AN5" s="560" t="str">
        <f>BS!AN5</f>
        <v>C2Q11A</v>
      </c>
      <c r="AO5" s="561" t="str">
        <f>BS!AO5</f>
        <v>C3Q11A</v>
      </c>
      <c r="AP5" s="561" t="str">
        <f>BS!AP5</f>
        <v>C4Q11A</v>
      </c>
      <c r="AQ5" s="562" t="str">
        <f>BS!AQ5</f>
        <v>C1Q12A</v>
      </c>
      <c r="AR5" s="560" t="str">
        <f>BS!AR5</f>
        <v>C2Q12A</v>
      </c>
      <c r="AS5" s="561" t="str">
        <f>BS!AS5</f>
        <v>C3Q12A</v>
      </c>
      <c r="AT5" s="561" t="str">
        <f>BS!AT5</f>
        <v>C4Q12A</v>
      </c>
      <c r="AU5" s="562" t="str">
        <f>BS!AU5</f>
        <v>C1Q13A</v>
      </c>
      <c r="AV5" s="560" t="str">
        <f>BS!AV5</f>
        <v>C2Q13A</v>
      </c>
      <c r="AW5" s="561" t="str">
        <f>BS!AW5</f>
        <v>C3Q13E</v>
      </c>
      <c r="AX5" s="561" t="str">
        <f>BS!AX5</f>
        <v>C4Q13A</v>
      </c>
      <c r="AY5" s="562" t="str">
        <f>BS!AY5</f>
        <v>C1Q14E</v>
      </c>
      <c r="AZ5" s="560" t="str">
        <f>BS!AZ5</f>
        <v>C2Q14A</v>
      </c>
      <c r="BA5" s="561" t="str">
        <f>BS!BA5</f>
        <v>C3Q14A</v>
      </c>
      <c r="BB5" s="561" t="str">
        <f>BS!BB5</f>
        <v>C4Q14A</v>
      </c>
      <c r="BC5" s="562" t="str">
        <f>BS!BC5</f>
        <v>C1Q15A</v>
      </c>
      <c r="BD5" s="561" t="str">
        <f>BS!BD5</f>
        <v>C2Q15A</v>
      </c>
      <c r="BE5" s="561" t="str">
        <f>BS!BE5</f>
        <v>C3Q15A</v>
      </c>
      <c r="BF5" s="561" t="str">
        <f>BS!BF5</f>
        <v>C4Q15A</v>
      </c>
      <c r="BG5" s="562" t="str">
        <f>BS!BG5</f>
        <v>C1Q16A</v>
      </c>
      <c r="BH5" s="561" t="str">
        <f>BS!BH5</f>
        <v>C2Q16A</v>
      </c>
      <c r="BI5" s="561" t="str">
        <f>BS!BI5</f>
        <v>C3Q16A</v>
      </c>
      <c r="BJ5" s="561" t="str">
        <f>BS!BJ5</f>
        <v>C4Q16A</v>
      </c>
      <c r="BK5" s="1356" t="str">
        <f>BS!BK5</f>
        <v>C1Q17A</v>
      </c>
      <c r="BL5" s="561" t="str">
        <f>BS!BL5</f>
        <v>C2Q17A</v>
      </c>
      <c r="BM5" s="561" t="str">
        <f>BS!BM5</f>
        <v>C3Q17A</v>
      </c>
      <c r="BN5" s="561" t="str">
        <f>BS!BN5</f>
        <v>C4Q17A</v>
      </c>
      <c r="BO5" s="562" t="str">
        <f>BS!BO5</f>
        <v>C1Q18E</v>
      </c>
      <c r="BP5" s="561" t="str">
        <f>BS!BP5</f>
        <v>C2Q18E</v>
      </c>
      <c r="BQ5" s="561" t="str">
        <f>BS!BQ5</f>
        <v>C3Q18E</v>
      </c>
      <c r="BR5" s="561" t="str">
        <f>BS!BR5</f>
        <v>C4Q18E</v>
      </c>
      <c r="BS5" s="562" t="str">
        <f>BS!BS5</f>
        <v>C1Q19E</v>
      </c>
      <c r="BT5" s="1355" t="str">
        <f>BS!BT5</f>
        <v>C2Q19E</v>
      </c>
      <c r="BU5" s="1355" t="str">
        <f>BS!BU5</f>
        <v>C3Q19E</v>
      </c>
      <c r="BV5" s="1355" t="str">
        <f>BS!BV5</f>
        <v>C4Q19E</v>
      </c>
      <c r="BW5" s="1356" t="str">
        <f>BS!BW5</f>
        <v>C1Q20E</v>
      </c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109"/>
      <c r="CR5" s="560" t="str">
        <f>BS!CR5</f>
        <v>CY2003</v>
      </c>
      <c r="CS5" s="561" t="str">
        <f>BS!CS5</f>
        <v>CY2004</v>
      </c>
      <c r="CT5" s="561" t="str">
        <f>BS!CT5</f>
        <v>CY2005</v>
      </c>
      <c r="CU5" s="561" t="str">
        <f>BS!CU5</f>
        <v>CY2006</v>
      </c>
      <c r="CV5" s="561" t="str">
        <f>BS!CV5</f>
        <v>CY2007</v>
      </c>
      <c r="CW5" s="561" t="str">
        <f>BS!CW5</f>
        <v>CY2008</v>
      </c>
      <c r="CX5" s="561" t="str">
        <f>BS!CX5</f>
        <v>CY2009</v>
      </c>
      <c r="CY5" s="561" t="str">
        <f>BS!CY5</f>
        <v>CY2010</v>
      </c>
      <c r="CZ5" s="561" t="str">
        <f>BS!CZ5</f>
        <v>CY2011</v>
      </c>
      <c r="DA5" s="561" t="str">
        <f>BS!DA5</f>
        <v>CY2012</v>
      </c>
      <c r="DB5" s="561" t="str">
        <f>BS!DB5</f>
        <v>CY2013</v>
      </c>
      <c r="DC5" s="561" t="str">
        <f>BS!DC5</f>
        <v>CY2014</v>
      </c>
      <c r="DD5" s="561" t="str">
        <f>BS!DD5</f>
        <v>CY2015</v>
      </c>
      <c r="DE5" s="561" t="str">
        <f>BS!DE5</f>
        <v>CY2016</v>
      </c>
      <c r="DF5" s="561" t="str">
        <f>BS!DF5</f>
        <v>CY2017</v>
      </c>
      <c r="DG5" s="1355" t="str">
        <f>BS!DG5</f>
        <v>CY2018</v>
      </c>
      <c r="DH5" s="1356" t="str">
        <f>BS!DH5</f>
        <v>CY2019</v>
      </c>
      <c r="DI5" s="305"/>
    </row>
    <row r="6" spans="1:113" ht="14.25" customHeight="1">
      <c r="A6" s="8"/>
      <c r="B6" s="12" t="s">
        <v>354</v>
      </c>
      <c r="C6" s="13"/>
      <c r="D6" s="560">
        <f>BS!D6</f>
        <v>37437</v>
      </c>
      <c r="E6" s="561">
        <f>BS!E6</f>
        <v>37529</v>
      </c>
      <c r="F6" s="561">
        <f>BS!F6</f>
        <v>37621</v>
      </c>
      <c r="G6" s="562">
        <f>BS!G6</f>
        <v>37711</v>
      </c>
      <c r="H6" s="560">
        <f>BS!H6</f>
        <v>37802</v>
      </c>
      <c r="I6" s="561">
        <f>BS!I6</f>
        <v>37894</v>
      </c>
      <c r="J6" s="561">
        <f>BS!J6</f>
        <v>37986</v>
      </c>
      <c r="K6" s="562">
        <f>BS!K6</f>
        <v>38077</v>
      </c>
      <c r="L6" s="560">
        <f>BS!L6</f>
        <v>38168</v>
      </c>
      <c r="M6" s="561">
        <f>BS!M6</f>
        <v>38260</v>
      </c>
      <c r="N6" s="561">
        <f>BS!N6</f>
        <v>38352</v>
      </c>
      <c r="O6" s="562">
        <f>BS!O6</f>
        <v>38442</v>
      </c>
      <c r="P6" s="560">
        <f>BS!P6</f>
        <v>38533</v>
      </c>
      <c r="Q6" s="561">
        <f>BS!Q6</f>
        <v>38625</v>
      </c>
      <c r="R6" s="561">
        <f>BS!R6</f>
        <v>38717</v>
      </c>
      <c r="S6" s="562">
        <f>BS!S6</f>
        <v>38807</v>
      </c>
      <c r="T6" s="560">
        <f>BS!T6</f>
        <v>38898</v>
      </c>
      <c r="U6" s="561">
        <f>BS!U6</f>
        <v>38990</v>
      </c>
      <c r="V6" s="561">
        <f>BS!V6</f>
        <v>39082</v>
      </c>
      <c r="W6" s="562">
        <f>BS!W6</f>
        <v>39172</v>
      </c>
      <c r="X6" s="560">
        <f>BS!X6</f>
        <v>39263</v>
      </c>
      <c r="Y6" s="561">
        <f>BS!Y6</f>
        <v>39355</v>
      </c>
      <c r="Z6" s="561">
        <f>BS!Z6</f>
        <v>39447</v>
      </c>
      <c r="AA6" s="562">
        <f>BS!AA6</f>
        <v>39538</v>
      </c>
      <c r="AB6" s="560">
        <f>BS!AB6</f>
        <v>39629</v>
      </c>
      <c r="AC6" s="561">
        <f>BS!AC6</f>
        <v>39721</v>
      </c>
      <c r="AD6" s="561">
        <f>BS!AD6</f>
        <v>39813</v>
      </c>
      <c r="AE6" s="562">
        <f>BS!AE6</f>
        <v>39903</v>
      </c>
      <c r="AF6" s="560">
        <f>BS!AF6</f>
        <v>39994</v>
      </c>
      <c r="AG6" s="561">
        <f>BS!AG6</f>
        <v>40086</v>
      </c>
      <c r="AH6" s="561">
        <f>BS!AH6</f>
        <v>40178</v>
      </c>
      <c r="AI6" s="562">
        <f>BS!AI6</f>
        <v>40268</v>
      </c>
      <c r="AJ6" s="560">
        <f>BS!AJ6</f>
        <v>40359</v>
      </c>
      <c r="AK6" s="561">
        <f>BS!AK6</f>
        <v>40451</v>
      </c>
      <c r="AL6" s="561">
        <f>BS!AL6</f>
        <v>40543</v>
      </c>
      <c r="AM6" s="562">
        <f>BS!AM6</f>
        <v>40633</v>
      </c>
      <c r="AN6" s="560">
        <f>BS!AN6</f>
        <v>40724</v>
      </c>
      <c r="AO6" s="561">
        <f>BS!AO6</f>
        <v>40816</v>
      </c>
      <c r="AP6" s="561">
        <f>BS!AP6</f>
        <v>40908</v>
      </c>
      <c r="AQ6" s="562">
        <f>BS!AQ6</f>
        <v>40999</v>
      </c>
      <c r="AR6" s="560">
        <f>BS!AR6</f>
        <v>41090</v>
      </c>
      <c r="AS6" s="561">
        <f>BS!AS6</f>
        <v>41182</v>
      </c>
      <c r="AT6" s="561">
        <f>BS!AT6</f>
        <v>41274</v>
      </c>
      <c r="AU6" s="562">
        <f>BS!AU6</f>
        <v>41364</v>
      </c>
      <c r="AV6" s="560">
        <f>BS!AV6</f>
        <v>41455</v>
      </c>
      <c r="AW6" s="561">
        <f>BS!AW6</f>
        <v>41547</v>
      </c>
      <c r="AX6" s="561">
        <f>BS!AX6</f>
        <v>41639</v>
      </c>
      <c r="AY6" s="562">
        <f>BS!AY6</f>
        <v>41729</v>
      </c>
      <c r="AZ6" s="560">
        <f>BS!AZ6</f>
        <v>41820</v>
      </c>
      <c r="BA6" s="561">
        <f>BS!BA6</f>
        <v>41912</v>
      </c>
      <c r="BB6" s="561">
        <f>BS!BB6</f>
        <v>42004</v>
      </c>
      <c r="BC6" s="562">
        <f>BS!BC6</f>
        <v>42094</v>
      </c>
      <c r="BD6" s="561">
        <f>BS!BD6</f>
        <v>42185</v>
      </c>
      <c r="BE6" s="561">
        <f>BS!BE6</f>
        <v>42277</v>
      </c>
      <c r="BF6" s="561">
        <f>BS!BF6</f>
        <v>42369</v>
      </c>
      <c r="BG6" s="562">
        <f>BS!BG6</f>
        <v>42460</v>
      </c>
      <c r="BH6" s="561">
        <f>BS!BH6</f>
        <v>42551</v>
      </c>
      <c r="BI6" s="561">
        <f>BS!BI6</f>
        <v>42643</v>
      </c>
      <c r="BJ6" s="561">
        <f>BS!BJ6</f>
        <v>42735</v>
      </c>
      <c r="BK6" s="1356">
        <f>BS!BK6</f>
        <v>42825</v>
      </c>
      <c r="BL6" s="561">
        <f>BS!BL6</f>
        <v>42916</v>
      </c>
      <c r="BM6" s="561">
        <f>BS!BM6</f>
        <v>43008</v>
      </c>
      <c r="BN6" s="561">
        <f>BS!BN6</f>
        <v>43100</v>
      </c>
      <c r="BO6" s="562">
        <f>BS!BO6</f>
        <v>43190</v>
      </c>
      <c r="BP6" s="561">
        <f>BS!BP6</f>
        <v>43281</v>
      </c>
      <c r="BQ6" s="561">
        <f>BS!BQ6</f>
        <v>43373</v>
      </c>
      <c r="BR6" s="561">
        <f>BS!BR6</f>
        <v>43465</v>
      </c>
      <c r="BS6" s="562">
        <f>BS!BS6</f>
        <v>43555</v>
      </c>
      <c r="BT6" s="1355">
        <f>BS!BT6</f>
        <v>43646</v>
      </c>
      <c r="BU6" s="1355">
        <f>BS!BU6</f>
        <v>43738</v>
      </c>
      <c r="BV6" s="1355">
        <f>BS!BV6</f>
        <v>43830</v>
      </c>
      <c r="BW6" s="1356">
        <f>BS!BW6</f>
        <v>43921</v>
      </c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232"/>
      <c r="CR6" s="560">
        <f>BS!CR6</f>
        <v>37986</v>
      </c>
      <c r="CS6" s="561">
        <f>BS!CS6</f>
        <v>38352</v>
      </c>
      <c r="CT6" s="561">
        <f>BS!CT6</f>
        <v>38717</v>
      </c>
      <c r="CU6" s="561">
        <f>BS!CU6</f>
        <v>39082</v>
      </c>
      <c r="CV6" s="561">
        <f>BS!CV6</f>
        <v>39447</v>
      </c>
      <c r="CW6" s="561">
        <f>BS!CW6</f>
        <v>39813</v>
      </c>
      <c r="CX6" s="561">
        <f>BS!CX6</f>
        <v>40178</v>
      </c>
      <c r="CY6" s="561">
        <f>BS!CY6</f>
        <v>40543</v>
      </c>
      <c r="CZ6" s="561">
        <f>BS!CZ6</f>
        <v>40908</v>
      </c>
      <c r="DA6" s="561">
        <f>BS!DA6</f>
        <v>41274</v>
      </c>
      <c r="DB6" s="561">
        <f>BS!DB6</f>
        <v>41639</v>
      </c>
      <c r="DC6" s="561">
        <f>BS!DC6</f>
        <v>42004</v>
      </c>
      <c r="DD6" s="561">
        <f>BS!DD6</f>
        <v>42369</v>
      </c>
      <c r="DE6" s="561">
        <f>BS!DE6</f>
        <v>42735</v>
      </c>
      <c r="DF6" s="561">
        <f>BS!DF6</f>
        <v>43100</v>
      </c>
      <c r="DG6" s="1355">
        <f>BS!DG6</f>
        <v>43465</v>
      </c>
      <c r="DH6" s="1356">
        <f>BS!DH6</f>
        <v>43830</v>
      </c>
      <c r="DI6" s="22"/>
    </row>
    <row r="7" spans="1:113" ht="14.25" customHeight="1">
      <c r="A7" s="8"/>
      <c r="B7" s="12"/>
      <c r="C7" s="180"/>
      <c r="D7" s="17" t="str">
        <f>BS!D7</f>
        <v>F1Q03A</v>
      </c>
      <c r="E7" s="18" t="str">
        <f>BS!E7</f>
        <v>F2Q03A</v>
      </c>
      <c r="F7" s="18" t="str">
        <f>BS!F7</f>
        <v>F3Q03A</v>
      </c>
      <c r="G7" s="19" t="str">
        <f>BS!G7</f>
        <v>F4Q03A</v>
      </c>
      <c r="H7" s="17" t="str">
        <f>BS!H7</f>
        <v>F1Q04A</v>
      </c>
      <c r="I7" s="18" t="str">
        <f>BS!I7</f>
        <v>F2Q04A</v>
      </c>
      <c r="J7" s="18" t="str">
        <f>BS!J7</f>
        <v>F3Q04A</v>
      </c>
      <c r="K7" s="19" t="str">
        <f>BS!K7</f>
        <v>F4Q04A</v>
      </c>
      <c r="L7" s="17" t="str">
        <f>BS!L7</f>
        <v>F1Q05A</v>
      </c>
      <c r="M7" s="18" t="str">
        <f>BS!M7</f>
        <v>F2Q05A</v>
      </c>
      <c r="N7" s="18" t="str">
        <f>BS!N7</f>
        <v>F3Q05A</v>
      </c>
      <c r="O7" s="19" t="str">
        <f>BS!O7</f>
        <v>F4Q05A</v>
      </c>
      <c r="P7" s="17" t="str">
        <f>BS!P7</f>
        <v>F1Q06A</v>
      </c>
      <c r="Q7" s="18" t="str">
        <f>BS!Q7</f>
        <v>F2Q06A</v>
      </c>
      <c r="R7" s="18" t="str">
        <f>BS!R7</f>
        <v>F3Q06A</v>
      </c>
      <c r="S7" s="19" t="str">
        <f>BS!S7</f>
        <v>F4Q06A</v>
      </c>
      <c r="T7" s="17" t="str">
        <f>BS!T7</f>
        <v>F1Q07A</v>
      </c>
      <c r="U7" s="18" t="str">
        <f>BS!U7</f>
        <v>F2Q07A</v>
      </c>
      <c r="V7" s="18" t="str">
        <f>BS!V7</f>
        <v>F3Q07A</v>
      </c>
      <c r="W7" s="19" t="str">
        <f>BS!W7</f>
        <v>F4Q07A</v>
      </c>
      <c r="X7" s="17" t="str">
        <f>BS!X7</f>
        <v>F1Q08A</v>
      </c>
      <c r="Y7" s="18" t="str">
        <f>BS!Y7</f>
        <v>F2Q08A</v>
      </c>
      <c r="Z7" s="18" t="str">
        <f>BS!Z7</f>
        <v>F3Q08A</v>
      </c>
      <c r="AA7" s="19" t="str">
        <f>BS!AA7</f>
        <v>F4Q08A</v>
      </c>
      <c r="AB7" s="17" t="str">
        <f>BS!AB7</f>
        <v>F1Q09A</v>
      </c>
      <c r="AC7" s="18" t="str">
        <f>BS!AC7</f>
        <v>F2Q09A</v>
      </c>
      <c r="AD7" s="18" t="str">
        <f>BS!AD7</f>
        <v>F3Q09A</v>
      </c>
      <c r="AE7" s="19" t="str">
        <f>BS!AE7</f>
        <v>F4Q09A</v>
      </c>
      <c r="AF7" s="17" t="str">
        <f>BS!AF7</f>
        <v>F1Q10A</v>
      </c>
      <c r="AG7" s="18" t="str">
        <f>BS!AG7</f>
        <v>F2Q10A</v>
      </c>
      <c r="AH7" s="18" t="str">
        <f>BS!AH7</f>
        <v>F3Q10A</v>
      </c>
      <c r="AI7" s="19" t="str">
        <f>BS!AI7</f>
        <v>F4Q10A</v>
      </c>
      <c r="AJ7" s="17" t="str">
        <f>BS!AJ7</f>
        <v>F1Q11A</v>
      </c>
      <c r="AK7" s="18" t="str">
        <f>BS!AK7</f>
        <v>F2Q11A</v>
      </c>
      <c r="AL7" s="18" t="str">
        <f>BS!AL7</f>
        <v>F3Q11A</v>
      </c>
      <c r="AM7" s="19" t="str">
        <f>BS!AM7</f>
        <v>F4Q11A</v>
      </c>
      <c r="AN7" s="17" t="str">
        <f>BS!AN7</f>
        <v>F1Q12A</v>
      </c>
      <c r="AO7" s="18" t="str">
        <f>BS!AO7</f>
        <v>F2Q12A</v>
      </c>
      <c r="AP7" s="18" t="str">
        <f>BS!AP7</f>
        <v>F3Q12A</v>
      </c>
      <c r="AQ7" s="19" t="str">
        <f>BS!AQ7</f>
        <v>F4Q12A</v>
      </c>
      <c r="AR7" s="17" t="str">
        <f>BS!AR7</f>
        <v>F1Q13A</v>
      </c>
      <c r="AS7" s="18" t="str">
        <f>BS!AS7</f>
        <v>F2Q13A</v>
      </c>
      <c r="AT7" s="18" t="str">
        <f>BS!AT7</f>
        <v>F3Q13A</v>
      </c>
      <c r="AU7" s="19" t="str">
        <f>BS!AU7</f>
        <v>F4Q13A</v>
      </c>
      <c r="AV7" s="17" t="str">
        <f>BS!AV7</f>
        <v>F1Q14A</v>
      </c>
      <c r="AW7" s="18" t="str">
        <f>BS!AW7</f>
        <v>F2Q14A</v>
      </c>
      <c r="AX7" s="18" t="str">
        <f>BS!AX7</f>
        <v>F3Q14A</v>
      </c>
      <c r="AY7" s="19" t="str">
        <f>BS!AY7</f>
        <v>F4Q14A</v>
      </c>
      <c r="AZ7" s="17" t="str">
        <f>BS!AZ7</f>
        <v>F1Q15A</v>
      </c>
      <c r="BA7" s="18" t="str">
        <f>BS!BA7</f>
        <v>F2Q15A</v>
      </c>
      <c r="BB7" s="18" t="str">
        <f>BS!BB7</f>
        <v>F3Q15A</v>
      </c>
      <c r="BC7" s="19" t="str">
        <f>BS!BC7</f>
        <v>F4Q15A</v>
      </c>
      <c r="BD7" s="18" t="str">
        <f>BS!BD7</f>
        <v>F1Q16A</v>
      </c>
      <c r="BE7" s="18" t="str">
        <f>BS!BE7</f>
        <v>F2Q16A</v>
      </c>
      <c r="BF7" s="18" t="str">
        <f>BS!BF7</f>
        <v>F3Q16A</v>
      </c>
      <c r="BG7" s="19" t="str">
        <f>BS!BG7</f>
        <v>F4Q16A</v>
      </c>
      <c r="BH7" s="18" t="str">
        <f>BS!BH7</f>
        <v>F1Q17A</v>
      </c>
      <c r="BI7" s="18" t="str">
        <f>BS!BI7</f>
        <v>F2Q17A</v>
      </c>
      <c r="BJ7" s="18" t="str">
        <f>BS!BJ7</f>
        <v>F3Q17A</v>
      </c>
      <c r="BK7" s="1375" t="str">
        <f>BS!BK7</f>
        <v>F4Q17A</v>
      </c>
      <c r="BL7" s="18" t="str">
        <f>BS!BL7</f>
        <v>F1Q18A</v>
      </c>
      <c r="BM7" s="18" t="str">
        <f>BS!BM7</f>
        <v>F2Q18A</v>
      </c>
      <c r="BN7" s="18" t="str">
        <f>BS!BN7</f>
        <v>F3Q18A</v>
      </c>
      <c r="BO7" s="19" t="str">
        <f>BS!BO7</f>
        <v>F4Q18E</v>
      </c>
      <c r="BP7" s="18" t="str">
        <f>BS!BP7</f>
        <v>F1Q19E</v>
      </c>
      <c r="BQ7" s="18" t="str">
        <f>BS!BQ7</f>
        <v>F2Q19E</v>
      </c>
      <c r="BR7" s="18" t="str">
        <f>BS!BR7</f>
        <v>F3Q19E</v>
      </c>
      <c r="BS7" s="19" t="str">
        <f>BS!BS7</f>
        <v>F4Q19E</v>
      </c>
      <c r="BT7" s="1374" t="str">
        <f>BS!BT7</f>
        <v>F1Q20E</v>
      </c>
      <c r="BU7" s="1374" t="str">
        <f>BS!BU7</f>
        <v>F2Q20E</v>
      </c>
      <c r="BV7" s="1374" t="str">
        <f>BS!BV7</f>
        <v>F3Q20E</v>
      </c>
      <c r="BW7" s="1375" t="str">
        <f>BS!BW7</f>
        <v>F4Q20E</v>
      </c>
      <c r="BX7" s="20"/>
      <c r="BY7" s="17" t="str">
        <f>BS!BY7</f>
        <v>FY2003A</v>
      </c>
      <c r="BZ7" s="18" t="str">
        <f>BS!BZ7</f>
        <v>FY2004A</v>
      </c>
      <c r="CA7" s="18" t="str">
        <f>BS!CA7</f>
        <v>FY2005A</v>
      </c>
      <c r="CB7" s="18" t="str">
        <f>BS!CB7</f>
        <v>FY2006A</v>
      </c>
      <c r="CC7" s="18" t="str">
        <f>BS!CC7</f>
        <v>FY2007A</v>
      </c>
      <c r="CD7" s="18" t="str">
        <f>BS!CD7</f>
        <v>FY2008A</v>
      </c>
      <c r="CE7" s="18" t="str">
        <f>BS!CE7</f>
        <v>FY2009A</v>
      </c>
      <c r="CF7" s="18" t="str">
        <f>BS!CF7</f>
        <v>FY2010A</v>
      </c>
      <c r="CG7" s="17" t="str">
        <f>BS!CG7</f>
        <v>FY2011A</v>
      </c>
      <c r="CH7" s="18" t="str">
        <f>BS!CH7</f>
        <v>FY2012A</v>
      </c>
      <c r="CI7" s="17" t="str">
        <f>BS!CI7</f>
        <v>FY2013A</v>
      </c>
      <c r="CJ7" s="1438" t="str">
        <f>BS!CJ7</f>
        <v>FY2014A</v>
      </c>
      <c r="CK7" s="1439" t="str">
        <f>BS!CK7</f>
        <v>FY2015A</v>
      </c>
      <c r="CL7" s="1439" t="str">
        <f>BS!CL7</f>
        <v>FY2016A</v>
      </c>
      <c r="CM7" s="1439" t="str">
        <f>BS!CM7</f>
        <v>FY2017A</v>
      </c>
      <c r="CN7" s="1439" t="str">
        <f>BS!CN7</f>
        <v>FY2018E</v>
      </c>
      <c r="CO7" s="1439" t="str">
        <f>BS!CO7</f>
        <v>FY2019E</v>
      </c>
      <c r="CP7" s="1440" t="str">
        <f>BS!CP7</f>
        <v>FY2020E</v>
      </c>
      <c r="CQ7" s="20"/>
      <c r="CR7" s="525"/>
      <c r="CS7" s="559"/>
      <c r="CT7" s="559"/>
      <c r="CU7" s="559"/>
      <c r="CV7" s="559"/>
      <c r="CW7" s="559"/>
      <c r="CX7" s="559"/>
      <c r="CY7" s="559"/>
      <c r="CZ7" s="559"/>
      <c r="DA7" s="559"/>
      <c r="DB7" s="559"/>
      <c r="DC7" s="526"/>
      <c r="DD7" s="526"/>
      <c r="DE7" s="526"/>
      <c r="DF7" s="1173"/>
      <c r="DG7" s="1173"/>
      <c r="DH7" s="559"/>
      <c r="DI7" s="22"/>
    </row>
    <row r="8" spans="1:113" ht="14.25" customHeight="1">
      <c r="A8" s="8"/>
      <c r="B8" s="181" t="str">
        <f t="shared" ref="B8:B14" si="0">B103</f>
        <v>Cash flows provided by (used for) operating activities:</v>
      </c>
      <c r="C8" s="45"/>
      <c r="D8" s="184"/>
      <c r="E8" s="182"/>
      <c r="F8" s="182"/>
      <c r="G8" s="183"/>
      <c r="H8" s="184"/>
      <c r="I8" s="182"/>
      <c r="J8" s="182"/>
      <c r="K8" s="183"/>
      <c r="L8" s="184"/>
      <c r="M8" s="182"/>
      <c r="N8" s="182"/>
      <c r="O8" s="183"/>
      <c r="P8" s="184"/>
      <c r="Q8" s="182"/>
      <c r="R8" s="182"/>
      <c r="S8" s="183"/>
      <c r="T8" s="184"/>
      <c r="U8" s="182"/>
      <c r="V8" s="182"/>
      <c r="W8" s="183"/>
      <c r="X8" s="184"/>
      <c r="Y8" s="182"/>
      <c r="Z8" s="182"/>
      <c r="AA8" s="183"/>
      <c r="AB8" s="184"/>
      <c r="AC8" s="182"/>
      <c r="AD8" s="182"/>
      <c r="AE8" s="183"/>
      <c r="AF8" s="184"/>
      <c r="AG8" s="182"/>
      <c r="AH8" s="182"/>
      <c r="AI8" s="183"/>
      <c r="AJ8" s="184"/>
      <c r="AK8" s="182"/>
      <c r="AL8" s="182"/>
      <c r="AM8" s="183"/>
      <c r="AN8" s="184"/>
      <c r="AO8" s="182"/>
      <c r="AP8" s="182"/>
      <c r="AQ8" s="183"/>
      <c r="AR8" s="184"/>
      <c r="AS8" s="182"/>
      <c r="AT8" s="182"/>
      <c r="AU8" s="183"/>
      <c r="AV8" s="184"/>
      <c r="AW8" s="182"/>
      <c r="AX8" s="182"/>
      <c r="AY8" s="183"/>
      <c r="AZ8" s="184"/>
      <c r="BA8" s="182"/>
      <c r="BB8" s="182"/>
      <c r="BC8" s="183"/>
      <c r="BD8" s="182"/>
      <c r="BE8" s="182"/>
      <c r="BF8" s="182"/>
      <c r="BG8" s="183"/>
      <c r="BH8" s="182"/>
      <c r="BI8" s="182"/>
      <c r="BJ8" s="182"/>
      <c r="BK8" s="183"/>
      <c r="BL8" s="182"/>
      <c r="BM8" s="182"/>
      <c r="BN8" s="182"/>
      <c r="BO8" s="183"/>
      <c r="BP8" s="182"/>
      <c r="BQ8" s="182"/>
      <c r="BR8" s="182"/>
      <c r="BS8" s="183"/>
      <c r="BT8" s="182"/>
      <c r="BU8" s="182"/>
      <c r="BV8" s="182"/>
      <c r="BW8" s="182"/>
      <c r="BX8" s="20"/>
      <c r="BY8" s="182"/>
      <c r="BZ8" s="182"/>
      <c r="CA8" s="182"/>
      <c r="CB8" s="182"/>
      <c r="CC8" s="182"/>
      <c r="CD8" s="182"/>
      <c r="CE8" s="182"/>
      <c r="CF8" s="182"/>
      <c r="CG8" s="184"/>
      <c r="CH8" s="182"/>
      <c r="CI8" s="184"/>
      <c r="CJ8" s="184"/>
      <c r="CK8" s="182"/>
      <c r="CL8" s="182"/>
      <c r="CM8" s="182"/>
      <c r="CN8" s="182"/>
      <c r="CO8" s="182"/>
      <c r="CP8" s="183"/>
      <c r="CQ8" s="20"/>
      <c r="CR8" s="298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5"/>
      <c r="DD8" s="185"/>
      <c r="DE8" s="185"/>
      <c r="DF8" s="185"/>
      <c r="DG8" s="185"/>
      <c r="DH8" s="182"/>
      <c r="DI8" s="22"/>
    </row>
    <row r="9" spans="1:113" ht="14.25" customHeight="1">
      <c r="A9" s="8"/>
      <c r="B9" s="23" t="str">
        <f t="shared" si="0"/>
        <v>Net income</v>
      </c>
      <c r="C9" s="24"/>
      <c r="D9" s="1210">
        <f>IS!D86</f>
        <v>9.3160000000000025</v>
      </c>
      <c r="E9" s="1210">
        <f>IS!E86</f>
        <v>9.4959999999999987</v>
      </c>
      <c r="F9" s="1210">
        <f>IS!F86</f>
        <v>36.381999999999991</v>
      </c>
      <c r="G9" s="1209">
        <f>IS!G86</f>
        <v>33.038000000000046</v>
      </c>
      <c r="H9" s="1210">
        <f>IS!H86</f>
        <v>13.469999999999986</v>
      </c>
      <c r="I9" s="1210">
        <f>IS!I86</f>
        <v>36.103999999999985</v>
      </c>
      <c r="J9" s="1210">
        <f>IS!J86</f>
        <v>40.843000000000018</v>
      </c>
      <c r="K9" s="1209">
        <f>IS!K86</f>
        <v>46.845000000000013</v>
      </c>
      <c r="L9" s="1210">
        <f>IS!L86</f>
        <v>43.799000000000014</v>
      </c>
      <c r="M9" s="1210">
        <f>IS!M86</f>
        <v>60.442999999999984</v>
      </c>
      <c r="N9" s="1210">
        <f>IS!N86</f>
        <v>53.139999999999993</v>
      </c>
      <c r="O9" s="1209">
        <f>IS!O86</f>
        <v>56.403000000000027</v>
      </c>
      <c r="P9" s="1210">
        <f>IS!P86</f>
        <v>61.023999999999987</v>
      </c>
      <c r="Q9" s="1210">
        <f>IS!Q86</f>
        <v>65.652999999999992</v>
      </c>
      <c r="R9" s="1210">
        <f>IS!R86</f>
        <v>40.123999999999981</v>
      </c>
      <c r="S9" s="1209">
        <f>IS!S86</f>
        <v>75.567999999999998</v>
      </c>
      <c r="T9" s="1210">
        <f>IS!T86</f>
        <v>76.984000000000037</v>
      </c>
      <c r="U9" s="1210">
        <f>IS!U86</f>
        <v>79.488000000000014</v>
      </c>
      <c r="V9" s="1210">
        <f>IS!V86</f>
        <v>72.848999999999975</v>
      </c>
      <c r="W9" s="1209">
        <f>IS!W86</f>
        <v>127.708</v>
      </c>
      <c r="X9" s="1210">
        <f>IS!X86</f>
        <v>80.293000000000021</v>
      </c>
      <c r="Y9" s="1210">
        <f>IS!Y86</f>
        <v>60.678999999999974</v>
      </c>
      <c r="Z9" s="1210">
        <f>IS!Z86</f>
        <v>80.123999999999995</v>
      </c>
      <c r="AA9" s="1209">
        <f>IS!AA86</f>
        <v>75.697000000000017</v>
      </c>
      <c r="AB9" s="1210">
        <f>IS!AB86</f>
        <v>75.547000000000025</v>
      </c>
      <c r="AC9" s="1210">
        <f>IS!AC86</f>
        <v>75.720000000000027</v>
      </c>
      <c r="AD9" s="1210">
        <f>IS!AD86</f>
        <v>72.355999999999995</v>
      </c>
      <c r="AE9" s="1209">
        <f>IS!AE86</f>
        <v>21.963999999999984</v>
      </c>
      <c r="AF9" s="1210">
        <f>IS!AF86</f>
        <v>27.368000000000009</v>
      </c>
      <c r="AG9" s="1210">
        <f>IS!AG86</f>
        <v>44.484999999999999</v>
      </c>
      <c r="AH9" s="1210">
        <f>IS!AH86</f>
        <v>69.402999999999992</v>
      </c>
      <c r="AI9" s="1209">
        <f>IS!AI86</f>
        <v>75.749000000000038</v>
      </c>
      <c r="AJ9" s="1210">
        <f>IS!AJ86</f>
        <v>89.566000000000003</v>
      </c>
      <c r="AK9" s="1210">
        <f>IS!AK86</f>
        <v>103.08000000000001</v>
      </c>
      <c r="AL9" s="1210">
        <f>IS!AL86</f>
        <v>100.77600000000002</v>
      </c>
      <c r="AM9" s="1209">
        <f>IS!AM86</f>
        <v>125.52799999999988</v>
      </c>
      <c r="AN9" s="1210">
        <f>IS!AN86</f>
        <v>99.293000000000006</v>
      </c>
      <c r="AO9" s="1210">
        <f>IS!AO86</f>
        <v>79.286999999999978</v>
      </c>
      <c r="AP9" s="1210">
        <f>IS!AP86</f>
        <v>77.48899999999999</v>
      </c>
      <c r="AQ9" s="1209">
        <f>IS!AQ86</f>
        <v>80.635999999999996</v>
      </c>
      <c r="AR9" s="1210">
        <f>IS!AR86</f>
        <v>78.710000000000008</v>
      </c>
      <c r="AS9" s="1210">
        <f>IS!AS86</f>
        <v>-21.184000000000005</v>
      </c>
      <c r="AT9" s="1210">
        <f>IS!AT86</f>
        <v>10.173000000000039</v>
      </c>
      <c r="AU9" s="1209">
        <f>IS!AU86</f>
        <v>59.690000000000055</v>
      </c>
      <c r="AV9" s="1210">
        <f>IS!AV86</f>
        <v>78.578999999999951</v>
      </c>
      <c r="AW9" s="1210">
        <f>IS!AW86</f>
        <v>99.805999999999912</v>
      </c>
      <c r="AX9" s="1210">
        <f>IS!AX86</f>
        <v>105.40100000000004</v>
      </c>
      <c r="AY9" s="1209">
        <f>IS!AY86</f>
        <v>111.49500000000006</v>
      </c>
      <c r="AZ9" s="1210">
        <f>IS!AZ86</f>
        <v>89.908999999999992</v>
      </c>
      <c r="BA9" s="1210">
        <f>IS!BA86-IS!BA84</f>
        <v>92.038000000000068</v>
      </c>
      <c r="BB9" s="1210">
        <f>IS!BB86-IS!BB84</f>
        <v>84.798000000000044</v>
      </c>
      <c r="BC9" s="1209">
        <f>IS!BC86-IS!BC84</f>
        <v>98.580000000000013</v>
      </c>
      <c r="BD9" s="1210">
        <f>IS!BD86-IS!BD84</f>
        <v>130.45999999999998</v>
      </c>
      <c r="BE9" s="1210">
        <f>IS!BE86-IS!BE84</f>
        <v>64.898999999999916</v>
      </c>
      <c r="BF9" s="1210">
        <f>IS!BF86-IS!BF84</f>
        <v>61.128000000000057</v>
      </c>
      <c r="BG9" s="1209">
        <f>IS!BG86-IS!BG84</f>
        <v>67.308000000000007</v>
      </c>
      <c r="BH9" s="1210">
        <f>IS!BH86-IS!BH84</f>
        <v>-113.3630000000001</v>
      </c>
      <c r="BI9" s="1210">
        <f>IS!BI86</f>
        <v>33.919000000000054</v>
      </c>
      <c r="BJ9" s="1210">
        <f>IS!BJ86</f>
        <v>107.17499999999997</v>
      </c>
      <c r="BK9" s="1209">
        <f>IS!BK86</f>
        <v>136.90800000000002</v>
      </c>
      <c r="BL9" s="1210">
        <f>IS!BL86-IS!BL84</f>
        <v>170.58699999999996</v>
      </c>
      <c r="BM9" s="1210">
        <f>IS!BM86</f>
        <v>189.15599999999998</v>
      </c>
      <c r="BN9" s="1210">
        <f>IS!BN86</f>
        <v>-251.08600000000001</v>
      </c>
      <c r="BO9" s="1209">
        <f>IS!BO86</f>
        <v>319.36396904051264</v>
      </c>
      <c r="BP9" s="1210">
        <f>IS!BP86</f>
        <v>340.18058113278784</v>
      </c>
      <c r="BQ9" s="1210">
        <f>IS!BQ86</f>
        <v>355.90966127439862</v>
      </c>
      <c r="BR9" s="1210">
        <f>IS!BR86</f>
        <v>346.07916920057528</v>
      </c>
      <c r="BS9" s="1209">
        <f>IS!BS86</f>
        <v>342.83251464298598</v>
      </c>
      <c r="BT9" s="1210">
        <f>IS!BT86</f>
        <v>361.8847059608612</v>
      </c>
      <c r="BU9" s="1210">
        <f>IS!BU86</f>
        <v>375.3479258136789</v>
      </c>
      <c r="BV9" s="1210">
        <f>IS!BV86</f>
        <v>366.98705365713681</v>
      </c>
      <c r="BW9" s="1210">
        <f>IS!BW86</f>
        <v>364.06060944569589</v>
      </c>
      <c r="BX9" s="20"/>
      <c r="BY9" s="96">
        <f>SUM(D9:G9)</f>
        <v>88.232000000000028</v>
      </c>
      <c r="BZ9" s="96">
        <f>SUM(H9:K9)</f>
        <v>137.262</v>
      </c>
      <c r="CA9" s="96">
        <f>SUM(L9:O9)</f>
        <v>213.785</v>
      </c>
      <c r="CB9" s="96">
        <f>SUM(P9:S9)</f>
        <v>242.36899999999997</v>
      </c>
      <c r="CC9" s="96">
        <f>SUM(T9:W9)</f>
        <v>357.029</v>
      </c>
      <c r="CD9" s="96">
        <f>SUM(X9:AA9)</f>
        <v>296.79300000000001</v>
      </c>
      <c r="CE9" s="96">
        <f>SUM(AB9:AE9)</f>
        <v>245.58700000000005</v>
      </c>
      <c r="CF9" s="96">
        <f>SUM(AF9:AI9)</f>
        <v>217.00500000000005</v>
      </c>
      <c r="CG9" s="95">
        <f>SUM(AJ9:AM9)</f>
        <v>418.94999999999993</v>
      </c>
      <c r="CH9" s="96">
        <f>SUM(AN9:AQ9)</f>
        <v>336.70499999999993</v>
      </c>
      <c r="CI9" s="95">
        <f>SUM(AR9:AU9)</f>
        <v>127.3890000000001</v>
      </c>
      <c r="CJ9" s="95">
        <f>SUM(AV9:AY9)</f>
        <v>395.28100000000001</v>
      </c>
      <c r="CK9" s="96">
        <f>SUM(AZ9:BC9)</f>
        <v>365.32500000000016</v>
      </c>
      <c r="CL9" s="96">
        <f>SUM(BD9:BG9)</f>
        <v>323.79499999999996</v>
      </c>
      <c r="CM9" s="96">
        <f>SUM(BH9:BK9)</f>
        <v>164.63899999999995</v>
      </c>
      <c r="CN9" s="96">
        <f>SUM(BL9:BO9)</f>
        <v>428.02096904051257</v>
      </c>
      <c r="CO9" s="96">
        <f>SUM(BP9:BS9)</f>
        <v>1385.0019262507476</v>
      </c>
      <c r="CP9" s="97">
        <f>SUM(BT9:BW9)</f>
        <v>1468.2802948773729</v>
      </c>
      <c r="CQ9" s="20"/>
      <c r="CR9" s="95">
        <f>SUM(G9:J9)</f>
        <v>123.45500000000004</v>
      </c>
      <c r="CS9" s="96">
        <f>SUM(K9:N9)</f>
        <v>204.227</v>
      </c>
      <c r="CT9" s="96">
        <f>SUM(O9:R9)</f>
        <v>223.20400000000001</v>
      </c>
      <c r="CU9" s="96">
        <f>SUM(S9:V9)</f>
        <v>304.88900000000001</v>
      </c>
      <c r="CV9" s="96">
        <f>SUM(W9:Z9)</f>
        <v>348.80399999999997</v>
      </c>
      <c r="CW9" s="96">
        <f>SUM(AA9:AD9)</f>
        <v>299.32000000000005</v>
      </c>
      <c r="CX9" s="96">
        <f>SUM(AE9:AH9)</f>
        <v>163.21999999999997</v>
      </c>
      <c r="CY9" s="96">
        <f>SUM(AI9:AL9)</f>
        <v>369.17100000000011</v>
      </c>
      <c r="CZ9" s="96">
        <f>SUM(AM9:AP9)</f>
        <v>381.59699999999981</v>
      </c>
      <c r="DA9" s="96">
        <f>SUM(AQ9:AT9)</f>
        <v>148.33500000000004</v>
      </c>
      <c r="DB9" s="96">
        <f>SUM(AU9:AX9)</f>
        <v>343.476</v>
      </c>
      <c r="DC9" s="96">
        <f>SUM(AY9:BB9)</f>
        <v>378.24000000000018</v>
      </c>
      <c r="DD9" s="96">
        <f>SUM(BC9:BF9)</f>
        <v>355.06699999999995</v>
      </c>
      <c r="DE9" s="96">
        <f>SUM(BG9:BJ9)</f>
        <v>95.03899999999993</v>
      </c>
      <c r="DF9" s="96">
        <f>SUM(BK9:BN9)</f>
        <v>245.56499999999994</v>
      </c>
      <c r="DG9" s="96">
        <f>SUM(BO9:BR9)</f>
        <v>1361.5333806482743</v>
      </c>
      <c r="DH9" s="96">
        <f>SUM(BS9:BV9)</f>
        <v>1447.052200074663</v>
      </c>
      <c r="DI9" s="22"/>
    </row>
    <row r="10" spans="1:113" ht="14.25" customHeight="1">
      <c r="A10" s="8"/>
      <c r="B10" s="186" t="str">
        <f t="shared" si="0"/>
        <v>Adjustments to reconcile net income to net cash</v>
      </c>
      <c r="C10" s="187"/>
      <c r="D10" s="358"/>
      <c r="E10" s="359"/>
      <c r="F10" s="359"/>
      <c r="G10" s="360"/>
      <c r="H10" s="358"/>
      <c r="I10" s="359"/>
      <c r="J10" s="359"/>
      <c r="K10" s="360"/>
      <c r="L10" s="358"/>
      <c r="M10" s="359"/>
      <c r="N10" s="359"/>
      <c r="O10" s="360"/>
      <c r="P10" s="358"/>
      <c r="Q10" s="359"/>
      <c r="R10" s="359"/>
      <c r="S10" s="360"/>
      <c r="T10" s="358"/>
      <c r="U10" s="359"/>
      <c r="V10" s="359"/>
      <c r="W10" s="360"/>
      <c r="X10" s="358"/>
      <c r="Y10" s="359"/>
      <c r="Z10" s="359"/>
      <c r="AA10" s="360"/>
      <c r="AB10" s="358"/>
      <c r="AC10" s="359"/>
      <c r="AD10" s="359"/>
      <c r="AE10" s="360"/>
      <c r="AF10" s="358"/>
      <c r="AG10" s="359"/>
      <c r="AH10" s="359"/>
      <c r="AI10" s="360"/>
      <c r="AJ10" s="358"/>
      <c r="AK10" s="359"/>
      <c r="AL10" s="359"/>
      <c r="AM10" s="360"/>
      <c r="AN10" s="190"/>
      <c r="AO10" s="359"/>
      <c r="AP10" s="359"/>
      <c r="AQ10" s="360"/>
      <c r="AR10" s="190"/>
      <c r="AS10" s="359"/>
      <c r="AT10" s="359"/>
      <c r="AU10" s="360"/>
      <c r="AV10" s="190"/>
      <c r="AW10" s="359"/>
      <c r="AX10" s="359"/>
      <c r="AY10" s="360"/>
      <c r="AZ10" s="190"/>
      <c r="BA10" s="359"/>
      <c r="BB10" s="359"/>
      <c r="BC10" s="189"/>
      <c r="BD10" s="190"/>
      <c r="BE10" s="359"/>
      <c r="BF10" s="359"/>
      <c r="BG10" s="189"/>
      <c r="BH10" s="190"/>
      <c r="BI10" s="359"/>
      <c r="BJ10" s="188"/>
      <c r="BK10" s="189"/>
      <c r="BL10" s="190"/>
      <c r="BM10" s="359"/>
      <c r="BN10" s="188"/>
      <c r="BO10" s="189"/>
      <c r="BP10" s="188"/>
      <c r="BQ10" s="188"/>
      <c r="BR10" s="188"/>
      <c r="BS10" s="189"/>
      <c r="BT10" s="188"/>
      <c r="BU10" s="188"/>
      <c r="BV10" s="188"/>
      <c r="BW10" s="188"/>
      <c r="BX10" s="20"/>
      <c r="BY10" s="188"/>
      <c r="BZ10" s="188"/>
      <c r="CA10" s="188"/>
      <c r="CB10" s="188"/>
      <c r="CC10" s="188"/>
      <c r="CD10" s="188"/>
      <c r="CE10" s="188"/>
      <c r="CF10" s="188"/>
      <c r="CG10" s="190"/>
      <c r="CH10" s="188"/>
      <c r="CI10" s="190"/>
      <c r="CJ10" s="190"/>
      <c r="CK10" s="188"/>
      <c r="CL10" s="188"/>
      <c r="CM10" s="188"/>
      <c r="CN10" s="188"/>
      <c r="CO10" s="188"/>
      <c r="CP10" s="189"/>
      <c r="CQ10" s="20"/>
      <c r="CR10" s="190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22"/>
    </row>
    <row r="11" spans="1:113" ht="14.25" customHeight="1">
      <c r="A11" s="8"/>
      <c r="B11" s="49" t="str">
        <f t="shared" si="0"/>
        <v>Depreciation and amortization</v>
      </c>
      <c r="C11" s="50"/>
      <c r="D11" s="193">
        <f t="shared" ref="D11:D18" si="1">D106</f>
        <v>27.228000000000002</v>
      </c>
      <c r="E11" s="191">
        <f t="shared" ref="E11:E18" si="2">E106-D11</f>
        <v>27.841999999999999</v>
      </c>
      <c r="F11" s="191">
        <f t="shared" ref="F11:F18" si="3">F106-E11-D11</f>
        <v>27.824999999999996</v>
      </c>
      <c r="G11" s="192">
        <f t="shared" ref="G11:G18" si="4">G106-F11-E11-D11</f>
        <v>28.181000000000004</v>
      </c>
      <c r="H11" s="193">
        <f t="shared" ref="H11:H18" si="5">H106</f>
        <v>28.222999999999999</v>
      </c>
      <c r="I11" s="191">
        <f t="shared" ref="I11:I18" si="6">I106-H11</f>
        <v>26.868000000000002</v>
      </c>
      <c r="J11" s="191">
        <f t="shared" ref="J11:J18" si="7">J106-I11-H11</f>
        <v>27.865000000000002</v>
      </c>
      <c r="K11" s="192">
        <f t="shared" ref="K11:K18" si="8">K106-J11-I11-H11</f>
        <v>28.670999999999999</v>
      </c>
      <c r="L11" s="193">
        <f t="shared" ref="L11:L18" si="9">L106</f>
        <v>29.553000000000001</v>
      </c>
      <c r="M11" s="191">
        <f t="shared" ref="M11:M18" si="10">M106-L11</f>
        <v>31.288</v>
      </c>
      <c r="N11" s="191">
        <f t="shared" ref="N11:N18" si="11">N106-M11-L11</f>
        <v>30.523999999999997</v>
      </c>
      <c r="O11" s="192">
        <f t="shared" ref="O11:O18" si="12">O106-N11-M11-L11</f>
        <v>29.100999999999996</v>
      </c>
      <c r="P11" s="193">
        <f t="shared" ref="P11:P18" si="13">P106</f>
        <v>28.106999999999999</v>
      </c>
      <c r="Q11" s="191">
        <f t="shared" ref="Q11:Q18" si="14">Q106-P11</f>
        <v>27.914000000000001</v>
      </c>
      <c r="R11" s="191">
        <f t="shared" ref="R11:R18" si="15">R106-Q11-P11</f>
        <v>27.084999999999994</v>
      </c>
      <c r="S11" s="192">
        <f t="shared" ref="S11:S18" si="16">S106-R11-Q11-P11</f>
        <v>27.576000000000008</v>
      </c>
      <c r="T11" s="193">
        <f t="shared" ref="T11:T18" si="17">T106</f>
        <v>28.518999999999998</v>
      </c>
      <c r="U11" s="191">
        <f t="shared" ref="U11:U18" si="18">U106-T11</f>
        <v>29.691000000000003</v>
      </c>
      <c r="V11" s="191">
        <f t="shared" ref="V11:V18" si="19">V106-U11-T11</f>
        <v>29.582000000000001</v>
      </c>
      <c r="W11" s="192">
        <f t="shared" ref="W11:W18" si="20">W106-V11-U11-T11</f>
        <v>28.378999999999998</v>
      </c>
      <c r="X11" s="193">
        <f t="shared" ref="X11:X18" si="21">X106</f>
        <v>26.898</v>
      </c>
      <c r="Y11" s="191">
        <f t="shared" ref="Y11:Y18" si="22">Y106-X11</f>
        <v>25.892999999999997</v>
      </c>
      <c r="Z11" s="191">
        <f t="shared" ref="Z11:Z18" si="23">Z106-Y11-X11</f>
        <v>23.814000000000004</v>
      </c>
      <c r="AA11" s="192">
        <f t="shared" ref="AA11:AA18" si="24">AA106-Z11-Y11-X11</f>
        <v>23.470999999999986</v>
      </c>
      <c r="AB11" s="193">
        <f t="shared" ref="AB11:AB18" si="25">AB106</f>
        <v>23.765999999999998</v>
      </c>
      <c r="AC11" s="191">
        <f t="shared" ref="AC11:AC18" si="26">AC106-AB11</f>
        <v>24.414999999999999</v>
      </c>
      <c r="AD11" s="191">
        <f t="shared" ref="AD11:AD18" si="27">AD106-AC11-AB11</f>
        <v>24.028999999999996</v>
      </c>
      <c r="AE11" s="192">
        <f t="shared" ref="AE11:AE18" si="28">AE106-AD11-AC11-AB11</f>
        <v>23.836000000000013</v>
      </c>
      <c r="AF11" s="193">
        <f t="shared" ref="AF11:AF18" si="29">AF106</f>
        <v>22.658999999999999</v>
      </c>
      <c r="AG11" s="191">
        <f t="shared" ref="AG11:AG18" si="30">AG106-AF11</f>
        <v>22.639000000000003</v>
      </c>
      <c r="AH11" s="191">
        <f t="shared" ref="AH11:AH18" si="31">AH106-AG11-AF11</f>
        <v>22.436999999999998</v>
      </c>
      <c r="AI11" s="192">
        <f t="shared" ref="AI11:AI18" si="32">AI106-AH11-AG11-AF11</f>
        <v>22.322000000000003</v>
      </c>
      <c r="AJ11" s="193">
        <f t="shared" ref="AJ11:AJ18" si="33">AJ106</f>
        <v>25.439</v>
      </c>
      <c r="AK11" s="191">
        <f t="shared" ref="AK11:AK18" si="34">AK106-AJ11</f>
        <v>27.536999999999999</v>
      </c>
      <c r="AL11" s="191">
        <f t="shared" ref="AL11:AL18" si="35">AL106-AK11-AJ11</f>
        <v>27.177000000000007</v>
      </c>
      <c r="AM11" s="192">
        <f t="shared" ref="AM11:AM18" si="36">AM106-AL11-AK11-AJ11</f>
        <v>26.458999999999989</v>
      </c>
      <c r="AN11" s="193">
        <f t="shared" ref="AN11:AN18" si="37">AN106</f>
        <v>25.350999999999999</v>
      </c>
      <c r="AO11" s="191">
        <f t="shared" ref="AO11:AO18" si="38">AO106-AN11</f>
        <v>25.177</v>
      </c>
      <c r="AP11" s="191">
        <f t="shared" ref="AP11:AP18" si="39">AP106-AO11-AN11</f>
        <v>24.642000000000003</v>
      </c>
      <c r="AQ11" s="192">
        <f t="shared" ref="AQ11:AQ18" si="40">AQ106-AP11-AO11-AN11</f>
        <v>24.254000000000012</v>
      </c>
      <c r="AR11" s="193">
        <f t="shared" ref="AR11:AR18" si="41">AR106</f>
        <v>25.245000000000001</v>
      </c>
      <c r="AS11" s="191">
        <f t="shared" ref="AS11:AS18" si="42">AS106-AR11</f>
        <v>51.210999999999999</v>
      </c>
      <c r="AT11" s="191">
        <f t="shared" ref="AT11:AT18" si="43">AT106-AS11-AR11</f>
        <v>64.011999999999986</v>
      </c>
      <c r="AU11" s="192">
        <f t="shared" ref="AU11:AU18" si="44">AU106-AT11-AS11-AR11</f>
        <v>63.629000000000033</v>
      </c>
      <c r="AV11" s="193">
        <f t="shared" ref="AV11:AV18" si="45">AV106</f>
        <v>50.41</v>
      </c>
      <c r="AW11" s="191">
        <f t="shared" ref="AW11:AW18" si="46">AW106-AV11</f>
        <v>48.052000000000007</v>
      </c>
      <c r="AX11" s="191">
        <f t="shared" ref="AX11:AX18" si="47">AX106-AW11-AV11</f>
        <v>45.242000000000004</v>
      </c>
      <c r="AY11" s="192">
        <f t="shared" ref="AY11:AY18" si="48">AY106-AX11-AW11-AV11</f>
        <v>45.434999999999988</v>
      </c>
      <c r="AZ11" s="193">
        <f t="shared" ref="AZ11:AZ18" si="49">AZ106</f>
        <v>60.988</v>
      </c>
      <c r="BA11" s="191">
        <f t="shared" ref="BA11:BA18" si="50">BA106-AZ11</f>
        <v>70.820999999999998</v>
      </c>
      <c r="BB11" s="191">
        <f t="shared" ref="BB11:BB18" si="51">BB106-BA11-AZ11</f>
        <v>73.302999999999997</v>
      </c>
      <c r="BC11" s="192">
        <f t="shared" ref="BC11:BC18" si="52">BC106-BB11-BA11-AZ11</f>
        <v>73.186000000000007</v>
      </c>
      <c r="BD11" s="193">
        <f t="shared" ref="BD11:BD18" si="53">BD106</f>
        <v>60.375</v>
      </c>
      <c r="BE11" s="191">
        <f t="shared" ref="BE11:BE18" si="54">BE106-BD11</f>
        <v>71.109000000000009</v>
      </c>
      <c r="BF11" s="191">
        <f t="shared" ref="BF11:BF18" si="55">BF106-BE11-BD11</f>
        <v>76.177999999999997</v>
      </c>
      <c r="BG11" s="192">
        <f t="shared" ref="BG11:BG18" si="56">BG106-BF11-BE11-BD11</f>
        <v>75.508999999999986</v>
      </c>
      <c r="BH11" s="193">
        <f t="shared" ref="BH11:BH18" si="57">BH106</f>
        <v>113.14100000000001</v>
      </c>
      <c r="BI11" s="191">
        <f t="shared" ref="BI11:BI18" si="58">BI106-BH11</f>
        <v>112.81599999999999</v>
      </c>
      <c r="BJ11" s="191">
        <f t="shared" ref="BJ11:BJ18" si="59">BJ106-BI11-BH11</f>
        <v>114.96800000000003</v>
      </c>
      <c r="BK11" s="192">
        <f t="shared" ref="BK11:BK18" si="60">BK106-BJ11-BI11-BH11</f>
        <v>128.28300000000002</v>
      </c>
      <c r="BL11" s="193">
        <f t="shared" ref="BL11:BL18" si="61">BL106</f>
        <v>151.80099999999999</v>
      </c>
      <c r="BM11" s="191">
        <f t="shared" ref="BM11:BM18" si="62">BM106-BL11</f>
        <v>152.55500000000001</v>
      </c>
      <c r="BN11" s="191">
        <f t="shared" ref="BN11:BN18" si="63">BN106-BM11-BL11</f>
        <v>154.67599999999999</v>
      </c>
      <c r="BO11" s="192">
        <f t="shared" ref="BO11" si="64">BO79</f>
        <v>32</v>
      </c>
      <c r="BP11" s="191">
        <f t="shared" ref="BP11:BW11" si="65">BP79</f>
        <v>32</v>
      </c>
      <c r="BQ11" s="191">
        <f t="shared" si="65"/>
        <v>32</v>
      </c>
      <c r="BR11" s="191">
        <f t="shared" si="65"/>
        <v>43.259</v>
      </c>
      <c r="BS11" s="192">
        <f t="shared" si="65"/>
        <v>32</v>
      </c>
      <c r="BT11" s="191">
        <f t="shared" si="65"/>
        <v>32</v>
      </c>
      <c r="BU11" s="191">
        <f t="shared" si="65"/>
        <v>32</v>
      </c>
      <c r="BV11" s="191">
        <f t="shared" si="65"/>
        <v>43.259</v>
      </c>
      <c r="BW11" s="191">
        <f t="shared" si="65"/>
        <v>32</v>
      </c>
      <c r="BX11" s="20"/>
      <c r="BY11" s="191">
        <f t="shared" ref="BY11:BY18" si="66">SUM(D11:G11)</f>
        <v>111.07599999999999</v>
      </c>
      <c r="BZ11" s="191">
        <f t="shared" ref="BZ11:BZ18" si="67">SUM(H11:K11)</f>
        <v>111.62700000000001</v>
      </c>
      <c r="CA11" s="191">
        <f t="shared" ref="CA11:CA18" si="68">SUM(L11:O11)</f>
        <v>120.46599999999999</v>
      </c>
      <c r="CB11" s="191">
        <f t="shared" ref="CB11:CB18" si="69">SUM(P11:S11)</f>
        <v>110.682</v>
      </c>
      <c r="CC11" s="191">
        <f t="shared" ref="CC11:CC18" si="70">SUM(T11:W11)</f>
        <v>116.17099999999999</v>
      </c>
      <c r="CD11" s="191">
        <f t="shared" ref="CD11:CD18" si="71">SUM(X11:AA11)</f>
        <v>100.07599999999999</v>
      </c>
      <c r="CE11" s="191">
        <f t="shared" ref="CE11:CE18" si="72">SUM(AB11:AE11)</f>
        <v>96.046000000000006</v>
      </c>
      <c r="CF11" s="191">
        <f t="shared" ref="CF11:CF18" si="73">SUM(AF11:AI11)</f>
        <v>90.057000000000002</v>
      </c>
      <c r="CG11" s="193">
        <f t="shared" ref="CG11:CG18" si="74">SUM(AJ11:AM11)</f>
        <v>106.61199999999999</v>
      </c>
      <c r="CH11" s="191">
        <f t="shared" ref="CH11:CH18" si="75">SUM(AN11:AQ11)</f>
        <v>99.424000000000007</v>
      </c>
      <c r="CI11" s="193">
        <f t="shared" ref="CI11:CI18" si="76">SUM(AR11:AU11)</f>
        <v>204.09700000000004</v>
      </c>
      <c r="CJ11" s="193">
        <f t="shared" ref="CJ11:CJ18" si="77">SUM(AV11:AY11)</f>
        <v>189.13900000000001</v>
      </c>
      <c r="CK11" s="191">
        <f t="shared" ref="CK11:CK18" si="78">SUM(AZ11:BC11)</f>
        <v>278.298</v>
      </c>
      <c r="CL11" s="191">
        <f t="shared" ref="CL11:CL18" si="79">SUM(BD11:BG11)</f>
        <v>283.17099999999999</v>
      </c>
      <c r="CM11" s="191">
        <f t="shared" ref="CM11:CM18" si="80">SUM(BH11:BK11)</f>
        <v>469.20800000000003</v>
      </c>
      <c r="CN11" s="191">
        <f t="shared" ref="CN11:CN18" si="81">SUM(BL11:BO11)</f>
        <v>491.03199999999998</v>
      </c>
      <c r="CO11" s="191">
        <f t="shared" ref="CO11:CO18" si="82">SUM(BP11:BS11)</f>
        <v>139.25900000000001</v>
      </c>
      <c r="CP11" s="192">
        <f t="shared" ref="CP11:CP25" si="83">SUM(BT11:BW11)</f>
        <v>139.25900000000001</v>
      </c>
      <c r="CQ11" s="20"/>
      <c r="CR11" s="193">
        <f t="shared" ref="CR11:CR18" si="84">SUM(G11:J11)</f>
        <v>111.137</v>
      </c>
      <c r="CS11" s="191">
        <f t="shared" ref="CS11:CS18" si="85">SUM(K11:N11)</f>
        <v>120.036</v>
      </c>
      <c r="CT11" s="191">
        <f t="shared" ref="CT11:CT18" si="86">SUM(O11:R11)</f>
        <v>112.20699999999999</v>
      </c>
      <c r="CU11" s="191">
        <f t="shared" ref="CU11:CU18" si="87">SUM(S11:V11)</f>
        <v>115.36799999999999</v>
      </c>
      <c r="CV11" s="191">
        <f t="shared" ref="CV11:CV18" si="88">SUM(W11:Z11)</f>
        <v>104.98400000000001</v>
      </c>
      <c r="CW11" s="191">
        <f t="shared" ref="CW11:CW18" si="89">SUM(AA11:AD11)</f>
        <v>95.680999999999983</v>
      </c>
      <c r="CX11" s="191">
        <f t="shared" ref="CX11:CX18" si="90">SUM(AE11:AH11)</f>
        <v>91.571000000000012</v>
      </c>
      <c r="CY11" s="191">
        <f t="shared" ref="CY11:CY18" si="91">SUM(AI11:AL11)</f>
        <v>102.47500000000001</v>
      </c>
      <c r="CZ11" s="191">
        <f t="shared" ref="CZ11:CZ18" si="92">SUM(AM11:AP11)</f>
        <v>101.62899999999999</v>
      </c>
      <c r="DA11" s="191">
        <f t="shared" ref="DA11:DA18" si="93">SUM(AQ11:AT11)</f>
        <v>164.72199999999998</v>
      </c>
      <c r="DB11" s="191">
        <f t="shared" ref="DB11:DB18" si="94">SUM(AU11:AX11)</f>
        <v>207.33300000000003</v>
      </c>
      <c r="DC11" s="191">
        <f t="shared" ref="DC11:DC18" si="95">SUM(AY11:BB11)</f>
        <v>250.54699999999997</v>
      </c>
      <c r="DD11" s="191">
        <f t="shared" ref="DD11:DD18" si="96">SUM(BC11:BF11)</f>
        <v>280.84800000000001</v>
      </c>
      <c r="DE11" s="191">
        <f t="shared" ref="DE11:DE18" si="97">SUM(BG11:BJ11)</f>
        <v>416.43399999999997</v>
      </c>
      <c r="DF11" s="191">
        <f t="shared" ref="DF11:DF18" si="98">SUM(BK11:BN11)</f>
        <v>587.31500000000005</v>
      </c>
      <c r="DG11" s="191">
        <f t="shared" ref="DG11:DG18" si="99">SUM(BO11:BR11)</f>
        <v>139.25900000000001</v>
      </c>
      <c r="DH11" s="191">
        <f>SUM(BS11:BV11)</f>
        <v>139.25900000000001</v>
      </c>
      <c r="DI11" s="22"/>
    </row>
    <row r="12" spans="1:113" ht="14.25" customHeight="1">
      <c r="A12" s="8"/>
      <c r="B12" s="49" t="str">
        <f t="shared" si="0"/>
        <v>Deferred income taxes</v>
      </c>
      <c r="C12" s="50"/>
      <c r="D12" s="193">
        <f t="shared" si="1"/>
        <v>-9.2550000000000008</v>
      </c>
      <c r="E12" s="191">
        <f t="shared" si="2"/>
        <v>-13.051</v>
      </c>
      <c r="F12" s="191">
        <f t="shared" si="3"/>
        <v>-3.2539999999999978</v>
      </c>
      <c r="G12" s="192">
        <f t="shared" si="4"/>
        <v>8.4589999999999996</v>
      </c>
      <c r="H12" s="193">
        <f t="shared" si="5"/>
        <v>-5.6390000000000002</v>
      </c>
      <c r="I12" s="191">
        <f t="shared" si="6"/>
        <v>-1.2080000000000002</v>
      </c>
      <c r="J12" s="191">
        <f t="shared" si="7"/>
        <v>-5.4009999999999989</v>
      </c>
      <c r="K12" s="192">
        <f t="shared" si="8"/>
        <v>5.9999999999998721E-2</v>
      </c>
      <c r="L12" s="193">
        <f t="shared" si="9"/>
        <v>22.298999999999999</v>
      </c>
      <c r="M12" s="191">
        <f t="shared" si="10"/>
        <v>9.1630000000000003</v>
      </c>
      <c r="N12" s="191">
        <f t="shared" si="11"/>
        <v>3.0689999999999991</v>
      </c>
      <c r="O12" s="192">
        <f t="shared" si="12"/>
        <v>-17.661999999999999</v>
      </c>
      <c r="P12" s="193">
        <f t="shared" si="13"/>
        <v>4.7720000000000002</v>
      </c>
      <c r="Q12" s="191">
        <f t="shared" si="14"/>
        <v>2.3499999999999996</v>
      </c>
      <c r="R12" s="191">
        <f t="shared" si="15"/>
        <v>30.017000000000003</v>
      </c>
      <c r="S12" s="192">
        <f t="shared" si="16"/>
        <v>-19.623000000000005</v>
      </c>
      <c r="T12" s="193">
        <f t="shared" si="17"/>
        <v>-1.41</v>
      </c>
      <c r="U12" s="191">
        <f t="shared" si="18"/>
        <v>10.052</v>
      </c>
      <c r="V12" s="191">
        <f t="shared" si="19"/>
        <v>-1.079</v>
      </c>
      <c r="W12" s="192">
        <f t="shared" si="20"/>
        <v>1.4600000000000006</v>
      </c>
      <c r="X12" s="193">
        <f t="shared" si="21"/>
        <v>-3.0870000000000002</v>
      </c>
      <c r="Y12" s="191">
        <f t="shared" si="22"/>
        <v>-1.7879999999999998</v>
      </c>
      <c r="Z12" s="191">
        <f t="shared" si="23"/>
        <v>3.3170000000000002</v>
      </c>
      <c r="AA12" s="192">
        <f t="shared" si="24"/>
        <v>10.545</v>
      </c>
      <c r="AB12" s="193">
        <f t="shared" si="25"/>
        <v>3.41</v>
      </c>
      <c r="AC12" s="191">
        <f t="shared" si="26"/>
        <v>5.1240000000000006</v>
      </c>
      <c r="AD12" s="191">
        <f t="shared" si="27"/>
        <v>-3.6140000000000008</v>
      </c>
      <c r="AE12" s="192">
        <f t="shared" si="28"/>
        <v>23.190999999999999</v>
      </c>
      <c r="AF12" s="193">
        <f t="shared" si="29"/>
        <v>7.1710000000000003</v>
      </c>
      <c r="AG12" s="191">
        <f t="shared" si="30"/>
        <v>-0.91000000000000014</v>
      </c>
      <c r="AH12" s="191">
        <f t="shared" si="31"/>
        <v>11.294</v>
      </c>
      <c r="AI12" s="192">
        <f t="shared" si="32"/>
        <v>4.7749999999999977</v>
      </c>
      <c r="AJ12" s="193">
        <f t="shared" si="33"/>
        <v>9.0730000000000004</v>
      </c>
      <c r="AK12" s="191">
        <f t="shared" si="34"/>
        <v>4.2210000000000001</v>
      </c>
      <c r="AL12" s="191">
        <f t="shared" si="35"/>
        <v>4.0859999999999985</v>
      </c>
      <c r="AM12" s="192">
        <f t="shared" si="36"/>
        <v>6.6230000000000011</v>
      </c>
      <c r="AN12" s="191">
        <f t="shared" si="37"/>
        <v>6.7279999999999998</v>
      </c>
      <c r="AO12" s="191">
        <f t="shared" si="38"/>
        <v>0.35800000000000054</v>
      </c>
      <c r="AP12" s="191">
        <f t="shared" si="39"/>
        <v>9.8999999999999311E-2</v>
      </c>
      <c r="AQ12" s="192">
        <f t="shared" si="40"/>
        <v>14.769</v>
      </c>
      <c r="AR12" s="191">
        <f t="shared" si="41"/>
        <v>2.927</v>
      </c>
      <c r="AS12" s="191">
        <f t="shared" si="42"/>
        <v>-12.352</v>
      </c>
      <c r="AT12" s="191">
        <f t="shared" si="43"/>
        <v>-0.55599999999999961</v>
      </c>
      <c r="AU12" s="192">
        <f t="shared" si="44"/>
        <v>-18.386999999999997</v>
      </c>
      <c r="AV12" s="191">
        <f t="shared" si="45"/>
        <v>5.298</v>
      </c>
      <c r="AW12" s="191">
        <f t="shared" si="46"/>
        <v>6.5739999999999998</v>
      </c>
      <c r="AX12" s="191">
        <f t="shared" si="47"/>
        <v>12.318</v>
      </c>
      <c r="AY12" s="192">
        <f t="shared" si="48"/>
        <v>-18.869</v>
      </c>
      <c r="AZ12" s="191">
        <f t="shared" si="49"/>
        <v>-2.319</v>
      </c>
      <c r="BA12" s="191">
        <f t="shared" si="50"/>
        <v>-2.1779999999999999</v>
      </c>
      <c r="BB12" s="191">
        <f t="shared" si="51"/>
        <v>10.292</v>
      </c>
      <c r="BC12" s="192">
        <f t="shared" si="52"/>
        <v>-38.606000000000002</v>
      </c>
      <c r="BD12" s="191">
        <f t="shared" si="53"/>
        <v>-17.509</v>
      </c>
      <c r="BE12" s="191">
        <f t="shared" si="54"/>
        <v>-18.490000000000002</v>
      </c>
      <c r="BF12" s="191">
        <f t="shared" si="55"/>
        <v>24.883000000000003</v>
      </c>
      <c r="BG12" s="192">
        <f t="shared" si="56"/>
        <v>-49.308999999999983</v>
      </c>
      <c r="BH12" s="191">
        <f t="shared" si="57"/>
        <v>32.905999999999999</v>
      </c>
      <c r="BI12" s="191">
        <f t="shared" si="58"/>
        <v>-50.725999999999999</v>
      </c>
      <c r="BJ12" s="191">
        <f t="shared" si="59"/>
        <v>-34.395000000000003</v>
      </c>
      <c r="BK12" s="192">
        <f t="shared" si="60"/>
        <v>-74.673000000000002</v>
      </c>
      <c r="BL12" s="191">
        <f t="shared" si="61"/>
        <v>-21.878</v>
      </c>
      <c r="BM12" s="191">
        <f t="shared" si="62"/>
        <v>-25.061</v>
      </c>
      <c r="BN12" s="191">
        <f t="shared" si="63"/>
        <v>114.49400000000001</v>
      </c>
      <c r="BO12" s="195">
        <v>0</v>
      </c>
      <c r="BP12" s="194">
        <v>0</v>
      </c>
      <c r="BQ12" s="194">
        <v>0</v>
      </c>
      <c r="BR12" s="194">
        <v>0</v>
      </c>
      <c r="BS12" s="195">
        <v>0</v>
      </c>
      <c r="BT12" s="194">
        <v>0</v>
      </c>
      <c r="BU12" s="194">
        <v>0</v>
      </c>
      <c r="BV12" s="194">
        <v>0</v>
      </c>
      <c r="BW12" s="194">
        <v>0</v>
      </c>
      <c r="BX12" s="20"/>
      <c r="BY12" s="191">
        <f t="shared" si="66"/>
        <v>-17.100999999999999</v>
      </c>
      <c r="BZ12" s="191">
        <f t="shared" si="67"/>
        <v>-12.188000000000001</v>
      </c>
      <c r="CA12" s="191">
        <f t="shared" si="68"/>
        <v>16.869</v>
      </c>
      <c r="CB12" s="191">
        <f>SUM(P12:S12)</f>
        <v>17.515999999999998</v>
      </c>
      <c r="CC12" s="191">
        <f>SUM(T12:W12)</f>
        <v>9.0229999999999997</v>
      </c>
      <c r="CD12" s="191">
        <f>SUM(X12:AA12)</f>
        <v>8.9870000000000001</v>
      </c>
      <c r="CE12" s="191">
        <f>SUM(AB12:AE12)</f>
        <v>28.110999999999997</v>
      </c>
      <c r="CF12" s="191">
        <f>SUM(AF12:AI12)</f>
        <v>22.33</v>
      </c>
      <c r="CG12" s="193">
        <f>SUM(AJ12:AM12)</f>
        <v>24.003</v>
      </c>
      <c r="CH12" s="191">
        <f>SUM(AN12:AQ12)</f>
        <v>21.954000000000001</v>
      </c>
      <c r="CI12" s="193">
        <f>SUM(AR12:AU12)</f>
        <v>-28.367999999999995</v>
      </c>
      <c r="CJ12" s="193">
        <f>SUM(AV12:AY12)</f>
        <v>5.320999999999998</v>
      </c>
      <c r="CK12" s="191">
        <f>SUM(AZ12:BC12)</f>
        <v>-32.811</v>
      </c>
      <c r="CL12" s="191">
        <f t="shared" si="79"/>
        <v>-60.424999999999983</v>
      </c>
      <c r="CM12" s="191">
        <f t="shared" si="80"/>
        <v>-126.88800000000001</v>
      </c>
      <c r="CN12" s="191">
        <f t="shared" si="81"/>
        <v>67.555000000000007</v>
      </c>
      <c r="CO12" s="191">
        <f t="shared" si="82"/>
        <v>0</v>
      </c>
      <c r="CP12" s="192">
        <f t="shared" si="83"/>
        <v>0</v>
      </c>
      <c r="CQ12" s="20"/>
      <c r="CR12" s="193">
        <f t="shared" si="84"/>
        <v>-3.7889999999999997</v>
      </c>
      <c r="CS12" s="191">
        <f t="shared" si="85"/>
        <v>34.590999999999994</v>
      </c>
      <c r="CT12" s="191">
        <f t="shared" si="86"/>
        <v>19.477000000000004</v>
      </c>
      <c r="CU12" s="191">
        <f t="shared" si="87"/>
        <v>-12.060000000000006</v>
      </c>
      <c r="CV12" s="191">
        <f t="shared" si="88"/>
        <v>-9.7999999999998977E-2</v>
      </c>
      <c r="CW12" s="191">
        <f t="shared" si="89"/>
        <v>15.465</v>
      </c>
      <c r="CX12" s="191">
        <f t="shared" si="90"/>
        <v>40.745999999999995</v>
      </c>
      <c r="CY12" s="191">
        <f t="shared" si="91"/>
        <v>22.154999999999998</v>
      </c>
      <c r="CZ12" s="191">
        <f t="shared" si="92"/>
        <v>13.808</v>
      </c>
      <c r="DA12" s="191">
        <f t="shared" si="93"/>
        <v>4.788000000000002</v>
      </c>
      <c r="DB12" s="191">
        <f t="shared" si="94"/>
        <v>5.8030000000000026</v>
      </c>
      <c r="DC12" s="191">
        <f t="shared" si="95"/>
        <v>-13.074</v>
      </c>
      <c r="DD12" s="191">
        <f t="shared" si="96"/>
        <v>-49.722000000000001</v>
      </c>
      <c r="DE12" s="191">
        <f t="shared" si="97"/>
        <v>-101.524</v>
      </c>
      <c r="DF12" s="191">
        <f t="shared" si="98"/>
        <v>-7.1179999999999808</v>
      </c>
      <c r="DG12" s="191">
        <f t="shared" si="99"/>
        <v>0</v>
      </c>
      <c r="DH12" s="191">
        <f t="shared" ref="DH12:DH25" si="100">SUM(BS12:BV12)</f>
        <v>0</v>
      </c>
      <c r="DI12" s="22"/>
    </row>
    <row r="13" spans="1:113" ht="14.25" customHeight="1">
      <c r="A13" s="8"/>
      <c r="B13" s="49" t="str">
        <f t="shared" si="0"/>
        <v>Share-based compensation expense</v>
      </c>
      <c r="C13" s="50"/>
      <c r="D13" s="193">
        <f t="shared" si="1"/>
        <v>0</v>
      </c>
      <c r="E13" s="191">
        <f t="shared" si="2"/>
        <v>0</v>
      </c>
      <c r="F13" s="191">
        <f t="shared" si="3"/>
        <v>0</v>
      </c>
      <c r="G13" s="192">
        <f t="shared" si="4"/>
        <v>0</v>
      </c>
      <c r="H13" s="193">
        <f t="shared" si="5"/>
        <v>0</v>
      </c>
      <c r="I13" s="191">
        <f t="shared" si="6"/>
        <v>0</v>
      </c>
      <c r="J13" s="191">
        <f t="shared" si="7"/>
        <v>0</v>
      </c>
      <c r="K13" s="192">
        <f t="shared" si="8"/>
        <v>0</v>
      </c>
      <c r="L13" s="193">
        <f t="shared" si="9"/>
        <v>0</v>
      </c>
      <c r="M13" s="191">
        <f t="shared" si="10"/>
        <v>0</v>
      </c>
      <c r="N13" s="191">
        <f t="shared" si="11"/>
        <v>0</v>
      </c>
      <c r="O13" s="192">
        <f t="shared" si="12"/>
        <v>0</v>
      </c>
      <c r="P13" s="193">
        <f t="shared" si="13"/>
        <v>3.7999999999999999E-2</v>
      </c>
      <c r="Q13" s="191">
        <f t="shared" si="14"/>
        <v>4.7000000000000007E-2</v>
      </c>
      <c r="R13" s="191">
        <f t="shared" si="15"/>
        <v>0.191</v>
      </c>
      <c r="S13" s="192">
        <f t="shared" si="16"/>
        <v>0.30199999999999999</v>
      </c>
      <c r="T13" s="193">
        <f t="shared" si="17"/>
        <v>5.8049999999999997</v>
      </c>
      <c r="U13" s="191">
        <f t="shared" si="18"/>
        <v>6.168000000000001</v>
      </c>
      <c r="V13" s="191">
        <f t="shared" si="19"/>
        <v>7.7409999999999979</v>
      </c>
      <c r="W13" s="192">
        <f t="shared" si="20"/>
        <v>7.6650000000000045</v>
      </c>
      <c r="X13" s="193">
        <f t="shared" si="21"/>
        <v>8.0329999999999995</v>
      </c>
      <c r="Y13" s="191">
        <f t="shared" si="22"/>
        <v>7.7710000000000008</v>
      </c>
      <c r="Z13" s="191">
        <f t="shared" si="23"/>
        <v>8.3570000000000011</v>
      </c>
      <c r="AA13" s="192">
        <f t="shared" si="24"/>
        <v>8.6849999999999969</v>
      </c>
      <c r="AB13" s="193">
        <f t="shared" si="25"/>
        <v>7.6989999999999998</v>
      </c>
      <c r="AC13" s="191">
        <f t="shared" si="26"/>
        <v>8.4930000000000003</v>
      </c>
      <c r="AD13" s="191">
        <f t="shared" si="27"/>
        <v>8.1649999999999991</v>
      </c>
      <c r="AE13" s="192">
        <f t="shared" si="28"/>
        <v>8.1240000000000023</v>
      </c>
      <c r="AF13" s="193">
        <f t="shared" si="29"/>
        <v>8.9979999999999993</v>
      </c>
      <c r="AG13" s="191">
        <f t="shared" si="30"/>
        <v>9.5000000000000018</v>
      </c>
      <c r="AH13" s="191">
        <f t="shared" si="31"/>
        <v>8.8370000000000015</v>
      </c>
      <c r="AI13" s="192">
        <f t="shared" si="32"/>
        <v>9.4429999999999961</v>
      </c>
      <c r="AJ13" s="193">
        <f t="shared" si="33"/>
        <v>9.4510000000000005</v>
      </c>
      <c r="AK13" s="191">
        <f t="shared" si="34"/>
        <v>8.9250000000000007</v>
      </c>
      <c r="AL13" s="191">
        <f t="shared" si="35"/>
        <v>9.4089999999999989</v>
      </c>
      <c r="AM13" s="192">
        <f t="shared" si="36"/>
        <v>9.0269999999999975</v>
      </c>
      <c r="AN13" s="191">
        <f t="shared" si="37"/>
        <v>9.0239999999999991</v>
      </c>
      <c r="AO13" s="191">
        <f t="shared" si="38"/>
        <v>9.484</v>
      </c>
      <c r="AP13" s="191">
        <f t="shared" si="39"/>
        <v>9.961999999999998</v>
      </c>
      <c r="AQ13" s="192">
        <f t="shared" si="40"/>
        <v>9.8190000000000044</v>
      </c>
      <c r="AR13" s="191">
        <f t="shared" si="41"/>
        <v>9.9860000000000007</v>
      </c>
      <c r="AS13" s="191">
        <f t="shared" si="42"/>
        <v>14.606999999999999</v>
      </c>
      <c r="AT13" s="191">
        <f t="shared" si="43"/>
        <v>14.120000000000001</v>
      </c>
      <c r="AU13" s="192">
        <f t="shared" si="44"/>
        <v>13.355999999999998</v>
      </c>
      <c r="AV13" s="191">
        <f t="shared" si="45"/>
        <v>12.656000000000001</v>
      </c>
      <c r="AW13" s="191">
        <f t="shared" si="46"/>
        <v>14.999999999999998</v>
      </c>
      <c r="AX13" s="191">
        <f t="shared" si="47"/>
        <v>13.718999999999999</v>
      </c>
      <c r="AY13" s="192">
        <f t="shared" si="48"/>
        <v>12.411999999999997</v>
      </c>
      <c r="AZ13" s="191">
        <f t="shared" si="49"/>
        <v>13.321</v>
      </c>
      <c r="BA13" s="191">
        <f t="shared" si="50"/>
        <v>15.273000000000001</v>
      </c>
      <c r="BB13" s="191">
        <f t="shared" si="51"/>
        <v>14.818999999999994</v>
      </c>
      <c r="BC13" s="192">
        <f t="shared" si="52"/>
        <v>15.182999999999998</v>
      </c>
      <c r="BD13" s="191">
        <f t="shared" si="53"/>
        <v>13.849</v>
      </c>
      <c r="BE13" s="191">
        <f t="shared" si="54"/>
        <v>23.288999999999998</v>
      </c>
      <c r="BF13" s="191">
        <f t="shared" si="55"/>
        <v>16.965000000000003</v>
      </c>
      <c r="BG13" s="192">
        <f t="shared" si="56"/>
        <v>17.317</v>
      </c>
      <c r="BH13" s="191">
        <f t="shared" si="57"/>
        <v>59.579000000000001</v>
      </c>
      <c r="BI13" s="191">
        <f t="shared" si="58"/>
        <v>24.389999999999993</v>
      </c>
      <c r="BJ13" s="191">
        <f t="shared" si="59"/>
        <v>22.120000000000012</v>
      </c>
      <c r="BK13" s="192">
        <f t="shared" si="60"/>
        <v>22.06600000000001</v>
      </c>
      <c r="BL13" s="191">
        <f t="shared" si="61"/>
        <v>22.408000000000001</v>
      </c>
      <c r="BM13" s="191">
        <f t="shared" si="62"/>
        <v>23.61</v>
      </c>
      <c r="BN13" s="191">
        <f t="shared" si="63"/>
        <v>24.003</v>
      </c>
      <c r="BO13" s="733">
        <f>+IS!BO119</f>
        <v>24.003</v>
      </c>
      <c r="BP13" s="732">
        <f>+IS!BP119</f>
        <v>24.003</v>
      </c>
      <c r="BQ13" s="732">
        <f>+IS!BQ119</f>
        <v>24.003</v>
      </c>
      <c r="BR13" s="732">
        <f>+IS!BR119</f>
        <v>24.003</v>
      </c>
      <c r="BS13" s="733">
        <f>+IS!BS119</f>
        <v>24.003</v>
      </c>
      <c r="BT13" s="732">
        <f>+IS!BT119</f>
        <v>24.003</v>
      </c>
      <c r="BU13" s="732">
        <f>+IS!BU119</f>
        <v>24.003</v>
      </c>
      <c r="BV13" s="732">
        <f>+IS!BV119</f>
        <v>24.003</v>
      </c>
      <c r="BW13" s="732">
        <f>+IS!BW119</f>
        <v>24.003</v>
      </c>
      <c r="BX13" s="20"/>
      <c r="BY13" s="191">
        <f t="shared" si="66"/>
        <v>0</v>
      </c>
      <c r="BZ13" s="191">
        <f t="shared" si="67"/>
        <v>0</v>
      </c>
      <c r="CA13" s="191">
        <f t="shared" si="68"/>
        <v>0</v>
      </c>
      <c r="CB13" s="191">
        <f>SUM(P13:S13)</f>
        <v>0.57800000000000007</v>
      </c>
      <c r="CC13" s="191">
        <f>SUM(T13:W13)</f>
        <v>27.379000000000005</v>
      </c>
      <c r="CD13" s="191">
        <f>SUM(X13:AA13)</f>
        <v>32.845999999999997</v>
      </c>
      <c r="CE13" s="191">
        <f>SUM(AB13:AE13)</f>
        <v>32.481000000000002</v>
      </c>
      <c r="CF13" s="191">
        <f>SUM(AF13:AI13)</f>
        <v>36.777999999999999</v>
      </c>
      <c r="CG13" s="193">
        <f>SUM(AJ13:AM13)</f>
        <v>36.811999999999998</v>
      </c>
      <c r="CH13" s="191">
        <f>SUM(AN13:AQ13)</f>
        <v>38.289000000000001</v>
      </c>
      <c r="CI13" s="193">
        <f>SUM(AR13:AU13)</f>
        <v>52.069000000000003</v>
      </c>
      <c r="CJ13" s="193">
        <f>SUM(AV13:AY13)</f>
        <v>53.786999999999999</v>
      </c>
      <c r="CK13" s="191">
        <f>SUM(AZ13:BC13)</f>
        <v>58.595999999999997</v>
      </c>
      <c r="CL13" s="191">
        <f t="shared" si="79"/>
        <v>71.42</v>
      </c>
      <c r="CM13" s="191">
        <f t="shared" si="80"/>
        <v>128.155</v>
      </c>
      <c r="CN13" s="191">
        <f t="shared" si="81"/>
        <v>94.024000000000001</v>
      </c>
      <c r="CO13" s="191">
        <f t="shared" si="82"/>
        <v>96.012</v>
      </c>
      <c r="CP13" s="192">
        <f t="shared" si="83"/>
        <v>96.012</v>
      </c>
      <c r="CQ13" s="20"/>
      <c r="CR13" s="193">
        <f t="shared" si="84"/>
        <v>0</v>
      </c>
      <c r="CS13" s="191">
        <f t="shared" si="85"/>
        <v>0</v>
      </c>
      <c r="CT13" s="191">
        <f t="shared" si="86"/>
        <v>0.27600000000000002</v>
      </c>
      <c r="CU13" s="191">
        <f t="shared" si="87"/>
        <v>20.015999999999998</v>
      </c>
      <c r="CV13" s="191">
        <f t="shared" si="88"/>
        <v>31.826000000000008</v>
      </c>
      <c r="CW13" s="191">
        <f t="shared" si="89"/>
        <v>33.041999999999994</v>
      </c>
      <c r="CX13" s="191">
        <f t="shared" si="90"/>
        <v>35.459000000000003</v>
      </c>
      <c r="CY13" s="191">
        <f t="shared" si="91"/>
        <v>37.227999999999994</v>
      </c>
      <c r="CZ13" s="191">
        <f t="shared" si="92"/>
        <v>37.496999999999993</v>
      </c>
      <c r="DA13" s="191">
        <f t="shared" si="93"/>
        <v>48.532000000000011</v>
      </c>
      <c r="DB13" s="191">
        <f t="shared" si="94"/>
        <v>54.731000000000002</v>
      </c>
      <c r="DC13" s="191">
        <f t="shared" si="95"/>
        <v>55.824999999999996</v>
      </c>
      <c r="DD13" s="191">
        <f t="shared" si="96"/>
        <v>69.286000000000001</v>
      </c>
      <c r="DE13" s="191">
        <f t="shared" si="97"/>
        <v>123.40600000000001</v>
      </c>
      <c r="DF13" s="191">
        <f t="shared" si="98"/>
        <v>92.087000000000003</v>
      </c>
      <c r="DG13" s="191">
        <f t="shared" si="99"/>
        <v>96.012</v>
      </c>
      <c r="DH13" s="191">
        <f t="shared" si="100"/>
        <v>96.012</v>
      </c>
      <c r="DI13" s="22"/>
    </row>
    <row r="14" spans="1:113" ht="14.25" customHeight="1">
      <c r="A14" s="8"/>
      <c r="B14" s="49" t="str">
        <f t="shared" si="0"/>
        <v>Excess tax benefit from share-based compensation</v>
      </c>
      <c r="C14" s="50"/>
      <c r="D14" s="193">
        <f t="shared" si="1"/>
        <v>0</v>
      </c>
      <c r="E14" s="191">
        <f t="shared" si="2"/>
        <v>0</v>
      </c>
      <c r="F14" s="191">
        <f t="shared" si="3"/>
        <v>0</v>
      </c>
      <c r="G14" s="192">
        <f t="shared" si="4"/>
        <v>0</v>
      </c>
      <c r="H14" s="193">
        <f t="shared" si="5"/>
        <v>0</v>
      </c>
      <c r="I14" s="191">
        <f t="shared" si="6"/>
        <v>0</v>
      </c>
      <c r="J14" s="191">
        <f t="shared" si="7"/>
        <v>0</v>
      </c>
      <c r="K14" s="192">
        <f t="shared" si="8"/>
        <v>0</v>
      </c>
      <c r="L14" s="193">
        <f t="shared" si="9"/>
        <v>0</v>
      </c>
      <c r="M14" s="191">
        <f t="shared" si="10"/>
        <v>0</v>
      </c>
      <c r="N14" s="191">
        <f t="shared" si="11"/>
        <v>0</v>
      </c>
      <c r="O14" s="192">
        <f t="shared" si="12"/>
        <v>0</v>
      </c>
      <c r="P14" s="193">
        <f t="shared" si="13"/>
        <v>0</v>
      </c>
      <c r="Q14" s="191">
        <f t="shared" si="14"/>
        <v>0</v>
      </c>
      <c r="R14" s="191">
        <f t="shared" si="15"/>
        <v>0</v>
      </c>
      <c r="S14" s="192">
        <f t="shared" si="16"/>
        <v>0</v>
      </c>
      <c r="T14" s="193">
        <f t="shared" si="17"/>
        <v>-7.1139999999999999</v>
      </c>
      <c r="U14" s="191">
        <f t="shared" si="18"/>
        <v>-4.1360000000000001</v>
      </c>
      <c r="V14" s="191">
        <f t="shared" si="19"/>
        <v>-3.3980000000000006</v>
      </c>
      <c r="W14" s="192">
        <f t="shared" si="20"/>
        <v>-8.14</v>
      </c>
      <c r="X14" s="193">
        <f t="shared" si="21"/>
        <v>-8.6739999999999995</v>
      </c>
      <c r="Y14" s="191">
        <f t="shared" si="22"/>
        <v>-5.0630000000000006</v>
      </c>
      <c r="Z14" s="191">
        <f t="shared" si="23"/>
        <v>-3.0739999999999998</v>
      </c>
      <c r="AA14" s="192">
        <f t="shared" si="24"/>
        <v>-4.3729999999999993</v>
      </c>
      <c r="AB14" s="193">
        <f t="shared" si="25"/>
        <v>-5.1779999999999999</v>
      </c>
      <c r="AC14" s="191">
        <f t="shared" si="26"/>
        <v>-3.3769999999999998</v>
      </c>
      <c r="AD14" s="191">
        <f t="shared" si="27"/>
        <v>-1.8979999999999997</v>
      </c>
      <c r="AE14" s="192">
        <f t="shared" si="28"/>
        <v>3.6549999999999994</v>
      </c>
      <c r="AF14" s="193">
        <f t="shared" si="29"/>
        <v>0</v>
      </c>
      <c r="AG14" s="191">
        <f t="shared" si="30"/>
        <v>-0.70899999999999996</v>
      </c>
      <c r="AH14" s="191">
        <f t="shared" si="31"/>
        <v>-1.3409999999999997</v>
      </c>
      <c r="AI14" s="192">
        <f t="shared" si="32"/>
        <v>-4.400000000000015E-2</v>
      </c>
      <c r="AJ14" s="193">
        <f t="shared" si="33"/>
        <v>0</v>
      </c>
      <c r="AK14" s="191">
        <f t="shared" si="34"/>
        <v>0</v>
      </c>
      <c r="AL14" s="191">
        <f t="shared" si="35"/>
        <v>-1.24</v>
      </c>
      <c r="AM14" s="192">
        <f t="shared" si="36"/>
        <v>-0.6140000000000001</v>
      </c>
      <c r="AN14" s="191">
        <f t="shared" si="37"/>
        <v>-0.38500000000000001</v>
      </c>
      <c r="AO14" s="191">
        <f t="shared" si="38"/>
        <v>-1.7000000000000015E-2</v>
      </c>
      <c r="AP14" s="191">
        <f t="shared" si="39"/>
        <v>-3.8999999999999979E-2</v>
      </c>
      <c r="AQ14" s="192">
        <f t="shared" si="40"/>
        <v>-0.1349999999999999</v>
      </c>
      <c r="AR14" s="191">
        <f t="shared" si="41"/>
        <v>-0.02</v>
      </c>
      <c r="AS14" s="191">
        <f t="shared" si="42"/>
        <v>-9.1999999999999998E-2</v>
      </c>
      <c r="AT14" s="191">
        <f t="shared" si="43"/>
        <v>-4.1999999999999996E-2</v>
      </c>
      <c r="AU14" s="192">
        <f t="shared" si="44"/>
        <v>-0.14300000000000002</v>
      </c>
      <c r="AV14" s="191">
        <f t="shared" si="45"/>
        <v>0</v>
      </c>
      <c r="AW14" s="191">
        <f t="shared" si="46"/>
        <v>0</v>
      </c>
      <c r="AX14" s="191">
        <f t="shared" si="47"/>
        <v>0</v>
      </c>
      <c r="AY14" s="192">
        <f t="shared" si="48"/>
        <v>-1.411</v>
      </c>
      <c r="AZ14" s="191">
        <f t="shared" si="49"/>
        <v>0</v>
      </c>
      <c r="BA14" s="191">
        <f t="shared" si="50"/>
        <v>-0.98199999999999998</v>
      </c>
      <c r="BB14" s="191">
        <f t="shared" si="51"/>
        <v>-0.1180000000000001</v>
      </c>
      <c r="BC14" s="192">
        <f t="shared" si="52"/>
        <v>-0.11599999999999988</v>
      </c>
      <c r="BD14" s="191">
        <f t="shared" si="53"/>
        <v>0</v>
      </c>
      <c r="BE14" s="191">
        <f t="shared" si="54"/>
        <v>-0.40699999999999997</v>
      </c>
      <c r="BF14" s="191">
        <f t="shared" si="55"/>
        <v>-0.32800000000000001</v>
      </c>
      <c r="BG14" s="192">
        <f t="shared" si="56"/>
        <v>-2.300000000000002E-2</v>
      </c>
      <c r="BH14" s="191">
        <f t="shared" si="57"/>
        <v>0</v>
      </c>
      <c r="BI14" s="191">
        <f t="shared" si="58"/>
        <v>0</v>
      </c>
      <c r="BJ14" s="191">
        <f t="shared" si="59"/>
        <v>0</v>
      </c>
      <c r="BK14" s="192">
        <f t="shared" si="60"/>
        <v>0</v>
      </c>
      <c r="BL14" s="191">
        <f t="shared" si="61"/>
        <v>0</v>
      </c>
      <c r="BM14" s="191">
        <f t="shared" si="62"/>
        <v>0</v>
      </c>
      <c r="BN14" s="191">
        <f t="shared" si="63"/>
        <v>0</v>
      </c>
      <c r="BO14" s="195">
        <v>0</v>
      </c>
      <c r="BP14" s="194">
        <v>0</v>
      </c>
      <c r="BQ14" s="194">
        <v>0</v>
      </c>
      <c r="BR14" s="194">
        <v>0</v>
      </c>
      <c r="BS14" s="195">
        <v>0</v>
      </c>
      <c r="BT14" s="194">
        <v>0</v>
      </c>
      <c r="BU14" s="194">
        <v>0</v>
      </c>
      <c r="BV14" s="194">
        <v>0</v>
      </c>
      <c r="BW14" s="194">
        <v>0</v>
      </c>
      <c r="BX14" s="20"/>
      <c r="BY14" s="191">
        <f t="shared" si="66"/>
        <v>0</v>
      </c>
      <c r="BZ14" s="191">
        <f t="shared" si="67"/>
        <v>0</v>
      </c>
      <c r="CA14" s="191">
        <f t="shared" si="68"/>
        <v>0</v>
      </c>
      <c r="CB14" s="191">
        <f t="shared" si="69"/>
        <v>0</v>
      </c>
      <c r="CC14" s="191">
        <f t="shared" si="70"/>
        <v>-22.788</v>
      </c>
      <c r="CD14" s="191">
        <f t="shared" si="71"/>
        <v>-21.183999999999997</v>
      </c>
      <c r="CE14" s="191">
        <f t="shared" si="72"/>
        <v>-6.798</v>
      </c>
      <c r="CF14" s="191">
        <f t="shared" si="73"/>
        <v>-2.0939999999999999</v>
      </c>
      <c r="CG14" s="193">
        <f t="shared" si="74"/>
        <v>-1.8540000000000001</v>
      </c>
      <c r="CH14" s="191">
        <f t="shared" si="75"/>
        <v>-0.57599999999999985</v>
      </c>
      <c r="CI14" s="193">
        <f t="shared" si="76"/>
        <v>-0.29700000000000004</v>
      </c>
      <c r="CJ14" s="193">
        <f t="shared" si="77"/>
        <v>-1.411</v>
      </c>
      <c r="CK14" s="191">
        <f t="shared" si="78"/>
        <v>-1.216</v>
      </c>
      <c r="CL14" s="191">
        <f t="shared" si="79"/>
        <v>-0.75800000000000001</v>
      </c>
      <c r="CM14" s="191">
        <f t="shared" si="80"/>
        <v>0</v>
      </c>
      <c r="CN14" s="191">
        <f t="shared" si="81"/>
        <v>0</v>
      </c>
      <c r="CO14" s="191">
        <f t="shared" si="82"/>
        <v>0</v>
      </c>
      <c r="CP14" s="192">
        <f t="shared" si="83"/>
        <v>0</v>
      </c>
      <c r="CQ14" s="20"/>
      <c r="CR14" s="193">
        <f t="shared" si="84"/>
        <v>0</v>
      </c>
      <c r="CS14" s="191">
        <f t="shared" si="85"/>
        <v>0</v>
      </c>
      <c r="CT14" s="191">
        <f t="shared" si="86"/>
        <v>0</v>
      </c>
      <c r="CU14" s="191">
        <f t="shared" si="87"/>
        <v>-14.648</v>
      </c>
      <c r="CV14" s="191">
        <f t="shared" si="88"/>
        <v>-24.951000000000001</v>
      </c>
      <c r="CW14" s="191">
        <f t="shared" si="89"/>
        <v>-14.825999999999997</v>
      </c>
      <c r="CX14" s="191">
        <f t="shared" si="90"/>
        <v>1.6049999999999995</v>
      </c>
      <c r="CY14" s="191">
        <f t="shared" si="91"/>
        <v>-1.2840000000000003</v>
      </c>
      <c r="CZ14" s="191">
        <f t="shared" si="92"/>
        <v>-1.0549999999999999</v>
      </c>
      <c r="DA14" s="191">
        <f t="shared" si="93"/>
        <v>-0.28899999999999987</v>
      </c>
      <c r="DB14" s="191">
        <f t="shared" si="94"/>
        <v>-0.14300000000000002</v>
      </c>
      <c r="DC14" s="191">
        <f t="shared" si="95"/>
        <v>-2.5110000000000001</v>
      </c>
      <c r="DD14" s="191">
        <f t="shared" si="96"/>
        <v>-0.85099999999999998</v>
      </c>
      <c r="DE14" s="191">
        <f t="shared" si="97"/>
        <v>-2.300000000000002E-2</v>
      </c>
      <c r="DF14" s="191">
        <f t="shared" si="98"/>
        <v>0</v>
      </c>
      <c r="DG14" s="191">
        <f t="shared" si="99"/>
        <v>0</v>
      </c>
      <c r="DH14" s="191">
        <f t="shared" si="100"/>
        <v>0</v>
      </c>
      <c r="DI14" s="22"/>
    </row>
    <row r="15" spans="1:113" ht="14.25" customHeight="1">
      <c r="A15" s="8"/>
      <c r="B15" s="49" t="str">
        <f t="shared" ref="B15:B26" si="101">B110</f>
        <v>Amortization of convertible debenture - others</v>
      </c>
      <c r="C15" s="50"/>
      <c r="D15" s="193">
        <f t="shared" si="1"/>
        <v>0</v>
      </c>
      <c r="E15" s="191">
        <f t="shared" si="2"/>
        <v>0</v>
      </c>
      <c r="F15" s="191">
        <f t="shared" si="3"/>
        <v>0</v>
      </c>
      <c r="G15" s="192">
        <f t="shared" si="4"/>
        <v>0</v>
      </c>
      <c r="H15" s="193">
        <f t="shared" si="5"/>
        <v>0</v>
      </c>
      <c r="I15" s="191">
        <f t="shared" si="6"/>
        <v>0</v>
      </c>
      <c r="J15" s="191">
        <f t="shared" si="7"/>
        <v>0</v>
      </c>
      <c r="K15" s="192">
        <f t="shared" si="8"/>
        <v>0</v>
      </c>
      <c r="L15" s="193">
        <f t="shared" si="9"/>
        <v>0</v>
      </c>
      <c r="M15" s="191">
        <f t="shared" si="10"/>
        <v>0</v>
      </c>
      <c r="N15" s="191">
        <f t="shared" si="11"/>
        <v>0</v>
      </c>
      <c r="O15" s="192">
        <f t="shared" si="12"/>
        <v>0</v>
      </c>
      <c r="P15" s="193">
        <f t="shared" si="13"/>
        <v>0</v>
      </c>
      <c r="Q15" s="191">
        <f t="shared" si="14"/>
        <v>0</v>
      </c>
      <c r="R15" s="191">
        <f t="shared" si="15"/>
        <v>0</v>
      </c>
      <c r="S15" s="192">
        <f t="shared" si="16"/>
        <v>0</v>
      </c>
      <c r="T15" s="193">
        <f t="shared" si="17"/>
        <v>0</v>
      </c>
      <c r="U15" s="191">
        <f t="shared" si="18"/>
        <v>0</v>
      </c>
      <c r="V15" s="191">
        <f t="shared" si="19"/>
        <v>0</v>
      </c>
      <c r="W15" s="192">
        <f t="shared" si="20"/>
        <v>0</v>
      </c>
      <c r="X15" s="193">
        <f t="shared" si="21"/>
        <v>0</v>
      </c>
      <c r="Y15" s="191">
        <f t="shared" si="22"/>
        <v>0</v>
      </c>
      <c r="Z15" s="191">
        <f t="shared" si="23"/>
        <v>0</v>
      </c>
      <c r="AA15" s="192">
        <f t="shared" si="24"/>
        <v>0.19600000000000001</v>
      </c>
      <c r="AB15" s="193">
        <f t="shared" si="25"/>
        <v>0.29100000000000004</v>
      </c>
      <c r="AC15" s="191">
        <f t="shared" si="26"/>
        <v>-0.53200000000000003</v>
      </c>
      <c r="AD15" s="191">
        <f t="shared" si="27"/>
        <v>-0.33700000000000008</v>
      </c>
      <c r="AE15" s="192">
        <f t="shared" si="28"/>
        <v>5.0199999999999996</v>
      </c>
      <c r="AF15" s="193">
        <f t="shared" si="29"/>
        <v>1.508</v>
      </c>
      <c r="AG15" s="191">
        <f t="shared" si="30"/>
        <v>1.9580000000000002</v>
      </c>
      <c r="AH15" s="191">
        <f t="shared" si="31"/>
        <v>1.6520000000000001</v>
      </c>
      <c r="AI15" s="192">
        <f t="shared" si="32"/>
        <v>1.585</v>
      </c>
      <c r="AJ15" s="193">
        <f t="shared" si="33"/>
        <v>1.6059999999999999</v>
      </c>
      <c r="AK15" s="191">
        <f t="shared" si="34"/>
        <v>1.9169999999999998</v>
      </c>
      <c r="AL15" s="191">
        <f t="shared" si="35"/>
        <v>1.5510000000000002</v>
      </c>
      <c r="AM15" s="192">
        <f t="shared" si="36"/>
        <v>1.8070000000000004</v>
      </c>
      <c r="AN15" s="191">
        <f t="shared" si="37"/>
        <v>1.8299999999999998</v>
      </c>
      <c r="AO15" s="191">
        <f t="shared" si="38"/>
        <v>2.3170000000000002</v>
      </c>
      <c r="AP15" s="191">
        <f t="shared" si="39"/>
        <v>2.0249999999999995</v>
      </c>
      <c r="AQ15" s="192">
        <f t="shared" si="40"/>
        <v>1.7630000000000001</v>
      </c>
      <c r="AR15" s="191">
        <f t="shared" si="41"/>
        <v>2.359</v>
      </c>
      <c r="AS15" s="191">
        <f t="shared" si="42"/>
        <v>2.3559999999999999</v>
      </c>
      <c r="AT15" s="191">
        <f t="shared" si="43"/>
        <v>1.8079999999999998</v>
      </c>
      <c r="AU15" s="192">
        <f t="shared" si="44"/>
        <v>2.0289999999999999</v>
      </c>
      <c r="AV15" s="191">
        <f t="shared" si="45"/>
        <v>2.504</v>
      </c>
      <c r="AW15" s="191">
        <f t="shared" si="46"/>
        <v>2.5159999999999996</v>
      </c>
      <c r="AX15" s="191">
        <f t="shared" si="47"/>
        <v>2.6290000000000009</v>
      </c>
      <c r="AY15" s="192">
        <f t="shared" si="48"/>
        <v>2.7979999999999996</v>
      </c>
      <c r="AZ15" s="191">
        <f t="shared" si="49"/>
        <v>2.8980000000000001</v>
      </c>
      <c r="BA15" s="191">
        <f t="shared" si="50"/>
        <v>3.0459999999999998</v>
      </c>
      <c r="BB15" s="191">
        <f t="shared" si="51"/>
        <v>3.0780000000000007</v>
      </c>
      <c r="BC15" s="192">
        <f t="shared" si="52"/>
        <v>58.888999999999996</v>
      </c>
      <c r="BD15" s="191">
        <f t="shared" si="53"/>
        <v>12.73</v>
      </c>
      <c r="BE15" s="191">
        <f t="shared" si="54"/>
        <v>12.935999999999996</v>
      </c>
      <c r="BF15" s="191">
        <f t="shared" si="55"/>
        <v>20.388999999999999</v>
      </c>
      <c r="BG15" s="192">
        <f t="shared" si="56"/>
        <v>14.978999999999999</v>
      </c>
      <c r="BH15" s="191">
        <f t="shared" si="57"/>
        <v>13.163</v>
      </c>
      <c r="BI15" s="191">
        <f t="shared" si="58"/>
        <v>11.25</v>
      </c>
      <c r="BJ15" s="191">
        <f t="shared" si="59"/>
        <v>15.675999999999998</v>
      </c>
      <c r="BK15" s="192">
        <f t="shared" si="60"/>
        <v>20.528000000000002</v>
      </c>
      <c r="BL15" s="191">
        <f t="shared" si="61"/>
        <v>27.573999999999998</v>
      </c>
      <c r="BM15" s="191">
        <f t="shared" si="62"/>
        <v>24.731999999999999</v>
      </c>
      <c r="BN15" s="191">
        <f t="shared" si="63"/>
        <v>31.662999999999997</v>
      </c>
      <c r="BO15" s="733">
        <v>0</v>
      </c>
      <c r="BP15" s="732">
        <v>0</v>
      </c>
      <c r="BQ15" s="732">
        <v>0</v>
      </c>
      <c r="BR15" s="732">
        <v>0</v>
      </c>
      <c r="BS15" s="733">
        <v>0</v>
      </c>
      <c r="BT15" s="732">
        <v>0</v>
      </c>
      <c r="BU15" s="732">
        <v>0</v>
      </c>
      <c r="BV15" s="732">
        <v>0</v>
      </c>
      <c r="BW15" s="733">
        <v>0</v>
      </c>
      <c r="BX15" s="20"/>
      <c r="BY15" s="191">
        <f t="shared" si="66"/>
        <v>0</v>
      </c>
      <c r="BZ15" s="191">
        <f t="shared" si="67"/>
        <v>0</v>
      </c>
      <c r="CA15" s="191">
        <f t="shared" si="68"/>
        <v>0</v>
      </c>
      <c r="CB15" s="191">
        <f>SUM(P15:S15)</f>
        <v>0</v>
      </c>
      <c r="CC15" s="191">
        <f>SUM(T15:W15)</f>
        <v>0</v>
      </c>
      <c r="CD15" s="191">
        <f>SUM(X15:AA15)</f>
        <v>0.19600000000000001</v>
      </c>
      <c r="CE15" s="191">
        <f>SUM(AB15:AE15)</f>
        <v>4.4419999999999993</v>
      </c>
      <c r="CF15" s="191">
        <f>SUM(AF15:AI15)</f>
        <v>6.7030000000000003</v>
      </c>
      <c r="CG15" s="193">
        <f>SUM(AJ15:AM15)</f>
        <v>6.8810000000000002</v>
      </c>
      <c r="CH15" s="191">
        <f>SUM(AN15:AQ15)</f>
        <v>7.9349999999999996</v>
      </c>
      <c r="CI15" s="193">
        <f>SUM(AR15:AU15)</f>
        <v>8.5519999999999996</v>
      </c>
      <c r="CJ15" s="193">
        <f>SUM(AV15:AY15)</f>
        <v>10.447000000000001</v>
      </c>
      <c r="CK15" s="191">
        <f>SUM(AZ15:BC15)</f>
        <v>67.911000000000001</v>
      </c>
      <c r="CL15" s="191">
        <f t="shared" si="79"/>
        <v>61.033999999999992</v>
      </c>
      <c r="CM15" s="191">
        <f t="shared" si="80"/>
        <v>60.617000000000004</v>
      </c>
      <c r="CN15" s="191">
        <f t="shared" si="81"/>
        <v>83.968999999999994</v>
      </c>
      <c r="CO15" s="191">
        <f t="shared" si="82"/>
        <v>0</v>
      </c>
      <c r="CP15" s="192">
        <f t="shared" si="83"/>
        <v>0</v>
      </c>
      <c r="CQ15" s="20"/>
      <c r="CR15" s="193">
        <f t="shared" si="84"/>
        <v>0</v>
      </c>
      <c r="CS15" s="191">
        <f t="shared" si="85"/>
        <v>0</v>
      </c>
      <c r="CT15" s="191">
        <f t="shared" si="86"/>
        <v>0</v>
      </c>
      <c r="CU15" s="191">
        <f t="shared" si="87"/>
        <v>0</v>
      </c>
      <c r="CV15" s="191">
        <f t="shared" si="88"/>
        <v>0</v>
      </c>
      <c r="CW15" s="191">
        <f t="shared" si="89"/>
        <v>-0.38200000000000006</v>
      </c>
      <c r="CX15" s="191">
        <f t="shared" si="90"/>
        <v>10.138000000000002</v>
      </c>
      <c r="CY15" s="191">
        <f t="shared" si="91"/>
        <v>6.6589999999999998</v>
      </c>
      <c r="CZ15" s="191">
        <f t="shared" si="92"/>
        <v>7.9790000000000001</v>
      </c>
      <c r="DA15" s="191">
        <f t="shared" si="93"/>
        <v>8.2859999999999996</v>
      </c>
      <c r="DB15" s="191">
        <f t="shared" si="94"/>
        <v>9.6780000000000008</v>
      </c>
      <c r="DC15" s="191">
        <f t="shared" si="95"/>
        <v>11.82</v>
      </c>
      <c r="DD15" s="191">
        <f t="shared" si="96"/>
        <v>104.94399999999999</v>
      </c>
      <c r="DE15" s="191">
        <f t="shared" si="97"/>
        <v>55.067999999999998</v>
      </c>
      <c r="DF15" s="191">
        <f t="shared" si="98"/>
        <v>104.497</v>
      </c>
      <c r="DG15" s="191">
        <f t="shared" si="99"/>
        <v>0</v>
      </c>
      <c r="DH15" s="191">
        <f t="shared" si="100"/>
        <v>0</v>
      </c>
      <c r="DI15" s="22"/>
    </row>
    <row r="16" spans="1:113" ht="14.25" customHeight="1">
      <c r="A16" s="8"/>
      <c r="B16" s="49" t="str">
        <f t="shared" si="101"/>
        <v>Losses on equity method investments</v>
      </c>
      <c r="C16" s="50"/>
      <c r="D16" s="193">
        <f t="shared" si="1"/>
        <v>8.8610000000000007</v>
      </c>
      <c r="E16" s="191">
        <f t="shared" si="2"/>
        <v>3.8579999999999988</v>
      </c>
      <c r="F16" s="191">
        <f t="shared" si="3"/>
        <v>4.6980000000000022</v>
      </c>
      <c r="G16" s="192">
        <f t="shared" si="4"/>
        <v>0.53399999999999892</v>
      </c>
      <c r="H16" s="193">
        <f t="shared" si="5"/>
        <v>3.3929999999999998</v>
      </c>
      <c r="I16" s="191">
        <f t="shared" si="6"/>
        <v>7.7649999999999997</v>
      </c>
      <c r="J16" s="191">
        <f t="shared" si="7"/>
        <v>14.890999999999998</v>
      </c>
      <c r="K16" s="192">
        <f t="shared" si="8"/>
        <v>11.590000000000003</v>
      </c>
      <c r="L16" s="193">
        <f t="shared" si="9"/>
        <v>6.3849999999999998</v>
      </c>
      <c r="M16" s="191">
        <f t="shared" si="10"/>
        <v>2.66</v>
      </c>
      <c r="N16" s="191">
        <f t="shared" si="11"/>
        <v>5.3659999999999997</v>
      </c>
      <c r="O16" s="192">
        <f t="shared" si="12"/>
        <v>0.88499999999999979</v>
      </c>
      <c r="P16" s="193">
        <f t="shared" si="13"/>
        <v>5.3849999999999998</v>
      </c>
      <c r="Q16" s="191">
        <f t="shared" si="14"/>
        <v>3.902000000000001</v>
      </c>
      <c r="R16" s="191">
        <f t="shared" si="15"/>
        <v>8.363999999999999</v>
      </c>
      <c r="S16" s="192">
        <f t="shared" si="16"/>
        <v>11.725999999999997</v>
      </c>
      <c r="T16" s="193">
        <f t="shared" si="17"/>
        <v>7.117</v>
      </c>
      <c r="U16" s="191">
        <f t="shared" si="18"/>
        <v>4.1380000000000008</v>
      </c>
      <c r="V16" s="191">
        <f t="shared" si="19"/>
        <v>3.4040000000000008</v>
      </c>
      <c r="W16" s="192">
        <f t="shared" si="20"/>
        <v>8.2029999999999959</v>
      </c>
      <c r="X16" s="193">
        <f t="shared" si="21"/>
        <v>8.7669999999999995</v>
      </c>
      <c r="Y16" s="191">
        <f t="shared" si="22"/>
        <v>5.4930000000000003</v>
      </c>
      <c r="Z16" s="191">
        <f t="shared" si="23"/>
        <v>3.7870000000000008</v>
      </c>
      <c r="AA16" s="192">
        <f t="shared" si="24"/>
        <v>3.8670000000000027</v>
      </c>
      <c r="AB16" s="193">
        <f t="shared" si="25"/>
        <v>5.9279999999999999</v>
      </c>
      <c r="AC16" s="191">
        <f t="shared" si="26"/>
        <v>3.4219999999999997</v>
      </c>
      <c r="AD16" s="191">
        <f t="shared" si="27"/>
        <v>1.8890000000000011</v>
      </c>
      <c r="AE16" s="192">
        <f t="shared" si="28"/>
        <v>-11.239000000000001</v>
      </c>
      <c r="AF16" s="193">
        <f t="shared" si="29"/>
        <v>0</v>
      </c>
      <c r="AG16" s="191">
        <f t="shared" si="30"/>
        <v>0</v>
      </c>
      <c r="AH16" s="191">
        <f t="shared" si="31"/>
        <v>0</v>
      </c>
      <c r="AI16" s="192">
        <f t="shared" si="32"/>
        <v>0</v>
      </c>
      <c r="AJ16" s="193">
        <f t="shared" si="33"/>
        <v>5.1999999999999998E-2</v>
      </c>
      <c r="AK16" s="191">
        <f t="shared" si="34"/>
        <v>4.3000000000000003E-2</v>
      </c>
      <c r="AL16" s="191">
        <f t="shared" si="35"/>
        <v>-0.28000000000000003</v>
      </c>
      <c r="AM16" s="192">
        <f t="shared" si="36"/>
        <v>2.8000000000000018E-2</v>
      </c>
      <c r="AN16" s="191">
        <f t="shared" si="37"/>
        <v>6.0999999999999999E-2</v>
      </c>
      <c r="AO16" s="191">
        <f t="shared" si="38"/>
        <v>1.2999999999999998E-2</v>
      </c>
      <c r="AP16" s="191">
        <f t="shared" si="39"/>
        <v>-1.3999999999999999E-2</v>
      </c>
      <c r="AQ16" s="192">
        <f t="shared" si="40"/>
        <v>0.13500000000000001</v>
      </c>
      <c r="AR16" s="191">
        <f t="shared" si="41"/>
        <v>0.121</v>
      </c>
      <c r="AS16" s="191">
        <f t="shared" si="42"/>
        <v>3.2000000000000001E-2</v>
      </c>
      <c r="AT16" s="191">
        <f t="shared" si="43"/>
        <v>0.22899999999999998</v>
      </c>
      <c r="AU16" s="192">
        <f t="shared" si="44"/>
        <v>0.23499999999999999</v>
      </c>
      <c r="AV16" s="191">
        <f t="shared" si="45"/>
        <v>0.26</v>
      </c>
      <c r="AW16" s="191">
        <f t="shared" si="46"/>
        <v>0.10099999999999998</v>
      </c>
      <c r="AX16" s="191">
        <f t="shared" si="47"/>
        <v>-0.15</v>
      </c>
      <c r="AY16" s="192">
        <f t="shared" si="48"/>
        <v>-3.400000000000003E-2</v>
      </c>
      <c r="AZ16" s="191">
        <f t="shared" si="49"/>
        <v>3.2000000000000001E-2</v>
      </c>
      <c r="BA16" s="191">
        <f t="shared" si="50"/>
        <v>3.5000000000000003E-2</v>
      </c>
      <c r="BB16" s="191">
        <f t="shared" si="51"/>
        <v>6.2E-2</v>
      </c>
      <c r="BC16" s="192">
        <f t="shared" si="52"/>
        <v>0.188</v>
      </c>
      <c r="BD16" s="191">
        <f t="shared" si="53"/>
        <v>0.17699999999999999</v>
      </c>
      <c r="BE16" s="191">
        <f t="shared" si="54"/>
        <v>5.6000000000000022E-2</v>
      </c>
      <c r="BF16" s="191">
        <f t="shared" si="55"/>
        <v>5.5999999999999966E-2</v>
      </c>
      <c r="BG16" s="192">
        <f t="shared" si="56"/>
        <v>5.6000000000000022E-2</v>
      </c>
      <c r="BH16" s="191">
        <f t="shared" si="57"/>
        <v>5.6000000000000001E-2</v>
      </c>
      <c r="BI16" s="191">
        <f t="shared" si="58"/>
        <v>5.6000000000000001E-2</v>
      </c>
      <c r="BJ16" s="191">
        <f t="shared" si="59"/>
        <v>5.5000000000000014E-2</v>
      </c>
      <c r="BK16" s="192">
        <f t="shared" si="60"/>
        <v>5.4999999999999986E-2</v>
      </c>
      <c r="BL16" s="191">
        <f t="shared" si="61"/>
        <v>5.5E-2</v>
      </c>
      <c r="BM16" s="191">
        <f t="shared" si="62"/>
        <v>5.6000000000000001E-2</v>
      </c>
      <c r="BN16" s="191">
        <f t="shared" si="63"/>
        <v>5.6000000000000015E-2</v>
      </c>
      <c r="BO16" s="195">
        <v>0</v>
      </c>
      <c r="BP16" s="194">
        <v>0</v>
      </c>
      <c r="BQ16" s="194">
        <v>0</v>
      </c>
      <c r="BR16" s="194">
        <v>0</v>
      </c>
      <c r="BS16" s="195">
        <v>0</v>
      </c>
      <c r="BT16" s="194">
        <v>0</v>
      </c>
      <c r="BU16" s="194">
        <v>0</v>
      </c>
      <c r="BV16" s="194">
        <v>0</v>
      </c>
      <c r="BW16" s="194">
        <v>0</v>
      </c>
      <c r="BX16" s="20"/>
      <c r="BY16" s="191">
        <f t="shared" si="66"/>
        <v>17.951000000000001</v>
      </c>
      <c r="BZ16" s="191">
        <f t="shared" si="67"/>
        <v>37.639000000000003</v>
      </c>
      <c r="CA16" s="191">
        <f t="shared" si="68"/>
        <v>15.295999999999999</v>
      </c>
      <c r="CB16" s="191">
        <f t="shared" si="69"/>
        <v>29.376999999999995</v>
      </c>
      <c r="CC16" s="191">
        <f t="shared" si="70"/>
        <v>22.861999999999998</v>
      </c>
      <c r="CD16" s="191">
        <f t="shared" si="71"/>
        <v>21.914000000000001</v>
      </c>
      <c r="CE16" s="191">
        <f t="shared" si="72"/>
        <v>0</v>
      </c>
      <c r="CF16" s="191">
        <f t="shared" si="73"/>
        <v>0</v>
      </c>
      <c r="CG16" s="193">
        <f t="shared" si="74"/>
        <v>-0.157</v>
      </c>
      <c r="CH16" s="191">
        <f t="shared" si="75"/>
        <v>0.19500000000000001</v>
      </c>
      <c r="CI16" s="193">
        <f t="shared" si="76"/>
        <v>0.61699999999999999</v>
      </c>
      <c r="CJ16" s="193">
        <f t="shared" si="77"/>
        <v>0.17699999999999996</v>
      </c>
      <c r="CK16" s="191">
        <f t="shared" si="78"/>
        <v>0.317</v>
      </c>
      <c r="CL16" s="191">
        <f t="shared" si="79"/>
        <v>0.34499999999999997</v>
      </c>
      <c r="CM16" s="191">
        <f t="shared" si="80"/>
        <v>0.222</v>
      </c>
      <c r="CN16" s="191">
        <f t="shared" si="81"/>
        <v>0.16700000000000001</v>
      </c>
      <c r="CO16" s="191">
        <f t="shared" si="82"/>
        <v>0</v>
      </c>
      <c r="CP16" s="192">
        <f t="shared" si="83"/>
        <v>0</v>
      </c>
      <c r="CQ16" s="20"/>
      <c r="CR16" s="193">
        <f t="shared" si="84"/>
        <v>26.582999999999998</v>
      </c>
      <c r="CS16" s="191">
        <f t="shared" si="85"/>
        <v>26.001000000000001</v>
      </c>
      <c r="CT16" s="191">
        <f t="shared" si="86"/>
        <v>18.536000000000001</v>
      </c>
      <c r="CU16" s="191">
        <f t="shared" si="87"/>
        <v>26.384999999999998</v>
      </c>
      <c r="CV16" s="191">
        <f t="shared" si="88"/>
        <v>26.249999999999993</v>
      </c>
      <c r="CW16" s="191">
        <f t="shared" si="89"/>
        <v>15.106000000000003</v>
      </c>
      <c r="CX16" s="191">
        <f t="shared" si="90"/>
        <v>-11.239000000000001</v>
      </c>
      <c r="CY16" s="191">
        <f t="shared" si="91"/>
        <v>-0.18500000000000003</v>
      </c>
      <c r="CZ16" s="191">
        <f t="shared" si="92"/>
        <v>8.8000000000000023E-2</v>
      </c>
      <c r="DA16" s="191">
        <f t="shared" si="93"/>
        <v>0.51700000000000002</v>
      </c>
      <c r="DB16" s="191">
        <f t="shared" si="94"/>
        <v>0.44599999999999995</v>
      </c>
      <c r="DC16" s="191">
        <f t="shared" si="95"/>
        <v>9.4999999999999973E-2</v>
      </c>
      <c r="DD16" s="191">
        <f t="shared" si="96"/>
        <v>0.47699999999999998</v>
      </c>
      <c r="DE16" s="191">
        <f t="shared" si="97"/>
        <v>0.22300000000000003</v>
      </c>
      <c r="DF16" s="191">
        <f t="shared" si="98"/>
        <v>0.222</v>
      </c>
      <c r="DG16" s="191">
        <f t="shared" si="99"/>
        <v>0</v>
      </c>
      <c r="DH16" s="191">
        <f t="shared" si="100"/>
        <v>0</v>
      </c>
      <c r="DI16" s="22"/>
    </row>
    <row r="17" spans="1:113" ht="14.25" customHeight="1">
      <c r="A17" s="8"/>
      <c r="B17" s="49" t="str">
        <f t="shared" si="101"/>
        <v>Gain on sale of assets</v>
      </c>
      <c r="C17" s="50"/>
      <c r="D17" s="193">
        <f t="shared" si="1"/>
        <v>0</v>
      </c>
      <c r="E17" s="191">
        <f t="shared" si="2"/>
        <v>0</v>
      </c>
      <c r="F17" s="191">
        <f t="shared" si="3"/>
        <v>0</v>
      </c>
      <c r="G17" s="192">
        <f t="shared" si="4"/>
        <v>-0.55500000000000005</v>
      </c>
      <c r="H17" s="193">
        <f t="shared" si="5"/>
        <v>0</v>
      </c>
      <c r="I17" s="191">
        <f t="shared" si="6"/>
        <v>-5.1999999999999998E-2</v>
      </c>
      <c r="J17" s="191">
        <f t="shared" si="7"/>
        <v>7.4999999999999997E-2</v>
      </c>
      <c r="K17" s="192">
        <f t="shared" si="8"/>
        <v>-1.1199999999999999</v>
      </c>
      <c r="L17" s="193">
        <f t="shared" si="9"/>
        <v>-0.73499999999999999</v>
      </c>
      <c r="M17" s="191">
        <f t="shared" si="10"/>
        <v>-0.34700000000000009</v>
      </c>
      <c r="N17" s="191">
        <f t="shared" si="11"/>
        <v>0</v>
      </c>
      <c r="O17" s="192">
        <f t="shared" si="12"/>
        <v>-0.1419999999999999</v>
      </c>
      <c r="P17" s="193">
        <f t="shared" si="13"/>
        <v>-0.21099999999999999</v>
      </c>
      <c r="Q17" s="191">
        <f t="shared" si="14"/>
        <v>9.9999999999999811E-3</v>
      </c>
      <c r="R17" s="191">
        <f t="shared" si="15"/>
        <v>-0.27500000000000002</v>
      </c>
      <c r="S17" s="192">
        <f t="shared" si="16"/>
        <v>-0.52200000000000002</v>
      </c>
      <c r="T17" s="193">
        <f t="shared" si="17"/>
        <v>-0.29899999999999999</v>
      </c>
      <c r="U17" s="191">
        <f t="shared" si="18"/>
        <v>-6.5000000000000002E-2</v>
      </c>
      <c r="V17" s="191">
        <f t="shared" si="19"/>
        <v>0</v>
      </c>
      <c r="W17" s="192">
        <f t="shared" si="20"/>
        <v>0</v>
      </c>
      <c r="X17" s="193">
        <f t="shared" si="21"/>
        <v>-0.45</v>
      </c>
      <c r="Y17" s="191">
        <f t="shared" si="22"/>
        <v>0</v>
      </c>
      <c r="Z17" s="191">
        <f t="shared" si="23"/>
        <v>-0.17499999999999999</v>
      </c>
      <c r="AA17" s="192">
        <f t="shared" si="24"/>
        <v>-0.312</v>
      </c>
      <c r="AB17" s="193">
        <f t="shared" si="25"/>
        <v>-9.4E-2</v>
      </c>
      <c r="AC17" s="191">
        <f t="shared" si="26"/>
        <v>-4.0000000000000036E-3</v>
      </c>
      <c r="AD17" s="191">
        <f t="shared" si="27"/>
        <v>-2.0000000000000018E-3</v>
      </c>
      <c r="AE17" s="192">
        <f t="shared" si="28"/>
        <v>0</v>
      </c>
      <c r="AF17" s="193">
        <f t="shared" si="29"/>
        <v>0</v>
      </c>
      <c r="AG17" s="191">
        <f t="shared" si="30"/>
        <v>0</v>
      </c>
      <c r="AH17" s="191">
        <f t="shared" si="31"/>
        <v>-0.1</v>
      </c>
      <c r="AI17" s="192">
        <f t="shared" si="32"/>
        <v>0</v>
      </c>
      <c r="AJ17" s="193">
        <f t="shared" si="33"/>
        <v>-8.7999999999999995E-2</v>
      </c>
      <c r="AK17" s="191">
        <f t="shared" si="34"/>
        <v>4.8999999999999995E-2</v>
      </c>
      <c r="AL17" s="191">
        <f t="shared" si="35"/>
        <v>-4.9999999999999989E-2</v>
      </c>
      <c r="AM17" s="192">
        <f t="shared" si="36"/>
        <v>0</v>
      </c>
      <c r="AN17" s="191">
        <f t="shared" si="37"/>
        <v>0</v>
      </c>
      <c r="AO17" s="191">
        <f t="shared" si="38"/>
        <v>-4.8000000000000001E-2</v>
      </c>
      <c r="AP17" s="191">
        <f t="shared" si="39"/>
        <v>-0.16399999999999998</v>
      </c>
      <c r="AQ17" s="192">
        <f t="shared" si="40"/>
        <v>-0.19900000000000001</v>
      </c>
      <c r="AR17" s="191">
        <f t="shared" si="41"/>
        <v>0</v>
      </c>
      <c r="AS17" s="191">
        <f t="shared" si="42"/>
        <v>-1.6E-2</v>
      </c>
      <c r="AT17" s="191">
        <f t="shared" si="43"/>
        <v>-0.24</v>
      </c>
      <c r="AU17" s="192">
        <f t="shared" si="44"/>
        <v>-1.3877787807814457E-17</v>
      </c>
      <c r="AV17" s="191">
        <f t="shared" si="45"/>
        <v>0</v>
      </c>
      <c r="AW17" s="191">
        <f t="shared" si="46"/>
        <v>0</v>
      </c>
      <c r="AX17" s="191">
        <f t="shared" si="47"/>
        <v>0</v>
      </c>
      <c r="AY17" s="192">
        <f t="shared" si="48"/>
        <v>0.24399999999999999</v>
      </c>
      <c r="AZ17" s="191">
        <f t="shared" si="49"/>
        <v>0</v>
      </c>
      <c r="BA17" s="191">
        <f t="shared" si="50"/>
        <v>0</v>
      </c>
      <c r="BB17" s="191">
        <f t="shared" si="51"/>
        <v>0</v>
      </c>
      <c r="BC17" s="192">
        <f t="shared" si="52"/>
        <v>0</v>
      </c>
      <c r="BD17" s="191">
        <f t="shared" si="53"/>
        <v>-0.56000000000000005</v>
      </c>
      <c r="BE17" s="191">
        <f t="shared" si="54"/>
        <v>-14.258999999999999</v>
      </c>
      <c r="BF17" s="191">
        <f t="shared" si="55"/>
        <v>-2.4200000000000021</v>
      </c>
      <c r="BG17" s="192">
        <f t="shared" si="56"/>
        <v>16.279</v>
      </c>
      <c r="BH17" s="191">
        <f t="shared" si="57"/>
        <v>-6.0999999999999999E-2</v>
      </c>
      <c r="BI17" s="191">
        <f t="shared" si="58"/>
        <v>-1.3999999999999999E-2</v>
      </c>
      <c r="BJ17" s="191">
        <f t="shared" si="59"/>
        <v>-3.0000000000000027E-3</v>
      </c>
      <c r="BK17" s="192">
        <f t="shared" si="60"/>
        <v>0</v>
      </c>
      <c r="BL17" s="191">
        <f t="shared" si="61"/>
        <v>-4.5650000000000004</v>
      </c>
      <c r="BM17" s="191">
        <f t="shared" si="62"/>
        <v>-0.81599999999999984</v>
      </c>
      <c r="BN17" s="191">
        <f t="shared" si="63"/>
        <v>-4.0000000000000036E-2</v>
      </c>
      <c r="BO17" s="195">
        <v>0</v>
      </c>
      <c r="BP17" s="194">
        <v>0</v>
      </c>
      <c r="BQ17" s="194">
        <v>0</v>
      </c>
      <c r="BR17" s="194">
        <v>0</v>
      </c>
      <c r="BS17" s="195">
        <v>0</v>
      </c>
      <c r="BT17" s="194">
        <v>0</v>
      </c>
      <c r="BU17" s="194">
        <v>0</v>
      </c>
      <c r="BV17" s="194">
        <v>0</v>
      </c>
      <c r="BW17" s="194">
        <v>0</v>
      </c>
      <c r="BX17" s="20"/>
      <c r="BY17" s="191">
        <f t="shared" si="66"/>
        <v>-0.55500000000000005</v>
      </c>
      <c r="BZ17" s="191">
        <f t="shared" si="67"/>
        <v>-1.097</v>
      </c>
      <c r="CA17" s="191">
        <f t="shared" si="68"/>
        <v>-1.224</v>
      </c>
      <c r="CB17" s="191">
        <f t="shared" si="69"/>
        <v>-0.998</v>
      </c>
      <c r="CC17" s="191">
        <f t="shared" si="70"/>
        <v>-0.36399999999999999</v>
      </c>
      <c r="CD17" s="191">
        <f t="shared" si="71"/>
        <v>-0.93700000000000006</v>
      </c>
      <c r="CE17" s="191">
        <f t="shared" si="72"/>
        <v>-0.1</v>
      </c>
      <c r="CF17" s="191">
        <f t="shared" si="73"/>
        <v>-0.1</v>
      </c>
      <c r="CG17" s="193">
        <f t="shared" si="74"/>
        <v>-8.8999999999999996E-2</v>
      </c>
      <c r="CH17" s="191">
        <f t="shared" si="75"/>
        <v>-0.41099999999999998</v>
      </c>
      <c r="CI17" s="193">
        <f t="shared" si="76"/>
        <v>-0.25600000000000001</v>
      </c>
      <c r="CJ17" s="193">
        <f t="shared" si="77"/>
        <v>0.24399999999999999</v>
      </c>
      <c r="CK17" s="191">
        <f t="shared" si="78"/>
        <v>0</v>
      </c>
      <c r="CL17" s="191">
        <f t="shared" si="79"/>
        <v>-0.96000000000000085</v>
      </c>
      <c r="CM17" s="191">
        <f t="shared" si="80"/>
        <v>-7.8E-2</v>
      </c>
      <c r="CN17" s="191">
        <f t="shared" si="81"/>
        <v>-5.4210000000000003</v>
      </c>
      <c r="CO17" s="191">
        <f t="shared" si="82"/>
        <v>0</v>
      </c>
      <c r="CP17" s="192">
        <f t="shared" si="83"/>
        <v>0</v>
      </c>
      <c r="CQ17" s="20"/>
      <c r="CR17" s="193">
        <f t="shared" si="84"/>
        <v>-0.53200000000000014</v>
      </c>
      <c r="CS17" s="191">
        <f t="shared" si="85"/>
        <v>-2.202</v>
      </c>
      <c r="CT17" s="191">
        <f t="shared" si="86"/>
        <v>-0.61799999999999988</v>
      </c>
      <c r="CU17" s="191">
        <f t="shared" si="87"/>
        <v>-0.8859999999999999</v>
      </c>
      <c r="CV17" s="191">
        <f t="shared" si="88"/>
        <v>-0.625</v>
      </c>
      <c r="CW17" s="191">
        <f t="shared" si="89"/>
        <v>-0.41200000000000003</v>
      </c>
      <c r="CX17" s="191">
        <f t="shared" si="90"/>
        <v>-0.1</v>
      </c>
      <c r="CY17" s="191">
        <f t="shared" si="91"/>
        <v>-8.8999999999999996E-2</v>
      </c>
      <c r="CZ17" s="191">
        <f t="shared" si="92"/>
        <v>-0.21199999999999997</v>
      </c>
      <c r="DA17" s="191">
        <f t="shared" si="93"/>
        <v>-0.45500000000000002</v>
      </c>
      <c r="DB17" s="191">
        <f t="shared" si="94"/>
        <v>-1.3877787807814457E-17</v>
      </c>
      <c r="DC17" s="191">
        <f t="shared" si="95"/>
        <v>0.24399999999999999</v>
      </c>
      <c r="DD17" s="191">
        <f t="shared" si="96"/>
        <v>-17.239000000000001</v>
      </c>
      <c r="DE17" s="191">
        <f t="shared" si="97"/>
        <v>16.201000000000001</v>
      </c>
      <c r="DF17" s="191">
        <f t="shared" si="98"/>
        <v>-5.4210000000000003</v>
      </c>
      <c r="DG17" s="191">
        <f t="shared" si="99"/>
        <v>0</v>
      </c>
      <c r="DH17" s="191">
        <f t="shared" si="100"/>
        <v>0</v>
      </c>
      <c r="DI17" s="22"/>
    </row>
    <row r="18" spans="1:113" ht="14.25" customHeight="1">
      <c r="A18" s="8"/>
      <c r="B18" s="49" t="str">
        <f t="shared" si="101"/>
        <v>Other non-cash activities</v>
      </c>
      <c r="C18" s="50"/>
      <c r="D18" s="193">
        <f t="shared" si="1"/>
        <v>24.084</v>
      </c>
      <c r="E18" s="191">
        <f t="shared" si="2"/>
        <v>43.852999999999994</v>
      </c>
      <c r="F18" s="191">
        <f t="shared" si="3"/>
        <v>1.2810000000000095</v>
      </c>
      <c r="G18" s="192">
        <f t="shared" si="4"/>
        <v>-4.8099999999999987</v>
      </c>
      <c r="H18" s="193">
        <f t="shared" si="5"/>
        <v>32.916000000000004</v>
      </c>
      <c r="I18" s="191">
        <f t="shared" si="6"/>
        <v>-4.0000000000006253E-2</v>
      </c>
      <c r="J18" s="191">
        <f t="shared" si="7"/>
        <v>-1.0249999999999986</v>
      </c>
      <c r="K18" s="192">
        <f t="shared" si="8"/>
        <v>0</v>
      </c>
      <c r="L18" s="193">
        <f t="shared" si="9"/>
        <v>21.1</v>
      </c>
      <c r="M18" s="191">
        <f t="shared" si="10"/>
        <v>-21.1</v>
      </c>
      <c r="N18" s="191">
        <f t="shared" si="11"/>
        <v>0</v>
      </c>
      <c r="O18" s="192">
        <f t="shared" si="12"/>
        <v>0</v>
      </c>
      <c r="P18" s="193">
        <f t="shared" si="13"/>
        <v>0</v>
      </c>
      <c r="Q18" s="191">
        <f t="shared" si="14"/>
        <v>0</v>
      </c>
      <c r="R18" s="191">
        <f t="shared" si="15"/>
        <v>0</v>
      </c>
      <c r="S18" s="192">
        <f t="shared" si="16"/>
        <v>0</v>
      </c>
      <c r="T18" s="193">
        <f t="shared" si="17"/>
        <v>0</v>
      </c>
      <c r="U18" s="191">
        <f t="shared" si="18"/>
        <v>0</v>
      </c>
      <c r="V18" s="191">
        <f t="shared" si="19"/>
        <v>0</v>
      </c>
      <c r="W18" s="192">
        <f t="shared" si="20"/>
        <v>0</v>
      </c>
      <c r="X18" s="193">
        <f t="shared" si="21"/>
        <v>0</v>
      </c>
      <c r="Y18" s="191">
        <f t="shared" si="22"/>
        <v>26.763000000000002</v>
      </c>
      <c r="Z18" s="191">
        <f t="shared" si="23"/>
        <v>0.89199999999999946</v>
      </c>
      <c r="AA18" s="192">
        <f t="shared" si="24"/>
        <v>-10.585999999999999</v>
      </c>
      <c r="AB18" s="193">
        <f t="shared" si="25"/>
        <v>-1.5439999999999996</v>
      </c>
      <c r="AC18" s="191">
        <f t="shared" si="26"/>
        <v>-17.264999999999997</v>
      </c>
      <c r="AD18" s="191">
        <f t="shared" si="27"/>
        <v>-45.296000000000006</v>
      </c>
      <c r="AE18" s="192">
        <f t="shared" si="28"/>
        <v>1.3470000000000004</v>
      </c>
      <c r="AF18" s="193">
        <f t="shared" si="29"/>
        <v>52.135000000000005</v>
      </c>
      <c r="AG18" s="191">
        <f t="shared" si="30"/>
        <v>30.289999999999992</v>
      </c>
      <c r="AH18" s="191">
        <f t="shared" si="31"/>
        <v>0.5280000000000058</v>
      </c>
      <c r="AI18" s="192">
        <f t="shared" si="32"/>
        <v>2.5799999999999983</v>
      </c>
      <c r="AJ18" s="193">
        <f t="shared" si="33"/>
        <v>0.45300000000000001</v>
      </c>
      <c r="AK18" s="191">
        <f t="shared" si="34"/>
        <v>0.38799999999999996</v>
      </c>
      <c r="AL18" s="191">
        <f t="shared" si="35"/>
        <v>0.42199999999999999</v>
      </c>
      <c r="AM18" s="192">
        <f t="shared" si="36"/>
        <v>3.3960000000000004</v>
      </c>
      <c r="AN18" s="191">
        <f t="shared" si="37"/>
        <v>0.94499999999999995</v>
      </c>
      <c r="AO18" s="191">
        <f t="shared" si="38"/>
        <v>2.0640000000000001</v>
      </c>
      <c r="AP18" s="191">
        <f t="shared" si="39"/>
        <v>-0.79599999999999993</v>
      </c>
      <c r="AQ18" s="192">
        <f t="shared" si="40"/>
        <v>-1.0550000000000002</v>
      </c>
      <c r="AR18" s="191">
        <f t="shared" si="41"/>
        <v>0</v>
      </c>
      <c r="AS18" s="191">
        <f t="shared" si="42"/>
        <v>0.33400000000000002</v>
      </c>
      <c r="AT18" s="191">
        <f t="shared" si="43"/>
        <v>0.47800000000000004</v>
      </c>
      <c r="AU18" s="192">
        <f t="shared" si="44"/>
        <v>4.4010000000000007</v>
      </c>
      <c r="AV18" s="191">
        <f t="shared" si="45"/>
        <v>1.3919999999999999</v>
      </c>
      <c r="AW18" s="191">
        <f t="shared" si="46"/>
        <v>-1.2789999999999999</v>
      </c>
      <c r="AX18" s="191">
        <f t="shared" si="47"/>
        <v>4.8670000000000009</v>
      </c>
      <c r="AY18" s="192">
        <f t="shared" si="48"/>
        <v>3.2269999999999981</v>
      </c>
      <c r="AZ18" s="191">
        <f t="shared" si="49"/>
        <v>2.9950000000000001</v>
      </c>
      <c r="BA18" s="191">
        <f t="shared" si="50"/>
        <v>2.6269999999999998</v>
      </c>
      <c r="BB18" s="191">
        <f t="shared" si="51"/>
        <v>4.0850000000000009</v>
      </c>
      <c r="BC18" s="192">
        <f t="shared" si="52"/>
        <v>-15.984000000000005</v>
      </c>
      <c r="BD18" s="191">
        <f t="shared" si="53"/>
        <v>-13.788</v>
      </c>
      <c r="BE18" s="191">
        <f t="shared" si="54"/>
        <v>17.336000000000002</v>
      </c>
      <c r="BF18" s="191">
        <f t="shared" si="55"/>
        <v>2.3749999999999982</v>
      </c>
      <c r="BG18" s="192">
        <f t="shared" si="56"/>
        <v>-18.069999999999997</v>
      </c>
      <c r="BH18" s="191">
        <f t="shared" si="57"/>
        <v>1.88</v>
      </c>
      <c r="BI18" s="191">
        <f t="shared" si="58"/>
        <v>2.160000000000001</v>
      </c>
      <c r="BJ18" s="191">
        <f t="shared" si="59"/>
        <v>9.3730000000000011</v>
      </c>
      <c r="BK18" s="192">
        <f t="shared" si="60"/>
        <v>45.99499999999999</v>
      </c>
      <c r="BL18" s="191">
        <f t="shared" si="61"/>
        <v>14.478</v>
      </c>
      <c r="BM18" s="191">
        <f t="shared" si="62"/>
        <v>3.548</v>
      </c>
      <c r="BN18" s="191">
        <f t="shared" si="63"/>
        <v>-1.2170000000000023</v>
      </c>
      <c r="BO18" s="195">
        <v>0</v>
      </c>
      <c r="BP18" s="194">
        <v>0</v>
      </c>
      <c r="BQ18" s="194">
        <v>0</v>
      </c>
      <c r="BR18" s="194">
        <v>0</v>
      </c>
      <c r="BS18" s="195">
        <v>0</v>
      </c>
      <c r="BT18" s="194">
        <v>0</v>
      </c>
      <c r="BU18" s="194">
        <v>0</v>
      </c>
      <c r="BV18" s="194">
        <v>0</v>
      </c>
      <c r="BW18" s="195">
        <v>0</v>
      </c>
      <c r="BX18" s="20"/>
      <c r="BY18" s="191">
        <f t="shared" si="66"/>
        <v>64.408000000000001</v>
      </c>
      <c r="BZ18" s="191">
        <f t="shared" si="67"/>
        <v>31.850999999999999</v>
      </c>
      <c r="CA18" s="191">
        <f t="shared" si="68"/>
        <v>0</v>
      </c>
      <c r="CB18" s="191">
        <f t="shared" si="69"/>
        <v>0</v>
      </c>
      <c r="CC18" s="191">
        <f t="shared" si="70"/>
        <v>0</v>
      </c>
      <c r="CD18" s="191">
        <f t="shared" si="71"/>
        <v>17.069000000000003</v>
      </c>
      <c r="CE18" s="191">
        <f t="shared" si="72"/>
        <v>-62.758000000000003</v>
      </c>
      <c r="CF18" s="191">
        <f t="shared" si="73"/>
        <v>85.533000000000001</v>
      </c>
      <c r="CG18" s="193">
        <f t="shared" si="74"/>
        <v>4.6590000000000007</v>
      </c>
      <c r="CH18" s="191">
        <f t="shared" si="75"/>
        <v>1.1579999999999999</v>
      </c>
      <c r="CI18" s="193">
        <f t="shared" si="76"/>
        <v>5.213000000000001</v>
      </c>
      <c r="CJ18" s="193">
        <f t="shared" si="77"/>
        <v>8.206999999999999</v>
      </c>
      <c r="CK18" s="191">
        <f t="shared" si="78"/>
        <v>-6.2770000000000046</v>
      </c>
      <c r="CL18" s="191">
        <f t="shared" si="79"/>
        <v>-12.146999999999997</v>
      </c>
      <c r="CM18" s="191">
        <f t="shared" si="80"/>
        <v>59.407999999999994</v>
      </c>
      <c r="CN18" s="191">
        <f t="shared" si="81"/>
        <v>16.808999999999997</v>
      </c>
      <c r="CO18" s="191">
        <f t="shared" si="82"/>
        <v>0</v>
      </c>
      <c r="CP18" s="192">
        <f t="shared" si="83"/>
        <v>0</v>
      </c>
      <c r="CQ18" s="20"/>
      <c r="CR18" s="193">
        <f t="shared" si="84"/>
        <v>27.041</v>
      </c>
      <c r="CS18" s="191">
        <f t="shared" si="85"/>
        <v>0</v>
      </c>
      <c r="CT18" s="191">
        <f t="shared" si="86"/>
        <v>0</v>
      </c>
      <c r="CU18" s="191">
        <f t="shared" si="87"/>
        <v>0</v>
      </c>
      <c r="CV18" s="191">
        <f t="shared" si="88"/>
        <v>27.655000000000001</v>
      </c>
      <c r="CW18" s="191">
        <f t="shared" si="89"/>
        <v>-74.691000000000003</v>
      </c>
      <c r="CX18" s="191">
        <f t="shared" si="90"/>
        <v>84.3</v>
      </c>
      <c r="CY18" s="191">
        <f t="shared" si="91"/>
        <v>3.8429999999999982</v>
      </c>
      <c r="CZ18" s="191">
        <f t="shared" si="92"/>
        <v>5.609</v>
      </c>
      <c r="DA18" s="191">
        <f t="shared" si="93"/>
        <v>-0.24300000000000005</v>
      </c>
      <c r="DB18" s="191">
        <f t="shared" si="94"/>
        <v>9.381000000000002</v>
      </c>
      <c r="DC18" s="191">
        <f t="shared" si="95"/>
        <v>12.933999999999997</v>
      </c>
      <c r="DD18" s="191">
        <f t="shared" si="96"/>
        <v>-10.061000000000005</v>
      </c>
      <c r="DE18" s="191">
        <f t="shared" si="97"/>
        <v>-4.6569999999999965</v>
      </c>
      <c r="DF18" s="191">
        <f t="shared" si="98"/>
        <v>62.803999999999988</v>
      </c>
      <c r="DG18" s="191">
        <f t="shared" si="99"/>
        <v>0</v>
      </c>
      <c r="DH18" s="191">
        <f t="shared" si="100"/>
        <v>0</v>
      </c>
      <c r="DI18" s="22"/>
    </row>
    <row r="19" spans="1:113" ht="14.25" customHeight="1">
      <c r="A19" s="8"/>
      <c r="B19" s="27" t="str">
        <f t="shared" si="101"/>
        <v>Changes in current assets and liabilities:</v>
      </c>
      <c r="C19" s="28"/>
      <c r="D19" s="193"/>
      <c r="E19" s="191"/>
      <c r="F19" s="191"/>
      <c r="G19" s="192"/>
      <c r="H19" s="193"/>
      <c r="I19" s="191"/>
      <c r="J19" s="191"/>
      <c r="K19" s="192"/>
      <c r="L19" s="193"/>
      <c r="M19" s="191"/>
      <c r="N19" s="191"/>
      <c r="O19" s="192"/>
      <c r="P19" s="193"/>
      <c r="Q19" s="191"/>
      <c r="R19" s="191"/>
      <c r="S19" s="192"/>
      <c r="T19" s="193"/>
      <c r="U19" s="191"/>
      <c r="V19" s="191"/>
      <c r="W19" s="192"/>
      <c r="X19" s="193"/>
      <c r="Y19" s="191"/>
      <c r="Z19" s="191"/>
      <c r="AA19" s="192"/>
      <c r="AB19" s="193"/>
      <c r="AC19" s="191"/>
      <c r="AD19" s="191"/>
      <c r="AE19" s="192"/>
      <c r="AF19" s="193"/>
      <c r="AG19" s="191"/>
      <c r="AH19" s="191"/>
      <c r="AI19" s="192"/>
      <c r="AJ19" s="193"/>
      <c r="AK19" s="191"/>
      <c r="AL19" s="191"/>
      <c r="AM19" s="192"/>
      <c r="AN19" s="191"/>
      <c r="AO19" s="191"/>
      <c r="AP19" s="191"/>
      <c r="AQ19" s="192"/>
      <c r="AR19" s="191"/>
      <c r="AS19" s="191"/>
      <c r="AT19" s="191"/>
      <c r="AU19" s="192"/>
      <c r="AV19" s="191"/>
      <c r="AW19" s="191"/>
      <c r="AX19" s="191"/>
      <c r="AY19" s="192"/>
      <c r="AZ19" s="191"/>
      <c r="BA19" s="191"/>
      <c r="BB19" s="191"/>
      <c r="BC19" s="192"/>
      <c r="BD19" s="191"/>
      <c r="BE19" s="191"/>
      <c r="BF19" s="191"/>
      <c r="BG19" s="192"/>
      <c r="BH19" s="191"/>
      <c r="BI19" s="191"/>
      <c r="BJ19" s="191"/>
      <c r="BK19" s="192"/>
      <c r="BL19" s="191"/>
      <c r="BM19" s="191"/>
      <c r="BN19" s="191"/>
      <c r="BO19" s="195"/>
      <c r="BP19" s="194"/>
      <c r="BQ19" s="194"/>
      <c r="BR19" s="194"/>
      <c r="BS19" s="195"/>
      <c r="BT19" s="194"/>
      <c r="BU19" s="194"/>
      <c r="BV19" s="194"/>
      <c r="BW19" s="194"/>
      <c r="BX19" s="20"/>
      <c r="BY19" s="191"/>
      <c r="BZ19" s="191"/>
      <c r="CA19" s="191"/>
      <c r="CB19" s="191"/>
      <c r="CC19" s="191"/>
      <c r="CD19" s="191"/>
      <c r="CE19" s="191"/>
      <c r="CF19" s="191"/>
      <c r="CG19" s="193"/>
      <c r="CH19" s="191"/>
      <c r="CI19" s="193"/>
      <c r="CJ19" s="193"/>
      <c r="CK19" s="191"/>
      <c r="CL19" s="191"/>
      <c r="CM19" s="191"/>
      <c r="CN19" s="191"/>
      <c r="CO19" s="191"/>
      <c r="CP19" s="192">
        <f t="shared" si="83"/>
        <v>0</v>
      </c>
      <c r="CQ19" s="20"/>
      <c r="CR19" s="193"/>
      <c r="CS19" s="191"/>
      <c r="CT19" s="191"/>
      <c r="CU19" s="191"/>
      <c r="CV19" s="191"/>
      <c r="CW19" s="191"/>
      <c r="CX19" s="191"/>
      <c r="CY19" s="191"/>
      <c r="CZ19" s="191"/>
      <c r="DA19" s="191"/>
      <c r="DB19" s="191"/>
      <c r="DC19" s="191"/>
      <c r="DD19" s="191"/>
      <c r="DE19" s="191"/>
      <c r="DF19" s="191"/>
      <c r="DG19" s="191"/>
      <c r="DH19" s="191"/>
      <c r="DI19" s="22"/>
    </row>
    <row r="20" spans="1:113" ht="14.25" customHeight="1">
      <c r="A20" s="8"/>
      <c r="B20" s="49" t="str">
        <f t="shared" si="101"/>
        <v>Accounts receivable</v>
      </c>
      <c r="C20" s="50"/>
      <c r="D20" s="193">
        <f t="shared" ref="D20:D25" si="102">D115</f>
        <v>-1.8580000000000001</v>
      </c>
      <c r="E20" s="191">
        <f t="shared" ref="E20:E25" si="103">E115-D20</f>
        <v>-6.2240000000000002</v>
      </c>
      <c r="F20" s="191">
        <f t="shared" ref="F20:F25" si="104">F115-E20-D20</f>
        <v>-3.4710000000000005</v>
      </c>
      <c r="G20" s="192">
        <f t="shared" ref="G20:G25" si="105">G115-F20-E20-D20</f>
        <v>-1.9669999999999992</v>
      </c>
      <c r="H20" s="193">
        <f t="shared" ref="H20:H25" si="106">H115</f>
        <v>7.2190000000000003</v>
      </c>
      <c r="I20" s="191">
        <f t="shared" ref="I20:I25" si="107">I115-H20</f>
        <v>-2.617</v>
      </c>
      <c r="J20" s="191">
        <f t="shared" ref="J20:J25" si="108">J115-I20-H20</f>
        <v>-1.3880000000000008</v>
      </c>
      <c r="K20" s="192">
        <f t="shared" ref="K20:K25" si="109">K115-J20-I20-H20</f>
        <v>-15.716999999999999</v>
      </c>
      <c r="L20" s="193">
        <f t="shared" ref="L20:L25" si="110">L115</f>
        <v>-3.2879999999999998</v>
      </c>
      <c r="M20" s="191">
        <f t="shared" ref="M20:M25" si="111">M115-L20</f>
        <v>-8.1829999999999998</v>
      </c>
      <c r="N20" s="191">
        <f t="shared" ref="N20:N25" si="112">N115-M20-L20</f>
        <v>15.249000000000001</v>
      </c>
      <c r="O20" s="192">
        <f t="shared" ref="O20:O25" si="113">O115-N20-M20-L20</f>
        <v>-8.9760000000000026</v>
      </c>
      <c r="P20" s="193">
        <f t="shared" ref="P20:P25" si="114">P115</f>
        <v>-17.526</v>
      </c>
      <c r="Q20" s="191">
        <f t="shared" ref="Q20:Q25" si="115">Q115-P20</f>
        <v>10.114000000000001</v>
      </c>
      <c r="R20" s="191">
        <f t="shared" ref="R20:R25" si="116">R115-Q20-P20</f>
        <v>8.5249999999999986</v>
      </c>
      <c r="S20" s="192">
        <f t="shared" ref="S20:S25" si="117">S115-R20-Q20-P20</f>
        <v>-27.386000000000006</v>
      </c>
      <c r="T20" s="193">
        <f t="shared" ref="T20:T25" si="118">T115</f>
        <v>2.165</v>
      </c>
      <c r="U20" s="191">
        <f t="shared" ref="U20:U25" si="119">U115-T20</f>
        <v>14.084</v>
      </c>
      <c r="V20" s="191">
        <f t="shared" ref="V20:V25" si="120">V115-U20-T20</f>
        <v>3.0270000000000001</v>
      </c>
      <c r="W20" s="192">
        <f t="shared" ref="W20:W25" si="121">W115-V20-U20-T20</f>
        <v>-4.4740000000000011</v>
      </c>
      <c r="X20" s="193">
        <f t="shared" ref="X20:X25" si="122">X115</f>
        <v>-2.7610000000000001</v>
      </c>
      <c r="Y20" s="191">
        <f t="shared" ref="Y20:Y25" si="123">Y115-X20</f>
        <v>1.4080000000000001</v>
      </c>
      <c r="Z20" s="191">
        <f t="shared" ref="Z20:Z25" si="124">Z115-Y20-X20</f>
        <v>11.516000000000002</v>
      </c>
      <c r="AA20" s="192">
        <f t="shared" ref="AA20:AA25" si="125">AA115-Z20-Y20-X20</f>
        <v>-23.923000000000005</v>
      </c>
      <c r="AB20" s="193">
        <f t="shared" ref="AB20:AB25" si="126">AB115</f>
        <v>2.5659999999999998</v>
      </c>
      <c r="AC20" s="191">
        <f t="shared" ref="AC20:AC25" si="127">AC115-AB20</f>
        <v>14.865000000000002</v>
      </c>
      <c r="AD20" s="191">
        <f t="shared" ref="AD20:AD25" si="128">AD115-AC20-AB20</f>
        <v>42.870999999999995</v>
      </c>
      <c r="AE20" s="192">
        <f t="shared" ref="AE20:AE25" si="129">AE115-AD20-AC20-AB20</f>
        <v>-9.4699999999999953</v>
      </c>
      <c r="AF20" s="193">
        <f t="shared" ref="AF20:AF25" si="130">AF115</f>
        <v>-9.5190000000000001</v>
      </c>
      <c r="AG20" s="191">
        <f t="shared" ref="AG20:AG25" si="131">AG115-AF20</f>
        <v>-8.6070000000000011</v>
      </c>
      <c r="AH20" s="191">
        <f t="shared" ref="AH20:AH25" si="132">AH115-AG20-AF20</f>
        <v>-7.1120000000000001</v>
      </c>
      <c r="AI20" s="192">
        <f t="shared" ref="AI20:AI25" si="133">AI115-AH20-AG20-AF20</f>
        <v>-23.840000000000003</v>
      </c>
      <c r="AJ20" s="193">
        <f t="shared" ref="AJ20:AJ25" si="134">AJ115</f>
        <v>-9.2479999999999993</v>
      </c>
      <c r="AK20" s="191">
        <f t="shared" ref="AK20:AK25" si="135">AK115-AJ20</f>
        <v>-9.2550000000000008</v>
      </c>
      <c r="AL20" s="191">
        <f t="shared" ref="AL20:AL25" si="136">AL115-AK20-AJ20</f>
        <v>15.487</v>
      </c>
      <c r="AM20" s="192">
        <f t="shared" ref="AM20:AM25" si="137">AM115-AL20-AK20-AJ20</f>
        <v>9.3569999999999993</v>
      </c>
      <c r="AN20" s="191">
        <f t="shared" ref="AN20:AN25" si="138">AN115</f>
        <v>-15.052</v>
      </c>
      <c r="AO20" s="191">
        <f t="shared" ref="AO20:AO25" si="139">AO115-AN20</f>
        <v>53.844999999999999</v>
      </c>
      <c r="AP20" s="191">
        <f t="shared" ref="AP20:AP25" si="140">AP115-AO20-AN20</f>
        <v>-6.8679999999999986</v>
      </c>
      <c r="AQ20" s="192">
        <f t="shared" ref="AQ20:AQ25" si="141">AQ115-AP20-AO20-AN20</f>
        <v>-20.079999999999998</v>
      </c>
      <c r="AR20" s="191">
        <f t="shared" ref="AR20:AR25" si="142">AR115</f>
        <v>-2.8140000000000001</v>
      </c>
      <c r="AS20" s="191">
        <f t="shared" ref="AS20:AS25" si="143">AS115-AR20</f>
        <v>2.698</v>
      </c>
      <c r="AT20" s="191">
        <f t="shared" ref="AT20:AT25" si="144">AT115-AS20-AR20</f>
        <v>52.954999999999998</v>
      </c>
      <c r="AU20" s="192">
        <f t="shared" ref="AU20:AU25" si="145">AU115-AT20-AS20-AR20</f>
        <v>-52.452999999999996</v>
      </c>
      <c r="AV20" s="191">
        <f t="shared" ref="AV20:AV25" si="146">AV115</f>
        <v>-2.4620000000000002</v>
      </c>
      <c r="AW20" s="191">
        <f t="shared" ref="AW20:AW25" si="147">AW115-AV20</f>
        <v>1.7690000000000001</v>
      </c>
      <c r="AX20" s="191">
        <f t="shared" ref="AX20:AX25" si="148">AX115-AW20-AV20</f>
        <v>6.3170000000000002</v>
      </c>
      <c r="AY20" s="192">
        <f t="shared" ref="AY20:AY25" si="149">AY115-AX20-AW20-AV20</f>
        <v>-18.132000000000001</v>
      </c>
      <c r="AZ20" s="191">
        <f t="shared" ref="AZ20:AZ25" si="150">AZ115</f>
        <v>-37.247</v>
      </c>
      <c r="BA20" s="191">
        <f t="shared" ref="BA20:BA25" si="151">BA115-AZ20</f>
        <v>7.8180000000000014</v>
      </c>
      <c r="BB20" s="191">
        <f t="shared" ref="BB20:BB25" si="152">BB115-BA20-AZ20</f>
        <v>44.878</v>
      </c>
      <c r="BC20" s="192">
        <f t="shared" ref="BC20:BC25" si="153">BC115-BB20-BA20-AZ20</f>
        <v>-31.341999999999999</v>
      </c>
      <c r="BD20" s="191">
        <f t="shared" ref="BD20:BD25" si="154">BD115</f>
        <v>-3.0960000000000001</v>
      </c>
      <c r="BE20" s="191">
        <f t="shared" ref="BE20:BE25" si="155">BE115-BD20</f>
        <v>8.266</v>
      </c>
      <c r="BF20" s="191">
        <f t="shared" ref="BF20:BF25" si="156">BF115-BE20-BD20</f>
        <v>34.856999999999999</v>
      </c>
      <c r="BG20" s="192">
        <f t="shared" ref="BG20:BG25" si="157">BG115-BF20-BE20-BD20</f>
        <v>-42.176999999999992</v>
      </c>
      <c r="BH20" s="191">
        <f t="shared" ref="BH20:BH25" si="158">BH115</f>
        <v>-9.9009999999999998</v>
      </c>
      <c r="BI20" s="191">
        <f t="shared" ref="BI20:BI25" si="159">BI115-BH20</f>
        <v>-15.530999999999999</v>
      </c>
      <c r="BJ20" s="191">
        <f t="shared" ref="BJ20:BJ25" si="160">BJ115-BI20-BH20</f>
        <v>-18.119000000000003</v>
      </c>
      <c r="BK20" s="192">
        <f t="shared" ref="BK20:BK25" si="161">BK115-BJ20-BI20-BH20</f>
        <v>-3.2800000000000011</v>
      </c>
      <c r="BL20" s="191">
        <f t="shared" ref="BL20:BL25" si="162">BL115</f>
        <v>-50.581000000000003</v>
      </c>
      <c r="BM20" s="191">
        <f t="shared" ref="BM20:BM25" si="163">BM115-BL20</f>
        <v>-16.462000000000003</v>
      </c>
      <c r="BN20" s="191">
        <f t="shared" ref="BN20:BN25" si="164">BN115-BM20-BL20</f>
        <v>-7.7189999999999941</v>
      </c>
      <c r="BO20" s="733">
        <f>BS!BN11-BS!BO11</f>
        <v>38.468202199999951</v>
      </c>
      <c r="BP20" s="732">
        <f>BS!BO11-BS!BP11</f>
        <v>0.11587205000000722</v>
      </c>
      <c r="BQ20" s="732">
        <f>BS!BP11-BS!BQ11</f>
        <v>-16.112350577250027</v>
      </c>
      <c r="BR20" s="732">
        <f>BS!BQ11-BS!BR11</f>
        <v>10.794566324770813</v>
      </c>
      <c r="BS20" s="733">
        <f>BS!BR11-BS!BS11</f>
        <v>4.6875509906116122</v>
      </c>
      <c r="BT20" s="732">
        <f>BS!BS11-BS!BT11</f>
        <v>3.2854510957889147</v>
      </c>
      <c r="BU20" s="732">
        <f>BS!BT11-BS!BU11</f>
        <v>-13.156411259514641</v>
      </c>
      <c r="BV20" s="732">
        <f>BS!BU11-BS!BV11</f>
        <v>7.6131662421267947</v>
      </c>
      <c r="BW20" s="732">
        <f>BS!BV11-BS!BW11</f>
        <v>4.6765653924747994</v>
      </c>
      <c r="BX20" s="20"/>
      <c r="BY20" s="191">
        <f t="shared" ref="BY20:BY25" si="165">SUM(D20:G20)</f>
        <v>-13.52</v>
      </c>
      <c r="BZ20" s="191">
        <f t="shared" ref="BZ20:BZ25" si="166">SUM(H20:K20)</f>
        <v>-12.503</v>
      </c>
      <c r="CA20" s="191">
        <f t="shared" ref="CA20:CA25" si="167">SUM(L20:O20)</f>
        <v>-5.1980000000000022</v>
      </c>
      <c r="CB20" s="191">
        <f t="shared" ref="CB20:CB25" si="168">SUM(P20:S20)</f>
        <v>-26.273000000000007</v>
      </c>
      <c r="CC20" s="191">
        <f t="shared" ref="CC20:CC25" si="169">SUM(T20:W20)</f>
        <v>14.802</v>
      </c>
      <c r="CD20" s="191">
        <f t="shared" ref="CD20:CD25" si="170">SUM(X20:AA20)</f>
        <v>-13.760000000000003</v>
      </c>
      <c r="CE20" s="191">
        <f t="shared" ref="CE20:CE25" si="171">SUM(AB20:AE20)</f>
        <v>50.831999999999994</v>
      </c>
      <c r="CF20" s="191">
        <f t="shared" ref="CF20:CF25" si="172">SUM(AF20:AI20)</f>
        <v>-49.078000000000003</v>
      </c>
      <c r="CG20" s="193">
        <f t="shared" ref="CG20:CG25" si="173">SUM(AJ20:AM20)</f>
        <v>6.3409999999999993</v>
      </c>
      <c r="CH20" s="191">
        <f t="shared" ref="CH20:CH25" si="174">SUM(AN20:AQ20)</f>
        <v>11.845000000000002</v>
      </c>
      <c r="CI20" s="193">
        <f t="shared" ref="CI20:CI25" si="175">SUM(AR20:AU20)</f>
        <v>0.38600000000000279</v>
      </c>
      <c r="CJ20" s="193">
        <f t="shared" ref="CJ20:CJ25" si="176">SUM(AV20:AY20)</f>
        <v>-12.508000000000001</v>
      </c>
      <c r="CK20" s="191">
        <f t="shared" ref="CK20:CK25" si="177">SUM(AZ20:BC20)</f>
        <v>-15.892999999999997</v>
      </c>
      <c r="CL20" s="191">
        <f t="shared" ref="CL20:CL25" si="178">SUM(BD20:BG20)</f>
        <v>-2.1499999999999915</v>
      </c>
      <c r="CM20" s="191">
        <f t="shared" ref="CM20:CM25" si="179">SUM(BH20:BK20)</f>
        <v>-46.831000000000003</v>
      </c>
      <c r="CN20" s="191">
        <f t="shared" ref="CN20:CN25" si="180">SUM(BL20:BO20)</f>
        <v>-36.29379780000005</v>
      </c>
      <c r="CO20" s="191">
        <f t="shared" ref="CO20:CO25" si="181">SUM(BP20:BS20)</f>
        <v>-0.51436121186759465</v>
      </c>
      <c r="CP20" s="192">
        <f t="shared" si="83"/>
        <v>2.4187714708758676</v>
      </c>
      <c r="CQ20" s="20"/>
      <c r="CR20" s="193">
        <f t="shared" ref="CR20:CR25" si="182">SUM(G20:J20)</f>
        <v>1.2469999999999999</v>
      </c>
      <c r="CS20" s="191">
        <f t="shared" ref="CS20:CS25" si="183">SUM(K20:N20)</f>
        <v>-11.938999999999998</v>
      </c>
      <c r="CT20" s="191">
        <f t="shared" ref="CT20:CT25" si="184">SUM(O20:R20)</f>
        <v>-7.8630000000000031</v>
      </c>
      <c r="CU20" s="191">
        <f t="shared" ref="CU20:CU25" si="185">SUM(S20:V20)</f>
        <v>-8.1100000000000065</v>
      </c>
      <c r="CV20" s="191">
        <f t="shared" ref="CV20:CV25" si="186">SUM(W20:Z20)</f>
        <v>5.6890000000000009</v>
      </c>
      <c r="CW20" s="191">
        <f t="shared" ref="CW20:CW25" si="187">SUM(AA20:AD20)</f>
        <v>36.378999999999991</v>
      </c>
      <c r="CX20" s="191">
        <f t="shared" ref="CX20:CX25" si="188">SUM(AE20:AH20)</f>
        <v>-34.707999999999998</v>
      </c>
      <c r="CY20" s="191">
        <f t="shared" ref="CY20:CY25" si="189">SUM(AI20:AL20)</f>
        <v>-26.856000000000002</v>
      </c>
      <c r="CZ20" s="191">
        <f t="shared" ref="CZ20:CZ25" si="190">SUM(AM20:AP20)</f>
        <v>41.281999999999996</v>
      </c>
      <c r="DA20" s="191">
        <f t="shared" ref="DA20:DA25" si="191">SUM(AQ20:AT20)</f>
        <v>32.759</v>
      </c>
      <c r="DB20" s="191">
        <f t="shared" ref="DB20:DB25" si="192">SUM(AU20:AX20)</f>
        <v>-46.829000000000001</v>
      </c>
      <c r="DC20" s="191">
        <f t="shared" ref="DC20:DC25" si="193">SUM(AY20:BB20)</f>
        <v>-2.6830000000000069</v>
      </c>
      <c r="DD20" s="191">
        <f t="shared" ref="DD20:DD25" si="194">SUM(BC20:BF20)</f>
        <v>8.6849999999999952</v>
      </c>
      <c r="DE20" s="191">
        <f t="shared" ref="DE20:DE25" si="195">SUM(BG20:BJ20)</f>
        <v>-85.72799999999998</v>
      </c>
      <c r="DF20" s="191">
        <f t="shared" ref="DF20:DF25" si="196">SUM(BK20:BN20)</f>
        <v>-78.042000000000002</v>
      </c>
      <c r="DG20" s="191">
        <f t="shared" ref="DG20:DG25" si="197">SUM(BO20:BR20)</f>
        <v>33.266289997520744</v>
      </c>
      <c r="DH20" s="191">
        <f t="shared" si="100"/>
        <v>2.4297570690126804</v>
      </c>
      <c r="DI20" s="22"/>
    </row>
    <row r="21" spans="1:113" ht="14.25" customHeight="1">
      <c r="A21" s="8"/>
      <c r="B21" s="49" t="str">
        <f t="shared" si="101"/>
        <v>Inventories</v>
      </c>
      <c r="C21" s="50"/>
      <c r="D21" s="193">
        <f t="shared" si="102"/>
        <v>-1.7410000000000001</v>
      </c>
      <c r="E21" s="191">
        <f t="shared" si="103"/>
        <v>-4.7829999999999995</v>
      </c>
      <c r="F21" s="191">
        <f t="shared" si="104"/>
        <v>-3.073</v>
      </c>
      <c r="G21" s="192">
        <f t="shared" si="105"/>
        <v>-3.6330000000000005</v>
      </c>
      <c r="H21" s="193">
        <f t="shared" si="106"/>
        <v>-6.4160000000000004</v>
      </c>
      <c r="I21" s="191">
        <f t="shared" si="107"/>
        <v>4.4890000000000008</v>
      </c>
      <c r="J21" s="191">
        <f t="shared" si="108"/>
        <v>7.6229999999999993</v>
      </c>
      <c r="K21" s="192">
        <f t="shared" si="109"/>
        <v>1.6610000000000005</v>
      </c>
      <c r="L21" s="193">
        <f t="shared" si="110"/>
        <v>3.9390000000000001</v>
      </c>
      <c r="M21" s="191">
        <f t="shared" si="111"/>
        <v>0.66000000000000014</v>
      </c>
      <c r="N21" s="191">
        <f t="shared" si="112"/>
        <v>-7.8450000000000006</v>
      </c>
      <c r="O21" s="192">
        <f t="shared" si="113"/>
        <v>-5.968</v>
      </c>
      <c r="P21" s="193">
        <f t="shared" si="114"/>
        <v>-0.111</v>
      </c>
      <c r="Q21" s="191">
        <f t="shared" si="115"/>
        <v>-6.3870000000000005</v>
      </c>
      <c r="R21" s="191">
        <f t="shared" si="116"/>
        <v>-4.4129999999999994</v>
      </c>
      <c r="S21" s="192">
        <f t="shared" si="117"/>
        <v>-0.38499999999999956</v>
      </c>
      <c r="T21" s="193">
        <f t="shared" si="118"/>
        <v>4.9000000000000002E-2</v>
      </c>
      <c r="U21" s="191">
        <f t="shared" si="119"/>
        <v>0.71899999999999997</v>
      </c>
      <c r="V21" s="191">
        <f t="shared" si="120"/>
        <v>-4.1900000000000004</v>
      </c>
      <c r="W21" s="192">
        <f t="shared" si="121"/>
        <v>0.75900000000000056</v>
      </c>
      <c r="X21" s="193">
        <f t="shared" si="122"/>
        <v>-2.7090000000000001</v>
      </c>
      <c r="Y21" s="191">
        <f t="shared" si="123"/>
        <v>-0.71199999999999974</v>
      </c>
      <c r="Z21" s="191">
        <f t="shared" si="124"/>
        <v>-2.3000000000000131E-2</v>
      </c>
      <c r="AA21" s="192">
        <f t="shared" si="125"/>
        <v>0.54199999999999982</v>
      </c>
      <c r="AB21" s="193">
        <f t="shared" si="126"/>
        <v>-1.5369999999999999</v>
      </c>
      <c r="AC21" s="191">
        <f t="shared" si="127"/>
        <v>-1.4250000000000003</v>
      </c>
      <c r="AD21" s="191">
        <f t="shared" si="128"/>
        <v>-8.0039999999999978</v>
      </c>
      <c r="AE21" s="192">
        <f t="shared" si="129"/>
        <v>6.8559999999999972</v>
      </c>
      <c r="AF21" s="193">
        <f t="shared" si="130"/>
        <v>17.704000000000001</v>
      </c>
      <c r="AG21" s="191">
        <f t="shared" si="131"/>
        <v>5.3460000000000001</v>
      </c>
      <c r="AH21" s="191">
        <f t="shared" si="132"/>
        <v>-3.8339999999999996</v>
      </c>
      <c r="AI21" s="192">
        <f t="shared" si="133"/>
        <v>-3.9770000000000003</v>
      </c>
      <c r="AJ21" s="193">
        <f t="shared" si="134"/>
        <v>-4.319</v>
      </c>
      <c r="AK21" s="191">
        <f t="shared" si="135"/>
        <v>-5.7160000000000002</v>
      </c>
      <c r="AL21" s="191">
        <f t="shared" si="136"/>
        <v>-10.744</v>
      </c>
      <c r="AM21" s="192">
        <f t="shared" si="137"/>
        <v>-1.2890000000000015</v>
      </c>
      <c r="AN21" s="191">
        <f t="shared" si="138"/>
        <v>-21.384</v>
      </c>
      <c r="AO21" s="191">
        <f t="shared" si="139"/>
        <v>-8.6900000000000013</v>
      </c>
      <c r="AP21" s="191">
        <f t="shared" si="140"/>
        <v>-6.2229999999999954</v>
      </c>
      <c r="AQ21" s="192">
        <f t="shared" si="141"/>
        <v>1.0569999999999951</v>
      </c>
      <c r="AR21" s="191">
        <f t="shared" si="142"/>
        <v>0.316</v>
      </c>
      <c r="AS21" s="191">
        <f t="shared" si="143"/>
        <v>22.018000000000001</v>
      </c>
      <c r="AT21" s="191">
        <f t="shared" si="144"/>
        <v>24.812000000000001</v>
      </c>
      <c r="AU21" s="192">
        <f t="shared" si="145"/>
        <v>18.721000000000007</v>
      </c>
      <c r="AV21" s="191">
        <f t="shared" si="146"/>
        <v>-13.957000000000001</v>
      </c>
      <c r="AW21" s="191">
        <f t="shared" si="147"/>
        <v>-18.146000000000001</v>
      </c>
      <c r="AX21" s="191">
        <f t="shared" si="148"/>
        <v>1.5150000000000006</v>
      </c>
      <c r="AY21" s="192">
        <f t="shared" si="149"/>
        <v>12.088000000000001</v>
      </c>
      <c r="AZ21" s="191">
        <f t="shared" si="150"/>
        <v>24.991</v>
      </c>
      <c r="BA21" s="191">
        <f t="shared" si="151"/>
        <v>7.0609999999999999</v>
      </c>
      <c r="BB21" s="191">
        <f t="shared" si="152"/>
        <v>-3.3679999999999986</v>
      </c>
      <c r="BC21" s="192">
        <f t="shared" si="153"/>
        <v>-3.1670000000000016</v>
      </c>
      <c r="BD21" s="191">
        <f t="shared" si="154"/>
        <v>-23.893000000000001</v>
      </c>
      <c r="BE21" s="191">
        <f t="shared" si="155"/>
        <v>19.295999999999999</v>
      </c>
      <c r="BF21" s="191">
        <f t="shared" si="156"/>
        <v>39.370000000000005</v>
      </c>
      <c r="BG21" s="192">
        <f t="shared" si="157"/>
        <v>13.471999999999994</v>
      </c>
      <c r="BH21" s="191">
        <f t="shared" si="158"/>
        <v>121.102</v>
      </c>
      <c r="BI21" s="191">
        <f t="shared" si="159"/>
        <v>94.847999999999985</v>
      </c>
      <c r="BJ21" s="191">
        <f t="shared" si="160"/>
        <v>4.724000000000018</v>
      </c>
      <c r="BK21" s="192">
        <f t="shared" si="161"/>
        <v>3.0370000000000061</v>
      </c>
      <c r="BL21" s="191">
        <f t="shared" si="162"/>
        <v>-9.9039999999999999</v>
      </c>
      <c r="BM21" s="191">
        <f t="shared" si="163"/>
        <v>-30.245000000000001</v>
      </c>
      <c r="BN21" s="191">
        <f t="shared" si="164"/>
        <v>-30.034000000000002</v>
      </c>
      <c r="BO21" s="733">
        <f>BS!BN12-BS!BO12</f>
        <v>-0.81848599911103292</v>
      </c>
      <c r="BP21" s="732">
        <f>BS!BO12-BS!BP12</f>
        <v>-18.055837887316841</v>
      </c>
      <c r="BQ21" s="732">
        <f>BS!BP12-BS!BQ12</f>
        <v>-13.578397810990452</v>
      </c>
      <c r="BR21" s="732">
        <f>BS!BQ12-BS!BR12</f>
        <v>8.6086813240711422</v>
      </c>
      <c r="BS21" s="733">
        <f>BS!BR12-BS!BS12</f>
        <v>4.4039465986558639</v>
      </c>
      <c r="BT21" s="732">
        <f>BS!BS12-BS!BT12</f>
        <v>-17.716928334533122</v>
      </c>
      <c r="BU21" s="732">
        <f>BS!BT12-BS!BU12</f>
        <v>-11.124994288337348</v>
      </c>
      <c r="BV21" s="732">
        <f>BS!BU12-BS!BV12</f>
        <v>5.7021719282118966</v>
      </c>
      <c r="BW21" s="732">
        <f>BS!BV12-BS!BW12</f>
        <v>6.1232234785210267</v>
      </c>
      <c r="BX21" s="20"/>
      <c r="BY21" s="191">
        <f t="shared" si="165"/>
        <v>-13.23</v>
      </c>
      <c r="BZ21" s="191">
        <f t="shared" si="166"/>
        <v>7.3570000000000002</v>
      </c>
      <c r="CA21" s="191">
        <f t="shared" si="167"/>
        <v>-9.2140000000000004</v>
      </c>
      <c r="CB21" s="191">
        <f t="shared" si="168"/>
        <v>-11.295999999999999</v>
      </c>
      <c r="CC21" s="191">
        <f t="shared" si="169"/>
        <v>-2.6630000000000003</v>
      </c>
      <c r="CD21" s="191">
        <f t="shared" si="170"/>
        <v>-2.9020000000000001</v>
      </c>
      <c r="CE21" s="191">
        <f t="shared" si="171"/>
        <v>-4.1100000000000003</v>
      </c>
      <c r="CF21" s="191">
        <f t="shared" si="172"/>
        <v>15.239000000000001</v>
      </c>
      <c r="CG21" s="193">
        <f t="shared" si="173"/>
        <v>-22.068000000000001</v>
      </c>
      <c r="CH21" s="191">
        <f t="shared" si="174"/>
        <v>-35.24</v>
      </c>
      <c r="CI21" s="193">
        <f t="shared" si="175"/>
        <v>65.867000000000004</v>
      </c>
      <c r="CJ21" s="193">
        <f t="shared" si="176"/>
        <v>-18.5</v>
      </c>
      <c r="CK21" s="191">
        <f t="shared" si="177"/>
        <v>25.516999999999999</v>
      </c>
      <c r="CL21" s="191">
        <f t="shared" si="178"/>
        <v>48.244999999999997</v>
      </c>
      <c r="CM21" s="191">
        <f t="shared" si="179"/>
        <v>223.71100000000001</v>
      </c>
      <c r="CN21" s="191">
        <f t="shared" si="180"/>
        <v>-71.00148599911104</v>
      </c>
      <c r="CO21" s="191">
        <f t="shared" si="181"/>
        <v>-18.621607775580287</v>
      </c>
      <c r="CP21" s="192">
        <f t="shared" si="83"/>
        <v>-17.016527216137547</v>
      </c>
      <c r="CQ21" s="20"/>
      <c r="CR21" s="193">
        <f t="shared" si="182"/>
        <v>2.0629999999999988</v>
      </c>
      <c r="CS21" s="191">
        <f t="shared" si="183"/>
        <v>-1.585</v>
      </c>
      <c r="CT21" s="191">
        <f t="shared" si="184"/>
        <v>-16.879000000000001</v>
      </c>
      <c r="CU21" s="191">
        <f t="shared" si="185"/>
        <v>-3.8069999999999999</v>
      </c>
      <c r="CV21" s="191">
        <f t="shared" si="186"/>
        <v>-2.6849999999999992</v>
      </c>
      <c r="CW21" s="191">
        <f t="shared" si="187"/>
        <v>-10.423999999999998</v>
      </c>
      <c r="CX21" s="191">
        <f t="shared" si="188"/>
        <v>26.071999999999999</v>
      </c>
      <c r="CY21" s="191">
        <f t="shared" si="189"/>
        <v>-24.756</v>
      </c>
      <c r="CZ21" s="191">
        <f t="shared" si="190"/>
        <v>-37.585999999999999</v>
      </c>
      <c r="DA21" s="191">
        <f t="shared" si="191"/>
        <v>48.202999999999996</v>
      </c>
      <c r="DB21" s="191">
        <f t="shared" si="192"/>
        <v>-11.866999999999994</v>
      </c>
      <c r="DC21" s="191">
        <f t="shared" si="193"/>
        <v>40.772000000000006</v>
      </c>
      <c r="DD21" s="191">
        <f t="shared" si="194"/>
        <v>31.606000000000002</v>
      </c>
      <c r="DE21" s="191">
        <f t="shared" si="195"/>
        <v>234.14600000000002</v>
      </c>
      <c r="DF21" s="191">
        <f t="shared" si="196"/>
        <v>-67.146000000000001</v>
      </c>
      <c r="DG21" s="191">
        <f t="shared" si="197"/>
        <v>-23.844040373347184</v>
      </c>
      <c r="DH21" s="191">
        <f t="shared" si="100"/>
        <v>-18.73580409600271</v>
      </c>
      <c r="DI21" s="22"/>
    </row>
    <row r="22" spans="1:113" ht="14.25" customHeight="1">
      <c r="A22" s="8"/>
      <c r="B22" s="49" t="str">
        <f t="shared" si="101"/>
        <v>Deferred income on shipments to distributors</v>
      </c>
      <c r="C22" s="50"/>
      <c r="D22" s="193">
        <f t="shared" si="102"/>
        <v>9.0879999999999992</v>
      </c>
      <c r="E22" s="191">
        <f t="shared" si="103"/>
        <v>-1.0019999999999989</v>
      </c>
      <c r="F22" s="191">
        <f t="shared" si="104"/>
        <v>1.1259999999999994</v>
      </c>
      <c r="G22" s="192">
        <f t="shared" si="105"/>
        <v>2.8879999999999999</v>
      </c>
      <c r="H22" s="193">
        <f t="shared" si="106"/>
        <v>-0.21299999999999999</v>
      </c>
      <c r="I22" s="191">
        <f t="shared" si="107"/>
        <v>-0.10400000000000001</v>
      </c>
      <c r="J22" s="191">
        <f t="shared" si="108"/>
        <v>6.181</v>
      </c>
      <c r="K22" s="192">
        <f t="shared" si="109"/>
        <v>7.9639999999999995</v>
      </c>
      <c r="L22" s="193">
        <f t="shared" si="110"/>
        <v>8.8160000000000007</v>
      </c>
      <c r="M22" s="191">
        <f t="shared" si="111"/>
        <v>7.3579999999999988</v>
      </c>
      <c r="N22" s="191">
        <f t="shared" si="112"/>
        <v>-5.7419999999999991</v>
      </c>
      <c r="O22" s="192">
        <f t="shared" si="113"/>
        <v>-3.5180000000000007</v>
      </c>
      <c r="P22" s="193">
        <f t="shared" si="114"/>
        <v>-1.6679999999999999</v>
      </c>
      <c r="Q22" s="191">
        <f t="shared" si="115"/>
        <v>-1.099</v>
      </c>
      <c r="R22" s="191">
        <f t="shared" si="116"/>
        <v>-4.29</v>
      </c>
      <c r="S22" s="192">
        <f t="shared" si="117"/>
        <v>14.808</v>
      </c>
      <c r="T22" s="193">
        <f t="shared" si="118"/>
        <v>11.43</v>
      </c>
      <c r="U22" s="191">
        <f t="shared" si="119"/>
        <v>-12.704000000000001</v>
      </c>
      <c r="V22" s="191">
        <f t="shared" si="120"/>
        <v>-6.0719999999999992</v>
      </c>
      <c r="W22" s="192">
        <f t="shared" si="121"/>
        <v>-0.77200000000000024</v>
      </c>
      <c r="X22" s="193">
        <f t="shared" si="122"/>
        <v>-1.431</v>
      </c>
      <c r="Y22" s="191">
        <f t="shared" si="123"/>
        <v>3.4510000000000001</v>
      </c>
      <c r="Z22" s="191">
        <f t="shared" si="124"/>
        <v>-3.400000000000003E-2</v>
      </c>
      <c r="AA22" s="192">
        <f t="shared" si="125"/>
        <v>2.0920000000000001</v>
      </c>
      <c r="AB22" s="193">
        <f t="shared" si="126"/>
        <v>1.6839999999999999</v>
      </c>
      <c r="AC22" s="191">
        <f t="shared" si="127"/>
        <v>6.3820000000000006</v>
      </c>
      <c r="AD22" s="191">
        <f t="shared" si="128"/>
        <v>-5.0860000000000003</v>
      </c>
      <c r="AE22" s="192">
        <f t="shared" si="129"/>
        <v>-14.49</v>
      </c>
      <c r="AF22" s="193">
        <f t="shared" si="130"/>
        <v>-0.5</v>
      </c>
      <c r="AG22" s="191">
        <f t="shared" si="131"/>
        <v>2.83</v>
      </c>
      <c r="AH22" s="191">
        <f t="shared" si="132"/>
        <v>11.321999999999999</v>
      </c>
      <c r="AI22" s="192">
        <f t="shared" si="133"/>
        <v>1.3580000000000005</v>
      </c>
      <c r="AJ22" s="193">
        <f t="shared" si="134"/>
        <v>6.8070000000000004</v>
      </c>
      <c r="AK22" s="191">
        <f t="shared" si="135"/>
        <v>24.211999999999996</v>
      </c>
      <c r="AL22" s="191">
        <f t="shared" si="136"/>
        <v>10.403</v>
      </c>
      <c r="AM22" s="192">
        <f t="shared" si="137"/>
        <v>-2.6409999999999965</v>
      </c>
      <c r="AN22" s="191">
        <f t="shared" si="138"/>
        <v>5.5540000000000003</v>
      </c>
      <c r="AO22" s="191">
        <f t="shared" si="139"/>
        <v>-1.4130000000000003</v>
      </c>
      <c r="AP22" s="191">
        <f t="shared" si="140"/>
        <v>-28.399000000000001</v>
      </c>
      <c r="AQ22" s="192">
        <f t="shared" si="141"/>
        <v>-7.077</v>
      </c>
      <c r="AR22" s="191">
        <f t="shared" si="142"/>
        <v>2.0840000000000001</v>
      </c>
      <c r="AS22" s="191">
        <f t="shared" si="143"/>
        <v>0.95299999999999985</v>
      </c>
      <c r="AT22" s="191">
        <f t="shared" si="144"/>
        <v>-0.51100000000000012</v>
      </c>
      <c r="AU22" s="192">
        <f t="shared" si="145"/>
        <v>16.341000000000001</v>
      </c>
      <c r="AV22" s="191">
        <f t="shared" si="146"/>
        <v>10.865</v>
      </c>
      <c r="AW22" s="191">
        <f t="shared" si="147"/>
        <v>1.2319999999999993</v>
      </c>
      <c r="AX22" s="191">
        <f t="shared" si="148"/>
        <v>-7.7339999999999991</v>
      </c>
      <c r="AY22" s="192">
        <f t="shared" si="149"/>
        <v>4.4829999999999988</v>
      </c>
      <c r="AZ22" s="191">
        <f t="shared" si="150"/>
        <v>-1.2150000000000001</v>
      </c>
      <c r="BA22" s="191">
        <f t="shared" si="151"/>
        <v>13.002000000000001</v>
      </c>
      <c r="BB22" s="191">
        <f t="shared" si="152"/>
        <v>-5.3210000000000006</v>
      </c>
      <c r="BC22" s="192">
        <f t="shared" si="153"/>
        <v>11.863999999999999</v>
      </c>
      <c r="BD22" s="191">
        <f t="shared" si="154"/>
        <v>1.401</v>
      </c>
      <c r="BE22" s="191">
        <f t="shared" si="155"/>
        <v>12.091000000000001</v>
      </c>
      <c r="BF22" s="191">
        <f t="shared" si="156"/>
        <v>-16.380000000000003</v>
      </c>
      <c r="BG22" s="192">
        <f t="shared" si="157"/>
        <v>19.849999999999998</v>
      </c>
      <c r="BH22" s="191">
        <f t="shared" si="158"/>
        <v>29.739000000000001</v>
      </c>
      <c r="BI22" s="191">
        <f t="shared" si="159"/>
        <v>10.025000000000002</v>
      </c>
      <c r="BJ22" s="191">
        <f t="shared" si="160"/>
        <v>71.062999999999988</v>
      </c>
      <c r="BK22" s="192">
        <f t="shared" si="161"/>
        <v>-1.4439999999999955</v>
      </c>
      <c r="BL22" s="191">
        <f t="shared" si="162"/>
        <v>15.981999999999999</v>
      </c>
      <c r="BM22" s="191">
        <f t="shared" si="163"/>
        <v>15.565999999999999</v>
      </c>
      <c r="BN22" s="191">
        <f t="shared" si="164"/>
        <v>11.342000000000002</v>
      </c>
      <c r="BO22" s="733">
        <f>BS!BO30-BS!BN30</f>
        <v>0</v>
      </c>
      <c r="BP22" s="732">
        <f>BS!BP30-BS!BO30</f>
        <v>0</v>
      </c>
      <c r="BQ22" s="732">
        <f>BS!BQ30-BS!BP30</f>
        <v>0</v>
      </c>
      <c r="BR22" s="732">
        <f>BS!BR30-BS!BQ30</f>
        <v>0</v>
      </c>
      <c r="BS22" s="733">
        <f>BS!BS30-BS!BR30</f>
        <v>0</v>
      </c>
      <c r="BT22" s="732">
        <f>BS!BT30-BS!BS30</f>
        <v>0</v>
      </c>
      <c r="BU22" s="732">
        <f>BS!BU30-BS!BT30</f>
        <v>0</v>
      </c>
      <c r="BV22" s="732">
        <f>BS!BV30-BS!BU30</f>
        <v>0</v>
      </c>
      <c r="BW22" s="732">
        <f>BS!BW30-BS!BV30</f>
        <v>0</v>
      </c>
      <c r="BX22" s="20"/>
      <c r="BY22" s="191">
        <f t="shared" si="165"/>
        <v>12.1</v>
      </c>
      <c r="BZ22" s="191">
        <f t="shared" si="166"/>
        <v>13.827999999999999</v>
      </c>
      <c r="CA22" s="191">
        <f t="shared" si="167"/>
        <v>6.9139999999999997</v>
      </c>
      <c r="CB22" s="191">
        <f>SUM(P22:S22)</f>
        <v>7.7509999999999994</v>
      </c>
      <c r="CC22" s="191">
        <f>SUM(T22:W22)</f>
        <v>-8.1180000000000003</v>
      </c>
      <c r="CD22" s="191">
        <f>SUM(X22:AA22)</f>
        <v>4.0780000000000003</v>
      </c>
      <c r="CE22" s="191">
        <f>SUM(AB22:AE22)</f>
        <v>-11.51</v>
      </c>
      <c r="CF22" s="191">
        <f>SUM(AF22:AI22)</f>
        <v>15.01</v>
      </c>
      <c r="CG22" s="193">
        <f>SUM(AJ22:AM22)</f>
        <v>38.780999999999999</v>
      </c>
      <c r="CH22" s="191">
        <f>SUM(AN22:AQ22)</f>
        <v>-31.335000000000001</v>
      </c>
      <c r="CI22" s="193">
        <f>SUM(AR22:AU22)</f>
        <v>18.867000000000001</v>
      </c>
      <c r="CJ22" s="193">
        <f>SUM(AV22:AY22)</f>
        <v>8.8460000000000001</v>
      </c>
      <c r="CK22" s="191">
        <f>SUM(AZ22:BC22)</f>
        <v>18.329999999999998</v>
      </c>
      <c r="CL22" s="191">
        <f t="shared" si="178"/>
        <v>16.961999999999996</v>
      </c>
      <c r="CM22" s="191">
        <f t="shared" si="179"/>
        <v>109.38300000000001</v>
      </c>
      <c r="CN22" s="191">
        <f t="shared" si="180"/>
        <v>42.89</v>
      </c>
      <c r="CO22" s="191">
        <f t="shared" si="181"/>
        <v>0</v>
      </c>
      <c r="CP22" s="192">
        <f t="shared" si="83"/>
        <v>0</v>
      </c>
      <c r="CQ22" s="20"/>
      <c r="CR22" s="193">
        <f t="shared" si="182"/>
        <v>8.7519999999999989</v>
      </c>
      <c r="CS22" s="191">
        <f t="shared" si="183"/>
        <v>18.396000000000001</v>
      </c>
      <c r="CT22" s="191">
        <f t="shared" si="184"/>
        <v>-10.575000000000001</v>
      </c>
      <c r="CU22" s="191">
        <f t="shared" si="185"/>
        <v>7.4619999999999997</v>
      </c>
      <c r="CV22" s="191">
        <f t="shared" si="186"/>
        <v>1.2139999999999997</v>
      </c>
      <c r="CW22" s="191">
        <f t="shared" si="187"/>
        <v>5.072000000000001</v>
      </c>
      <c r="CX22" s="191">
        <f t="shared" si="188"/>
        <v>-0.83800000000000097</v>
      </c>
      <c r="CY22" s="191">
        <f t="shared" si="189"/>
        <v>42.779999999999994</v>
      </c>
      <c r="CZ22" s="191">
        <f t="shared" si="190"/>
        <v>-26.898999999999997</v>
      </c>
      <c r="DA22" s="191">
        <f t="shared" si="191"/>
        <v>-4.551000000000001</v>
      </c>
      <c r="DB22" s="191">
        <f t="shared" si="192"/>
        <v>20.704000000000004</v>
      </c>
      <c r="DC22" s="191">
        <f t="shared" si="193"/>
        <v>10.948999999999998</v>
      </c>
      <c r="DD22" s="191">
        <f t="shared" si="194"/>
        <v>8.9759999999999991</v>
      </c>
      <c r="DE22" s="191">
        <f t="shared" si="195"/>
        <v>130.67699999999999</v>
      </c>
      <c r="DF22" s="191">
        <f t="shared" si="196"/>
        <v>41.446000000000005</v>
      </c>
      <c r="DG22" s="191">
        <f t="shared" si="197"/>
        <v>0</v>
      </c>
      <c r="DH22" s="191">
        <f t="shared" si="100"/>
        <v>0</v>
      </c>
      <c r="DI22" s="22"/>
    </row>
    <row r="23" spans="1:113" ht="14.25" customHeight="1">
      <c r="A23" s="8"/>
      <c r="B23" s="49" t="str">
        <f t="shared" si="101"/>
        <v>Accounts payable, accrued payroll, other accrued liabilities</v>
      </c>
      <c r="C23" s="50"/>
      <c r="D23" s="193">
        <f t="shared" si="102"/>
        <v>9.5399999999999991</v>
      </c>
      <c r="E23" s="191">
        <f t="shared" si="103"/>
        <v>-1.6389999999999993</v>
      </c>
      <c r="F23" s="191">
        <f t="shared" si="104"/>
        <v>13.919</v>
      </c>
      <c r="G23" s="192">
        <f t="shared" si="105"/>
        <v>-8.6910000000000007</v>
      </c>
      <c r="H23" s="193">
        <f t="shared" si="106"/>
        <v>-6.6689999999999996</v>
      </c>
      <c r="I23" s="191">
        <f t="shared" si="107"/>
        <v>6.2389999999999999</v>
      </c>
      <c r="J23" s="191">
        <f t="shared" si="108"/>
        <v>12.855</v>
      </c>
      <c r="K23" s="192">
        <f t="shared" si="109"/>
        <v>18.475999999999999</v>
      </c>
      <c r="L23" s="193">
        <f t="shared" si="110"/>
        <v>-27.661000000000001</v>
      </c>
      <c r="M23" s="191">
        <f t="shared" si="111"/>
        <v>0.77200000000000202</v>
      </c>
      <c r="N23" s="191">
        <f t="shared" si="112"/>
        <v>17.026</v>
      </c>
      <c r="O23" s="192">
        <f t="shared" si="113"/>
        <v>11.041</v>
      </c>
      <c r="P23" s="193">
        <f t="shared" si="114"/>
        <v>13.234</v>
      </c>
      <c r="Q23" s="191">
        <f t="shared" si="115"/>
        <v>11.360999999999999</v>
      </c>
      <c r="R23" s="191">
        <f t="shared" si="116"/>
        <v>14.552000000000001</v>
      </c>
      <c r="S23" s="192">
        <f t="shared" si="117"/>
        <v>32.905999999999999</v>
      </c>
      <c r="T23" s="193">
        <f t="shared" si="118"/>
        <v>5.7539999999999996</v>
      </c>
      <c r="U23" s="191">
        <f t="shared" si="119"/>
        <v>0.41200000000000081</v>
      </c>
      <c r="V23" s="191">
        <f t="shared" si="120"/>
        <v>6.5359999999999996</v>
      </c>
      <c r="W23" s="192">
        <f t="shared" si="121"/>
        <v>-88.68</v>
      </c>
      <c r="X23" s="193">
        <f t="shared" si="122"/>
        <v>23.148</v>
      </c>
      <c r="Y23" s="191">
        <f t="shared" si="123"/>
        <v>-14.23</v>
      </c>
      <c r="Z23" s="191">
        <f t="shared" si="124"/>
        <v>-9.0229999999999997</v>
      </c>
      <c r="AA23" s="192">
        <f t="shared" si="125"/>
        <v>12.184999999999999</v>
      </c>
      <c r="AB23" s="193">
        <f t="shared" si="126"/>
        <v>1.756</v>
      </c>
      <c r="AC23" s="191">
        <f t="shared" si="127"/>
        <v>20.576000000000001</v>
      </c>
      <c r="AD23" s="191">
        <f t="shared" si="128"/>
        <v>-40.778000000000006</v>
      </c>
      <c r="AE23" s="192">
        <f t="shared" si="129"/>
        <v>-6.6509999999999962</v>
      </c>
      <c r="AF23" s="193">
        <f t="shared" si="130"/>
        <v>-7.1920000000000002</v>
      </c>
      <c r="AG23" s="191">
        <f t="shared" si="131"/>
        <v>18.329000000000001</v>
      </c>
      <c r="AH23" s="191">
        <f t="shared" si="132"/>
        <v>3.4629999999999992</v>
      </c>
      <c r="AI23" s="192">
        <f t="shared" si="133"/>
        <v>14.982999999999997</v>
      </c>
      <c r="AJ23" s="193">
        <f t="shared" si="134"/>
        <v>1.484</v>
      </c>
      <c r="AK23" s="191">
        <f t="shared" si="135"/>
        <v>1.8439999999999999</v>
      </c>
      <c r="AL23" s="191">
        <f t="shared" si="136"/>
        <v>-22.606999999999999</v>
      </c>
      <c r="AM23" s="192">
        <f t="shared" si="137"/>
        <v>18.640999999999998</v>
      </c>
      <c r="AN23" s="191">
        <f t="shared" si="138"/>
        <v>-17.786999999999999</v>
      </c>
      <c r="AO23" s="191">
        <f t="shared" si="139"/>
        <v>-32.512999999999998</v>
      </c>
      <c r="AP23" s="191">
        <f t="shared" si="140"/>
        <v>-16.897999999999996</v>
      </c>
      <c r="AQ23" s="192">
        <f t="shared" si="141"/>
        <v>5.742999999999995</v>
      </c>
      <c r="AR23" s="191">
        <f t="shared" si="142"/>
        <v>4.766</v>
      </c>
      <c r="AS23" s="191">
        <f t="shared" si="143"/>
        <v>-32.436</v>
      </c>
      <c r="AT23" s="191">
        <f t="shared" si="144"/>
        <v>-30.869</v>
      </c>
      <c r="AU23" s="192">
        <f t="shared" si="145"/>
        <v>17.625</v>
      </c>
      <c r="AV23" s="191">
        <f t="shared" si="146"/>
        <v>3.9089999999999998</v>
      </c>
      <c r="AW23" s="191">
        <f t="shared" si="147"/>
        <v>-5.9149999999999991</v>
      </c>
      <c r="AX23" s="191">
        <f t="shared" si="148"/>
        <v>-19.864000000000001</v>
      </c>
      <c r="AY23" s="192">
        <f t="shared" si="149"/>
        <v>10.237000000000002</v>
      </c>
      <c r="AZ23" s="191">
        <f t="shared" si="150"/>
        <v>-4.415</v>
      </c>
      <c r="BA23" s="191">
        <f t="shared" si="151"/>
        <v>-11.402000000000001</v>
      </c>
      <c r="BB23" s="191">
        <f t="shared" si="152"/>
        <v>-23.183999999999997</v>
      </c>
      <c r="BC23" s="192">
        <f t="shared" si="153"/>
        <v>5.0090000000000012</v>
      </c>
      <c r="BD23" s="191">
        <f t="shared" si="154"/>
        <v>16.157</v>
      </c>
      <c r="BE23" s="191">
        <f t="shared" si="155"/>
        <v>-47.6</v>
      </c>
      <c r="BF23" s="191">
        <f t="shared" si="156"/>
        <v>-12.990999999999996</v>
      </c>
      <c r="BG23" s="192">
        <f t="shared" si="157"/>
        <v>23.597999999999995</v>
      </c>
      <c r="BH23" s="191">
        <f t="shared" si="158"/>
        <v>-18</v>
      </c>
      <c r="BI23" s="191">
        <f t="shared" si="159"/>
        <v>-4.0169999999999995</v>
      </c>
      <c r="BJ23" s="191">
        <f t="shared" si="160"/>
        <v>-0.24399999999999977</v>
      </c>
      <c r="BK23" s="192">
        <f t="shared" si="161"/>
        <v>6.1909999999999989</v>
      </c>
      <c r="BL23" s="191">
        <f t="shared" si="162"/>
        <v>36.331000000000003</v>
      </c>
      <c r="BM23" s="191">
        <f t="shared" si="163"/>
        <v>-10.525000000000002</v>
      </c>
      <c r="BN23" s="191">
        <f t="shared" si="164"/>
        <v>15.975999999999999</v>
      </c>
      <c r="BO23" s="733">
        <f>BS!BO28-BS!BN28+BS!BO29-BS!BN29+BS!BO33-BS!BN33</f>
        <v>28.192929304000018</v>
      </c>
      <c r="BP23" s="732">
        <f>BS!BP28-BS!BO28+BS!BP29-BS!BO29+BS!BP33-BS!BO33</f>
        <v>7.065327868950078</v>
      </c>
      <c r="BQ23" s="732">
        <f>BS!BQ28-BS!BP28+BS!BQ29-BS!BP29+BS!BQ33-BS!BP33</f>
        <v>5.3132860999527907</v>
      </c>
      <c r="BR23" s="732">
        <f>BS!BR28-BS!BQ28+BS!BR29-BS!BQ29+BS!BR33-BS!BQ33</f>
        <v>-25.582050969129909</v>
      </c>
      <c r="BS23" s="733">
        <f>BS!BS28-BS!BR28+BS!BS29-BS!BR29+BS!BS33-BS!BR33</f>
        <v>-1.5318075125759378</v>
      </c>
      <c r="BT23" s="732">
        <f>BS!BT28-BS!BS28+BS!BT29-BS!BS29+BS!BT33-BS!BS33</f>
        <v>6.1624098554897841</v>
      </c>
      <c r="BU23" s="732">
        <f>BS!BU28-BS!BT28+BS!BU29-BS!BT29+BS!BU33-BS!BT33</f>
        <v>3.8695632307260439</v>
      </c>
      <c r="BV23" s="732">
        <f>BS!BV28-BS!BU28+BS!BV29-BS!BU29+BS!BV33-BS!BU33</f>
        <v>-1.9833641489432239</v>
      </c>
      <c r="BW23" s="732">
        <f>BS!BW28-BS!BV28+BS!BW29-BS!BV29+BS!BW33-BS!BV33</f>
        <v>-2.1298168620942874</v>
      </c>
      <c r="BX23" s="20"/>
      <c r="BY23" s="191">
        <f t="shared" si="165"/>
        <v>13.129</v>
      </c>
      <c r="BZ23" s="191">
        <f t="shared" si="166"/>
        <v>30.901</v>
      </c>
      <c r="CA23" s="191">
        <f t="shared" si="167"/>
        <v>1.1780000000000008</v>
      </c>
      <c r="CB23" s="191">
        <f t="shared" si="168"/>
        <v>72.052999999999997</v>
      </c>
      <c r="CC23" s="191">
        <f t="shared" si="169"/>
        <v>-75.978000000000009</v>
      </c>
      <c r="CD23" s="191">
        <f t="shared" si="170"/>
        <v>12.079999999999998</v>
      </c>
      <c r="CE23" s="191">
        <f t="shared" si="171"/>
        <v>-25.097000000000001</v>
      </c>
      <c r="CF23" s="191">
        <f t="shared" si="172"/>
        <v>29.582999999999998</v>
      </c>
      <c r="CG23" s="193">
        <f t="shared" si="173"/>
        <v>-0.63800000000000168</v>
      </c>
      <c r="CH23" s="191">
        <f t="shared" si="174"/>
        <v>-61.454999999999998</v>
      </c>
      <c r="CI23" s="193">
        <f t="shared" si="175"/>
        <v>-40.914000000000001</v>
      </c>
      <c r="CJ23" s="193">
        <f t="shared" si="176"/>
        <v>-11.632999999999999</v>
      </c>
      <c r="CK23" s="191">
        <f t="shared" si="177"/>
        <v>-33.991999999999997</v>
      </c>
      <c r="CL23" s="191">
        <f t="shared" si="178"/>
        <v>-20.836000000000002</v>
      </c>
      <c r="CM23" s="191">
        <f t="shared" si="179"/>
        <v>-16.07</v>
      </c>
      <c r="CN23" s="191">
        <f t="shared" si="180"/>
        <v>69.974929304000014</v>
      </c>
      <c r="CO23" s="191">
        <f t="shared" si="181"/>
        <v>-14.735244512802979</v>
      </c>
      <c r="CP23" s="192">
        <f t="shared" si="83"/>
        <v>5.9187920751783167</v>
      </c>
      <c r="CQ23" s="20"/>
      <c r="CR23" s="193">
        <f t="shared" si="182"/>
        <v>3.7340000000000018</v>
      </c>
      <c r="CS23" s="191">
        <f t="shared" si="183"/>
        <v>8.6129999999999995</v>
      </c>
      <c r="CT23" s="191">
        <f t="shared" si="184"/>
        <v>50.187999999999995</v>
      </c>
      <c r="CU23" s="191">
        <f t="shared" si="185"/>
        <v>45.607999999999997</v>
      </c>
      <c r="CV23" s="191">
        <f t="shared" si="186"/>
        <v>-88.785000000000011</v>
      </c>
      <c r="CW23" s="191">
        <f t="shared" si="187"/>
        <v>-6.2610000000000099</v>
      </c>
      <c r="CX23" s="191">
        <f t="shared" si="188"/>
        <v>7.9490000000000034</v>
      </c>
      <c r="CY23" s="191">
        <f t="shared" si="189"/>
        <v>-4.2959999999999994</v>
      </c>
      <c r="CZ23" s="191">
        <f t="shared" si="190"/>
        <v>-48.556999999999995</v>
      </c>
      <c r="DA23" s="191">
        <f t="shared" si="191"/>
        <v>-52.796000000000006</v>
      </c>
      <c r="DB23" s="191">
        <f t="shared" si="192"/>
        <v>-4.245000000000001</v>
      </c>
      <c r="DC23" s="191">
        <f t="shared" si="193"/>
        <v>-28.763999999999996</v>
      </c>
      <c r="DD23" s="191">
        <f t="shared" si="194"/>
        <v>-39.424999999999997</v>
      </c>
      <c r="DE23" s="191">
        <f t="shared" si="195"/>
        <v>1.3369999999999962</v>
      </c>
      <c r="DF23" s="191">
        <f t="shared" si="196"/>
        <v>47.972999999999999</v>
      </c>
      <c r="DG23" s="191">
        <f t="shared" si="197"/>
        <v>14.989492303772977</v>
      </c>
      <c r="DH23" s="191">
        <f t="shared" si="100"/>
        <v>6.5168014246966663</v>
      </c>
      <c r="DI23" s="22"/>
    </row>
    <row r="24" spans="1:113" ht="14.25" customHeight="1">
      <c r="A24" s="8"/>
      <c r="B24" s="49" t="str">
        <f t="shared" si="101"/>
        <v>Income taxes payable and receivable</v>
      </c>
      <c r="C24" s="50"/>
      <c r="D24" s="193">
        <f t="shared" si="102"/>
        <v>0</v>
      </c>
      <c r="E24" s="191">
        <f t="shared" si="103"/>
        <v>0</v>
      </c>
      <c r="F24" s="191">
        <f t="shared" si="104"/>
        <v>0</v>
      </c>
      <c r="G24" s="192">
        <f t="shared" si="105"/>
        <v>0</v>
      </c>
      <c r="H24" s="193">
        <f t="shared" si="106"/>
        <v>0</v>
      </c>
      <c r="I24" s="191">
        <f t="shared" si="107"/>
        <v>0</v>
      </c>
      <c r="J24" s="191">
        <f t="shared" si="108"/>
        <v>0</v>
      </c>
      <c r="K24" s="192">
        <f t="shared" si="109"/>
        <v>0</v>
      </c>
      <c r="L24" s="193">
        <f t="shared" si="110"/>
        <v>0</v>
      </c>
      <c r="M24" s="191">
        <f t="shared" si="111"/>
        <v>0</v>
      </c>
      <c r="N24" s="191">
        <f t="shared" si="112"/>
        <v>0</v>
      </c>
      <c r="O24" s="192">
        <f t="shared" si="113"/>
        <v>0</v>
      </c>
      <c r="P24" s="193">
        <f t="shared" si="114"/>
        <v>0</v>
      </c>
      <c r="Q24" s="191">
        <f t="shared" si="115"/>
        <v>0</v>
      </c>
      <c r="R24" s="191">
        <f t="shared" si="116"/>
        <v>0</v>
      </c>
      <c r="S24" s="192">
        <f t="shared" si="117"/>
        <v>0</v>
      </c>
      <c r="T24" s="193">
        <f t="shared" si="118"/>
        <v>0</v>
      </c>
      <c r="U24" s="191">
        <f t="shared" si="119"/>
        <v>0</v>
      </c>
      <c r="V24" s="191">
        <f t="shared" si="120"/>
        <v>0</v>
      </c>
      <c r="W24" s="192">
        <f t="shared" si="121"/>
        <v>0</v>
      </c>
      <c r="X24" s="193">
        <f t="shared" si="122"/>
        <v>0</v>
      </c>
      <c r="Y24" s="191">
        <f t="shared" si="123"/>
        <v>0</v>
      </c>
      <c r="Z24" s="191">
        <f t="shared" si="124"/>
        <v>0</v>
      </c>
      <c r="AA24" s="192">
        <f t="shared" si="125"/>
        <v>0</v>
      </c>
      <c r="AB24" s="193">
        <f t="shared" si="126"/>
        <v>0</v>
      </c>
      <c r="AC24" s="191">
        <f t="shared" si="127"/>
        <v>0</v>
      </c>
      <c r="AD24" s="191">
        <f t="shared" si="128"/>
        <v>0</v>
      </c>
      <c r="AE24" s="192">
        <f t="shared" si="129"/>
        <v>0</v>
      </c>
      <c r="AF24" s="193">
        <f t="shared" si="130"/>
        <v>0</v>
      </c>
      <c r="AG24" s="191">
        <f t="shared" si="131"/>
        <v>0</v>
      </c>
      <c r="AH24" s="191">
        <f t="shared" si="132"/>
        <v>0</v>
      </c>
      <c r="AI24" s="192">
        <f t="shared" si="133"/>
        <v>0</v>
      </c>
      <c r="AJ24" s="193">
        <f t="shared" si="134"/>
        <v>0</v>
      </c>
      <c r="AK24" s="191">
        <f t="shared" si="135"/>
        <v>0</v>
      </c>
      <c r="AL24" s="191">
        <f t="shared" si="136"/>
        <v>0</v>
      </c>
      <c r="AM24" s="192">
        <f t="shared" si="137"/>
        <v>0</v>
      </c>
      <c r="AN24" s="191">
        <f t="shared" si="138"/>
        <v>0</v>
      </c>
      <c r="AO24" s="191">
        <f t="shared" si="139"/>
        <v>0</v>
      </c>
      <c r="AP24" s="191">
        <f t="shared" si="140"/>
        <v>0</v>
      </c>
      <c r="AQ24" s="192">
        <f t="shared" si="141"/>
        <v>0</v>
      </c>
      <c r="AR24" s="191">
        <f t="shared" si="142"/>
        <v>0</v>
      </c>
      <c r="AS24" s="191">
        <f t="shared" si="143"/>
        <v>0</v>
      </c>
      <c r="AT24" s="191">
        <f t="shared" si="144"/>
        <v>0</v>
      </c>
      <c r="AU24" s="192">
        <f t="shared" si="145"/>
        <v>0</v>
      </c>
      <c r="AV24" s="191">
        <f t="shared" si="146"/>
        <v>0</v>
      </c>
      <c r="AW24" s="191">
        <f t="shared" si="147"/>
        <v>0</v>
      </c>
      <c r="AX24" s="191">
        <f t="shared" si="148"/>
        <v>0</v>
      </c>
      <c r="AY24" s="192">
        <f t="shared" si="149"/>
        <v>0</v>
      </c>
      <c r="AZ24" s="191">
        <f t="shared" si="150"/>
        <v>0</v>
      </c>
      <c r="BA24" s="191">
        <f t="shared" si="151"/>
        <v>0</v>
      </c>
      <c r="BB24" s="191">
        <f t="shared" si="152"/>
        <v>0</v>
      </c>
      <c r="BC24" s="192">
        <f t="shared" si="153"/>
        <v>0</v>
      </c>
      <c r="BD24" s="191">
        <f t="shared" si="154"/>
        <v>0</v>
      </c>
      <c r="BE24" s="191">
        <f t="shared" si="155"/>
        <v>0</v>
      </c>
      <c r="BF24" s="191">
        <f t="shared" si="156"/>
        <v>0</v>
      </c>
      <c r="BG24" s="192">
        <f t="shared" si="157"/>
        <v>0</v>
      </c>
      <c r="BH24" s="191">
        <f t="shared" si="158"/>
        <v>0</v>
      </c>
      <c r="BI24" s="191">
        <f t="shared" si="159"/>
        <v>0</v>
      </c>
      <c r="BJ24" s="191">
        <f t="shared" si="160"/>
        <v>0</v>
      </c>
      <c r="BK24" s="192">
        <f t="shared" si="161"/>
        <v>0</v>
      </c>
      <c r="BL24" s="191">
        <f t="shared" si="162"/>
        <v>0</v>
      </c>
      <c r="BM24" s="191">
        <f t="shared" si="163"/>
        <v>0</v>
      </c>
      <c r="BN24" s="191">
        <f t="shared" si="164"/>
        <v>303.90300000000002</v>
      </c>
      <c r="BO24" s="733">
        <f>BS!BN14-BS!BO14+BS!BN23-BS!BO23+BS!BO31-BS!BN31+BS!BO38-BS!BN38</f>
        <v>0</v>
      </c>
      <c r="BP24" s="732">
        <f>BS!BO14-BS!BP14+BS!BO23-BS!BP23+BS!BP31-BS!BO31+BS!BP38-BS!BO38</f>
        <v>0</v>
      </c>
      <c r="BQ24" s="732">
        <f>BS!BP14-BS!BQ14+BS!BP23-BS!BQ23+BS!BQ31-BS!BP31+BS!BQ38-BS!BP38</f>
        <v>0</v>
      </c>
      <c r="BR24" s="732">
        <f>BS!BQ14-BS!BR14+BS!BQ23-BS!BR23+BS!BR31-BS!BQ31+BS!BR38-BS!BQ38</f>
        <v>0</v>
      </c>
      <c r="BS24" s="733">
        <f>BS!BR14-BS!BS14+BS!BR23-BS!BS23+BS!BS31-BS!BR31+BS!BS38-BS!BR38</f>
        <v>0</v>
      </c>
      <c r="BT24" s="732">
        <f>BS!BS14-BS!BT14+BS!BS23-BS!BT23+BS!BT31-BS!BS31+BS!BT38-BS!BS38</f>
        <v>0</v>
      </c>
      <c r="BU24" s="732">
        <f>BS!BT14-BS!BU14+BS!BT23-BS!BU23+BS!BU31-BS!BT31+BS!BU38-BS!BT38</f>
        <v>0</v>
      </c>
      <c r="BV24" s="732">
        <f>BS!BU14-BS!BV14+BS!BU23-BS!BV23+BS!BV31-BS!BU31+BS!BV38-BS!BU38</f>
        <v>0</v>
      </c>
      <c r="BW24" s="732">
        <f>BS!BV14-BS!BW14+BS!BV23-BS!BW23+BS!BW31-BS!BV31+BS!BW38-BS!BV38</f>
        <v>0</v>
      </c>
      <c r="BX24" s="20"/>
      <c r="BY24" s="191">
        <f t="shared" si="165"/>
        <v>0</v>
      </c>
      <c r="BZ24" s="191">
        <f t="shared" si="166"/>
        <v>0</v>
      </c>
      <c r="CA24" s="191">
        <f t="shared" si="167"/>
        <v>0</v>
      </c>
      <c r="CB24" s="191">
        <f>SUM(P24:S24)</f>
        <v>0</v>
      </c>
      <c r="CC24" s="191">
        <f>SUM(T24:W24)</f>
        <v>0</v>
      </c>
      <c r="CD24" s="191">
        <f>SUM(X24:AA24)</f>
        <v>0</v>
      </c>
      <c r="CE24" s="191">
        <f>SUM(AB24:AE24)</f>
        <v>0</v>
      </c>
      <c r="CF24" s="191">
        <f>SUM(AF24:AI24)</f>
        <v>0</v>
      </c>
      <c r="CG24" s="193">
        <f>SUM(AJ24:AM24)</f>
        <v>0</v>
      </c>
      <c r="CH24" s="191">
        <f>SUM(AN24:AQ24)</f>
        <v>0</v>
      </c>
      <c r="CI24" s="193">
        <f>SUM(AR24:AU24)</f>
        <v>0</v>
      </c>
      <c r="CJ24" s="193">
        <f>SUM(AV24:AY24)</f>
        <v>0</v>
      </c>
      <c r="CK24" s="191">
        <f>SUM(AZ24:BC24)</f>
        <v>0</v>
      </c>
      <c r="CL24" s="191">
        <f t="shared" si="178"/>
        <v>0</v>
      </c>
      <c r="CM24" s="191">
        <f t="shared" si="179"/>
        <v>0</v>
      </c>
      <c r="CN24" s="191">
        <f t="shared" si="180"/>
        <v>303.90300000000002</v>
      </c>
      <c r="CO24" s="191">
        <f t="shared" si="181"/>
        <v>0</v>
      </c>
      <c r="CP24" s="192">
        <f t="shared" si="83"/>
        <v>0</v>
      </c>
      <c r="CQ24" s="20"/>
      <c r="CR24" s="193">
        <f t="shared" si="182"/>
        <v>0</v>
      </c>
      <c r="CS24" s="191">
        <f t="shared" si="183"/>
        <v>0</v>
      </c>
      <c r="CT24" s="191">
        <f t="shared" si="184"/>
        <v>0</v>
      </c>
      <c r="CU24" s="191">
        <f t="shared" si="185"/>
        <v>0</v>
      </c>
      <c r="CV24" s="191">
        <f t="shared" si="186"/>
        <v>0</v>
      </c>
      <c r="CW24" s="191">
        <f t="shared" si="187"/>
        <v>0</v>
      </c>
      <c r="CX24" s="191">
        <f t="shared" si="188"/>
        <v>0</v>
      </c>
      <c r="CY24" s="191">
        <f t="shared" si="189"/>
        <v>0</v>
      </c>
      <c r="CZ24" s="191">
        <f t="shared" si="190"/>
        <v>0</v>
      </c>
      <c r="DA24" s="191">
        <f t="shared" si="191"/>
        <v>0</v>
      </c>
      <c r="DB24" s="191">
        <f t="shared" si="192"/>
        <v>0</v>
      </c>
      <c r="DC24" s="191">
        <f t="shared" si="193"/>
        <v>0</v>
      </c>
      <c r="DD24" s="191">
        <f t="shared" si="194"/>
        <v>0</v>
      </c>
      <c r="DE24" s="191">
        <f t="shared" si="195"/>
        <v>0</v>
      </c>
      <c r="DF24" s="191">
        <f t="shared" si="196"/>
        <v>303.90300000000002</v>
      </c>
      <c r="DG24" s="191">
        <f t="shared" si="197"/>
        <v>0</v>
      </c>
      <c r="DH24" s="191">
        <f t="shared" si="100"/>
        <v>0</v>
      </c>
      <c r="DI24" s="22"/>
    </row>
    <row r="25" spans="1:113" ht="14.25" customHeight="1">
      <c r="A25" s="8"/>
      <c r="B25" s="49" t="str">
        <f t="shared" si="101"/>
        <v>Other assets and liabilities</v>
      </c>
      <c r="C25" s="50"/>
      <c r="D25" s="193">
        <f t="shared" si="102"/>
        <v>-4.0010000000000003</v>
      </c>
      <c r="E25" s="191">
        <f t="shared" si="103"/>
        <v>-1.093</v>
      </c>
      <c r="F25" s="191">
        <f t="shared" si="104"/>
        <v>-0.4529999999999994</v>
      </c>
      <c r="G25" s="192">
        <f t="shared" si="105"/>
        <v>3.2439999999999998</v>
      </c>
      <c r="H25" s="193">
        <f t="shared" si="106"/>
        <v>1.5209999999999999</v>
      </c>
      <c r="I25" s="191">
        <f t="shared" si="107"/>
        <v>-0.1489999999999998</v>
      </c>
      <c r="J25" s="191">
        <f t="shared" si="108"/>
        <v>0.34499999999999997</v>
      </c>
      <c r="K25" s="192">
        <f t="shared" si="109"/>
        <v>-3.3140000000000001</v>
      </c>
      <c r="L25" s="193">
        <f t="shared" si="110"/>
        <v>0.26800000000000002</v>
      </c>
      <c r="M25" s="191">
        <f t="shared" si="111"/>
        <v>-2.2240000000000002</v>
      </c>
      <c r="N25" s="191">
        <f t="shared" si="112"/>
        <v>-0.3039999999999996</v>
      </c>
      <c r="O25" s="192">
        <f t="shared" si="113"/>
        <v>-3.9020000000000001</v>
      </c>
      <c r="P25" s="193">
        <f t="shared" si="114"/>
        <v>0.95299999999999996</v>
      </c>
      <c r="Q25" s="191">
        <f t="shared" si="115"/>
        <v>-4.8010000000000002</v>
      </c>
      <c r="R25" s="191">
        <f t="shared" si="116"/>
        <v>0.11800000000000022</v>
      </c>
      <c r="S25" s="192">
        <f t="shared" si="117"/>
        <v>-0.70600000000000007</v>
      </c>
      <c r="T25" s="193">
        <f t="shared" si="118"/>
        <v>0.80300000000000005</v>
      </c>
      <c r="U25" s="191">
        <f t="shared" si="119"/>
        <v>-6.915</v>
      </c>
      <c r="V25" s="191">
        <f t="shared" si="120"/>
        <v>-1.3099999999999996</v>
      </c>
      <c r="W25" s="192">
        <f t="shared" si="121"/>
        <v>-0.1640000000000007</v>
      </c>
      <c r="X25" s="193">
        <f t="shared" si="122"/>
        <v>-5.3970000000000002</v>
      </c>
      <c r="Y25" s="191">
        <f t="shared" si="123"/>
        <v>-4.2579999999999991</v>
      </c>
      <c r="Z25" s="191">
        <f t="shared" si="124"/>
        <v>12.62</v>
      </c>
      <c r="AA25" s="192">
        <f t="shared" si="125"/>
        <v>-10.914</v>
      </c>
      <c r="AB25" s="193">
        <f t="shared" si="126"/>
        <v>8.7989999999999995</v>
      </c>
      <c r="AC25" s="191">
        <f t="shared" si="127"/>
        <v>8</v>
      </c>
      <c r="AD25" s="191">
        <f t="shared" si="128"/>
        <v>-47.213999999999999</v>
      </c>
      <c r="AE25" s="192">
        <f t="shared" si="129"/>
        <v>-8.0579999999999998</v>
      </c>
      <c r="AF25" s="193">
        <f t="shared" si="130"/>
        <v>-5.2649999999999997</v>
      </c>
      <c r="AG25" s="191">
        <f t="shared" si="131"/>
        <v>2.8739999999999997</v>
      </c>
      <c r="AH25" s="191">
        <f t="shared" si="132"/>
        <v>-15.622</v>
      </c>
      <c r="AI25" s="192">
        <f t="shared" si="133"/>
        <v>3.0939999999999994</v>
      </c>
      <c r="AJ25" s="193">
        <f t="shared" si="134"/>
        <v>3.0419999999999998</v>
      </c>
      <c r="AK25" s="191">
        <f t="shared" si="135"/>
        <v>0.88400000000000034</v>
      </c>
      <c r="AL25" s="191">
        <f t="shared" si="136"/>
        <v>4.286999999999999</v>
      </c>
      <c r="AM25" s="192">
        <f t="shared" si="137"/>
        <v>-43.785000000000004</v>
      </c>
      <c r="AN25" s="191">
        <f t="shared" si="138"/>
        <v>-10.872999999999999</v>
      </c>
      <c r="AO25" s="191">
        <f t="shared" si="139"/>
        <v>24.89</v>
      </c>
      <c r="AP25" s="191">
        <f t="shared" si="140"/>
        <v>1.1229999999999993</v>
      </c>
      <c r="AQ25" s="192">
        <f t="shared" si="141"/>
        <v>-7.17</v>
      </c>
      <c r="AR25" s="191">
        <f t="shared" si="142"/>
        <v>5.2910000000000004</v>
      </c>
      <c r="AS25" s="191">
        <f t="shared" si="143"/>
        <v>35.171000000000006</v>
      </c>
      <c r="AT25" s="191">
        <f t="shared" si="144"/>
        <v>-7.4620000000000068</v>
      </c>
      <c r="AU25" s="192">
        <f t="shared" si="145"/>
        <v>-4.2999999999995708E-2</v>
      </c>
      <c r="AV25" s="191">
        <f t="shared" si="146"/>
        <v>14.977</v>
      </c>
      <c r="AW25" s="191">
        <f t="shared" si="147"/>
        <v>5.2139999999999986</v>
      </c>
      <c r="AX25" s="191">
        <f t="shared" si="148"/>
        <v>-10.391999999999999</v>
      </c>
      <c r="AY25" s="192">
        <f t="shared" si="149"/>
        <v>39.367999999999995</v>
      </c>
      <c r="AZ25" s="191">
        <f t="shared" si="150"/>
        <v>15.85</v>
      </c>
      <c r="BA25" s="191">
        <f t="shared" si="151"/>
        <v>-5.1129999999999995</v>
      </c>
      <c r="BB25" s="191">
        <f t="shared" si="152"/>
        <v>-18.486000000000001</v>
      </c>
      <c r="BC25" s="192">
        <f t="shared" si="153"/>
        <v>4.8260000000000023</v>
      </c>
      <c r="BD25" s="191">
        <f t="shared" si="154"/>
        <v>5.2249999999999996</v>
      </c>
      <c r="BE25" s="191">
        <f t="shared" si="155"/>
        <v>1.3640000000000008</v>
      </c>
      <c r="BF25" s="191">
        <f t="shared" si="156"/>
        <v>-33.688000000000002</v>
      </c>
      <c r="BG25" s="192">
        <f t="shared" si="157"/>
        <v>63.755999999999993</v>
      </c>
      <c r="BH25" s="191">
        <f t="shared" si="158"/>
        <v>-6.2739999999999991</v>
      </c>
      <c r="BI25" s="191">
        <f t="shared" si="159"/>
        <v>2.9469999999999992</v>
      </c>
      <c r="BJ25" s="191">
        <f t="shared" si="160"/>
        <v>-1.5909999999999993</v>
      </c>
      <c r="BK25" s="192">
        <f t="shared" si="161"/>
        <v>38.894000000000005</v>
      </c>
      <c r="BL25" s="191">
        <f t="shared" si="162"/>
        <v>-7.2960000000000003</v>
      </c>
      <c r="BM25" s="191">
        <f t="shared" si="163"/>
        <v>24.016999999999999</v>
      </c>
      <c r="BN25" s="191">
        <f t="shared" si="164"/>
        <v>-1.0579999999999989</v>
      </c>
      <c r="BO25" s="733">
        <f>BS!BN13-BS!BO13+BS!BN15-BS!BO15</f>
        <v>-64.732859919999981</v>
      </c>
      <c r="BP25" s="732">
        <f>BS!BO13-BS!BP13+BS!BO15-BS!BP15</f>
        <v>-5.2283622600000115</v>
      </c>
      <c r="BQ25" s="732">
        <f>BS!BP13-BS!BQ13+BS!BP15-BS!BQ15</f>
        <v>-3.8669641385400126</v>
      </c>
      <c r="BR25" s="732">
        <f>BS!BQ13-BS!BR13+BS!BQ15-BS!BR15</f>
        <v>2.5906959179449984</v>
      </c>
      <c r="BS25" s="733">
        <f>BS!BR13-BS!BS13+BS!BR15-BS!BS15</f>
        <v>1.1250122377467875</v>
      </c>
      <c r="BT25" s="732">
        <f>BS!BS13-BS!BT13+BS!BS15-BS!BT15</f>
        <v>-4.9256763835157358</v>
      </c>
      <c r="BU25" s="732">
        <f>BS!BT13-BS!BU13+BS!BT15-BS!BU15</f>
        <v>-3.304400967505984</v>
      </c>
      <c r="BV25" s="732">
        <f>BS!BU13-BS!BV13+BS!BU15-BS!BV15</f>
        <v>1.9121440794179136</v>
      </c>
      <c r="BW25" s="732">
        <f>BS!BV13-BS!BW13+BS!BV15-BS!BW15</f>
        <v>1.1745792148541057</v>
      </c>
      <c r="BX25" s="20"/>
      <c r="BY25" s="191">
        <f t="shared" si="165"/>
        <v>-2.3029999999999999</v>
      </c>
      <c r="BZ25" s="191">
        <f t="shared" si="166"/>
        <v>-1.597</v>
      </c>
      <c r="CA25" s="191">
        <f t="shared" si="167"/>
        <v>-6.1619999999999999</v>
      </c>
      <c r="CB25" s="191">
        <f t="shared" si="168"/>
        <v>-4.4359999999999999</v>
      </c>
      <c r="CC25" s="191">
        <f t="shared" si="169"/>
        <v>-7.5860000000000003</v>
      </c>
      <c r="CD25" s="191">
        <f t="shared" si="170"/>
        <v>-7.9489999999999998</v>
      </c>
      <c r="CE25" s="191">
        <f t="shared" si="171"/>
        <v>-38.472999999999999</v>
      </c>
      <c r="CF25" s="191">
        <f t="shared" si="172"/>
        <v>-14.918999999999999</v>
      </c>
      <c r="CG25" s="193">
        <f t="shared" si="173"/>
        <v>-35.572000000000003</v>
      </c>
      <c r="CH25" s="191">
        <f t="shared" si="174"/>
        <v>7.9700000000000006</v>
      </c>
      <c r="CI25" s="193">
        <f t="shared" si="175"/>
        <v>32.957000000000008</v>
      </c>
      <c r="CJ25" s="193">
        <f t="shared" si="176"/>
        <v>49.166999999999994</v>
      </c>
      <c r="CK25" s="191">
        <f t="shared" si="177"/>
        <v>-2.9229999999999983</v>
      </c>
      <c r="CL25" s="191">
        <f t="shared" si="178"/>
        <v>36.656999999999989</v>
      </c>
      <c r="CM25" s="191">
        <f t="shared" si="179"/>
        <v>33.976000000000006</v>
      </c>
      <c r="CN25" s="191">
        <f t="shared" si="180"/>
        <v>-49.069859919999985</v>
      </c>
      <c r="CO25" s="191">
        <f t="shared" si="181"/>
        <v>-5.3796182428482382</v>
      </c>
      <c r="CP25" s="192">
        <f t="shared" si="83"/>
        <v>-5.1433540567497005</v>
      </c>
      <c r="CQ25" s="20"/>
      <c r="CR25" s="193">
        <f t="shared" si="182"/>
        <v>4.9609999999999994</v>
      </c>
      <c r="CS25" s="191">
        <f t="shared" si="183"/>
        <v>-5.5739999999999998</v>
      </c>
      <c r="CT25" s="191">
        <f t="shared" si="184"/>
        <v>-7.6319999999999997</v>
      </c>
      <c r="CU25" s="191">
        <f t="shared" si="185"/>
        <v>-8.1280000000000001</v>
      </c>
      <c r="CV25" s="191">
        <f t="shared" si="186"/>
        <v>2.8010000000000002</v>
      </c>
      <c r="CW25" s="191">
        <f t="shared" si="187"/>
        <v>-41.329000000000001</v>
      </c>
      <c r="CX25" s="191">
        <f t="shared" si="188"/>
        <v>-26.071000000000002</v>
      </c>
      <c r="CY25" s="191">
        <f t="shared" si="189"/>
        <v>11.306999999999999</v>
      </c>
      <c r="CZ25" s="191">
        <f t="shared" si="190"/>
        <v>-28.645000000000003</v>
      </c>
      <c r="DA25" s="191">
        <f t="shared" si="191"/>
        <v>25.830000000000002</v>
      </c>
      <c r="DB25" s="191">
        <f t="shared" si="192"/>
        <v>9.7560000000000038</v>
      </c>
      <c r="DC25" s="191">
        <f t="shared" si="193"/>
        <v>31.618999999999996</v>
      </c>
      <c r="DD25" s="191">
        <f t="shared" si="194"/>
        <v>-22.273</v>
      </c>
      <c r="DE25" s="191">
        <f t="shared" si="195"/>
        <v>58.837999999999987</v>
      </c>
      <c r="DF25" s="191">
        <f t="shared" si="196"/>
        <v>54.557000000000009</v>
      </c>
      <c r="DG25" s="191">
        <f t="shared" si="197"/>
        <v>-71.237490400595007</v>
      </c>
      <c r="DH25" s="191">
        <f t="shared" si="100"/>
        <v>-5.1929210338570186</v>
      </c>
      <c r="DI25" s="22"/>
    </row>
    <row r="26" spans="1:113" ht="14.25" customHeight="1" thickBot="1">
      <c r="A26" s="8"/>
      <c r="B26" s="197" t="str">
        <f t="shared" si="101"/>
        <v>Net cash provided by operating activities</v>
      </c>
      <c r="C26" s="198"/>
      <c r="D26" s="200">
        <f t="shared" ref="D26:O26" si="198">D9+SUM(D11:D18)+SUM(D20:D25)</f>
        <v>71.262</v>
      </c>
      <c r="E26" s="199">
        <f t="shared" si="198"/>
        <v>57.256999999999991</v>
      </c>
      <c r="F26" s="199">
        <f t="shared" si="198"/>
        <v>74.98</v>
      </c>
      <c r="G26" s="201">
        <f t="shared" si="198"/>
        <v>56.688000000000052</v>
      </c>
      <c r="H26" s="200">
        <f t="shared" si="198"/>
        <v>67.804999999999978</v>
      </c>
      <c r="I26" s="199">
        <f t="shared" si="198"/>
        <v>77.294999999999987</v>
      </c>
      <c r="J26" s="199">
        <f t="shared" si="198"/>
        <v>102.86400000000002</v>
      </c>
      <c r="K26" s="201">
        <f t="shared" si="198"/>
        <v>95.116000000000014</v>
      </c>
      <c r="L26" s="200">
        <f t="shared" si="198"/>
        <v>104.47500000000001</v>
      </c>
      <c r="M26" s="199">
        <f t="shared" si="198"/>
        <v>80.489999999999981</v>
      </c>
      <c r="N26" s="199">
        <f t="shared" si="198"/>
        <v>110.48299999999999</v>
      </c>
      <c r="O26" s="201">
        <f t="shared" si="198"/>
        <v>57.262000000000015</v>
      </c>
      <c r="P26" s="200">
        <f t="shared" ref="P26:AX26" si="199">P9+SUM(P11:P18)+SUM(P20:P25)</f>
        <v>93.996999999999986</v>
      </c>
      <c r="Q26" s="199">
        <f t="shared" si="199"/>
        <v>109.06400000000001</v>
      </c>
      <c r="R26" s="199">
        <f t="shared" si="199"/>
        <v>119.99799999999998</v>
      </c>
      <c r="S26" s="201">
        <f t="shared" si="199"/>
        <v>114.264</v>
      </c>
      <c r="T26" s="200">
        <f t="shared" si="199"/>
        <v>129.80300000000003</v>
      </c>
      <c r="U26" s="199">
        <f t="shared" si="199"/>
        <v>120.93200000000002</v>
      </c>
      <c r="V26" s="199">
        <f t="shared" si="199"/>
        <v>107.08999999999997</v>
      </c>
      <c r="W26" s="201">
        <f t="shared" si="199"/>
        <v>71.944000000000003</v>
      </c>
      <c r="X26" s="200">
        <f t="shared" si="199"/>
        <v>122.63000000000002</v>
      </c>
      <c r="Y26" s="199">
        <f t="shared" si="199"/>
        <v>105.40699999999998</v>
      </c>
      <c r="Z26" s="199">
        <f t="shared" si="199"/>
        <v>132.09800000000001</v>
      </c>
      <c r="AA26" s="201">
        <f t="shared" si="199"/>
        <v>87.171999999999997</v>
      </c>
      <c r="AB26" s="200">
        <f t="shared" si="199"/>
        <v>123.09300000000002</v>
      </c>
      <c r="AC26" s="199">
        <f t="shared" si="199"/>
        <v>144.39400000000003</v>
      </c>
      <c r="AD26" s="199">
        <f t="shared" si="199"/>
        <v>-2.9190000000000182</v>
      </c>
      <c r="AE26" s="201">
        <f t="shared" si="199"/>
        <v>44.085000000000001</v>
      </c>
      <c r="AF26" s="200">
        <f t="shared" si="199"/>
        <v>115.06700000000001</v>
      </c>
      <c r="AG26" s="199">
        <f t="shared" si="199"/>
        <v>128.02500000000001</v>
      </c>
      <c r="AH26" s="199">
        <f t="shared" si="199"/>
        <v>100.92699999999999</v>
      </c>
      <c r="AI26" s="201">
        <f t="shared" si="199"/>
        <v>108.02800000000003</v>
      </c>
      <c r="AJ26" s="200">
        <f t="shared" si="199"/>
        <v>133.31800000000001</v>
      </c>
      <c r="AK26" s="199">
        <f t="shared" si="199"/>
        <v>158.12900000000002</v>
      </c>
      <c r="AL26" s="199">
        <f t="shared" si="199"/>
        <v>138.67700000000002</v>
      </c>
      <c r="AM26" s="201">
        <f t="shared" si="199"/>
        <v>152.53699999999986</v>
      </c>
      <c r="AN26" s="199">
        <f t="shared" si="199"/>
        <v>83.305000000000007</v>
      </c>
      <c r="AO26" s="199">
        <f t="shared" si="199"/>
        <v>154.75399999999996</v>
      </c>
      <c r="AP26" s="199">
        <f t="shared" si="199"/>
        <v>55.938999999999986</v>
      </c>
      <c r="AQ26" s="201">
        <f t="shared" si="199"/>
        <v>102.46000000000001</v>
      </c>
      <c r="AR26" s="199">
        <f t="shared" si="199"/>
        <v>128.971</v>
      </c>
      <c r="AS26" s="199">
        <f t="shared" si="199"/>
        <v>63.3</v>
      </c>
      <c r="AT26" s="199">
        <f t="shared" si="199"/>
        <v>128.90700000000004</v>
      </c>
      <c r="AU26" s="201">
        <f t="shared" si="199"/>
        <v>125.00100000000009</v>
      </c>
      <c r="AV26" s="199">
        <f t="shared" si="199"/>
        <v>164.43099999999995</v>
      </c>
      <c r="AW26" s="199">
        <f t="shared" si="199"/>
        <v>154.92399999999992</v>
      </c>
      <c r="AX26" s="199">
        <f t="shared" si="199"/>
        <v>153.86800000000005</v>
      </c>
      <c r="AY26" s="201">
        <f t="shared" ref="AY26:BD26" si="200">AY9+SUM(AY11:AY18)+SUM(AY20:AY25)</f>
        <v>203.34100000000007</v>
      </c>
      <c r="AZ26" s="199">
        <f t="shared" si="200"/>
        <v>165.78799999999998</v>
      </c>
      <c r="BA26" s="199">
        <f t="shared" si="200"/>
        <v>192.04600000000005</v>
      </c>
      <c r="BB26" s="199">
        <f t="shared" si="200"/>
        <v>184.83800000000002</v>
      </c>
      <c r="BC26" s="201">
        <f t="shared" si="200"/>
        <v>178.51</v>
      </c>
      <c r="BD26" s="199">
        <f t="shared" si="200"/>
        <v>181.52799999999999</v>
      </c>
      <c r="BE26" s="199">
        <f>BE9+SUM(BE11:BE18)+SUM(BE20:BE25)</f>
        <v>149.88599999999991</v>
      </c>
      <c r="BF26" s="199">
        <f>BF9+SUM(BF11:BF18)+SUM(BF20:BF25)</f>
        <v>210.39400000000006</v>
      </c>
      <c r="BG26" s="201">
        <f>BG9+SUM(BG11:BG18)+SUM(BG20:BG25)</f>
        <v>202.54500000000002</v>
      </c>
      <c r="BH26" s="199">
        <f t="shared" ref="BH26" si="201">BH9+SUM(BH11:BH18)+SUM(BH20:BH25)</f>
        <v>223.96699999999993</v>
      </c>
      <c r="BI26" s="199">
        <f>BI9+SUM(BI11:BI18)+SUM(BI20:BI25)</f>
        <v>222.12300000000005</v>
      </c>
      <c r="BJ26" s="199">
        <f>BJ9+SUM(BJ11:BJ18)+SUM(BJ20:BJ25)</f>
        <v>290.80200000000002</v>
      </c>
      <c r="BK26" s="201">
        <f>BK9+SUM(BK11:BK18)+SUM(BK20:BK25)</f>
        <v>322.56000000000006</v>
      </c>
      <c r="BL26" s="199">
        <f t="shared" ref="BL26" si="202">BL9+SUM(BL11:BL18)+SUM(BL20:BL25)</f>
        <v>344.99200000000002</v>
      </c>
      <c r="BM26" s="199">
        <f>BM9+SUM(BM11:BM18)+SUM(BM20:BM25)</f>
        <v>350.13099999999997</v>
      </c>
      <c r="BN26" s="199">
        <f>BN9+SUM(BN11:BN18)+SUM(BN20:BN25)</f>
        <v>364.959</v>
      </c>
      <c r="BO26" s="201">
        <f t="shared" ref="BO26" si="203">BO9+SUM(BO11:BO18)+SUM(BO20:BO25)</f>
        <v>376.47675462540155</v>
      </c>
      <c r="BP26" s="199">
        <f t="shared" ref="BP26:BW26" si="204">BP9+SUM(BP11:BP18)+SUM(BP20:BP25)</f>
        <v>380.08058090442103</v>
      </c>
      <c r="BQ26" s="199">
        <f t="shared" si="204"/>
        <v>383.66823484757089</v>
      </c>
      <c r="BR26" s="199">
        <f t="shared" si="204"/>
        <v>409.75306179823235</v>
      </c>
      <c r="BS26" s="201">
        <f t="shared" si="204"/>
        <v>407.52021695742428</v>
      </c>
      <c r="BT26" s="199">
        <f t="shared" si="204"/>
        <v>404.69296219409102</v>
      </c>
      <c r="BU26" s="199">
        <f t="shared" si="204"/>
        <v>407.63468252904693</v>
      </c>
      <c r="BV26" s="199">
        <f t="shared" si="204"/>
        <v>447.49317175795022</v>
      </c>
      <c r="BW26" s="199">
        <f t="shared" si="204"/>
        <v>429.90816066945149</v>
      </c>
      <c r="BX26" s="20"/>
      <c r="BY26" s="199">
        <f>BY9+SUM(BY11:BY18)+SUM(BY20:BY25)</f>
        <v>260.18700000000001</v>
      </c>
      <c r="BZ26" s="199">
        <f>BZ9+SUM(BZ11:BZ18)+SUM(BZ20:BZ25)</f>
        <v>343.08</v>
      </c>
      <c r="CA26" s="199">
        <f>CA9+SUM(CA11:CA18)+SUM(CA20:CA25)</f>
        <v>352.71</v>
      </c>
      <c r="CB26" s="199">
        <f t="shared" ref="CB26:CL26" si="205">CB9+SUM(CB11:CB18)+SUM(CB20:CB25)</f>
        <v>437.32299999999998</v>
      </c>
      <c r="CC26" s="199">
        <f t="shared" si="205"/>
        <v>429.76899999999995</v>
      </c>
      <c r="CD26" s="199">
        <f t="shared" si="205"/>
        <v>447.30699999999996</v>
      </c>
      <c r="CE26" s="199">
        <f t="shared" si="205"/>
        <v>308.65300000000008</v>
      </c>
      <c r="CF26" s="199">
        <f t="shared" si="205"/>
        <v>452.04700000000003</v>
      </c>
      <c r="CG26" s="200">
        <f t="shared" si="205"/>
        <v>582.66099999999983</v>
      </c>
      <c r="CH26" s="199">
        <f t="shared" si="205"/>
        <v>396.45799999999997</v>
      </c>
      <c r="CI26" s="200">
        <f t="shared" si="205"/>
        <v>446.17900000000014</v>
      </c>
      <c r="CJ26" s="200">
        <f t="shared" si="205"/>
        <v>676.56399999999996</v>
      </c>
      <c r="CK26" s="199">
        <f t="shared" si="205"/>
        <v>721.18200000000013</v>
      </c>
      <c r="CL26" s="199">
        <f t="shared" si="205"/>
        <v>744.35300000000007</v>
      </c>
      <c r="CM26" s="199">
        <f>CM9+SUM(CM11:CM18)+SUM(CM20:CM25)</f>
        <v>1059.452</v>
      </c>
      <c r="CN26" s="199">
        <f>CN9+SUM(CN11:CN18)+SUM(CN20:CN25)</f>
        <v>1436.5587546254014</v>
      </c>
      <c r="CO26" s="199">
        <f>CO9+SUM(CO11:CO18)+SUM(CO20:CO25)</f>
        <v>1581.0220945076485</v>
      </c>
      <c r="CP26" s="201">
        <f>CP9+SUM(CP11:CP18)+SUM(CP20:CP25)</f>
        <v>1689.7289771505398</v>
      </c>
      <c r="CQ26" s="20"/>
      <c r="CR26" s="200">
        <f>CR9+SUM(CR11:CR18)+SUM(CR20:CR25)</f>
        <v>304.65199999999999</v>
      </c>
      <c r="CS26" s="199">
        <f>CS9+SUM(CS11:CS18)+SUM(CS20:CS25)</f>
        <v>390.56400000000002</v>
      </c>
      <c r="CT26" s="199">
        <f>CT9+SUM(CT11:CT18)+SUM(CT20:CT25)</f>
        <v>380.32099999999997</v>
      </c>
      <c r="CU26" s="199">
        <f t="shared" ref="CU26:DD26" si="206">CU9+SUM(CU11:CU18)+SUM(CU20:CU25)</f>
        <v>472.08899999999994</v>
      </c>
      <c r="CV26" s="199">
        <f t="shared" si="206"/>
        <v>432.07900000000001</v>
      </c>
      <c r="CW26" s="199">
        <f t="shared" si="206"/>
        <v>351.74</v>
      </c>
      <c r="CX26" s="199">
        <f t="shared" si="206"/>
        <v>388.10399999999998</v>
      </c>
      <c r="CY26" s="199">
        <f t="shared" si="206"/>
        <v>538.15200000000004</v>
      </c>
      <c r="CZ26" s="199">
        <f t="shared" si="206"/>
        <v>446.53499999999985</v>
      </c>
      <c r="DA26" s="199">
        <f t="shared" si="206"/>
        <v>423.63800000000003</v>
      </c>
      <c r="DB26" s="199">
        <f t="shared" si="206"/>
        <v>598.22400000000016</v>
      </c>
      <c r="DC26" s="199">
        <f t="shared" si="206"/>
        <v>746.01300000000015</v>
      </c>
      <c r="DD26" s="199">
        <f t="shared" si="206"/>
        <v>720.31799999999998</v>
      </c>
      <c r="DE26" s="199">
        <f>DE9+SUM(DE11:DE18)+SUM(DE20:DE25)</f>
        <v>939.4369999999999</v>
      </c>
      <c r="DF26" s="199">
        <f>DF9+SUM(DF11:DF18)+SUM(DF20:DF25)</f>
        <v>1382.6420000000001</v>
      </c>
      <c r="DG26" s="199">
        <f>DG9+SUM(DG11:DG18)+SUM(DG20:DG25)</f>
        <v>1549.9786321756258</v>
      </c>
      <c r="DH26" s="199">
        <f>DH9+SUM(DH11:DH18)+SUM(DH20:DH25)</f>
        <v>1667.3410334385126</v>
      </c>
      <c r="DI26" s="22"/>
    </row>
    <row r="27" spans="1:113" ht="14.25" customHeight="1" thickTop="1">
      <c r="A27" s="8"/>
      <c r="B27" s="23"/>
      <c r="C27" s="24"/>
      <c r="D27" s="193"/>
      <c r="E27" s="191"/>
      <c r="F27" s="191"/>
      <c r="G27" s="192"/>
      <c r="H27" s="193"/>
      <c r="I27" s="191"/>
      <c r="J27" s="191"/>
      <c r="K27" s="192"/>
      <c r="L27" s="193"/>
      <c r="M27" s="191"/>
      <c r="N27" s="191"/>
      <c r="O27" s="192"/>
      <c r="P27" s="193"/>
      <c r="Q27" s="191"/>
      <c r="R27" s="191"/>
      <c r="S27" s="192"/>
      <c r="T27" s="193"/>
      <c r="U27" s="191"/>
      <c r="V27" s="191"/>
      <c r="W27" s="192"/>
      <c r="X27" s="193"/>
      <c r="Y27" s="191"/>
      <c r="Z27" s="191"/>
      <c r="AA27" s="192"/>
      <c r="AB27" s="193"/>
      <c r="AC27" s="191"/>
      <c r="AD27" s="191"/>
      <c r="AE27" s="192"/>
      <c r="AF27" s="193"/>
      <c r="AG27" s="191"/>
      <c r="AH27" s="191"/>
      <c r="AI27" s="192"/>
      <c r="AJ27" s="193"/>
      <c r="AK27" s="191"/>
      <c r="AL27" s="191"/>
      <c r="AM27" s="192"/>
      <c r="AN27" s="191"/>
      <c r="AO27" s="191"/>
      <c r="AP27" s="191"/>
      <c r="AQ27" s="192"/>
      <c r="AR27" s="191"/>
      <c r="AS27" s="191"/>
      <c r="AT27" s="191"/>
      <c r="AU27" s="192"/>
      <c r="AV27" s="191"/>
      <c r="AW27" s="191"/>
      <c r="AX27" s="191"/>
      <c r="AY27" s="192"/>
      <c r="AZ27" s="191"/>
      <c r="BA27" s="191"/>
      <c r="BB27" s="191"/>
      <c r="BC27" s="192"/>
      <c r="BD27" s="191"/>
      <c r="BE27" s="191"/>
      <c r="BF27" s="191"/>
      <c r="BG27" s="192"/>
      <c r="BH27" s="191"/>
      <c r="BI27" s="191"/>
      <c r="BJ27" s="191"/>
      <c r="BK27" s="192"/>
      <c r="BL27" s="191"/>
      <c r="BM27" s="191"/>
      <c r="BN27" s="191"/>
      <c r="BO27" s="195"/>
      <c r="BP27" s="194"/>
      <c r="BQ27" s="194"/>
      <c r="BR27" s="194"/>
      <c r="BS27" s="195"/>
      <c r="BT27" s="194"/>
      <c r="BU27" s="194"/>
      <c r="BV27" s="194"/>
      <c r="BW27" s="194"/>
      <c r="BX27" s="20"/>
      <c r="BY27" s="194"/>
      <c r="BZ27" s="194"/>
      <c r="CA27" s="194"/>
      <c r="CB27" s="194"/>
      <c r="CC27" s="194"/>
      <c r="CD27" s="194"/>
      <c r="CE27" s="194"/>
      <c r="CF27" s="194"/>
      <c r="CG27" s="196"/>
      <c r="CH27" s="194"/>
      <c r="CI27" s="196"/>
      <c r="CJ27" s="196"/>
      <c r="CK27" s="194"/>
      <c r="CL27" s="194"/>
      <c r="CM27" s="194"/>
      <c r="CN27" s="194"/>
      <c r="CO27" s="194"/>
      <c r="CP27" s="195"/>
      <c r="CQ27" s="20"/>
      <c r="CR27" s="196"/>
      <c r="CS27" s="194"/>
      <c r="CT27" s="194"/>
      <c r="CU27" s="194"/>
      <c r="CV27" s="194"/>
      <c r="CW27" s="194"/>
      <c r="CX27" s="194"/>
      <c r="CY27" s="194"/>
      <c r="CZ27" s="194"/>
      <c r="DA27" s="194"/>
      <c r="DB27" s="194"/>
      <c r="DC27" s="194"/>
      <c r="DD27" s="194"/>
      <c r="DE27" s="194"/>
      <c r="DF27" s="194"/>
      <c r="DG27" s="194"/>
      <c r="DH27" s="194"/>
      <c r="DI27" s="22"/>
    </row>
    <row r="28" spans="1:113" ht="14.25" customHeight="1">
      <c r="A28" s="8"/>
      <c r="B28" s="44" t="str">
        <f t="shared" ref="B28:B36" si="207">B123</f>
        <v>Cash flows from investing activities:</v>
      </c>
      <c r="C28" s="45"/>
      <c r="D28" s="193"/>
      <c r="E28" s="191"/>
      <c r="F28" s="191"/>
      <c r="G28" s="192"/>
      <c r="H28" s="193"/>
      <c r="I28" s="191"/>
      <c r="J28" s="191"/>
      <c r="K28" s="192"/>
      <c r="L28" s="193"/>
      <c r="M28" s="191"/>
      <c r="N28" s="191"/>
      <c r="O28" s="192"/>
      <c r="P28" s="193"/>
      <c r="Q28" s="191"/>
      <c r="R28" s="191"/>
      <c r="S28" s="192"/>
      <c r="T28" s="193"/>
      <c r="U28" s="191"/>
      <c r="V28" s="191"/>
      <c r="W28" s="192"/>
      <c r="X28" s="193"/>
      <c r="Y28" s="191"/>
      <c r="Z28" s="191"/>
      <c r="AA28" s="192"/>
      <c r="AB28" s="193"/>
      <c r="AC28" s="191"/>
      <c r="AD28" s="191"/>
      <c r="AE28" s="192"/>
      <c r="AF28" s="193"/>
      <c r="AG28" s="191"/>
      <c r="AH28" s="191"/>
      <c r="AI28" s="192"/>
      <c r="AJ28" s="193"/>
      <c r="AK28" s="191"/>
      <c r="AL28" s="191"/>
      <c r="AM28" s="192"/>
      <c r="AN28" s="191"/>
      <c r="AO28" s="191"/>
      <c r="AP28" s="191"/>
      <c r="AQ28" s="192"/>
      <c r="AR28" s="191"/>
      <c r="AS28" s="191"/>
      <c r="AT28" s="191"/>
      <c r="AU28" s="192"/>
      <c r="AV28" s="191"/>
      <c r="AW28" s="191"/>
      <c r="AX28" s="191"/>
      <c r="AY28" s="192"/>
      <c r="AZ28" s="191"/>
      <c r="BA28" s="191"/>
      <c r="BB28" s="191"/>
      <c r="BC28" s="192"/>
      <c r="BD28" s="191"/>
      <c r="BE28" s="191"/>
      <c r="BF28" s="191"/>
      <c r="BG28" s="192"/>
      <c r="BH28" s="191"/>
      <c r="BI28" s="191"/>
      <c r="BJ28" s="191"/>
      <c r="BK28" s="192"/>
      <c r="BL28" s="191"/>
      <c r="BM28" s="191"/>
      <c r="BN28" s="191"/>
      <c r="BO28" s="195"/>
      <c r="BP28" s="194"/>
      <c r="BQ28" s="194"/>
      <c r="BR28" s="194"/>
      <c r="BS28" s="195"/>
      <c r="BT28" s="194"/>
      <c r="BU28" s="194"/>
      <c r="BV28" s="194"/>
      <c r="BW28" s="194"/>
      <c r="BX28" s="20"/>
      <c r="BY28" s="194"/>
      <c r="BZ28" s="194"/>
      <c r="CA28" s="194"/>
      <c r="CB28" s="194"/>
      <c r="CC28" s="194"/>
      <c r="CD28" s="194"/>
      <c r="CE28" s="194"/>
      <c r="CF28" s="194"/>
      <c r="CG28" s="196"/>
      <c r="CH28" s="194"/>
      <c r="CI28" s="196"/>
      <c r="CJ28" s="196"/>
      <c r="CK28" s="194"/>
      <c r="CL28" s="194"/>
      <c r="CM28" s="194"/>
      <c r="CN28" s="194"/>
      <c r="CO28" s="194"/>
      <c r="CP28" s="195"/>
      <c r="CQ28" s="20"/>
      <c r="CR28" s="196"/>
      <c r="CS28" s="194"/>
      <c r="CT28" s="194"/>
      <c r="CU28" s="194"/>
      <c r="CV28" s="194"/>
      <c r="CW28" s="194"/>
      <c r="CX28" s="194"/>
      <c r="CY28" s="194"/>
      <c r="CZ28" s="194"/>
      <c r="DA28" s="194"/>
      <c r="DB28" s="194"/>
      <c r="DC28" s="194"/>
      <c r="DD28" s="194"/>
      <c r="DE28" s="194"/>
      <c r="DF28" s="194"/>
      <c r="DG28" s="194"/>
      <c r="DH28" s="194"/>
      <c r="DI28" s="22"/>
    </row>
    <row r="29" spans="1:113" ht="14.25" customHeight="1">
      <c r="A29" s="8"/>
      <c r="B29" s="27" t="str">
        <f t="shared" si="207"/>
        <v>Capital expenditures</v>
      </c>
      <c r="C29" s="28"/>
      <c r="D29" s="193">
        <f t="shared" ref="D29:D35" si="208">D124</f>
        <v>-25.263999999999999</v>
      </c>
      <c r="E29" s="191">
        <f t="shared" ref="E29:E35" si="209">E124-D29</f>
        <v>-16.852999999999998</v>
      </c>
      <c r="F29" s="191">
        <f t="shared" ref="F29:F35" si="210">F124-E29-D29</f>
        <v>-20.800999999999998</v>
      </c>
      <c r="G29" s="192">
        <f t="shared" ref="G29:G35" si="211">G124-F29-E29-D29</f>
        <v>-17.469000000000005</v>
      </c>
      <c r="H29" s="193">
        <f t="shared" ref="H29:H35" si="212">H124</f>
        <v>-10.33</v>
      </c>
      <c r="I29" s="191">
        <f t="shared" ref="I29:I35" si="213">I124-H29</f>
        <v>-10.854999999999999</v>
      </c>
      <c r="J29" s="191">
        <f t="shared" ref="J29:J35" si="214">J124-I29-H29</f>
        <v>-18.453000000000003</v>
      </c>
      <c r="K29" s="192">
        <f t="shared" ref="K29:K35" si="215">K124-J29-I29-H29</f>
        <v>-23.869</v>
      </c>
      <c r="L29" s="193">
        <f t="shared" ref="L29:L35" si="216">L124</f>
        <v>-13.548</v>
      </c>
      <c r="M29" s="191">
        <f t="shared" ref="M29:M35" si="217">M124-L29</f>
        <v>-20.512</v>
      </c>
      <c r="N29" s="191">
        <f t="shared" ref="N29:N35" si="218">N124-M29-L29</f>
        <v>-21.265999999999998</v>
      </c>
      <c r="O29" s="192">
        <f t="shared" ref="O29:O35" si="219">O124-N29-M29-L29</f>
        <v>-7.8849999999999998</v>
      </c>
      <c r="P29" s="193">
        <f t="shared" ref="P29:P35" si="220">P124</f>
        <v>-14.794</v>
      </c>
      <c r="Q29" s="191">
        <f t="shared" ref="Q29:Q35" si="221">Q124-P29</f>
        <v>-10.372</v>
      </c>
      <c r="R29" s="191">
        <f t="shared" ref="R29:R35" si="222">R124-Q29-P29</f>
        <v>-17.651</v>
      </c>
      <c r="S29" s="192">
        <f t="shared" ref="S29:S35" si="223">S124-R29-Q29-P29</f>
        <v>-33.477000000000004</v>
      </c>
      <c r="T29" s="193">
        <f t="shared" ref="T29:T35" si="224">T124</f>
        <v>-16.645</v>
      </c>
      <c r="U29" s="191">
        <f t="shared" ref="U29:U35" si="225">U124-T29</f>
        <v>-19.269000000000002</v>
      </c>
      <c r="V29" s="191">
        <f t="shared" ref="V29:V35" si="226">V124-U29-T29</f>
        <v>-15.501999999999992</v>
      </c>
      <c r="W29" s="192">
        <f t="shared" ref="W29:W35" si="227">W124-V29-U29-T29</f>
        <v>-8.6230000000000047</v>
      </c>
      <c r="X29" s="193">
        <f t="shared" ref="X29:X35" si="228">X124</f>
        <v>-25.47</v>
      </c>
      <c r="Y29" s="191">
        <f t="shared" ref="Y29:Y35" si="229">Y124-X29</f>
        <v>-11.774999999999999</v>
      </c>
      <c r="Z29" s="191">
        <f t="shared" ref="Z29:Z35" si="230">Z124-Y29-X29</f>
        <v>-11.808</v>
      </c>
      <c r="AA29" s="192">
        <f t="shared" ref="AA29:AA35" si="231">AA124-Z29-Y29-X29</f>
        <v>-20.774000000000001</v>
      </c>
      <c r="AB29" s="193">
        <f t="shared" ref="AB29:AB35" si="232">AB124</f>
        <v>-21.747</v>
      </c>
      <c r="AC29" s="191">
        <f t="shared" ref="AC29:AC35" si="233">AC124-AB29</f>
        <v>-46.269000000000005</v>
      </c>
      <c r="AD29" s="191">
        <f t="shared" ref="AD29:AD35" si="234">AD124-AC29-AB29</f>
        <v>-23.804999999999993</v>
      </c>
      <c r="AE29" s="192">
        <f t="shared" ref="AE29:AE35" si="235">AE124-AD29-AC29-AB29</f>
        <v>-10.549000000000007</v>
      </c>
      <c r="AF29" s="193">
        <f t="shared" ref="AF29:AF35" si="236">AF124</f>
        <v>-3.7559999999999998</v>
      </c>
      <c r="AG29" s="191">
        <f t="shared" ref="AG29:AG35" si="237">AG124-AF29</f>
        <v>-5.9770000000000003</v>
      </c>
      <c r="AH29" s="191">
        <f t="shared" ref="AH29:AH35" si="238">AH124-AG29-AF29</f>
        <v>-18.683</v>
      </c>
      <c r="AI29" s="192">
        <f t="shared" ref="AI29:AI35" si="239">AI124-AH29-AG29-AF29</f>
        <v>-19.187999999999999</v>
      </c>
      <c r="AJ29" s="193">
        <f t="shared" ref="AJ29:AJ35" si="240">AJ124</f>
        <v>-34.103000000000002</v>
      </c>
      <c r="AK29" s="191">
        <f t="shared" ref="AK29:AK35" si="241">AK124-AJ29</f>
        <v>-31.833999999999996</v>
      </c>
      <c r="AL29" s="191">
        <f t="shared" ref="AL29:AL35" si="242">AL124-AK29-AJ29</f>
        <v>-34.177</v>
      </c>
      <c r="AM29" s="192">
        <f t="shared" ref="AM29:AM35" si="243">AM124-AL29-AK29-AJ29</f>
        <v>-24.339999999999989</v>
      </c>
      <c r="AN29" s="191">
        <f t="shared" ref="AN29:AN35" si="244">AN124</f>
        <v>-27.219000000000001</v>
      </c>
      <c r="AO29" s="191">
        <f t="shared" ref="AO29:AO35" si="245">AO124-AN29</f>
        <v>-25.229999999999997</v>
      </c>
      <c r="AP29" s="191">
        <f t="shared" ref="AP29:AP35" si="246">AP124-AO29-AN29</f>
        <v>-6.1330000000000027</v>
      </c>
      <c r="AQ29" s="192">
        <f t="shared" ref="AQ29:AQ35" si="247">AQ124-AP29-AO29-AN29</f>
        <v>-3.7879999999999967</v>
      </c>
      <c r="AR29" s="191">
        <f t="shared" ref="AR29:AR35" si="248">AR124</f>
        <v>-10.304</v>
      </c>
      <c r="AS29" s="191">
        <f t="shared" ref="AS29:AS35" si="249">AS124-AR29</f>
        <v>-15.907999999999999</v>
      </c>
      <c r="AT29" s="191">
        <f t="shared" ref="AT29:AT35" si="250">AT124-AS29-AR29</f>
        <v>-9.863999999999999</v>
      </c>
      <c r="AU29" s="192">
        <f t="shared" ref="AU29:AU35" si="251">AU124-AT29-AS29-AR29</f>
        <v>-14.741999999999999</v>
      </c>
      <c r="AV29" s="191">
        <f t="shared" ref="AV29:AV35" si="252">AV124</f>
        <v>-27.757000000000001</v>
      </c>
      <c r="AW29" s="191">
        <f t="shared" ref="AW29:AW35" si="253">AW124-AV29</f>
        <v>-27.449000000000002</v>
      </c>
      <c r="AX29" s="191">
        <f t="shared" ref="AX29:AX35" si="254">AX124-AW29-AV29</f>
        <v>-24.330000000000002</v>
      </c>
      <c r="AY29" s="192">
        <f t="shared" ref="AY29:AY35" si="255">AY124-AX29-AW29-AV29</f>
        <v>-33.536000000000001</v>
      </c>
      <c r="AZ29" s="191">
        <f t="shared" ref="AZ29:AZ35" si="256">AZ124</f>
        <v>-44.637</v>
      </c>
      <c r="BA29" s="191">
        <f t="shared" ref="BA29:BA35" si="257">BA124-AZ29</f>
        <v>-38.734999999999999</v>
      </c>
      <c r="BB29" s="191">
        <f t="shared" ref="BB29:BB35" si="258">BB124-BA29-AZ29</f>
        <v>-36.641999999999996</v>
      </c>
      <c r="BC29" s="192">
        <f t="shared" ref="BC29:BC35" si="259">BC124-BB29-BA29-AZ29</f>
        <v>-29.458000000000013</v>
      </c>
      <c r="BD29" s="191">
        <f t="shared" ref="BD29:BD35" si="260">BD124</f>
        <v>-33.610999999999997</v>
      </c>
      <c r="BE29" s="191">
        <f t="shared" ref="BE29:BE35" si="261">BE124-BD29</f>
        <v>-29.943000000000005</v>
      </c>
      <c r="BF29" s="191">
        <f t="shared" ref="BF29:BF35" si="262">BF124-BE29-BD29</f>
        <v>-17.869</v>
      </c>
      <c r="BG29" s="192">
        <f t="shared" ref="BG29:BG35" si="263">BG124-BF29-BE29-BD29</f>
        <v>-16.471999999999994</v>
      </c>
      <c r="BH29" s="191">
        <f t="shared" ref="BH29:BH35" si="264">BH124</f>
        <v>-18.494</v>
      </c>
      <c r="BI29" s="191">
        <f t="shared" ref="BI29:BI35" si="265">BI124-BH29</f>
        <v>-18.152000000000001</v>
      </c>
      <c r="BJ29" s="191">
        <f t="shared" ref="BJ29:BJ35" si="266">BJ124-BI29-BH29</f>
        <v>-15.692</v>
      </c>
      <c r="BK29" s="192">
        <f t="shared" ref="BK29:BK35" si="267">BK124-BJ29-BI29-BH29</f>
        <v>-22.972000000000001</v>
      </c>
      <c r="BL29" s="191">
        <f t="shared" ref="BL29:BL35" si="268">BL124</f>
        <v>-22.13</v>
      </c>
      <c r="BM29" s="191">
        <f t="shared" ref="BM29:BM35" si="269">BM124-BL29</f>
        <v>-59.89500000000001</v>
      </c>
      <c r="BN29" s="191">
        <f t="shared" ref="BN29:BN35" si="270">BN124-BM29-BL29</f>
        <v>-66.387</v>
      </c>
      <c r="BO29" s="192">
        <f t="shared" ref="BO29" si="271">-BO62-BO63</f>
        <v>-57.160865628000003</v>
      </c>
      <c r="BP29" s="191">
        <f t="shared" ref="BP29:BW29" si="272">-BP62-BP63</f>
        <v>-41.164074060000004</v>
      </c>
      <c r="BQ29" s="191">
        <f t="shared" si="272"/>
        <v>-42.453062106180006</v>
      </c>
      <c r="BR29" s="191">
        <f t="shared" si="272"/>
        <v>-41.58949680019834</v>
      </c>
      <c r="BS29" s="192">
        <f t="shared" si="272"/>
        <v>-41.214492720949409</v>
      </c>
      <c r="BT29" s="191">
        <f t="shared" si="272"/>
        <v>-42.856384848787982</v>
      </c>
      <c r="BU29" s="191">
        <f t="shared" si="272"/>
        <v>-43.957851837956653</v>
      </c>
      <c r="BV29" s="191">
        <f t="shared" si="272"/>
        <v>-43.320470478150682</v>
      </c>
      <c r="BW29" s="191">
        <f t="shared" si="272"/>
        <v>-42.928944073199311</v>
      </c>
      <c r="BX29" s="20"/>
      <c r="BY29" s="191">
        <f t="shared" ref="BY29:BY35" si="273">SUM(D29:G29)</f>
        <v>-80.387</v>
      </c>
      <c r="BZ29" s="191">
        <f t="shared" ref="BZ29:BZ35" si="274">SUM(H29:K29)</f>
        <v>-63.507000000000005</v>
      </c>
      <c r="CA29" s="191">
        <f t="shared" ref="CA29:CA35" si="275">SUM(L29:O29)</f>
        <v>-63.210999999999999</v>
      </c>
      <c r="CB29" s="191">
        <f t="shared" ref="CB29:CB35" si="276">SUM(P29:S29)</f>
        <v>-76.294000000000011</v>
      </c>
      <c r="CC29" s="191">
        <f t="shared" ref="CC29:CC35" si="277">SUM(T29:W29)</f>
        <v>-60.039000000000001</v>
      </c>
      <c r="CD29" s="191">
        <f t="shared" ref="CD29:CD35" si="278">SUM(X29:AA29)</f>
        <v>-69.826999999999998</v>
      </c>
      <c r="CE29" s="191">
        <f t="shared" ref="CE29:CE35" si="279">SUM(AB29:AE29)</f>
        <v>-102.37</v>
      </c>
      <c r="CF29" s="191">
        <f t="shared" ref="CF29:CF35" si="280">SUM(AF29:AI29)</f>
        <v>-47.603999999999999</v>
      </c>
      <c r="CG29" s="193">
        <f t="shared" ref="CG29:CG35" si="281">SUM(AJ29:AM29)</f>
        <v>-124.45399999999999</v>
      </c>
      <c r="CH29" s="191">
        <f t="shared" ref="CH29:CH35" si="282">SUM(AN29:AQ29)</f>
        <v>-62.37</v>
      </c>
      <c r="CI29" s="193">
        <f t="shared" ref="CI29:CI35" si="283">SUM(AR29:AU29)</f>
        <v>-50.817999999999998</v>
      </c>
      <c r="CJ29" s="193">
        <f t="shared" ref="CJ29:CJ35" si="284">SUM(AV29:AY29)</f>
        <v>-113.072</v>
      </c>
      <c r="CK29" s="191">
        <f t="shared" ref="CK29:CK35" si="285">SUM(AZ29:BC29)</f>
        <v>-149.47200000000001</v>
      </c>
      <c r="CL29" s="191">
        <f t="shared" ref="CL29:CL35" si="286">SUM(BD29:BG29)</f>
        <v>-97.894999999999996</v>
      </c>
      <c r="CM29" s="191">
        <f t="shared" ref="CM29:CM35" si="287">SUM(BH29:BK29)</f>
        <v>-75.31</v>
      </c>
      <c r="CN29" s="191">
        <f t="shared" ref="CN29:CN35" si="288">SUM(BL29:BO29)</f>
        <v>-205.57286562800002</v>
      </c>
      <c r="CO29" s="191">
        <f t="shared" ref="CO29:CO35" si="289">SUM(BP29:BS29)</f>
        <v>-166.42112568732776</v>
      </c>
      <c r="CP29" s="192">
        <f t="shared" ref="CP29:CP35" si="290">SUM(BT29:BW29)</f>
        <v>-173.06365123809462</v>
      </c>
      <c r="CQ29" s="20"/>
      <c r="CR29" s="193">
        <f t="shared" ref="CR29:CR35" si="291">SUM(G29:J29)</f>
        <v>-57.107000000000006</v>
      </c>
      <c r="CS29" s="191">
        <f t="shared" ref="CS29:CS35" si="292">SUM(K29:N29)</f>
        <v>-79.194999999999993</v>
      </c>
      <c r="CT29" s="191">
        <f t="shared" ref="CT29:CT35" si="293">SUM(O29:R29)</f>
        <v>-50.701999999999998</v>
      </c>
      <c r="CU29" s="191">
        <f t="shared" ref="CU29:CU35" si="294">SUM(S29:V29)</f>
        <v>-84.893000000000001</v>
      </c>
      <c r="CV29" s="191">
        <f t="shared" ref="CV29:CV35" si="295">SUM(W29:Z29)</f>
        <v>-57.676000000000002</v>
      </c>
      <c r="CW29" s="191">
        <f t="shared" ref="CW29:CW35" si="296">SUM(AA29:AD29)</f>
        <v>-112.595</v>
      </c>
      <c r="CX29" s="191">
        <f t="shared" ref="CX29:CX35" si="297">SUM(AE29:AH29)</f>
        <v>-38.965000000000003</v>
      </c>
      <c r="CY29" s="191">
        <f t="shared" ref="CY29:CY35" si="298">SUM(AI29:AL29)</f>
        <v>-119.30199999999999</v>
      </c>
      <c r="CZ29" s="191">
        <f t="shared" ref="CZ29:CZ35" si="299">SUM(AM29:AP29)</f>
        <v>-82.921999999999997</v>
      </c>
      <c r="DA29" s="191">
        <f t="shared" ref="DA29:DA35" si="300">SUM(AQ29:AT29)</f>
        <v>-39.863999999999997</v>
      </c>
      <c r="DB29" s="191">
        <f t="shared" ref="DB29:DB35" si="301">SUM(AU29:AX29)</f>
        <v>-94.278000000000006</v>
      </c>
      <c r="DC29" s="191">
        <f t="shared" ref="DC29:DC35" si="302">SUM(AY29:BB29)</f>
        <v>-153.55000000000001</v>
      </c>
      <c r="DD29" s="191">
        <f t="shared" ref="DD29:DD35" si="303">SUM(BC29:BF29)</f>
        <v>-110.88100000000001</v>
      </c>
      <c r="DE29" s="191">
        <f t="shared" ref="DE29:DE35" si="304">SUM(BG29:BJ29)</f>
        <v>-68.81</v>
      </c>
      <c r="DF29" s="191">
        <f t="shared" ref="DF29:DF35" si="305">SUM(BK29:BN29)</f>
        <v>-171.38400000000001</v>
      </c>
      <c r="DG29" s="191">
        <f t="shared" ref="DG29:DG35" si="306">SUM(BO29:BR29)</f>
        <v>-182.36749859437833</v>
      </c>
      <c r="DH29" s="191">
        <f t="shared" ref="DH29:DH35" si="307">SUM(BS29:BV29)</f>
        <v>-171.34919988584471</v>
      </c>
      <c r="DI29" s="22"/>
    </row>
    <row r="30" spans="1:113" ht="14.25" customHeight="1">
      <c r="A30" s="8"/>
      <c r="B30" s="27" t="str">
        <f t="shared" si="207"/>
        <v>Purchase of available-for-sale investments</v>
      </c>
      <c r="C30" s="28"/>
      <c r="D30" s="193">
        <f t="shared" si="208"/>
        <v>-343.209</v>
      </c>
      <c r="E30" s="191">
        <f t="shared" si="209"/>
        <v>-280.41799999999995</v>
      </c>
      <c r="F30" s="191">
        <f t="shared" si="210"/>
        <v>-185.44200000000006</v>
      </c>
      <c r="G30" s="192">
        <f t="shared" si="211"/>
        <v>-269.85600000000005</v>
      </c>
      <c r="H30" s="193">
        <f t="shared" si="212"/>
        <v>-190.93</v>
      </c>
      <c r="I30" s="191">
        <f t="shared" si="213"/>
        <v>-206.23699999999997</v>
      </c>
      <c r="J30" s="191">
        <f t="shared" si="214"/>
        <v>-271.30099999999999</v>
      </c>
      <c r="K30" s="192">
        <f t="shared" si="215"/>
        <v>-623.20800000000008</v>
      </c>
      <c r="L30" s="193">
        <f t="shared" si="216"/>
        <v>-347.82900000000001</v>
      </c>
      <c r="M30" s="191">
        <f t="shared" si="217"/>
        <v>-131.23899999999998</v>
      </c>
      <c r="N30" s="191">
        <f t="shared" si="218"/>
        <v>-242.81100000000009</v>
      </c>
      <c r="O30" s="192">
        <f t="shared" si="219"/>
        <v>-339.35799999999989</v>
      </c>
      <c r="P30" s="193">
        <f t="shared" si="220"/>
        <v>-124.33199999999999</v>
      </c>
      <c r="Q30" s="191">
        <f t="shared" si="221"/>
        <v>-209.65100000000001</v>
      </c>
      <c r="R30" s="191">
        <f t="shared" si="222"/>
        <v>-197.86899999999997</v>
      </c>
      <c r="S30" s="192">
        <f t="shared" si="223"/>
        <v>-324.89600000000013</v>
      </c>
      <c r="T30" s="193">
        <f t="shared" si="224"/>
        <v>-931.25400000000002</v>
      </c>
      <c r="U30" s="191">
        <f t="shared" si="225"/>
        <v>-44.870000000000005</v>
      </c>
      <c r="V30" s="191">
        <f t="shared" si="226"/>
        <v>-110.94399999999985</v>
      </c>
      <c r="W30" s="192">
        <f t="shared" si="227"/>
        <v>-239.97400000000005</v>
      </c>
      <c r="X30" s="193">
        <f t="shared" si="228"/>
        <v>-531.29100000000005</v>
      </c>
      <c r="Y30" s="191">
        <f t="shared" si="229"/>
        <v>-397.37199999999996</v>
      </c>
      <c r="Z30" s="191">
        <f t="shared" si="230"/>
        <v>-229.69800000000009</v>
      </c>
      <c r="AA30" s="192">
        <f t="shared" si="231"/>
        <v>-699.60299999999972</v>
      </c>
      <c r="AB30" s="193">
        <f t="shared" si="232"/>
        <v>-3.5</v>
      </c>
      <c r="AC30" s="191">
        <f t="shared" si="233"/>
        <v>-341.49200000000002</v>
      </c>
      <c r="AD30" s="191">
        <f t="shared" si="234"/>
        <v>-406.14799999999997</v>
      </c>
      <c r="AE30" s="192">
        <f t="shared" si="235"/>
        <v>-1728.0350000000001</v>
      </c>
      <c r="AF30" s="193">
        <f t="shared" si="236"/>
        <v>-133.279</v>
      </c>
      <c r="AG30" s="191">
        <f t="shared" si="237"/>
        <v>-418.11500000000001</v>
      </c>
      <c r="AH30" s="191">
        <f t="shared" si="238"/>
        <v>-760.55199999999991</v>
      </c>
      <c r="AI30" s="192">
        <f t="shared" si="239"/>
        <v>-264.09800000000018</v>
      </c>
      <c r="AJ30" s="193">
        <f t="shared" si="240"/>
        <v>-243.209</v>
      </c>
      <c r="AK30" s="191">
        <f t="shared" si="241"/>
        <v>-553.66799999999989</v>
      </c>
      <c r="AL30" s="191">
        <f t="shared" si="242"/>
        <v>-62.430000000000121</v>
      </c>
      <c r="AM30" s="192">
        <f t="shared" si="243"/>
        <v>-148.74900000000008</v>
      </c>
      <c r="AN30" s="191">
        <f t="shared" si="244"/>
        <v>-324.89299999999997</v>
      </c>
      <c r="AO30" s="191">
        <f t="shared" si="245"/>
        <v>-340.82200000000006</v>
      </c>
      <c r="AP30" s="191">
        <f t="shared" si="246"/>
        <v>-296.40400000000005</v>
      </c>
      <c r="AQ30" s="192">
        <f t="shared" si="247"/>
        <v>-171.50599999999997</v>
      </c>
      <c r="AR30" s="191">
        <f t="shared" si="248"/>
        <v>-29.13</v>
      </c>
      <c r="AS30" s="191">
        <f t="shared" si="249"/>
        <v>-413.976</v>
      </c>
      <c r="AT30" s="191">
        <f t="shared" si="250"/>
        <v>-203.31799999999998</v>
      </c>
      <c r="AU30" s="192">
        <f t="shared" si="251"/>
        <v>-339.36700000000008</v>
      </c>
      <c r="AV30" s="191">
        <f t="shared" si="252"/>
        <v>-376.46</v>
      </c>
      <c r="AW30" s="191">
        <f t="shared" si="253"/>
        <v>-333.73700000000002</v>
      </c>
      <c r="AX30" s="191">
        <f t="shared" si="254"/>
        <v>-240.36299999999989</v>
      </c>
      <c r="AY30" s="192">
        <f t="shared" si="255"/>
        <v>-386.92200000000008</v>
      </c>
      <c r="AZ30" s="191">
        <f t="shared" si="256"/>
        <v>-172.506</v>
      </c>
      <c r="BA30" s="191">
        <f t="shared" si="257"/>
        <v>-178.09200000000001</v>
      </c>
      <c r="BB30" s="191">
        <f t="shared" si="258"/>
        <v>-371.26300000000003</v>
      </c>
      <c r="BC30" s="192">
        <f t="shared" si="259"/>
        <v>-237.45699999999997</v>
      </c>
      <c r="BD30" s="191">
        <f t="shared" si="260"/>
        <v>-570.50099999999998</v>
      </c>
      <c r="BE30" s="191">
        <f t="shared" si="261"/>
        <v>-541.58799999999997</v>
      </c>
      <c r="BF30" s="191">
        <f t="shared" si="262"/>
        <v>-430.77500000000009</v>
      </c>
      <c r="BG30" s="192">
        <f t="shared" si="263"/>
        <v>-31.002999999999929</v>
      </c>
      <c r="BH30" s="191">
        <f t="shared" si="264"/>
        <v>-2.5000000000000001E-2</v>
      </c>
      <c r="BI30" s="191">
        <f t="shared" si="265"/>
        <v>0</v>
      </c>
      <c r="BJ30" s="191">
        <f t="shared" si="266"/>
        <v>-35.122</v>
      </c>
      <c r="BK30" s="192">
        <f t="shared" si="267"/>
        <v>-465.16200000000003</v>
      </c>
      <c r="BL30" s="191">
        <f t="shared" si="268"/>
        <v>-487.435</v>
      </c>
      <c r="BM30" s="191">
        <f t="shared" si="269"/>
        <v>-392.00200000000001</v>
      </c>
      <c r="BN30" s="191">
        <f t="shared" si="270"/>
        <v>-458.70300000000015</v>
      </c>
      <c r="BO30" s="195">
        <v>0</v>
      </c>
      <c r="BP30" s="194">
        <v>0</v>
      </c>
      <c r="BQ30" s="194">
        <v>0</v>
      </c>
      <c r="BR30" s="194">
        <v>0</v>
      </c>
      <c r="BS30" s="195">
        <v>0</v>
      </c>
      <c r="BT30" s="194">
        <v>0</v>
      </c>
      <c r="BU30" s="194">
        <v>0</v>
      </c>
      <c r="BV30" s="194">
        <v>0</v>
      </c>
      <c r="BW30" s="194">
        <v>0</v>
      </c>
      <c r="BX30" s="20"/>
      <c r="BY30" s="191">
        <f t="shared" si="273"/>
        <v>-1078.925</v>
      </c>
      <c r="BZ30" s="191">
        <f t="shared" si="274"/>
        <v>-1291.6759999999999</v>
      </c>
      <c r="CA30" s="191">
        <f t="shared" si="275"/>
        <v>-1061.2370000000001</v>
      </c>
      <c r="CB30" s="191">
        <f>SUM(P30:S30)</f>
        <v>-856.74800000000005</v>
      </c>
      <c r="CC30" s="191">
        <f>SUM(T30:W30)</f>
        <v>-1327.0419999999999</v>
      </c>
      <c r="CD30" s="191">
        <f>SUM(X30:AA30)</f>
        <v>-1857.9639999999999</v>
      </c>
      <c r="CE30" s="191">
        <f>SUM(AB30:AE30)</f>
        <v>-2479.1750000000002</v>
      </c>
      <c r="CF30" s="191">
        <f>SUM(AF30:AI30)</f>
        <v>-1576.0440000000001</v>
      </c>
      <c r="CG30" s="193">
        <f>SUM(AJ30:AM30)</f>
        <v>-1008.056</v>
      </c>
      <c r="CH30" s="191">
        <f>SUM(AN30:AQ30)</f>
        <v>-1133.625</v>
      </c>
      <c r="CI30" s="193">
        <f>SUM(AR30:AU30)</f>
        <v>-985.79100000000005</v>
      </c>
      <c r="CJ30" s="193">
        <f>SUM(AV30:AY30)</f>
        <v>-1337.482</v>
      </c>
      <c r="CK30" s="191">
        <f>SUM(AZ30:BC30)</f>
        <v>-959.3180000000001</v>
      </c>
      <c r="CL30" s="191">
        <f t="shared" si="286"/>
        <v>-1573.867</v>
      </c>
      <c r="CM30" s="191">
        <f t="shared" si="287"/>
        <v>-500.30900000000003</v>
      </c>
      <c r="CN30" s="191">
        <f t="shared" si="288"/>
        <v>-1338.14</v>
      </c>
      <c r="CO30" s="191">
        <f t="shared" si="289"/>
        <v>0</v>
      </c>
      <c r="CP30" s="192">
        <f t="shared" si="290"/>
        <v>0</v>
      </c>
      <c r="CQ30" s="20"/>
      <c r="CR30" s="193">
        <f t="shared" si="291"/>
        <v>-938.32400000000007</v>
      </c>
      <c r="CS30" s="191">
        <f t="shared" si="292"/>
        <v>-1345.0870000000002</v>
      </c>
      <c r="CT30" s="191">
        <f t="shared" si="293"/>
        <v>-871.20999999999981</v>
      </c>
      <c r="CU30" s="191">
        <f t="shared" si="294"/>
        <v>-1411.9639999999999</v>
      </c>
      <c r="CV30" s="191">
        <f t="shared" si="295"/>
        <v>-1398.3350000000003</v>
      </c>
      <c r="CW30" s="191">
        <f t="shared" si="296"/>
        <v>-1450.7429999999997</v>
      </c>
      <c r="CX30" s="191">
        <f t="shared" si="297"/>
        <v>-3039.9809999999998</v>
      </c>
      <c r="CY30" s="191">
        <f t="shared" si="298"/>
        <v>-1123.4050000000002</v>
      </c>
      <c r="CZ30" s="191">
        <f t="shared" si="299"/>
        <v>-1110.8680000000002</v>
      </c>
      <c r="DA30" s="191">
        <f t="shared" si="300"/>
        <v>-817.93</v>
      </c>
      <c r="DB30" s="191">
        <f t="shared" si="301"/>
        <v>-1289.9269999999999</v>
      </c>
      <c r="DC30" s="191">
        <f t="shared" si="302"/>
        <v>-1108.7830000000001</v>
      </c>
      <c r="DD30" s="191">
        <f t="shared" si="303"/>
        <v>-1780.3209999999999</v>
      </c>
      <c r="DE30" s="191">
        <f t="shared" si="304"/>
        <v>-66.14999999999992</v>
      </c>
      <c r="DF30" s="191">
        <f t="shared" si="305"/>
        <v>-1803.3020000000001</v>
      </c>
      <c r="DG30" s="191">
        <f t="shared" si="306"/>
        <v>0</v>
      </c>
      <c r="DH30" s="191">
        <f t="shared" si="307"/>
        <v>0</v>
      </c>
      <c r="DI30" s="22"/>
    </row>
    <row r="31" spans="1:113" ht="14.25" customHeight="1">
      <c r="A31" s="8"/>
      <c r="B31" s="27" t="str">
        <f t="shared" si="207"/>
        <v>Sales and maturities of available-for-sale investments</v>
      </c>
      <c r="C31" s="28"/>
      <c r="D31" s="193">
        <f t="shared" si="208"/>
        <v>228.73400000000001</v>
      </c>
      <c r="E31" s="191">
        <f t="shared" si="209"/>
        <v>406.26499999999999</v>
      </c>
      <c r="F31" s="191">
        <f t="shared" si="210"/>
        <v>131.22500000000005</v>
      </c>
      <c r="G31" s="192">
        <f t="shared" si="211"/>
        <v>257.149</v>
      </c>
      <c r="H31" s="193">
        <f t="shared" si="212"/>
        <v>128.57900000000001</v>
      </c>
      <c r="I31" s="191">
        <f t="shared" si="213"/>
        <v>124.77500000000001</v>
      </c>
      <c r="J31" s="191">
        <f t="shared" si="214"/>
        <v>185.45</v>
      </c>
      <c r="K31" s="192">
        <f t="shared" si="215"/>
        <v>647.12999999999988</v>
      </c>
      <c r="L31" s="193">
        <f t="shared" si="216"/>
        <v>257.41199999999998</v>
      </c>
      <c r="M31" s="191">
        <f t="shared" si="217"/>
        <v>57.935000000000002</v>
      </c>
      <c r="N31" s="191">
        <f t="shared" si="218"/>
        <v>151.23000000000002</v>
      </c>
      <c r="O31" s="192">
        <f t="shared" si="219"/>
        <v>285.483</v>
      </c>
      <c r="P31" s="193">
        <f t="shared" si="220"/>
        <v>121.623</v>
      </c>
      <c r="Q31" s="191">
        <f t="shared" si="221"/>
        <v>86.149999999999991</v>
      </c>
      <c r="R31" s="191">
        <f t="shared" si="222"/>
        <v>152.87500000000006</v>
      </c>
      <c r="S31" s="192">
        <f t="shared" si="223"/>
        <v>437.04599999999999</v>
      </c>
      <c r="T31" s="193">
        <f t="shared" si="224"/>
        <v>541.952</v>
      </c>
      <c r="U31" s="191">
        <f t="shared" si="225"/>
        <v>25.773000000000025</v>
      </c>
      <c r="V31" s="191">
        <f t="shared" si="226"/>
        <v>132.89499999999998</v>
      </c>
      <c r="W31" s="192">
        <f t="shared" si="227"/>
        <v>243.33500000000004</v>
      </c>
      <c r="X31" s="193">
        <f t="shared" si="228"/>
        <v>465.36</v>
      </c>
      <c r="Y31" s="191">
        <f t="shared" si="229"/>
        <v>504.91499999999996</v>
      </c>
      <c r="Z31" s="191">
        <f t="shared" si="230"/>
        <v>484.55000000000007</v>
      </c>
      <c r="AA31" s="192">
        <f t="shared" si="231"/>
        <v>504.38499999999988</v>
      </c>
      <c r="AB31" s="193">
        <f t="shared" si="232"/>
        <v>165.13499999999999</v>
      </c>
      <c r="AC31" s="191">
        <f t="shared" si="233"/>
        <v>17.893000000000001</v>
      </c>
      <c r="AD31" s="191">
        <f t="shared" si="234"/>
        <v>585.52499999999998</v>
      </c>
      <c r="AE31" s="192">
        <f t="shared" si="235"/>
        <v>1814.5989999999999</v>
      </c>
      <c r="AF31" s="193">
        <f t="shared" si="236"/>
        <v>214.96700000000001</v>
      </c>
      <c r="AG31" s="191">
        <f t="shared" si="237"/>
        <v>317.06700000000001</v>
      </c>
      <c r="AH31" s="191">
        <f t="shared" si="238"/>
        <v>551.11199999999997</v>
      </c>
      <c r="AI31" s="192">
        <f t="shared" si="239"/>
        <v>418.98099999999999</v>
      </c>
      <c r="AJ31" s="193">
        <f t="shared" si="240"/>
        <v>325.89999999999998</v>
      </c>
      <c r="AK31" s="191">
        <f t="shared" si="241"/>
        <v>367.86</v>
      </c>
      <c r="AL31" s="191">
        <f t="shared" si="242"/>
        <v>145.23500000000001</v>
      </c>
      <c r="AM31" s="192">
        <f t="shared" si="243"/>
        <v>216.29100000000005</v>
      </c>
      <c r="AN31" s="191">
        <f t="shared" si="244"/>
        <v>264.48500000000001</v>
      </c>
      <c r="AO31" s="191">
        <f t="shared" si="245"/>
        <v>297.96000000000004</v>
      </c>
      <c r="AP31" s="191">
        <f t="shared" si="246"/>
        <v>230.79300000000001</v>
      </c>
      <c r="AQ31" s="192">
        <f t="shared" si="247"/>
        <v>190.26199999999994</v>
      </c>
      <c r="AR31" s="191">
        <f t="shared" si="248"/>
        <v>139.43899999999999</v>
      </c>
      <c r="AS31" s="191">
        <f t="shared" si="249"/>
        <v>211.15400000000002</v>
      </c>
      <c r="AT31" s="191">
        <f t="shared" si="250"/>
        <v>167.114</v>
      </c>
      <c r="AU31" s="192">
        <f t="shared" si="251"/>
        <v>338.87199999999996</v>
      </c>
      <c r="AV31" s="191">
        <f t="shared" si="252"/>
        <v>182.614</v>
      </c>
      <c r="AW31" s="191">
        <f t="shared" si="253"/>
        <v>188.19199999999998</v>
      </c>
      <c r="AX31" s="191">
        <f t="shared" si="254"/>
        <v>213.38000000000002</v>
      </c>
      <c r="AY31" s="192">
        <f t="shared" si="255"/>
        <v>367.11</v>
      </c>
      <c r="AZ31" s="191">
        <f t="shared" si="256"/>
        <v>321.20299999999997</v>
      </c>
      <c r="BA31" s="191">
        <f t="shared" si="257"/>
        <v>225.83400000000006</v>
      </c>
      <c r="BB31" s="191">
        <f t="shared" si="258"/>
        <v>274.12299999999993</v>
      </c>
      <c r="BC31" s="192">
        <f t="shared" si="259"/>
        <v>275.90500000000009</v>
      </c>
      <c r="BD31" s="191">
        <f t="shared" si="260"/>
        <v>433.44600000000003</v>
      </c>
      <c r="BE31" s="191">
        <f t="shared" si="261"/>
        <v>364.99199999999996</v>
      </c>
      <c r="BF31" s="191">
        <f t="shared" si="262"/>
        <v>395.04900000000009</v>
      </c>
      <c r="BG31" s="192">
        <f t="shared" si="263"/>
        <v>1633.4110000000001</v>
      </c>
      <c r="BH31" s="191">
        <f t="shared" si="264"/>
        <v>470.55099999999999</v>
      </c>
      <c r="BI31" s="191">
        <f t="shared" si="265"/>
        <v>1.4000000000010004E-2</v>
      </c>
      <c r="BJ31" s="191">
        <f t="shared" si="266"/>
        <v>0</v>
      </c>
      <c r="BK31" s="192">
        <f t="shared" si="267"/>
        <v>1.7459999999999809</v>
      </c>
      <c r="BL31" s="191">
        <f t="shared" si="268"/>
        <v>110</v>
      </c>
      <c r="BM31" s="191">
        <f t="shared" si="269"/>
        <v>253.08600000000001</v>
      </c>
      <c r="BN31" s="191">
        <f t="shared" si="270"/>
        <v>157</v>
      </c>
      <c r="BO31" s="195">
        <v>0</v>
      </c>
      <c r="BP31" s="194">
        <v>0</v>
      </c>
      <c r="BQ31" s="194">
        <v>0</v>
      </c>
      <c r="BR31" s="194">
        <v>0</v>
      </c>
      <c r="BS31" s="195">
        <v>0</v>
      </c>
      <c r="BT31" s="194">
        <v>0</v>
      </c>
      <c r="BU31" s="194">
        <v>0</v>
      </c>
      <c r="BV31" s="194">
        <v>0</v>
      </c>
      <c r="BW31" s="194">
        <v>0</v>
      </c>
      <c r="BX31" s="20"/>
      <c r="BY31" s="191">
        <f t="shared" si="273"/>
        <v>1023.373</v>
      </c>
      <c r="BZ31" s="191">
        <f t="shared" si="274"/>
        <v>1085.9339999999997</v>
      </c>
      <c r="CA31" s="191">
        <f t="shared" si="275"/>
        <v>752.06</v>
      </c>
      <c r="CB31" s="191">
        <f>SUM(P31:S31)</f>
        <v>797.69399999999996</v>
      </c>
      <c r="CC31" s="191">
        <f>SUM(T31:W31)</f>
        <v>943.95500000000004</v>
      </c>
      <c r="CD31" s="191">
        <f>SUM(X31:AA31)</f>
        <v>1959.21</v>
      </c>
      <c r="CE31" s="191">
        <f>SUM(AB31:AE31)</f>
        <v>2583.152</v>
      </c>
      <c r="CF31" s="191">
        <f>SUM(AF31:AI31)</f>
        <v>1502.127</v>
      </c>
      <c r="CG31" s="193">
        <f>SUM(AJ31:AM31)</f>
        <v>1055.2860000000001</v>
      </c>
      <c r="CH31" s="191">
        <f>SUM(AN31:AQ31)</f>
        <v>983.5</v>
      </c>
      <c r="CI31" s="193">
        <f>SUM(AR31:AU31)</f>
        <v>856.57899999999995</v>
      </c>
      <c r="CJ31" s="193">
        <f>SUM(AV31:AY31)</f>
        <v>951.29600000000005</v>
      </c>
      <c r="CK31" s="191">
        <f>SUM(AZ31:BC31)</f>
        <v>1097.0650000000001</v>
      </c>
      <c r="CL31" s="191">
        <f t="shared" si="286"/>
        <v>2826.8980000000001</v>
      </c>
      <c r="CM31" s="191">
        <f t="shared" si="287"/>
        <v>472.31099999999998</v>
      </c>
      <c r="CN31" s="191">
        <f t="shared" si="288"/>
        <v>520.08600000000001</v>
      </c>
      <c r="CO31" s="191">
        <f t="shared" si="289"/>
        <v>0</v>
      </c>
      <c r="CP31" s="192">
        <f t="shared" si="290"/>
        <v>0</v>
      </c>
      <c r="CQ31" s="20"/>
      <c r="CR31" s="193">
        <f t="shared" si="291"/>
        <v>695.95299999999997</v>
      </c>
      <c r="CS31" s="191">
        <f t="shared" si="292"/>
        <v>1113.7069999999999</v>
      </c>
      <c r="CT31" s="191">
        <f t="shared" si="293"/>
        <v>646.13100000000009</v>
      </c>
      <c r="CU31" s="191">
        <f t="shared" si="294"/>
        <v>1137.6660000000002</v>
      </c>
      <c r="CV31" s="191">
        <f t="shared" si="295"/>
        <v>1698.1600000000003</v>
      </c>
      <c r="CW31" s="191">
        <f t="shared" si="296"/>
        <v>1272.9379999999999</v>
      </c>
      <c r="CX31" s="191">
        <f t="shared" si="297"/>
        <v>2897.7449999999999</v>
      </c>
      <c r="CY31" s="191">
        <f t="shared" si="298"/>
        <v>1257.9760000000001</v>
      </c>
      <c r="CZ31" s="191">
        <f t="shared" si="299"/>
        <v>1009.5290000000001</v>
      </c>
      <c r="DA31" s="191">
        <f t="shared" si="300"/>
        <v>707.96899999999994</v>
      </c>
      <c r="DB31" s="191">
        <f t="shared" si="301"/>
        <v>923.05799999999999</v>
      </c>
      <c r="DC31" s="191">
        <f t="shared" si="302"/>
        <v>1188.27</v>
      </c>
      <c r="DD31" s="191">
        <f t="shared" si="303"/>
        <v>1469.3920000000003</v>
      </c>
      <c r="DE31" s="191">
        <f t="shared" si="304"/>
        <v>2103.9760000000001</v>
      </c>
      <c r="DF31" s="191">
        <f t="shared" si="305"/>
        <v>521.83199999999999</v>
      </c>
      <c r="DG31" s="191">
        <f t="shared" si="306"/>
        <v>0</v>
      </c>
      <c r="DH31" s="191">
        <f t="shared" si="307"/>
        <v>0</v>
      </c>
      <c r="DI31" s="22"/>
    </row>
    <row r="32" spans="1:113" ht="14.25" customHeight="1">
      <c r="A32" s="8"/>
      <c r="B32" s="27" t="str">
        <f t="shared" si="207"/>
        <v>Acquisitions, net of cash acquired</v>
      </c>
      <c r="C32" s="28"/>
      <c r="D32" s="193">
        <f t="shared" si="208"/>
        <v>0</v>
      </c>
      <c r="E32" s="191">
        <f t="shared" si="209"/>
        <v>0</v>
      </c>
      <c r="F32" s="191">
        <f t="shared" si="210"/>
        <v>0</v>
      </c>
      <c r="G32" s="192">
        <f t="shared" si="211"/>
        <v>0</v>
      </c>
      <c r="H32" s="193">
        <f t="shared" si="212"/>
        <v>0</v>
      </c>
      <c r="I32" s="191">
        <f t="shared" si="213"/>
        <v>0</v>
      </c>
      <c r="J32" s="191">
        <f t="shared" si="214"/>
        <v>0</v>
      </c>
      <c r="K32" s="192">
        <f t="shared" si="215"/>
        <v>0</v>
      </c>
      <c r="L32" s="193">
        <f t="shared" si="216"/>
        <v>0</v>
      </c>
      <c r="M32" s="191">
        <f t="shared" si="217"/>
        <v>0</v>
      </c>
      <c r="N32" s="191">
        <f t="shared" si="218"/>
        <v>0</v>
      </c>
      <c r="O32" s="192">
        <f t="shared" si="219"/>
        <v>0</v>
      </c>
      <c r="P32" s="193">
        <f t="shared" si="220"/>
        <v>0</v>
      </c>
      <c r="Q32" s="191">
        <f t="shared" si="221"/>
        <v>0</v>
      </c>
      <c r="R32" s="191">
        <f t="shared" si="222"/>
        <v>0</v>
      </c>
      <c r="S32" s="192">
        <f t="shared" si="223"/>
        <v>0</v>
      </c>
      <c r="T32" s="193">
        <f t="shared" si="224"/>
        <v>0</v>
      </c>
      <c r="U32" s="191">
        <f t="shared" si="225"/>
        <v>0</v>
      </c>
      <c r="V32" s="191">
        <f t="shared" si="226"/>
        <v>0</v>
      </c>
      <c r="W32" s="192">
        <f t="shared" si="227"/>
        <v>0</v>
      </c>
      <c r="X32" s="193">
        <f t="shared" si="228"/>
        <v>0</v>
      </c>
      <c r="Y32" s="191">
        <f t="shared" si="229"/>
        <v>0</v>
      </c>
      <c r="Z32" s="191">
        <f t="shared" si="230"/>
        <v>0</v>
      </c>
      <c r="AA32" s="192">
        <f t="shared" si="231"/>
        <v>0</v>
      </c>
      <c r="AB32" s="193">
        <f t="shared" si="232"/>
        <v>0</v>
      </c>
      <c r="AC32" s="191">
        <f t="shared" si="233"/>
        <v>0</v>
      </c>
      <c r="AD32" s="191">
        <f t="shared" si="234"/>
        <v>0</v>
      </c>
      <c r="AE32" s="192">
        <f t="shared" si="235"/>
        <v>0</v>
      </c>
      <c r="AF32" s="193">
        <f t="shared" si="236"/>
        <v>0</v>
      </c>
      <c r="AG32" s="191">
        <f t="shared" si="237"/>
        <v>0</v>
      </c>
      <c r="AH32" s="191">
        <f t="shared" si="238"/>
        <v>0</v>
      </c>
      <c r="AI32" s="192">
        <f t="shared" si="239"/>
        <v>-58.402000000000001</v>
      </c>
      <c r="AJ32" s="193">
        <f t="shared" si="240"/>
        <v>-112.70699999999999</v>
      </c>
      <c r="AK32" s="191">
        <f t="shared" si="241"/>
        <v>0</v>
      </c>
      <c r="AL32" s="191">
        <f t="shared" si="242"/>
        <v>0</v>
      </c>
      <c r="AM32" s="192">
        <f t="shared" si="243"/>
        <v>0</v>
      </c>
      <c r="AN32" s="191">
        <f t="shared" si="244"/>
        <v>0</v>
      </c>
      <c r="AO32" s="191">
        <f t="shared" si="245"/>
        <v>0</v>
      </c>
      <c r="AP32" s="191">
        <f t="shared" si="246"/>
        <v>0</v>
      </c>
      <c r="AQ32" s="192">
        <f t="shared" si="247"/>
        <v>0</v>
      </c>
      <c r="AR32" s="191">
        <f t="shared" si="248"/>
        <v>-20.556000000000001</v>
      </c>
      <c r="AS32" s="191">
        <f t="shared" si="249"/>
        <v>-731.74599999999998</v>
      </c>
      <c r="AT32" s="191">
        <f t="shared" si="250"/>
        <v>-3.907985046680551E-14</v>
      </c>
      <c r="AU32" s="192">
        <f t="shared" si="251"/>
        <v>20.556000000000001</v>
      </c>
      <c r="AV32" s="191">
        <f t="shared" si="252"/>
        <v>-2.1739999999999999</v>
      </c>
      <c r="AW32" s="191">
        <f t="shared" si="253"/>
        <v>0</v>
      </c>
      <c r="AX32" s="191">
        <f t="shared" si="254"/>
        <v>-9.0129999999999999</v>
      </c>
      <c r="AY32" s="192">
        <f t="shared" si="255"/>
        <v>11.186999999999999</v>
      </c>
      <c r="AZ32" s="191">
        <f t="shared" si="256"/>
        <v>-375.36500000000001</v>
      </c>
      <c r="BA32" s="191">
        <f t="shared" si="257"/>
        <v>-254.23399999999992</v>
      </c>
      <c r="BB32" s="191">
        <f t="shared" si="258"/>
        <v>-21.169000000000096</v>
      </c>
      <c r="BC32" s="192">
        <f t="shared" si="259"/>
        <v>22.933999999999969</v>
      </c>
      <c r="BD32" s="191">
        <f t="shared" si="260"/>
        <v>0</v>
      </c>
      <c r="BE32" s="191">
        <f t="shared" si="261"/>
        <v>-361.97899999999998</v>
      </c>
      <c r="BF32" s="191">
        <f t="shared" si="262"/>
        <v>18.050999999999988</v>
      </c>
      <c r="BG32" s="192">
        <f t="shared" si="263"/>
        <v>0</v>
      </c>
      <c r="BH32" s="191">
        <f t="shared" si="264"/>
        <v>-2747.5160000000001</v>
      </c>
      <c r="BI32" s="191">
        <f t="shared" si="265"/>
        <v>0</v>
      </c>
      <c r="BJ32" s="191">
        <f t="shared" si="266"/>
        <v>0</v>
      </c>
      <c r="BK32" s="192">
        <f t="shared" si="267"/>
        <v>0</v>
      </c>
      <c r="BL32" s="191">
        <f t="shared" si="268"/>
        <v>0</v>
      </c>
      <c r="BM32" s="191">
        <f t="shared" si="269"/>
        <v>0</v>
      </c>
      <c r="BN32" s="191">
        <f t="shared" si="270"/>
        <v>0</v>
      </c>
      <c r="BO32" s="195">
        <v>0</v>
      </c>
      <c r="BP32" s="194">
        <v>0</v>
      </c>
      <c r="BQ32" s="194">
        <v>0</v>
      </c>
      <c r="BR32" s="194">
        <v>0</v>
      </c>
      <c r="BS32" s="195">
        <v>0</v>
      </c>
      <c r="BT32" s="194">
        <v>0</v>
      </c>
      <c r="BU32" s="194">
        <v>0</v>
      </c>
      <c r="BV32" s="194">
        <v>0</v>
      </c>
      <c r="BW32" s="194">
        <v>0</v>
      </c>
      <c r="BX32" s="20"/>
      <c r="BY32" s="191">
        <f t="shared" si="273"/>
        <v>0</v>
      </c>
      <c r="BZ32" s="191">
        <f t="shared" si="274"/>
        <v>0</v>
      </c>
      <c r="CA32" s="191">
        <f t="shared" si="275"/>
        <v>0</v>
      </c>
      <c r="CB32" s="191">
        <f>SUM(P32:S32)</f>
        <v>0</v>
      </c>
      <c r="CC32" s="191">
        <f>SUM(T32:W32)</f>
        <v>0</v>
      </c>
      <c r="CD32" s="191">
        <f>SUM(X32:AA32)</f>
        <v>0</v>
      </c>
      <c r="CE32" s="191">
        <f>SUM(AB32:AE32)</f>
        <v>0</v>
      </c>
      <c r="CF32" s="191">
        <f>SUM(AF32:AI32)</f>
        <v>-58.402000000000001</v>
      </c>
      <c r="CG32" s="193">
        <f>SUM(AJ32:AM32)</f>
        <v>-112.70699999999999</v>
      </c>
      <c r="CH32" s="191">
        <f>SUM(AN32:AQ32)</f>
        <v>0</v>
      </c>
      <c r="CI32" s="193">
        <f>SUM(AR32:AU32)</f>
        <v>-731.74599999999998</v>
      </c>
      <c r="CJ32" s="193">
        <f>SUM(AV32:AY32)</f>
        <v>0</v>
      </c>
      <c r="CK32" s="191">
        <f>SUM(AZ32:BC32)</f>
        <v>-627.83400000000006</v>
      </c>
      <c r="CL32" s="191">
        <f t="shared" si="286"/>
        <v>-343.928</v>
      </c>
      <c r="CM32" s="191">
        <f t="shared" si="287"/>
        <v>-2747.5160000000001</v>
      </c>
      <c r="CN32" s="191">
        <f t="shared" si="288"/>
        <v>0</v>
      </c>
      <c r="CO32" s="191">
        <f t="shared" si="289"/>
        <v>0</v>
      </c>
      <c r="CP32" s="192">
        <f t="shared" si="290"/>
        <v>0</v>
      </c>
      <c r="CQ32" s="20"/>
      <c r="CR32" s="193">
        <f t="shared" si="291"/>
        <v>0</v>
      </c>
      <c r="CS32" s="191">
        <f t="shared" si="292"/>
        <v>0</v>
      </c>
      <c r="CT32" s="191">
        <f t="shared" si="293"/>
        <v>0</v>
      </c>
      <c r="CU32" s="191">
        <f t="shared" si="294"/>
        <v>0</v>
      </c>
      <c r="CV32" s="191">
        <f t="shared" si="295"/>
        <v>0</v>
      </c>
      <c r="CW32" s="191">
        <f t="shared" si="296"/>
        <v>0</v>
      </c>
      <c r="CX32" s="191">
        <f t="shared" si="297"/>
        <v>0</v>
      </c>
      <c r="CY32" s="191">
        <f t="shared" si="298"/>
        <v>-171.10899999999998</v>
      </c>
      <c r="CZ32" s="191">
        <f t="shared" si="299"/>
        <v>0</v>
      </c>
      <c r="DA32" s="191">
        <f t="shared" si="300"/>
        <v>-752.30200000000002</v>
      </c>
      <c r="DB32" s="191">
        <f t="shared" si="301"/>
        <v>9.3690000000000015</v>
      </c>
      <c r="DC32" s="191">
        <f t="shared" si="302"/>
        <v>-639.58100000000002</v>
      </c>
      <c r="DD32" s="191">
        <f t="shared" si="303"/>
        <v>-320.99400000000003</v>
      </c>
      <c r="DE32" s="191">
        <f t="shared" si="304"/>
        <v>-2747.5160000000001</v>
      </c>
      <c r="DF32" s="191">
        <f t="shared" si="305"/>
        <v>0</v>
      </c>
      <c r="DG32" s="191">
        <f t="shared" si="306"/>
        <v>0</v>
      </c>
      <c r="DH32" s="191">
        <f t="shared" si="307"/>
        <v>0</v>
      </c>
      <c r="DI32" s="22"/>
    </row>
    <row r="33" spans="1:113" ht="14.25" customHeight="1">
      <c r="A33" s="8"/>
      <c r="B33" s="27" t="str">
        <f t="shared" si="207"/>
        <v>Investment in other assets</v>
      </c>
      <c r="C33" s="28"/>
      <c r="D33" s="193">
        <f t="shared" si="208"/>
        <v>0</v>
      </c>
      <c r="E33" s="191">
        <f t="shared" si="209"/>
        <v>0</v>
      </c>
      <c r="F33" s="191">
        <f t="shared" si="210"/>
        <v>0</v>
      </c>
      <c r="G33" s="192">
        <f t="shared" si="211"/>
        <v>-6.032</v>
      </c>
      <c r="H33" s="193">
        <f t="shared" si="212"/>
        <v>0</v>
      </c>
      <c r="I33" s="191">
        <f t="shared" si="213"/>
        <v>-0.7</v>
      </c>
      <c r="J33" s="191">
        <f t="shared" si="214"/>
        <v>0</v>
      </c>
      <c r="K33" s="192">
        <f t="shared" si="215"/>
        <v>0</v>
      </c>
      <c r="L33" s="193">
        <f t="shared" si="216"/>
        <v>0</v>
      </c>
      <c r="M33" s="191">
        <f t="shared" si="217"/>
        <v>0</v>
      </c>
      <c r="N33" s="191">
        <f t="shared" si="218"/>
        <v>0</v>
      </c>
      <c r="O33" s="192">
        <f t="shared" si="219"/>
        <v>0</v>
      </c>
      <c r="P33" s="193">
        <f t="shared" si="220"/>
        <v>-1</v>
      </c>
      <c r="Q33" s="191">
        <f t="shared" si="221"/>
        <v>-0.52800000000000002</v>
      </c>
      <c r="R33" s="191">
        <f t="shared" si="222"/>
        <v>-0.17599999999999993</v>
      </c>
      <c r="S33" s="192">
        <f t="shared" si="223"/>
        <v>-0.89100000000000046</v>
      </c>
      <c r="T33" s="193">
        <f t="shared" si="224"/>
        <v>-0.219</v>
      </c>
      <c r="U33" s="191">
        <f t="shared" si="225"/>
        <v>-0.25900000000000001</v>
      </c>
      <c r="V33" s="191">
        <f t="shared" si="226"/>
        <v>-0.19500000000000003</v>
      </c>
      <c r="W33" s="192">
        <f t="shared" si="227"/>
        <v>-0.1709999999999999</v>
      </c>
      <c r="X33" s="193">
        <f t="shared" si="228"/>
        <v>-0.39800000000000002</v>
      </c>
      <c r="Y33" s="191">
        <f t="shared" si="229"/>
        <v>-2.27</v>
      </c>
      <c r="Z33" s="191">
        <f t="shared" si="230"/>
        <v>-2.0489999999999995</v>
      </c>
      <c r="AA33" s="192">
        <f t="shared" si="231"/>
        <v>-0.29500000000000004</v>
      </c>
      <c r="AB33" s="193">
        <f t="shared" si="232"/>
        <v>-0.23699999999999999</v>
      </c>
      <c r="AC33" s="191">
        <f t="shared" si="233"/>
        <v>-0.35899999999999999</v>
      </c>
      <c r="AD33" s="191">
        <f t="shared" si="234"/>
        <v>-14.427</v>
      </c>
      <c r="AE33" s="192">
        <f t="shared" si="235"/>
        <v>-6.5770000000000017</v>
      </c>
      <c r="AF33" s="193">
        <f t="shared" si="236"/>
        <v>-0.90200000000000002</v>
      </c>
      <c r="AG33" s="191">
        <f t="shared" si="237"/>
        <v>-3.9909999999999997</v>
      </c>
      <c r="AH33" s="191">
        <f t="shared" si="238"/>
        <v>-1.0819999999999999</v>
      </c>
      <c r="AI33" s="192">
        <f t="shared" si="239"/>
        <v>-9.4640000000000004</v>
      </c>
      <c r="AJ33" s="193">
        <f t="shared" si="240"/>
        <v>-0.14199999999999999</v>
      </c>
      <c r="AK33" s="191">
        <f t="shared" si="241"/>
        <v>-1.2910000000000001</v>
      </c>
      <c r="AL33" s="191">
        <f t="shared" si="242"/>
        <v>-13.41</v>
      </c>
      <c r="AM33" s="192">
        <f t="shared" si="243"/>
        <v>-14.744</v>
      </c>
      <c r="AN33" s="191">
        <f t="shared" si="244"/>
        <v>-0.97599999999999998</v>
      </c>
      <c r="AO33" s="191">
        <f t="shared" si="245"/>
        <v>-4.17</v>
      </c>
      <c r="AP33" s="191">
        <f t="shared" si="246"/>
        <v>-1.7320000000000002</v>
      </c>
      <c r="AQ33" s="192">
        <f t="shared" si="247"/>
        <v>-37.520000000000003</v>
      </c>
      <c r="AR33" s="191">
        <f t="shared" si="248"/>
        <v>-1.609</v>
      </c>
      <c r="AS33" s="191">
        <f t="shared" si="249"/>
        <v>-0.5950000000000002</v>
      </c>
      <c r="AT33" s="191">
        <f t="shared" si="250"/>
        <v>-1.8139999999999996</v>
      </c>
      <c r="AU33" s="192">
        <f t="shared" si="251"/>
        <v>-21.268000000000001</v>
      </c>
      <c r="AV33" s="191">
        <f t="shared" si="252"/>
        <v>-1.6160000000000001</v>
      </c>
      <c r="AW33" s="191">
        <f t="shared" si="253"/>
        <v>-1.335</v>
      </c>
      <c r="AX33" s="191">
        <f t="shared" si="254"/>
        <v>-4.5109999999999992</v>
      </c>
      <c r="AY33" s="192">
        <f t="shared" si="255"/>
        <v>-12.794</v>
      </c>
      <c r="AZ33" s="191">
        <f t="shared" si="256"/>
        <v>-1.123</v>
      </c>
      <c r="BA33" s="191">
        <f t="shared" si="257"/>
        <v>-2.5359999999999996</v>
      </c>
      <c r="BB33" s="191">
        <f t="shared" si="258"/>
        <v>-1.6150000000000004</v>
      </c>
      <c r="BC33" s="192">
        <f t="shared" si="259"/>
        <v>-1.3890000000000005</v>
      </c>
      <c r="BD33" s="191">
        <f t="shared" si="260"/>
        <v>-1.766</v>
      </c>
      <c r="BE33" s="191">
        <f t="shared" si="261"/>
        <v>-1.2149999999999999</v>
      </c>
      <c r="BF33" s="191">
        <f t="shared" si="262"/>
        <v>-2.9800000000000004</v>
      </c>
      <c r="BG33" s="192">
        <f t="shared" si="263"/>
        <v>-1.0949999999999998</v>
      </c>
      <c r="BH33" s="191">
        <f t="shared" si="264"/>
        <v>-0.76500000000000001</v>
      </c>
      <c r="BI33" s="191">
        <f t="shared" si="265"/>
        <v>-2.4670000000000001</v>
      </c>
      <c r="BJ33" s="191">
        <f t="shared" si="266"/>
        <v>-6.3649999999999993</v>
      </c>
      <c r="BK33" s="192">
        <f t="shared" si="267"/>
        <v>-0.62100000000000055</v>
      </c>
      <c r="BL33" s="191">
        <f t="shared" si="268"/>
        <v>-1.9330000000000001</v>
      </c>
      <c r="BM33" s="191">
        <f t="shared" si="269"/>
        <v>-1.905</v>
      </c>
      <c r="BN33" s="191">
        <f t="shared" si="270"/>
        <v>-1.546</v>
      </c>
      <c r="BO33" s="195">
        <v>0</v>
      </c>
      <c r="BP33" s="194">
        <v>0</v>
      </c>
      <c r="BQ33" s="194">
        <v>0</v>
      </c>
      <c r="BR33" s="194">
        <v>0</v>
      </c>
      <c r="BS33" s="195">
        <v>0</v>
      </c>
      <c r="BT33" s="194">
        <v>0</v>
      </c>
      <c r="BU33" s="194">
        <v>0</v>
      </c>
      <c r="BV33" s="194">
        <v>0</v>
      </c>
      <c r="BW33" s="194">
        <v>0</v>
      </c>
      <c r="BX33" s="20"/>
      <c r="BY33" s="191">
        <f t="shared" si="273"/>
        <v>-6.032</v>
      </c>
      <c r="BZ33" s="191">
        <f t="shared" si="274"/>
        <v>-0.7</v>
      </c>
      <c r="CA33" s="191">
        <f t="shared" si="275"/>
        <v>0</v>
      </c>
      <c r="CB33" s="191">
        <f t="shared" si="276"/>
        <v>-2.5950000000000006</v>
      </c>
      <c r="CC33" s="191">
        <f t="shared" si="277"/>
        <v>-0.84399999999999997</v>
      </c>
      <c r="CD33" s="191">
        <f t="shared" si="278"/>
        <v>-5.0119999999999996</v>
      </c>
      <c r="CE33" s="191">
        <f t="shared" si="279"/>
        <v>-21.6</v>
      </c>
      <c r="CF33" s="191">
        <f t="shared" si="280"/>
        <v>-15.439</v>
      </c>
      <c r="CG33" s="193">
        <f t="shared" si="281"/>
        <v>-29.587</v>
      </c>
      <c r="CH33" s="191">
        <f t="shared" si="282"/>
        <v>-44.398000000000003</v>
      </c>
      <c r="CI33" s="193">
        <f t="shared" si="283"/>
        <v>-25.286000000000001</v>
      </c>
      <c r="CJ33" s="193">
        <f t="shared" si="284"/>
        <v>-20.256</v>
      </c>
      <c r="CK33" s="191">
        <f t="shared" si="285"/>
        <v>-6.6630000000000003</v>
      </c>
      <c r="CL33" s="191">
        <f t="shared" si="286"/>
        <v>-7.056</v>
      </c>
      <c r="CM33" s="191">
        <f t="shared" si="287"/>
        <v>-10.218</v>
      </c>
      <c r="CN33" s="191">
        <f t="shared" si="288"/>
        <v>-5.3840000000000003</v>
      </c>
      <c r="CO33" s="870">
        <f t="shared" si="289"/>
        <v>0</v>
      </c>
      <c r="CP33" s="872">
        <f t="shared" si="290"/>
        <v>0</v>
      </c>
      <c r="CQ33" s="20"/>
      <c r="CR33" s="193">
        <f t="shared" si="291"/>
        <v>-6.7320000000000002</v>
      </c>
      <c r="CS33" s="191">
        <f t="shared" si="292"/>
        <v>0</v>
      </c>
      <c r="CT33" s="191">
        <f t="shared" si="293"/>
        <v>-1.704</v>
      </c>
      <c r="CU33" s="191">
        <f t="shared" si="294"/>
        <v>-1.5640000000000007</v>
      </c>
      <c r="CV33" s="191">
        <f t="shared" si="295"/>
        <v>-4.8879999999999999</v>
      </c>
      <c r="CW33" s="191">
        <f t="shared" si="296"/>
        <v>-15.318</v>
      </c>
      <c r="CX33" s="191">
        <f t="shared" si="297"/>
        <v>-12.552000000000003</v>
      </c>
      <c r="CY33" s="191">
        <f t="shared" si="298"/>
        <v>-24.307000000000002</v>
      </c>
      <c r="CZ33" s="191">
        <f t="shared" si="299"/>
        <v>-21.622</v>
      </c>
      <c r="DA33" s="191">
        <f t="shared" si="300"/>
        <v>-41.538000000000004</v>
      </c>
      <c r="DB33" s="191">
        <f t="shared" si="301"/>
        <v>-28.73</v>
      </c>
      <c r="DC33" s="191">
        <f t="shared" si="302"/>
        <v>-18.068000000000001</v>
      </c>
      <c r="DD33" s="191">
        <f t="shared" si="303"/>
        <v>-7.3500000000000005</v>
      </c>
      <c r="DE33" s="191">
        <f t="shared" si="304"/>
        <v>-10.692</v>
      </c>
      <c r="DF33" s="191">
        <f t="shared" si="305"/>
        <v>-6.0050000000000008</v>
      </c>
      <c r="DG33" s="191">
        <f t="shared" si="306"/>
        <v>0</v>
      </c>
      <c r="DH33" s="191">
        <f t="shared" si="307"/>
        <v>0</v>
      </c>
      <c r="DI33" s="22"/>
    </row>
    <row r="34" spans="1:113" ht="14.25" customHeight="1">
      <c r="A34" s="8"/>
      <c r="B34" s="27" t="str">
        <f t="shared" si="207"/>
        <v>Proceeds from sale of assets</v>
      </c>
      <c r="C34" s="28"/>
      <c r="D34" s="193">
        <f t="shared" si="208"/>
        <v>0</v>
      </c>
      <c r="E34" s="191">
        <f t="shared" si="209"/>
        <v>0</v>
      </c>
      <c r="F34" s="191">
        <f t="shared" si="210"/>
        <v>0</v>
      </c>
      <c r="G34" s="192">
        <f t="shared" si="211"/>
        <v>0.60799999999999998</v>
      </c>
      <c r="H34" s="193">
        <f t="shared" si="212"/>
        <v>0</v>
      </c>
      <c r="I34" s="191">
        <f t="shared" si="213"/>
        <v>0.61299999999999999</v>
      </c>
      <c r="J34" s="191">
        <f t="shared" si="214"/>
        <v>0.53699999999999992</v>
      </c>
      <c r="K34" s="192">
        <f t="shared" si="215"/>
        <v>1.1790000000000003</v>
      </c>
      <c r="L34" s="193">
        <f t="shared" si="216"/>
        <v>0.73599999999999999</v>
      </c>
      <c r="M34" s="191">
        <f t="shared" si="217"/>
        <v>0.34699999999999998</v>
      </c>
      <c r="N34" s="191">
        <f t="shared" si="218"/>
        <v>5.8000000000000052E-2</v>
      </c>
      <c r="O34" s="192">
        <f t="shared" si="219"/>
        <v>0.51800000000000002</v>
      </c>
      <c r="P34" s="193">
        <f t="shared" si="220"/>
        <v>0.24399999999999999</v>
      </c>
      <c r="Q34" s="191">
        <f t="shared" si="221"/>
        <v>0.30000000000000004</v>
      </c>
      <c r="R34" s="191">
        <f t="shared" si="222"/>
        <v>0.27499999999999991</v>
      </c>
      <c r="S34" s="192">
        <f t="shared" si="223"/>
        <v>0.52200000000000002</v>
      </c>
      <c r="T34" s="193">
        <f t="shared" si="224"/>
        <v>0.67300000000000004</v>
      </c>
      <c r="U34" s="191">
        <f t="shared" si="225"/>
        <v>1.073</v>
      </c>
      <c r="V34" s="191">
        <f t="shared" si="226"/>
        <v>0</v>
      </c>
      <c r="W34" s="192">
        <f t="shared" si="227"/>
        <v>0</v>
      </c>
      <c r="X34" s="193">
        <f t="shared" si="228"/>
        <v>0.45</v>
      </c>
      <c r="Y34" s="191">
        <f t="shared" si="229"/>
        <v>0.55000000000000004</v>
      </c>
      <c r="Z34" s="191">
        <f t="shared" si="230"/>
        <v>27.698</v>
      </c>
      <c r="AA34" s="192">
        <f t="shared" si="231"/>
        <v>0.55000000000000071</v>
      </c>
      <c r="AB34" s="193">
        <f t="shared" si="232"/>
        <v>0.109</v>
      </c>
      <c r="AC34" s="191">
        <f t="shared" si="233"/>
        <v>3.4999999999999989E-2</v>
      </c>
      <c r="AD34" s="191">
        <f t="shared" si="234"/>
        <v>1.2000000000000011E-2</v>
      </c>
      <c r="AE34" s="192">
        <f t="shared" si="235"/>
        <v>1.0000000000000009E-2</v>
      </c>
      <c r="AF34" s="193">
        <f t="shared" si="236"/>
        <v>0</v>
      </c>
      <c r="AG34" s="191">
        <f t="shared" si="237"/>
        <v>0</v>
      </c>
      <c r="AH34" s="191">
        <f t="shared" si="238"/>
        <v>0.1</v>
      </c>
      <c r="AI34" s="192">
        <f t="shared" si="239"/>
        <v>0</v>
      </c>
      <c r="AJ34" s="193">
        <f t="shared" si="240"/>
        <v>18.43</v>
      </c>
      <c r="AK34" s="191">
        <f t="shared" si="241"/>
        <v>10</v>
      </c>
      <c r="AL34" s="191">
        <f t="shared" si="242"/>
        <v>2.1290000000000013</v>
      </c>
      <c r="AM34" s="192">
        <f t="shared" si="243"/>
        <v>1.1089999999999982</v>
      </c>
      <c r="AN34" s="191">
        <f t="shared" si="244"/>
        <v>0</v>
      </c>
      <c r="AO34" s="191">
        <f t="shared" si="245"/>
        <v>4.8000000000000001E-2</v>
      </c>
      <c r="AP34" s="191">
        <f t="shared" si="246"/>
        <v>0.16399999999999998</v>
      </c>
      <c r="AQ34" s="192">
        <f t="shared" si="247"/>
        <v>0.19900000000000001</v>
      </c>
      <c r="AR34" s="191">
        <f t="shared" si="248"/>
        <v>0.05</v>
      </c>
      <c r="AS34" s="191">
        <f t="shared" si="249"/>
        <v>1.6E-2</v>
      </c>
      <c r="AT34" s="191">
        <f t="shared" si="250"/>
        <v>0.24</v>
      </c>
      <c r="AU34" s="192">
        <f t="shared" si="251"/>
        <v>0</v>
      </c>
      <c r="AV34" s="191">
        <f t="shared" si="252"/>
        <v>16.2</v>
      </c>
      <c r="AW34" s="191">
        <f t="shared" si="253"/>
        <v>0</v>
      </c>
      <c r="AX34" s="191">
        <f t="shared" si="254"/>
        <v>0</v>
      </c>
      <c r="AY34" s="192">
        <f t="shared" si="255"/>
        <v>3.5000000000000142E-2</v>
      </c>
      <c r="AZ34" s="191">
        <f t="shared" si="256"/>
        <v>0</v>
      </c>
      <c r="BA34" s="191">
        <f t="shared" si="257"/>
        <v>0</v>
      </c>
      <c r="BB34" s="191">
        <f t="shared" si="258"/>
        <v>0</v>
      </c>
      <c r="BC34" s="192">
        <f t="shared" si="259"/>
        <v>0</v>
      </c>
      <c r="BD34" s="191">
        <f t="shared" si="260"/>
        <v>0</v>
      </c>
      <c r="BE34" s="191">
        <f t="shared" si="261"/>
        <v>14.295999999999999</v>
      </c>
      <c r="BF34" s="191">
        <f t="shared" si="262"/>
        <v>0</v>
      </c>
      <c r="BG34" s="192">
        <f t="shared" si="263"/>
        <v>0</v>
      </c>
      <c r="BH34" s="191">
        <f t="shared" si="264"/>
        <v>0</v>
      </c>
      <c r="BI34" s="191">
        <f t="shared" si="265"/>
        <v>6.6000000000000003E-2</v>
      </c>
      <c r="BJ34" s="191">
        <f t="shared" si="266"/>
        <v>23.003</v>
      </c>
      <c r="BK34" s="192">
        <f t="shared" si="267"/>
        <v>-1.0547118733938987E-15</v>
      </c>
      <c r="BL34" s="191">
        <f t="shared" si="268"/>
        <v>0</v>
      </c>
      <c r="BM34" s="191">
        <f t="shared" si="269"/>
        <v>10.241</v>
      </c>
      <c r="BN34" s="191">
        <f t="shared" si="270"/>
        <v>4.8000000000000043E-2</v>
      </c>
      <c r="BO34" s="195">
        <v>0</v>
      </c>
      <c r="BP34" s="194">
        <v>0</v>
      </c>
      <c r="BQ34" s="194">
        <v>0</v>
      </c>
      <c r="BR34" s="194">
        <v>0</v>
      </c>
      <c r="BS34" s="195">
        <v>0</v>
      </c>
      <c r="BT34" s="194">
        <v>0</v>
      </c>
      <c r="BU34" s="194">
        <v>0</v>
      </c>
      <c r="BV34" s="194">
        <v>0</v>
      </c>
      <c r="BW34" s="194">
        <v>0</v>
      </c>
      <c r="BX34" s="20"/>
      <c r="BY34" s="191">
        <f t="shared" si="273"/>
        <v>0.60799999999999998</v>
      </c>
      <c r="BZ34" s="191">
        <f t="shared" si="274"/>
        <v>2.3290000000000002</v>
      </c>
      <c r="CA34" s="191">
        <f t="shared" si="275"/>
        <v>1.659</v>
      </c>
      <c r="CB34" s="191">
        <f>SUM(P34:S34)</f>
        <v>1.341</v>
      </c>
      <c r="CC34" s="191">
        <f>SUM(T34:W34)</f>
        <v>1.746</v>
      </c>
      <c r="CD34" s="191">
        <f>SUM(X34:AA34)</f>
        <v>29.248000000000001</v>
      </c>
      <c r="CE34" s="191">
        <f>SUM(AB34:AE34)</f>
        <v>0.16600000000000001</v>
      </c>
      <c r="CF34" s="191">
        <f>SUM(AF34:AI34)</f>
        <v>0.1</v>
      </c>
      <c r="CG34" s="193">
        <f>SUM(AJ34:AM34)</f>
        <v>31.667999999999999</v>
      </c>
      <c r="CH34" s="191">
        <f>SUM(AN34:AQ34)</f>
        <v>0.41099999999999998</v>
      </c>
      <c r="CI34" s="193">
        <f>SUM(AR34:AU34)</f>
        <v>0.30599999999999999</v>
      </c>
      <c r="CJ34" s="193">
        <f>SUM(AV34:AY34)</f>
        <v>16.234999999999999</v>
      </c>
      <c r="CK34" s="191">
        <f>SUM(AZ34:BC34)</f>
        <v>0</v>
      </c>
      <c r="CL34" s="191">
        <f>SUM(BD34:BG34)</f>
        <v>14.295999999999999</v>
      </c>
      <c r="CM34" s="191">
        <f t="shared" si="287"/>
        <v>23.068999999999999</v>
      </c>
      <c r="CN34" s="191">
        <f t="shared" si="288"/>
        <v>10.289</v>
      </c>
      <c r="CO34" s="191">
        <f t="shared" si="289"/>
        <v>0</v>
      </c>
      <c r="CP34" s="192">
        <f t="shared" si="290"/>
        <v>0</v>
      </c>
      <c r="CQ34" s="20"/>
      <c r="CR34" s="193">
        <f t="shared" si="291"/>
        <v>1.758</v>
      </c>
      <c r="CS34" s="191">
        <f t="shared" si="292"/>
        <v>2.3200000000000003</v>
      </c>
      <c r="CT34" s="191">
        <f t="shared" si="293"/>
        <v>1.337</v>
      </c>
      <c r="CU34" s="191">
        <f t="shared" si="294"/>
        <v>2.2679999999999998</v>
      </c>
      <c r="CV34" s="191">
        <f t="shared" si="295"/>
        <v>28.698</v>
      </c>
      <c r="CW34" s="191">
        <f t="shared" si="296"/>
        <v>0.70600000000000074</v>
      </c>
      <c r="CX34" s="191">
        <f t="shared" si="297"/>
        <v>0.11000000000000001</v>
      </c>
      <c r="CY34" s="191">
        <f t="shared" si="298"/>
        <v>30.559000000000001</v>
      </c>
      <c r="CZ34" s="191">
        <f t="shared" si="299"/>
        <v>1.3209999999999982</v>
      </c>
      <c r="DA34" s="191">
        <f t="shared" si="300"/>
        <v>0.505</v>
      </c>
      <c r="DB34" s="191">
        <f t="shared" si="301"/>
        <v>16.2</v>
      </c>
      <c r="DC34" s="191">
        <f t="shared" si="302"/>
        <v>3.5000000000000142E-2</v>
      </c>
      <c r="DD34" s="191">
        <f t="shared" si="303"/>
        <v>14.295999999999999</v>
      </c>
      <c r="DE34" s="191">
        <f t="shared" si="304"/>
        <v>23.068999999999999</v>
      </c>
      <c r="DF34" s="191">
        <f t="shared" si="305"/>
        <v>10.288999999999998</v>
      </c>
      <c r="DG34" s="191">
        <f t="shared" si="306"/>
        <v>0</v>
      </c>
      <c r="DH34" s="191">
        <f t="shared" si="307"/>
        <v>0</v>
      </c>
      <c r="DI34" s="22"/>
    </row>
    <row r="35" spans="1:113" ht="14.25" customHeight="1">
      <c r="A35" s="11"/>
      <c r="B35" s="27" t="str">
        <f t="shared" si="207"/>
        <v>Other investing activities</v>
      </c>
      <c r="C35" s="28"/>
      <c r="D35" s="193">
        <f t="shared" si="208"/>
        <v>-50.673999999999999</v>
      </c>
      <c r="E35" s="191">
        <f t="shared" si="209"/>
        <v>-184.512</v>
      </c>
      <c r="F35" s="191">
        <f t="shared" si="210"/>
        <v>-0.20500000000001961</v>
      </c>
      <c r="G35" s="192">
        <f t="shared" si="211"/>
        <v>0</v>
      </c>
      <c r="H35" s="193">
        <f t="shared" si="212"/>
        <v>0</v>
      </c>
      <c r="I35" s="191">
        <f t="shared" si="213"/>
        <v>0</v>
      </c>
      <c r="J35" s="191">
        <f t="shared" si="214"/>
        <v>0</v>
      </c>
      <c r="K35" s="192">
        <f t="shared" si="215"/>
        <v>0</v>
      </c>
      <c r="L35" s="193">
        <f t="shared" si="216"/>
        <v>0</v>
      </c>
      <c r="M35" s="191">
        <f t="shared" si="217"/>
        <v>0</v>
      </c>
      <c r="N35" s="191">
        <f t="shared" si="218"/>
        <v>0</v>
      </c>
      <c r="O35" s="192">
        <f t="shared" si="219"/>
        <v>0</v>
      </c>
      <c r="P35" s="193">
        <f t="shared" si="220"/>
        <v>0</v>
      </c>
      <c r="Q35" s="191">
        <f t="shared" si="221"/>
        <v>0</v>
      </c>
      <c r="R35" s="191">
        <f t="shared" si="222"/>
        <v>0</v>
      </c>
      <c r="S35" s="192">
        <f t="shared" si="223"/>
        <v>0</v>
      </c>
      <c r="T35" s="193">
        <f t="shared" si="224"/>
        <v>0</v>
      </c>
      <c r="U35" s="191">
        <f t="shared" si="225"/>
        <v>0</v>
      </c>
      <c r="V35" s="191">
        <f t="shared" si="226"/>
        <v>0</v>
      </c>
      <c r="W35" s="192">
        <f t="shared" si="227"/>
        <v>0</v>
      </c>
      <c r="X35" s="193">
        <f t="shared" si="228"/>
        <v>0</v>
      </c>
      <c r="Y35" s="191">
        <f t="shared" si="229"/>
        <v>0</v>
      </c>
      <c r="Z35" s="191">
        <f t="shared" si="230"/>
        <v>0</v>
      </c>
      <c r="AA35" s="192">
        <f t="shared" si="231"/>
        <v>0</v>
      </c>
      <c r="AB35" s="193">
        <f t="shared" si="232"/>
        <v>0</v>
      </c>
      <c r="AC35" s="191">
        <f t="shared" si="233"/>
        <v>0</v>
      </c>
      <c r="AD35" s="191">
        <f t="shared" si="234"/>
        <v>0</v>
      </c>
      <c r="AE35" s="192">
        <f t="shared" si="235"/>
        <v>0</v>
      </c>
      <c r="AF35" s="193">
        <f t="shared" si="236"/>
        <v>0</v>
      </c>
      <c r="AG35" s="191">
        <f t="shared" si="237"/>
        <v>0</v>
      </c>
      <c r="AH35" s="191">
        <f t="shared" si="238"/>
        <v>0</v>
      </c>
      <c r="AI35" s="192">
        <f t="shared" si="239"/>
        <v>0</v>
      </c>
      <c r="AJ35" s="193">
        <f t="shared" si="240"/>
        <v>0</v>
      </c>
      <c r="AK35" s="191">
        <f t="shared" si="241"/>
        <v>0</v>
      </c>
      <c r="AL35" s="191">
        <f t="shared" si="242"/>
        <v>0</v>
      </c>
      <c r="AM35" s="192">
        <f t="shared" si="243"/>
        <v>0</v>
      </c>
      <c r="AN35" s="191">
        <f t="shared" si="244"/>
        <v>0</v>
      </c>
      <c r="AO35" s="191">
        <f t="shared" si="245"/>
        <v>0</v>
      </c>
      <c r="AP35" s="191">
        <f t="shared" si="246"/>
        <v>0</v>
      </c>
      <c r="AQ35" s="192">
        <f t="shared" si="247"/>
        <v>0</v>
      </c>
      <c r="AR35" s="191">
        <f t="shared" si="248"/>
        <v>0</v>
      </c>
      <c r="AS35" s="191">
        <f t="shared" si="249"/>
        <v>0</v>
      </c>
      <c r="AT35" s="191">
        <f t="shared" si="250"/>
        <v>0</v>
      </c>
      <c r="AU35" s="192">
        <f t="shared" si="251"/>
        <v>0</v>
      </c>
      <c r="AV35" s="191">
        <f t="shared" si="252"/>
        <v>0</v>
      </c>
      <c r="AW35" s="191">
        <f t="shared" si="253"/>
        <v>0</v>
      </c>
      <c r="AX35" s="191">
        <f t="shared" si="254"/>
        <v>0</v>
      </c>
      <c r="AY35" s="192">
        <f t="shared" si="255"/>
        <v>0</v>
      </c>
      <c r="AZ35" s="191">
        <f t="shared" si="256"/>
        <v>0</v>
      </c>
      <c r="BA35" s="191">
        <f t="shared" si="257"/>
        <v>0</v>
      </c>
      <c r="BB35" s="191">
        <f t="shared" si="258"/>
        <v>0</v>
      </c>
      <c r="BC35" s="192">
        <f t="shared" si="259"/>
        <v>-32.094999999999999</v>
      </c>
      <c r="BD35" s="191">
        <f t="shared" si="260"/>
        <v>-14.757</v>
      </c>
      <c r="BE35" s="191">
        <f t="shared" si="261"/>
        <v>14.757</v>
      </c>
      <c r="BF35" s="191">
        <f t="shared" si="262"/>
        <v>-15.383999999999999</v>
      </c>
      <c r="BG35" s="192">
        <f t="shared" si="263"/>
        <v>-2.6669999999999998</v>
      </c>
      <c r="BH35" s="191">
        <f t="shared" si="264"/>
        <v>0.52</v>
      </c>
      <c r="BI35" s="191">
        <f t="shared" si="265"/>
        <v>-5.1999999999999991E-2</v>
      </c>
      <c r="BJ35" s="191">
        <f t="shared" si="266"/>
        <v>0</v>
      </c>
      <c r="BK35" s="192">
        <f t="shared" si="267"/>
        <v>-0.46800000000000003</v>
      </c>
      <c r="BL35" s="191">
        <f t="shared" si="268"/>
        <v>10.226000000000001</v>
      </c>
      <c r="BM35" s="191">
        <f t="shared" si="269"/>
        <v>-10.226000000000001</v>
      </c>
      <c r="BN35" s="191">
        <f t="shared" si="270"/>
        <v>0</v>
      </c>
      <c r="BO35" s="733">
        <f>BS!BN19-BS!BO19+BS!BN20-BS!BO20-BS!BO21+BS!BN21+BS!BN24-BS!BO24</f>
        <v>0</v>
      </c>
      <c r="BP35" s="732">
        <f>BS!BO19-BS!BP19+BS!BO20-BS!BP20-BS!BP21+BS!BO21+BS!BO24-BS!BP24</f>
        <v>0</v>
      </c>
      <c r="BQ35" s="732">
        <f>BS!BP19-BS!BQ19+BS!BP20-BS!BQ20-BS!BQ21+BS!BP21+BS!BP24-BS!BQ24</f>
        <v>0</v>
      </c>
      <c r="BR35" s="732">
        <f>BS!BQ19-BS!BR19+BS!BQ20-BS!BR20-BS!BR21+BS!BQ21+BS!BQ24-BS!BR24</f>
        <v>0</v>
      </c>
      <c r="BS35" s="733">
        <f>BS!BR19-BS!BS19+BS!BR20-BS!BS20-BS!BS21+BS!BR21+BS!BR24-BS!BS24</f>
        <v>0</v>
      </c>
      <c r="BT35" s="732">
        <f>BS!BS19-BS!BT19+BS!BS20-BS!BT20-BS!BT21+BS!BS21+BS!BS24-BS!BT24</f>
        <v>0</v>
      </c>
      <c r="BU35" s="732">
        <f>BS!BT19-BS!BU19+BS!BT20-BS!BU20-BS!BU21+BS!BT21+BS!BT24-BS!BU24</f>
        <v>0</v>
      </c>
      <c r="BV35" s="732">
        <f>BS!BU19-BS!BV19+BS!BU20-BS!BV20-BS!BV21+BS!BU21+BS!BU24-BS!BV24</f>
        <v>0</v>
      </c>
      <c r="BW35" s="732">
        <f>BS!BV19-BS!BW19+BS!BV20-BS!BW20-BS!BW21+BS!BV21+BS!BV24-BS!BW24</f>
        <v>0</v>
      </c>
      <c r="BX35" s="160"/>
      <c r="BY35" s="191">
        <f t="shared" si="273"/>
        <v>-235.39100000000002</v>
      </c>
      <c r="BZ35" s="191">
        <f t="shared" si="274"/>
        <v>0</v>
      </c>
      <c r="CA35" s="191">
        <f t="shared" si="275"/>
        <v>0</v>
      </c>
      <c r="CB35" s="191">
        <f t="shared" si="276"/>
        <v>0</v>
      </c>
      <c r="CC35" s="191">
        <f t="shared" si="277"/>
        <v>0</v>
      </c>
      <c r="CD35" s="191">
        <f t="shared" si="278"/>
        <v>0</v>
      </c>
      <c r="CE35" s="191">
        <f t="shared" si="279"/>
        <v>0</v>
      </c>
      <c r="CF35" s="191">
        <f t="shared" si="280"/>
        <v>0</v>
      </c>
      <c r="CG35" s="193">
        <f t="shared" si="281"/>
        <v>0</v>
      </c>
      <c r="CH35" s="191">
        <f t="shared" si="282"/>
        <v>0</v>
      </c>
      <c r="CI35" s="193">
        <f t="shared" si="283"/>
        <v>0</v>
      </c>
      <c r="CJ35" s="1471">
        <f t="shared" si="284"/>
        <v>0</v>
      </c>
      <c r="CK35" s="1472">
        <f t="shared" si="285"/>
        <v>-32.094999999999999</v>
      </c>
      <c r="CL35" s="1472">
        <f t="shared" si="286"/>
        <v>-18.050999999999998</v>
      </c>
      <c r="CM35" s="1472">
        <f t="shared" si="287"/>
        <v>0</v>
      </c>
      <c r="CN35" s="1472">
        <f t="shared" si="288"/>
        <v>0</v>
      </c>
      <c r="CO35" s="1472">
        <f t="shared" si="289"/>
        <v>0</v>
      </c>
      <c r="CP35" s="1473">
        <f t="shared" si="290"/>
        <v>0</v>
      </c>
      <c r="CQ35" s="20"/>
      <c r="CR35" s="193">
        <f t="shared" si="291"/>
        <v>0</v>
      </c>
      <c r="CS35" s="191">
        <f t="shared" si="292"/>
        <v>0</v>
      </c>
      <c r="CT35" s="191">
        <f t="shared" si="293"/>
        <v>0</v>
      </c>
      <c r="CU35" s="191">
        <f t="shared" si="294"/>
        <v>0</v>
      </c>
      <c r="CV35" s="191">
        <f t="shared" si="295"/>
        <v>0</v>
      </c>
      <c r="CW35" s="191">
        <f t="shared" si="296"/>
        <v>0</v>
      </c>
      <c r="CX35" s="191">
        <f t="shared" si="297"/>
        <v>0</v>
      </c>
      <c r="CY35" s="191">
        <f t="shared" si="298"/>
        <v>0</v>
      </c>
      <c r="CZ35" s="191">
        <f t="shared" si="299"/>
        <v>0</v>
      </c>
      <c r="DA35" s="191">
        <f t="shared" si="300"/>
        <v>0</v>
      </c>
      <c r="DB35" s="191">
        <f t="shared" si="301"/>
        <v>0</v>
      </c>
      <c r="DC35" s="191">
        <f t="shared" si="302"/>
        <v>0</v>
      </c>
      <c r="DD35" s="191">
        <f t="shared" si="303"/>
        <v>-47.478999999999999</v>
      </c>
      <c r="DE35" s="191">
        <f t="shared" si="304"/>
        <v>-2.1989999999999998</v>
      </c>
      <c r="DF35" s="191">
        <f t="shared" si="305"/>
        <v>-0.46799999999999997</v>
      </c>
      <c r="DG35" s="191">
        <f t="shared" si="306"/>
        <v>0</v>
      </c>
      <c r="DH35" s="191">
        <f t="shared" si="307"/>
        <v>0</v>
      </c>
      <c r="DI35" s="23"/>
    </row>
    <row r="36" spans="1:113" ht="14.25" customHeight="1" thickBot="1">
      <c r="A36" s="8"/>
      <c r="B36" s="197" t="str">
        <f t="shared" si="207"/>
        <v>Net cash used for investing activities</v>
      </c>
      <c r="C36" s="198"/>
      <c r="D36" s="200">
        <f t="shared" ref="D36:O36" si="308">SUM(D29:D35)</f>
        <v>-190.41300000000001</v>
      </c>
      <c r="E36" s="199">
        <f t="shared" si="308"/>
        <v>-75.517999999999972</v>
      </c>
      <c r="F36" s="199">
        <f t="shared" si="308"/>
        <v>-75.223000000000013</v>
      </c>
      <c r="G36" s="201">
        <f t="shared" si="308"/>
        <v>-35.600000000000044</v>
      </c>
      <c r="H36" s="200">
        <f t="shared" si="308"/>
        <v>-72.681000000000012</v>
      </c>
      <c r="I36" s="199">
        <f t="shared" si="308"/>
        <v>-92.403999999999954</v>
      </c>
      <c r="J36" s="199">
        <f t="shared" si="308"/>
        <v>-103.76700000000002</v>
      </c>
      <c r="K36" s="201">
        <f t="shared" si="308"/>
        <v>1.2319999999997702</v>
      </c>
      <c r="L36" s="200">
        <f t="shared" si="308"/>
        <v>-103.22900000000003</v>
      </c>
      <c r="M36" s="199">
        <f t="shared" si="308"/>
        <v>-93.46899999999998</v>
      </c>
      <c r="N36" s="199">
        <f t="shared" si="308"/>
        <v>-112.78900000000009</v>
      </c>
      <c r="O36" s="201">
        <f t="shared" si="308"/>
        <v>-61.241999999999877</v>
      </c>
      <c r="P36" s="200">
        <f t="shared" ref="P36:AX36" si="309">SUM(P29:P35)</f>
        <v>-18.259</v>
      </c>
      <c r="Q36" s="199">
        <f t="shared" si="309"/>
        <v>-134.10100000000003</v>
      </c>
      <c r="R36" s="199">
        <f t="shared" si="309"/>
        <v>-62.545999999999928</v>
      </c>
      <c r="S36" s="201">
        <f t="shared" si="309"/>
        <v>78.303999999999832</v>
      </c>
      <c r="T36" s="200">
        <f t="shared" si="309"/>
        <v>-405.49299999999999</v>
      </c>
      <c r="U36" s="199">
        <f t="shared" si="309"/>
        <v>-37.551999999999985</v>
      </c>
      <c r="V36" s="199">
        <f t="shared" si="309"/>
        <v>6.2540000000001399</v>
      </c>
      <c r="W36" s="201">
        <f t="shared" si="309"/>
        <v>-5.4330000000000007</v>
      </c>
      <c r="X36" s="200">
        <f t="shared" si="309"/>
        <v>-91.349000000000061</v>
      </c>
      <c r="Y36" s="199">
        <f t="shared" si="309"/>
        <v>94.04800000000003</v>
      </c>
      <c r="Z36" s="199">
        <f t="shared" si="309"/>
        <v>268.69299999999998</v>
      </c>
      <c r="AA36" s="201">
        <f t="shared" si="309"/>
        <v>-215.73699999999982</v>
      </c>
      <c r="AB36" s="200">
        <f t="shared" si="309"/>
        <v>139.76</v>
      </c>
      <c r="AC36" s="199">
        <f t="shared" si="309"/>
        <v>-370.19200000000001</v>
      </c>
      <c r="AD36" s="199">
        <f t="shared" si="309"/>
        <v>141.15700000000001</v>
      </c>
      <c r="AE36" s="201">
        <f t="shared" si="309"/>
        <v>69.44799999999988</v>
      </c>
      <c r="AF36" s="200">
        <f t="shared" si="309"/>
        <v>77.030000000000015</v>
      </c>
      <c r="AG36" s="199">
        <f t="shared" si="309"/>
        <v>-111.01599999999998</v>
      </c>
      <c r="AH36" s="199">
        <f t="shared" si="309"/>
        <v>-229.10499999999993</v>
      </c>
      <c r="AI36" s="201">
        <f t="shared" si="309"/>
        <v>67.828999999999823</v>
      </c>
      <c r="AJ36" s="200">
        <f t="shared" si="309"/>
        <v>-45.831000000000024</v>
      </c>
      <c r="AK36" s="199">
        <f t="shared" si="309"/>
        <v>-208.93299999999982</v>
      </c>
      <c r="AL36" s="199">
        <f t="shared" si="309"/>
        <v>37.346999999999909</v>
      </c>
      <c r="AM36" s="201">
        <f t="shared" si="309"/>
        <v>29.566999999999997</v>
      </c>
      <c r="AN36" s="199">
        <f t="shared" si="309"/>
        <v>-88.602999999999952</v>
      </c>
      <c r="AO36" s="199">
        <f t="shared" si="309"/>
        <v>-72.214000000000041</v>
      </c>
      <c r="AP36" s="199">
        <f t="shared" si="309"/>
        <v>-73.312000000000026</v>
      </c>
      <c r="AQ36" s="201">
        <f t="shared" si="309"/>
        <v>-22.353000000000041</v>
      </c>
      <c r="AR36" s="199">
        <f t="shared" si="309"/>
        <v>77.89</v>
      </c>
      <c r="AS36" s="199">
        <f t="shared" si="309"/>
        <v>-951.05500000000006</v>
      </c>
      <c r="AT36" s="199">
        <f t="shared" si="309"/>
        <v>-47.642000000000024</v>
      </c>
      <c r="AU36" s="201">
        <f t="shared" si="309"/>
        <v>-15.949000000000137</v>
      </c>
      <c r="AV36" s="199">
        <f t="shared" si="309"/>
        <v>-209.19300000000001</v>
      </c>
      <c r="AW36" s="199">
        <f t="shared" si="309"/>
        <v>-174.32900000000006</v>
      </c>
      <c r="AX36" s="199">
        <f t="shared" si="309"/>
        <v>-64.836999999999847</v>
      </c>
      <c r="AY36" s="201">
        <f t="shared" ref="AY36:BB36" si="310">SUM(AY29:AY35)</f>
        <v>-54.920000000000073</v>
      </c>
      <c r="AZ36" s="199">
        <f t="shared" si="310"/>
        <v>-272.42800000000005</v>
      </c>
      <c r="BA36" s="199">
        <f t="shared" si="310"/>
        <v>-247.76299999999986</v>
      </c>
      <c r="BB36" s="199">
        <f t="shared" si="310"/>
        <v>-156.5660000000002</v>
      </c>
      <c r="BC36" s="201">
        <f t="shared" ref="BC36:BH36" si="311">SUM(BC29:BC35)</f>
        <v>-1.5599999999999064</v>
      </c>
      <c r="BD36" s="199">
        <f t="shared" si="311"/>
        <v>-187.18899999999994</v>
      </c>
      <c r="BE36" s="199">
        <f t="shared" si="311"/>
        <v>-540.68000000000006</v>
      </c>
      <c r="BF36" s="199">
        <f t="shared" si="311"/>
        <v>-53.908000000000044</v>
      </c>
      <c r="BG36" s="201">
        <f t="shared" si="311"/>
        <v>1582.1740000000002</v>
      </c>
      <c r="BH36" s="199">
        <f t="shared" si="311"/>
        <v>-2295.7289999999998</v>
      </c>
      <c r="BI36" s="199">
        <f t="shared" ref="BI36:BL36" si="312">SUM(BI29:BI35)</f>
        <v>-20.59099999999999</v>
      </c>
      <c r="BJ36" s="199">
        <f t="shared" si="312"/>
        <v>-34.176000000000002</v>
      </c>
      <c r="BK36" s="201">
        <f t="shared" si="312"/>
        <v>-487.47700000000003</v>
      </c>
      <c r="BL36" s="199">
        <f t="shared" si="312"/>
        <v>-391.27199999999999</v>
      </c>
      <c r="BM36" s="199">
        <f t="shared" ref="BM36:BN36" si="313">SUM(BM29:BM35)</f>
        <v>-200.70100000000002</v>
      </c>
      <c r="BN36" s="199">
        <f t="shared" si="313"/>
        <v>-369.58800000000014</v>
      </c>
      <c r="BO36" s="201">
        <f t="shared" ref="BO36:BS36" si="314">SUM(BO29:BO35)</f>
        <v>-57.160865628000003</v>
      </c>
      <c r="BP36" s="199">
        <f t="shared" si="314"/>
        <v>-41.164074060000004</v>
      </c>
      <c r="BQ36" s="199">
        <f t="shared" si="314"/>
        <v>-42.453062106180006</v>
      </c>
      <c r="BR36" s="199">
        <f t="shared" si="314"/>
        <v>-41.58949680019834</v>
      </c>
      <c r="BS36" s="201">
        <f t="shared" si="314"/>
        <v>-41.214492720949409</v>
      </c>
      <c r="BT36" s="199">
        <f t="shared" ref="BT36:BW36" si="315">SUM(BT29:BT35)</f>
        <v>-42.856384848787982</v>
      </c>
      <c r="BU36" s="199">
        <f t="shared" si="315"/>
        <v>-43.957851837956653</v>
      </c>
      <c r="BV36" s="199">
        <f t="shared" si="315"/>
        <v>-43.320470478150682</v>
      </c>
      <c r="BW36" s="199">
        <f t="shared" si="315"/>
        <v>-42.928944073199311</v>
      </c>
      <c r="BX36" s="20"/>
      <c r="BY36" s="199">
        <f>SUM(BY29:BY35)</f>
        <v>-376.75399999999991</v>
      </c>
      <c r="BZ36" s="199">
        <f>SUM(BZ29:BZ35)</f>
        <v>-267.62000000000023</v>
      </c>
      <c r="CA36" s="199">
        <f>SUM(CA29:CA35)</f>
        <v>-370.72900000000016</v>
      </c>
      <c r="CB36" s="199">
        <f t="shared" ref="CB36:CL36" si="316">SUM(CB29:CB35)</f>
        <v>-136.60200000000006</v>
      </c>
      <c r="CC36" s="199">
        <f t="shared" si="316"/>
        <v>-442.22399999999988</v>
      </c>
      <c r="CD36" s="199">
        <f t="shared" si="316"/>
        <v>55.655000000000101</v>
      </c>
      <c r="CE36" s="199">
        <f t="shared" si="316"/>
        <v>-19.82700000000003</v>
      </c>
      <c r="CF36" s="199">
        <f t="shared" si="316"/>
        <v>-195.26200000000017</v>
      </c>
      <c r="CG36" s="200">
        <f t="shared" si="316"/>
        <v>-187.84999999999991</v>
      </c>
      <c r="CH36" s="199">
        <f t="shared" si="316"/>
        <v>-256.48199999999991</v>
      </c>
      <c r="CI36" s="200">
        <f t="shared" si="316"/>
        <v>-936.75600000000009</v>
      </c>
      <c r="CJ36" s="200">
        <f t="shared" si="316"/>
        <v>-503.279</v>
      </c>
      <c r="CK36" s="199">
        <f t="shared" si="316"/>
        <v>-678.31700000000023</v>
      </c>
      <c r="CL36" s="199">
        <f t="shared" si="316"/>
        <v>800.39700000000016</v>
      </c>
      <c r="CM36" s="199">
        <f>SUM(CM29:CM35)</f>
        <v>-2837.973</v>
      </c>
      <c r="CN36" s="199">
        <f>SUM(CN29:CN35)</f>
        <v>-1018.7218656280002</v>
      </c>
      <c r="CO36" s="199">
        <f>SUM(CO29:CO35)</f>
        <v>-166.42112568732776</v>
      </c>
      <c r="CP36" s="201">
        <f>SUM(CP29:CP35)</f>
        <v>-173.06365123809462</v>
      </c>
      <c r="CQ36" s="1522"/>
      <c r="CR36" s="200">
        <f>SUM(CR29:CR35)</f>
        <v>-304.45200000000011</v>
      </c>
      <c r="CS36" s="199">
        <f>SUM(CS29:CS35)</f>
        <v>-308.25500000000028</v>
      </c>
      <c r="CT36" s="199">
        <f>SUM(CT29:CT35)</f>
        <v>-276.14799999999974</v>
      </c>
      <c r="CU36" s="199">
        <f t="shared" ref="CU36:DD36" si="317">SUM(CU29:CU35)</f>
        <v>-358.48699999999985</v>
      </c>
      <c r="CV36" s="199">
        <f t="shared" si="317"/>
        <v>265.95900000000012</v>
      </c>
      <c r="CW36" s="199">
        <f t="shared" si="317"/>
        <v>-305.01199999999983</v>
      </c>
      <c r="CX36" s="199">
        <f t="shared" si="317"/>
        <v>-193.643</v>
      </c>
      <c r="CY36" s="199">
        <f t="shared" si="317"/>
        <v>-149.58799999999999</v>
      </c>
      <c r="CZ36" s="199">
        <f t="shared" si="317"/>
        <v>-204.5620000000001</v>
      </c>
      <c r="DA36" s="199">
        <f t="shared" si="317"/>
        <v>-943.16000000000008</v>
      </c>
      <c r="DB36" s="199">
        <f t="shared" si="317"/>
        <v>-464.30799999999994</v>
      </c>
      <c r="DC36" s="199">
        <f t="shared" si="317"/>
        <v>-731.67700000000013</v>
      </c>
      <c r="DD36" s="199">
        <f t="shared" si="317"/>
        <v>-783.33699999999976</v>
      </c>
      <c r="DE36" s="199">
        <f>SUM(DE29:DE35)</f>
        <v>-768.322</v>
      </c>
      <c r="DF36" s="199">
        <f>SUM(DF29:DF35)</f>
        <v>-1449.0380000000005</v>
      </c>
      <c r="DG36" s="199">
        <f>SUM(DG29:DG35)</f>
        <v>-182.36749859437833</v>
      </c>
      <c r="DH36" s="199">
        <f>SUM(DH29:DH35)</f>
        <v>-171.34919988584471</v>
      </c>
      <c r="DI36" s="22"/>
    </row>
    <row r="37" spans="1:113" ht="14.25" customHeight="1" thickTop="1">
      <c r="A37" s="8"/>
      <c r="B37" s="23"/>
      <c r="C37" s="24"/>
      <c r="D37" s="193"/>
      <c r="E37" s="191"/>
      <c r="F37" s="191"/>
      <c r="G37" s="192"/>
      <c r="H37" s="193"/>
      <c r="I37" s="191"/>
      <c r="J37" s="191"/>
      <c r="K37" s="192"/>
      <c r="L37" s="193"/>
      <c r="M37" s="191"/>
      <c r="N37" s="191"/>
      <c r="O37" s="192"/>
      <c r="P37" s="193"/>
      <c r="Q37" s="191"/>
      <c r="R37" s="191"/>
      <c r="S37" s="192"/>
      <c r="T37" s="193"/>
      <c r="U37" s="191"/>
      <c r="V37" s="191"/>
      <c r="W37" s="192"/>
      <c r="X37" s="193"/>
      <c r="Y37" s="191"/>
      <c r="Z37" s="191"/>
      <c r="AA37" s="192"/>
      <c r="AB37" s="193"/>
      <c r="AC37" s="191"/>
      <c r="AD37" s="191"/>
      <c r="AE37" s="192"/>
      <c r="AF37" s="193"/>
      <c r="AG37" s="191"/>
      <c r="AH37" s="191"/>
      <c r="AI37" s="192"/>
      <c r="AJ37" s="193"/>
      <c r="AK37" s="191"/>
      <c r="AL37" s="191"/>
      <c r="AM37" s="192"/>
      <c r="AN37" s="191"/>
      <c r="AO37" s="191"/>
      <c r="AP37" s="191"/>
      <c r="AQ37" s="192"/>
      <c r="AR37" s="191"/>
      <c r="AS37" s="191"/>
      <c r="AT37" s="191"/>
      <c r="AU37" s="192"/>
      <c r="AV37" s="191"/>
      <c r="AW37" s="191"/>
      <c r="AX37" s="191"/>
      <c r="AY37" s="192"/>
      <c r="AZ37" s="191"/>
      <c r="BA37" s="191"/>
      <c r="BB37" s="191"/>
      <c r="BC37" s="192"/>
      <c r="BD37" s="191"/>
      <c r="BE37" s="191"/>
      <c r="BF37" s="191"/>
      <c r="BG37" s="192"/>
      <c r="BH37" s="191"/>
      <c r="BI37" s="191"/>
      <c r="BJ37" s="191"/>
      <c r="BK37" s="192"/>
      <c r="BL37" s="191"/>
      <c r="BM37" s="191"/>
      <c r="BN37" s="191"/>
      <c r="BO37" s="195"/>
      <c r="BP37" s="194"/>
      <c r="BQ37" s="194"/>
      <c r="BR37" s="194"/>
      <c r="BS37" s="195"/>
      <c r="BT37" s="194"/>
      <c r="BU37" s="194"/>
      <c r="BV37" s="194"/>
      <c r="BW37" s="194"/>
      <c r="BX37" s="20"/>
      <c r="BY37" s="194"/>
      <c r="BZ37" s="194"/>
      <c r="CA37" s="194"/>
      <c r="CB37" s="194"/>
      <c r="CC37" s="194"/>
      <c r="CD37" s="194"/>
      <c r="CE37" s="194"/>
      <c r="CF37" s="194"/>
      <c r="CG37" s="196"/>
      <c r="CH37" s="194"/>
      <c r="CI37" s="196"/>
      <c r="CJ37" s="196"/>
      <c r="CK37" s="194"/>
      <c r="CL37" s="194"/>
      <c r="CM37" s="194"/>
      <c r="CN37" s="194"/>
      <c r="CO37" s="194"/>
      <c r="CP37" s="195"/>
      <c r="CQ37" s="1522"/>
      <c r="CR37" s="196"/>
      <c r="CS37" s="194"/>
      <c r="CT37" s="194"/>
      <c r="CU37" s="194"/>
      <c r="CV37" s="194"/>
      <c r="CW37" s="194"/>
      <c r="CX37" s="194"/>
      <c r="CY37" s="194"/>
      <c r="CZ37" s="194"/>
      <c r="DA37" s="194"/>
      <c r="DB37" s="194"/>
      <c r="DC37" s="194"/>
      <c r="DD37" s="194"/>
      <c r="DE37" s="194"/>
      <c r="DF37" s="194"/>
      <c r="DG37" s="194"/>
      <c r="DH37" s="194"/>
      <c r="DI37" s="22"/>
    </row>
    <row r="38" spans="1:113" ht="14.25" customHeight="1">
      <c r="A38" s="8"/>
      <c r="B38" s="202" t="str">
        <f t="shared" ref="B38:B46" si="318">B133</f>
        <v>Cash flows from financing activities:</v>
      </c>
      <c r="C38" s="203"/>
      <c r="D38" s="193"/>
      <c r="E38" s="191"/>
      <c r="F38" s="191"/>
      <c r="G38" s="192"/>
      <c r="H38" s="193"/>
      <c r="I38" s="191"/>
      <c r="J38" s="191"/>
      <c r="K38" s="192"/>
      <c r="L38" s="193"/>
      <c r="M38" s="191"/>
      <c r="N38" s="191"/>
      <c r="O38" s="192"/>
      <c r="P38" s="193"/>
      <c r="Q38" s="191"/>
      <c r="R38" s="191"/>
      <c r="S38" s="192"/>
      <c r="T38" s="193"/>
      <c r="U38" s="191"/>
      <c r="V38" s="191"/>
      <c r="W38" s="192"/>
      <c r="X38" s="193"/>
      <c r="Y38" s="191"/>
      <c r="Z38" s="191"/>
      <c r="AA38" s="192"/>
      <c r="AB38" s="193"/>
      <c r="AC38" s="191"/>
      <c r="AD38" s="191"/>
      <c r="AE38" s="192"/>
      <c r="AF38" s="193"/>
      <c r="AG38" s="191"/>
      <c r="AH38" s="191"/>
      <c r="AI38" s="192"/>
      <c r="AJ38" s="193"/>
      <c r="AK38" s="191"/>
      <c r="AL38" s="191"/>
      <c r="AM38" s="192"/>
      <c r="AN38" s="191"/>
      <c r="AO38" s="191"/>
      <c r="AP38" s="191"/>
      <c r="AQ38" s="192"/>
      <c r="AR38" s="191"/>
      <c r="AS38" s="191"/>
      <c r="AT38" s="191"/>
      <c r="AU38" s="192"/>
      <c r="AV38" s="191"/>
      <c r="AW38" s="191"/>
      <c r="AX38" s="191"/>
      <c r="AY38" s="192"/>
      <c r="AZ38" s="191"/>
      <c r="BA38" s="191"/>
      <c r="BB38" s="191"/>
      <c r="BC38" s="192"/>
      <c r="BD38" s="191"/>
      <c r="BE38" s="191"/>
      <c r="BF38" s="191"/>
      <c r="BG38" s="192"/>
      <c r="BH38" s="191"/>
      <c r="BI38" s="191"/>
      <c r="BJ38" s="191"/>
      <c r="BK38" s="192"/>
      <c r="BL38" s="191"/>
      <c r="BM38" s="191"/>
      <c r="BN38" s="191"/>
      <c r="BO38" s="195"/>
      <c r="BP38" s="194"/>
      <c r="BQ38" s="194"/>
      <c r="BR38" s="194"/>
      <c r="BS38" s="195"/>
      <c r="BT38" s="194"/>
      <c r="BU38" s="194"/>
      <c r="BV38" s="194"/>
      <c r="BW38" s="194"/>
      <c r="BX38" s="20"/>
      <c r="BY38" s="194"/>
      <c r="BZ38" s="194"/>
      <c r="CA38" s="194"/>
      <c r="CB38" s="194"/>
      <c r="CC38" s="194"/>
      <c r="CD38" s="194"/>
      <c r="CE38" s="194"/>
      <c r="CF38" s="194"/>
      <c r="CG38" s="196"/>
      <c r="CH38" s="194"/>
      <c r="CI38" s="1177"/>
      <c r="CJ38" s="196"/>
      <c r="CK38" s="194"/>
      <c r="CL38" s="194"/>
      <c r="CM38" s="194"/>
      <c r="CN38" s="194"/>
      <c r="CO38" s="194"/>
      <c r="CP38" s="195"/>
      <c r="CQ38" s="1522"/>
      <c r="CR38" s="196"/>
      <c r="CS38" s="194"/>
      <c r="CT38" s="194"/>
      <c r="CU38" s="194"/>
      <c r="CV38" s="194"/>
      <c r="CW38" s="194"/>
      <c r="CX38" s="194"/>
      <c r="CY38" s="194"/>
      <c r="CZ38" s="194"/>
      <c r="DA38" s="194"/>
      <c r="DB38" s="194"/>
      <c r="DC38" s="194"/>
      <c r="DD38" s="194"/>
      <c r="DE38" s="194"/>
      <c r="DF38" s="194"/>
      <c r="DG38" s="194"/>
      <c r="DH38" s="194"/>
      <c r="DI38" s="22"/>
    </row>
    <row r="39" spans="1:113" ht="14.25" customHeight="1">
      <c r="A39" s="8"/>
      <c r="B39" s="27" t="str">
        <f t="shared" si="318"/>
        <v>Increase (decrease) in short-term debt, net</v>
      </c>
      <c r="C39" s="28"/>
      <c r="D39" s="193">
        <f t="shared" ref="D39:D46" si="319">D134</f>
        <v>0</v>
      </c>
      <c r="E39" s="191">
        <f t="shared" ref="E39:E46" si="320">E134-D39</f>
        <v>0</v>
      </c>
      <c r="F39" s="191">
        <f t="shared" ref="F39:F46" si="321">F134-E39-D39</f>
        <v>0</v>
      </c>
      <c r="G39" s="192">
        <f t="shared" ref="G39:G46" si="322">G134-F39-E39-D39</f>
        <v>0</v>
      </c>
      <c r="H39" s="193">
        <f t="shared" ref="H39:H46" si="323">H134</f>
        <v>0</v>
      </c>
      <c r="I39" s="191">
        <f t="shared" ref="I39:I46" si="324">I134-H39</f>
        <v>0</v>
      </c>
      <c r="J39" s="191">
        <f t="shared" ref="J39:J46" si="325">J134-I39-H39</f>
        <v>0</v>
      </c>
      <c r="K39" s="192">
        <f t="shared" ref="K39:K46" si="326">K134-J39-I39-H39</f>
        <v>0</v>
      </c>
      <c r="L39" s="193">
        <f t="shared" ref="L39:L46" si="327">L134</f>
        <v>0</v>
      </c>
      <c r="M39" s="191">
        <f t="shared" ref="M39:M46" si="328">M134-L39</f>
        <v>0</v>
      </c>
      <c r="N39" s="191">
        <f t="shared" ref="N39:N46" si="329">N134-M39-L39</f>
        <v>0</v>
      </c>
      <c r="O39" s="192">
        <f t="shared" ref="O39:O46" si="330">O134-N39-M39-L39</f>
        <v>0</v>
      </c>
      <c r="P39" s="193">
        <f t="shared" ref="P39:P46" si="331">P134</f>
        <v>0</v>
      </c>
      <c r="Q39" s="191">
        <f t="shared" ref="Q39:Q46" si="332">Q134-P39</f>
        <v>0</v>
      </c>
      <c r="R39" s="191">
        <f t="shared" ref="R39:R46" si="333">R134-Q39-P39</f>
        <v>0</v>
      </c>
      <c r="S39" s="192">
        <f t="shared" ref="S39:S46" si="334">S134-R39-Q39-P39</f>
        <v>-45.454000000000001</v>
      </c>
      <c r="T39" s="193">
        <f t="shared" ref="T39:T46" si="335">T134</f>
        <v>-131.45400000000001</v>
      </c>
      <c r="U39" s="191">
        <f t="shared" ref="U39:U46" si="336">U134-T39</f>
        <v>-56.699999999999989</v>
      </c>
      <c r="V39" s="191">
        <f t="shared" ref="V39:V46" si="337">V134-U39-T39</f>
        <v>-51.300000000000011</v>
      </c>
      <c r="W39" s="192">
        <f t="shared" ref="W39:W46" si="338">W134-V39-U39-T39</f>
        <v>-29.5</v>
      </c>
      <c r="X39" s="193">
        <f t="shared" ref="X39:X46" si="339">X134</f>
        <v>0</v>
      </c>
      <c r="Y39" s="191">
        <f t="shared" ref="Y39:Y46" si="340">Y134-X39</f>
        <v>0</v>
      </c>
      <c r="Z39" s="191">
        <f t="shared" ref="Z39:Z46" si="341">Z134-Y39-X39</f>
        <v>0</v>
      </c>
      <c r="AA39" s="192">
        <f t="shared" ref="AA39:AA46" si="342">AA134-Z39-Y39-X39</f>
        <v>0</v>
      </c>
      <c r="AB39" s="193">
        <f t="shared" ref="AB39:AB46" si="343">AB134</f>
        <v>0</v>
      </c>
      <c r="AC39" s="191">
        <f t="shared" ref="AC39:AC46" si="344">AC134-AB39</f>
        <v>0</v>
      </c>
      <c r="AD39" s="191">
        <f t="shared" ref="AD39:AD46" si="345">AD134-AC39-AB39</f>
        <v>0</v>
      </c>
      <c r="AE39" s="192">
        <f t="shared" ref="AE39:AE46" si="346">AE134-AD39-AC39-AB39</f>
        <v>0</v>
      </c>
      <c r="AF39" s="193">
        <f t="shared" ref="AF39:AF46" si="347">AF134</f>
        <v>0</v>
      </c>
      <c r="AG39" s="191">
        <f t="shared" ref="AG39:AG46" si="348">AG134-AF39</f>
        <v>0</v>
      </c>
      <c r="AH39" s="191">
        <f t="shared" ref="AH39:AH46" si="349">AH134-AG39-AF39</f>
        <v>0</v>
      </c>
      <c r="AI39" s="192">
        <f t="shared" ref="AI39:AI46" si="350">AI134-AH39-AG39-AF39</f>
        <v>0</v>
      </c>
      <c r="AJ39" s="193">
        <f t="shared" ref="AJ39:AJ46" si="351">AJ134</f>
        <v>0</v>
      </c>
      <c r="AK39" s="191">
        <f t="shared" ref="AK39:AK46" si="352">AK134-AJ39</f>
        <v>0</v>
      </c>
      <c r="AL39" s="191">
        <f t="shared" ref="AL39:AL46" si="353">AL134-AK39-AJ39</f>
        <v>0</v>
      </c>
      <c r="AM39" s="192">
        <f t="shared" ref="AM39:AM46" si="354">AM134-AL39-AK39-AJ39</f>
        <v>0</v>
      </c>
      <c r="AN39" s="191">
        <f t="shared" ref="AN39:AN46" si="355">AN134</f>
        <v>0</v>
      </c>
      <c r="AO39" s="191">
        <f t="shared" ref="AO39:AO46" si="356">AO134-AN39</f>
        <v>0</v>
      </c>
      <c r="AP39" s="191">
        <f t="shared" ref="AP39:AP46" si="357">AP134-AO39-AN39</f>
        <v>0</v>
      </c>
      <c r="AQ39" s="192">
        <f t="shared" ref="AQ39:AQ46" si="358">AQ134-AP39-AO39-AN39</f>
        <v>0</v>
      </c>
      <c r="AR39" s="191">
        <f t="shared" ref="AR39:AR46" si="359">AR134</f>
        <v>0</v>
      </c>
      <c r="AS39" s="191">
        <f t="shared" ref="AS39:AS46" si="360">AS134-AR39</f>
        <v>0</v>
      </c>
      <c r="AT39" s="191">
        <f t="shared" ref="AT39:AT46" si="361">AT134-AS39-AR39</f>
        <v>0</v>
      </c>
      <c r="AU39" s="192">
        <f t="shared" ref="AU39:AU46" si="362">AU134-AT39-AS39-AR39</f>
        <v>0</v>
      </c>
      <c r="AV39" s="191">
        <f t="shared" ref="AV39:AV46" si="363">AV134</f>
        <v>0</v>
      </c>
      <c r="AW39" s="191">
        <f t="shared" ref="AW39:AW46" si="364">AW134-AV39</f>
        <v>0</v>
      </c>
      <c r="AX39" s="191">
        <f t="shared" ref="AX39:AX46" si="365">AX134-AW39-AV39</f>
        <v>0</v>
      </c>
      <c r="AY39" s="192">
        <f t="shared" ref="AY39:AY46" si="366">AY134-AX39-AW39-AV39</f>
        <v>0</v>
      </c>
      <c r="AZ39" s="191">
        <f t="shared" ref="AZ39:AZ46" si="367">AZ134</f>
        <v>0</v>
      </c>
      <c r="BA39" s="191">
        <f t="shared" ref="BA39:BA46" si="368">BA134-AZ39</f>
        <v>0</v>
      </c>
      <c r="BB39" s="191">
        <f t="shared" ref="BB39:BB46" si="369">BB134-BA39-AZ39</f>
        <v>0</v>
      </c>
      <c r="BC39" s="192">
        <f t="shared" ref="BC39:BC46" si="370">BC134-BB39-BA39-AZ39</f>
        <v>0</v>
      </c>
      <c r="BD39" s="191">
        <f t="shared" ref="BD39:BD46" si="371">BD134</f>
        <v>0</v>
      </c>
      <c r="BE39" s="191">
        <f t="shared" ref="BE39:BE46" si="372">BE134-BD39</f>
        <v>0</v>
      </c>
      <c r="BF39" s="191">
        <f t="shared" ref="BF39:BF46" si="373">BF134-BE39-BD39</f>
        <v>0</v>
      </c>
      <c r="BG39" s="192">
        <f t="shared" ref="BG39:BG46" si="374">BG134-BF39-BE39-BD39</f>
        <v>0</v>
      </c>
      <c r="BH39" s="191">
        <f t="shared" ref="BH39:BH46" si="375">BH134</f>
        <v>0</v>
      </c>
      <c r="BI39" s="191">
        <f t="shared" ref="BI39:BI46" si="376">BI134-BH39</f>
        <v>0</v>
      </c>
      <c r="BJ39" s="191">
        <f t="shared" ref="BJ39:BJ46" si="377">BJ134-BI39-BH39</f>
        <v>0</v>
      </c>
      <c r="BK39" s="192">
        <f t="shared" ref="BK39:BK46" si="378">BK134-BJ39-BI39-BH39</f>
        <v>0</v>
      </c>
      <c r="BL39" s="191">
        <f t="shared" ref="BL39:BL46" si="379">BL134</f>
        <v>0</v>
      </c>
      <c r="BM39" s="191">
        <f t="shared" ref="BM39:BM46" si="380">BM134-BL39</f>
        <v>0</v>
      </c>
      <c r="BN39" s="191">
        <f t="shared" ref="BN39:BN46" si="381">BN134-BM39-BL39</f>
        <v>0</v>
      </c>
      <c r="BO39" s="195">
        <v>0</v>
      </c>
      <c r="BP39" s="194">
        <v>0</v>
      </c>
      <c r="BQ39" s="194">
        <v>0</v>
      </c>
      <c r="BR39" s="194">
        <v>0</v>
      </c>
      <c r="BS39" s="195">
        <v>0</v>
      </c>
      <c r="BT39" s="194">
        <v>0</v>
      </c>
      <c r="BU39" s="194">
        <v>0</v>
      </c>
      <c r="BV39" s="194">
        <v>0</v>
      </c>
      <c r="BW39" s="194">
        <v>0</v>
      </c>
      <c r="BX39" s="20"/>
      <c r="BY39" s="191">
        <f t="shared" ref="BY39:BY46" si="382">SUM(D39:G39)</f>
        <v>0</v>
      </c>
      <c r="BZ39" s="191">
        <f t="shared" ref="BZ39:BZ46" si="383">SUM(H39:K39)</f>
        <v>0</v>
      </c>
      <c r="CA39" s="191">
        <f t="shared" ref="CA39:CA46" si="384">SUM(L39:O39)</f>
        <v>0</v>
      </c>
      <c r="CB39" s="191">
        <f t="shared" ref="CB39:CB46" si="385">SUM(P39:S39)</f>
        <v>-45.454000000000001</v>
      </c>
      <c r="CC39" s="191">
        <f t="shared" ref="CC39:CC46" si="386">SUM(T39:W39)</f>
        <v>-268.95400000000001</v>
      </c>
      <c r="CD39" s="191">
        <f t="shared" ref="CD39:CD46" si="387">SUM(X39:AA39)</f>
        <v>0</v>
      </c>
      <c r="CE39" s="191">
        <f t="shared" ref="CE39:CE46" si="388">SUM(AB39:AE39)</f>
        <v>0</v>
      </c>
      <c r="CF39" s="191">
        <f t="shared" ref="CF39:CF46" si="389">SUM(AF39:AI39)</f>
        <v>0</v>
      </c>
      <c r="CG39" s="193">
        <f t="shared" ref="CG39:CG46" si="390">SUM(AJ39:AM39)</f>
        <v>0</v>
      </c>
      <c r="CH39" s="191">
        <f t="shared" ref="CH39:CH46" si="391">SUM(AN39:AQ39)</f>
        <v>0</v>
      </c>
      <c r="CI39" s="193">
        <f t="shared" ref="CI39:CI46" si="392">SUM(AR39:AU39)</f>
        <v>0</v>
      </c>
      <c r="CJ39" s="193">
        <f t="shared" ref="CJ39:CJ46" si="393">SUM(AV39:AY39)</f>
        <v>0</v>
      </c>
      <c r="CK39" s="191">
        <f t="shared" ref="CK39:CK46" si="394">SUM(AZ39:BC39)</f>
        <v>0</v>
      </c>
      <c r="CL39" s="191">
        <f t="shared" ref="CL39:CL46" si="395">SUM(BD39:BG39)</f>
        <v>0</v>
      </c>
      <c r="CM39" s="191">
        <f t="shared" ref="CM39:CM46" si="396">SUM(BH39:BK39)</f>
        <v>0</v>
      </c>
      <c r="CN39" s="191">
        <f t="shared" ref="CN39:CN46" si="397">SUM(BL39:BO39)</f>
        <v>0</v>
      </c>
      <c r="CO39" s="191">
        <f t="shared" ref="CO39:CO46" si="398">SUM(BP39:BS39)</f>
        <v>0</v>
      </c>
      <c r="CP39" s="192">
        <f t="shared" ref="CP39:CP46" si="399">SUM(BT39:BW39)</f>
        <v>0</v>
      </c>
      <c r="CQ39" s="1522"/>
      <c r="CR39" s="193">
        <f t="shared" ref="CR39:CR46" si="400">SUM(G39:J39)</f>
        <v>0</v>
      </c>
      <c r="CS39" s="191">
        <f t="shared" ref="CS39:CS46" si="401">SUM(K39:N39)</f>
        <v>0</v>
      </c>
      <c r="CT39" s="191">
        <f t="shared" ref="CT39:CT46" si="402">SUM(O39:R39)</f>
        <v>0</v>
      </c>
      <c r="CU39" s="191">
        <f t="shared" ref="CU39:CU46" si="403">SUM(S39:V39)</f>
        <v>-284.90800000000002</v>
      </c>
      <c r="CV39" s="191">
        <f t="shared" ref="CV39:CV46" si="404">SUM(W39:Z39)</f>
        <v>-29.5</v>
      </c>
      <c r="CW39" s="191">
        <f t="shared" ref="CW39:CW46" si="405">SUM(AA39:AD39)</f>
        <v>0</v>
      </c>
      <c r="CX39" s="191">
        <f t="shared" ref="CX39:CX46" si="406">SUM(AE39:AH39)</f>
        <v>0</v>
      </c>
      <c r="CY39" s="191">
        <f t="shared" ref="CY39:CY46" si="407">SUM(AI39:AL39)</f>
        <v>0</v>
      </c>
      <c r="CZ39" s="191">
        <f t="shared" ref="CZ39:CZ46" si="408">SUM(AM39:AP39)</f>
        <v>0</v>
      </c>
      <c r="DA39" s="191">
        <f t="shared" ref="DA39:DA46" si="409">SUM(AQ39:AT39)</f>
        <v>0</v>
      </c>
      <c r="DB39" s="191">
        <f t="shared" ref="DB39:DB46" si="410">SUM(AU39:AX39)</f>
        <v>0</v>
      </c>
      <c r="DC39" s="191">
        <f t="shared" ref="DC39:DC46" si="411">SUM(AY39:BB39)</f>
        <v>0</v>
      </c>
      <c r="DD39" s="191">
        <f t="shared" ref="DD39:DD46" si="412">SUM(BC39:BF39)</f>
        <v>0</v>
      </c>
      <c r="DE39" s="191">
        <f t="shared" ref="DE39:DE46" si="413">SUM(BG39:BJ39)</f>
        <v>0</v>
      </c>
      <c r="DF39" s="191">
        <f t="shared" ref="DF39:DF46" si="414">SUM(BK39:BN39)</f>
        <v>0</v>
      </c>
      <c r="DG39" s="191">
        <f t="shared" ref="DG39:DG46" si="415">SUM(BO39:BR39)</f>
        <v>0</v>
      </c>
      <c r="DH39" s="191">
        <f t="shared" ref="DH39:DH46" si="416">SUM(BS39:BV39)</f>
        <v>0</v>
      </c>
      <c r="DI39" s="22"/>
    </row>
    <row r="40" spans="1:113" ht="14.25" customHeight="1">
      <c r="A40" s="8"/>
      <c r="B40" s="27" t="str">
        <f t="shared" si="318"/>
        <v>Proceeds from borrowings on line of credit</v>
      </c>
      <c r="C40" s="28"/>
      <c r="D40" s="193">
        <f t="shared" si="319"/>
        <v>0</v>
      </c>
      <c r="E40" s="191">
        <f t="shared" si="320"/>
        <v>0</v>
      </c>
      <c r="F40" s="191">
        <f t="shared" si="321"/>
        <v>0</v>
      </c>
      <c r="G40" s="192">
        <f t="shared" si="322"/>
        <v>0</v>
      </c>
      <c r="H40" s="193">
        <f t="shared" si="323"/>
        <v>0</v>
      </c>
      <c r="I40" s="191">
        <f t="shared" si="324"/>
        <v>0</v>
      </c>
      <c r="J40" s="191">
        <f t="shared" si="325"/>
        <v>0</v>
      </c>
      <c r="K40" s="192">
        <f t="shared" si="326"/>
        <v>0</v>
      </c>
      <c r="L40" s="193">
        <f t="shared" si="327"/>
        <v>0</v>
      </c>
      <c r="M40" s="191">
        <f t="shared" si="328"/>
        <v>42.274999999999999</v>
      </c>
      <c r="N40" s="191">
        <f t="shared" si="329"/>
        <v>1.9770000000000039</v>
      </c>
      <c r="O40" s="192">
        <f t="shared" si="330"/>
        <v>1.2019999999999982</v>
      </c>
      <c r="P40" s="193">
        <f t="shared" si="331"/>
        <v>0</v>
      </c>
      <c r="Q40" s="191">
        <f t="shared" si="332"/>
        <v>0</v>
      </c>
      <c r="R40" s="191">
        <f t="shared" si="333"/>
        <v>0</v>
      </c>
      <c r="S40" s="192">
        <f t="shared" si="334"/>
        <v>268.95400000000001</v>
      </c>
      <c r="T40" s="193">
        <f t="shared" si="335"/>
        <v>0</v>
      </c>
      <c r="U40" s="191">
        <f t="shared" si="336"/>
        <v>0</v>
      </c>
      <c r="V40" s="191">
        <f t="shared" si="337"/>
        <v>0</v>
      </c>
      <c r="W40" s="192">
        <f t="shared" si="338"/>
        <v>0</v>
      </c>
      <c r="X40" s="193">
        <f t="shared" si="339"/>
        <v>0</v>
      </c>
      <c r="Y40" s="191">
        <f t="shared" si="340"/>
        <v>0</v>
      </c>
      <c r="Z40" s="191">
        <f t="shared" si="341"/>
        <v>1127</v>
      </c>
      <c r="AA40" s="192">
        <f t="shared" si="342"/>
        <v>0</v>
      </c>
      <c r="AB40" s="193">
        <f t="shared" si="343"/>
        <v>0</v>
      </c>
      <c r="AC40" s="191">
        <f t="shared" si="344"/>
        <v>0</v>
      </c>
      <c r="AD40" s="191">
        <f t="shared" si="345"/>
        <v>0</v>
      </c>
      <c r="AE40" s="192">
        <f t="shared" si="346"/>
        <v>0</v>
      </c>
      <c r="AF40" s="193">
        <f t="shared" si="347"/>
        <v>0</v>
      </c>
      <c r="AG40" s="191">
        <f t="shared" si="348"/>
        <v>0</v>
      </c>
      <c r="AH40" s="191">
        <f t="shared" si="349"/>
        <v>0</v>
      </c>
      <c r="AI40" s="192">
        <f t="shared" si="350"/>
        <v>0</v>
      </c>
      <c r="AJ40" s="193">
        <f t="shared" si="351"/>
        <v>0</v>
      </c>
      <c r="AK40" s="191">
        <f t="shared" si="352"/>
        <v>0</v>
      </c>
      <c r="AL40" s="191">
        <f t="shared" si="353"/>
        <v>0</v>
      </c>
      <c r="AM40" s="192">
        <f t="shared" si="354"/>
        <v>0</v>
      </c>
      <c r="AN40" s="191">
        <f t="shared" si="355"/>
        <v>0</v>
      </c>
      <c r="AO40" s="191">
        <f t="shared" si="356"/>
        <v>0</v>
      </c>
      <c r="AP40" s="191">
        <f t="shared" si="357"/>
        <v>0</v>
      </c>
      <c r="AQ40" s="192">
        <f t="shared" si="358"/>
        <v>0</v>
      </c>
      <c r="AR40" s="191">
        <f t="shared" si="359"/>
        <v>0</v>
      </c>
      <c r="AS40" s="191">
        <f t="shared" si="360"/>
        <v>0</v>
      </c>
      <c r="AT40" s="191">
        <f t="shared" si="361"/>
        <v>0</v>
      </c>
      <c r="AU40" s="192">
        <f t="shared" si="362"/>
        <v>620</v>
      </c>
      <c r="AV40" s="191">
        <f t="shared" si="363"/>
        <v>640</v>
      </c>
      <c r="AW40" s="191">
        <f t="shared" si="364"/>
        <v>100</v>
      </c>
      <c r="AX40" s="191">
        <f t="shared" si="365"/>
        <v>93.5</v>
      </c>
      <c r="AY40" s="192">
        <f t="shared" si="366"/>
        <v>-50</v>
      </c>
      <c r="AZ40" s="191">
        <f t="shared" si="367"/>
        <v>504.375</v>
      </c>
      <c r="BA40" s="191">
        <f t="shared" si="368"/>
        <v>128.5</v>
      </c>
      <c r="BB40" s="191">
        <f t="shared" si="369"/>
        <v>139.39999999999998</v>
      </c>
      <c r="BC40" s="192">
        <f t="shared" si="370"/>
        <v>1087.319</v>
      </c>
      <c r="BD40" s="191">
        <f t="shared" si="371"/>
        <v>145</v>
      </c>
      <c r="BE40" s="191">
        <f t="shared" si="372"/>
        <v>879.5</v>
      </c>
      <c r="BF40" s="191">
        <f t="shared" si="373"/>
        <v>93</v>
      </c>
      <c r="BG40" s="192">
        <f t="shared" si="374"/>
        <v>1087</v>
      </c>
      <c r="BH40" s="191">
        <f t="shared" si="375"/>
        <v>678</v>
      </c>
      <c r="BI40" s="191">
        <f t="shared" si="376"/>
        <v>-244.5</v>
      </c>
      <c r="BJ40" s="191">
        <f t="shared" si="377"/>
        <v>5</v>
      </c>
      <c r="BK40" s="192">
        <f t="shared" si="378"/>
        <v>1098.5</v>
      </c>
      <c r="BL40" s="191">
        <f t="shared" si="379"/>
        <v>0</v>
      </c>
      <c r="BM40" s="191">
        <f t="shared" si="380"/>
        <v>0</v>
      </c>
      <c r="BN40" s="191">
        <f t="shared" si="381"/>
        <v>0</v>
      </c>
      <c r="BO40" s="195">
        <v>0</v>
      </c>
      <c r="BP40" s="194">
        <v>0</v>
      </c>
      <c r="BQ40" s="194">
        <v>0</v>
      </c>
      <c r="BR40" s="194">
        <v>0</v>
      </c>
      <c r="BS40" s="195">
        <v>0</v>
      </c>
      <c r="BT40" s="194">
        <v>0</v>
      </c>
      <c r="BU40" s="194">
        <v>0</v>
      </c>
      <c r="BV40" s="194">
        <v>0</v>
      </c>
      <c r="BW40" s="194">
        <v>0</v>
      </c>
      <c r="BX40" s="20"/>
      <c r="BY40" s="191">
        <f t="shared" si="382"/>
        <v>0</v>
      </c>
      <c r="BZ40" s="191">
        <f t="shared" si="383"/>
        <v>0</v>
      </c>
      <c r="CA40" s="191">
        <f t="shared" si="384"/>
        <v>45.454000000000001</v>
      </c>
      <c r="CB40" s="191">
        <f t="shared" si="385"/>
        <v>268.95400000000001</v>
      </c>
      <c r="CC40" s="191">
        <f t="shared" si="386"/>
        <v>0</v>
      </c>
      <c r="CD40" s="191">
        <f t="shared" si="387"/>
        <v>1127</v>
      </c>
      <c r="CE40" s="191">
        <f t="shared" si="388"/>
        <v>0</v>
      </c>
      <c r="CF40" s="191">
        <f t="shared" si="389"/>
        <v>0</v>
      </c>
      <c r="CG40" s="193">
        <f t="shared" si="390"/>
        <v>0</v>
      </c>
      <c r="CH40" s="191">
        <f t="shared" si="391"/>
        <v>0</v>
      </c>
      <c r="CI40" s="193">
        <f t="shared" si="392"/>
        <v>620</v>
      </c>
      <c r="CJ40" s="193">
        <f t="shared" si="393"/>
        <v>783.5</v>
      </c>
      <c r="CK40" s="191">
        <f t="shared" si="394"/>
        <v>1859.5940000000001</v>
      </c>
      <c r="CL40" s="191">
        <f t="shared" si="395"/>
        <v>2204.5</v>
      </c>
      <c r="CM40" s="191">
        <f t="shared" si="396"/>
        <v>1537</v>
      </c>
      <c r="CN40" s="191">
        <f t="shared" si="397"/>
        <v>0</v>
      </c>
      <c r="CO40" s="191">
        <f t="shared" si="398"/>
        <v>0</v>
      </c>
      <c r="CP40" s="192">
        <f t="shared" si="399"/>
        <v>0</v>
      </c>
      <c r="CQ40" s="1522"/>
      <c r="CR40" s="193">
        <f t="shared" si="400"/>
        <v>0</v>
      </c>
      <c r="CS40" s="191">
        <f t="shared" si="401"/>
        <v>44.252000000000002</v>
      </c>
      <c r="CT40" s="191">
        <f t="shared" si="402"/>
        <v>1.2019999999999982</v>
      </c>
      <c r="CU40" s="191">
        <f t="shared" si="403"/>
        <v>268.95400000000001</v>
      </c>
      <c r="CV40" s="191">
        <f t="shared" si="404"/>
        <v>1127</v>
      </c>
      <c r="CW40" s="191">
        <f t="shared" si="405"/>
        <v>0</v>
      </c>
      <c r="CX40" s="191">
        <f t="shared" si="406"/>
        <v>0</v>
      </c>
      <c r="CY40" s="191">
        <f t="shared" si="407"/>
        <v>0</v>
      </c>
      <c r="CZ40" s="191">
        <f t="shared" si="408"/>
        <v>0</v>
      </c>
      <c r="DA40" s="191">
        <f t="shared" si="409"/>
        <v>0</v>
      </c>
      <c r="DB40" s="191">
        <f t="shared" si="410"/>
        <v>1453.5</v>
      </c>
      <c r="DC40" s="191">
        <f t="shared" si="411"/>
        <v>722.27499999999998</v>
      </c>
      <c r="DD40" s="191">
        <f t="shared" si="412"/>
        <v>2204.819</v>
      </c>
      <c r="DE40" s="191">
        <f t="shared" si="413"/>
        <v>1525.5</v>
      </c>
      <c r="DF40" s="191">
        <f t="shared" si="414"/>
        <v>1098.5</v>
      </c>
      <c r="DG40" s="191">
        <f t="shared" si="415"/>
        <v>0</v>
      </c>
      <c r="DH40" s="191">
        <f t="shared" si="416"/>
        <v>0</v>
      </c>
      <c r="DI40" s="22"/>
    </row>
    <row r="41" spans="1:113" ht="14.25" customHeight="1">
      <c r="A41" s="8"/>
      <c r="B41" s="27" t="str">
        <f t="shared" si="318"/>
        <v>Retirement of convertible senior notes</v>
      </c>
      <c r="C41" s="28"/>
      <c r="D41" s="193">
        <f t="shared" si="319"/>
        <v>0</v>
      </c>
      <c r="E41" s="191">
        <f t="shared" si="320"/>
        <v>0</v>
      </c>
      <c r="F41" s="191">
        <f t="shared" si="321"/>
        <v>0</v>
      </c>
      <c r="G41" s="192">
        <f t="shared" si="322"/>
        <v>0</v>
      </c>
      <c r="H41" s="193">
        <f t="shared" si="323"/>
        <v>0</v>
      </c>
      <c r="I41" s="191">
        <f t="shared" si="324"/>
        <v>0</v>
      </c>
      <c r="J41" s="191">
        <f t="shared" si="325"/>
        <v>0</v>
      </c>
      <c r="K41" s="192">
        <f t="shared" si="326"/>
        <v>0</v>
      </c>
      <c r="L41" s="193">
        <f t="shared" si="327"/>
        <v>0</v>
      </c>
      <c r="M41" s="191">
        <f t="shared" si="328"/>
        <v>0</v>
      </c>
      <c r="N41" s="191">
        <f t="shared" si="329"/>
        <v>0</v>
      </c>
      <c r="O41" s="192">
        <f t="shared" si="330"/>
        <v>0</v>
      </c>
      <c r="P41" s="193">
        <f t="shared" si="331"/>
        <v>0</v>
      </c>
      <c r="Q41" s="191">
        <f t="shared" si="332"/>
        <v>0</v>
      </c>
      <c r="R41" s="191">
        <f t="shared" si="333"/>
        <v>0</v>
      </c>
      <c r="S41" s="192">
        <f t="shared" si="334"/>
        <v>0</v>
      </c>
      <c r="T41" s="193">
        <f t="shared" si="335"/>
        <v>0</v>
      </c>
      <c r="U41" s="191">
        <f t="shared" si="336"/>
        <v>0</v>
      </c>
      <c r="V41" s="191">
        <f t="shared" si="337"/>
        <v>0</v>
      </c>
      <c r="W41" s="192">
        <f t="shared" si="338"/>
        <v>0</v>
      </c>
      <c r="X41" s="193">
        <f t="shared" si="339"/>
        <v>0</v>
      </c>
      <c r="Y41" s="191">
        <f t="shared" si="340"/>
        <v>0</v>
      </c>
      <c r="Z41" s="191">
        <f t="shared" si="341"/>
        <v>0</v>
      </c>
      <c r="AA41" s="192">
        <f t="shared" si="342"/>
        <v>0</v>
      </c>
      <c r="AB41" s="193">
        <f t="shared" si="343"/>
        <v>0</v>
      </c>
      <c r="AC41" s="191">
        <f t="shared" si="344"/>
        <v>0</v>
      </c>
      <c r="AD41" s="191">
        <f t="shared" si="345"/>
        <v>0</v>
      </c>
      <c r="AE41" s="192">
        <f t="shared" si="346"/>
        <v>0</v>
      </c>
      <c r="AF41" s="193">
        <f t="shared" si="347"/>
        <v>0</v>
      </c>
      <c r="AG41" s="191">
        <f t="shared" si="348"/>
        <v>0</v>
      </c>
      <c r="AH41" s="191">
        <f t="shared" si="349"/>
        <v>0</v>
      </c>
      <c r="AI41" s="192">
        <f t="shared" si="350"/>
        <v>0</v>
      </c>
      <c r="AJ41" s="193">
        <f t="shared" si="351"/>
        <v>0</v>
      </c>
      <c r="AK41" s="191">
        <f t="shared" si="352"/>
        <v>0</v>
      </c>
      <c r="AL41" s="191">
        <f t="shared" si="353"/>
        <v>0</v>
      </c>
      <c r="AM41" s="192">
        <f t="shared" si="354"/>
        <v>0</v>
      </c>
      <c r="AN41" s="191">
        <f t="shared" si="355"/>
        <v>0</v>
      </c>
      <c r="AO41" s="191">
        <f t="shared" si="356"/>
        <v>0</v>
      </c>
      <c r="AP41" s="191">
        <f t="shared" si="357"/>
        <v>0</v>
      </c>
      <c r="AQ41" s="192">
        <f t="shared" si="358"/>
        <v>0</v>
      </c>
      <c r="AR41" s="191">
        <f t="shared" si="359"/>
        <v>0</v>
      </c>
      <c r="AS41" s="191">
        <f t="shared" si="360"/>
        <v>600</v>
      </c>
      <c r="AT41" s="191">
        <f t="shared" si="361"/>
        <v>10</v>
      </c>
      <c r="AU41" s="192">
        <f t="shared" si="362"/>
        <v>-610</v>
      </c>
      <c r="AV41" s="191">
        <f t="shared" si="363"/>
        <v>-650</v>
      </c>
      <c r="AW41" s="191">
        <f t="shared" si="364"/>
        <v>-70</v>
      </c>
      <c r="AX41" s="191">
        <f t="shared" si="365"/>
        <v>-83.5</v>
      </c>
      <c r="AY41" s="192">
        <f t="shared" si="366"/>
        <v>-300</v>
      </c>
      <c r="AZ41" s="191">
        <f t="shared" si="367"/>
        <v>-170</v>
      </c>
      <c r="BA41" s="191">
        <f t="shared" si="368"/>
        <v>-138.5</v>
      </c>
      <c r="BB41" s="191">
        <f t="shared" si="369"/>
        <v>-119.39999999999998</v>
      </c>
      <c r="BC41" s="192">
        <f t="shared" si="370"/>
        <v>-1269.7420000000002</v>
      </c>
      <c r="BD41" s="191">
        <f t="shared" si="371"/>
        <v>-110</v>
      </c>
      <c r="BE41" s="191">
        <f t="shared" si="372"/>
        <v>-80</v>
      </c>
      <c r="BF41" s="191">
        <f t="shared" si="373"/>
        <v>-381</v>
      </c>
      <c r="BG41" s="192">
        <f t="shared" si="374"/>
        <v>-1043.452</v>
      </c>
      <c r="BH41" s="191">
        <f t="shared" si="375"/>
        <v>0</v>
      </c>
      <c r="BI41" s="191">
        <f t="shared" si="376"/>
        <v>0</v>
      </c>
      <c r="BJ41" s="191">
        <f t="shared" si="377"/>
        <v>0</v>
      </c>
      <c r="BK41" s="192">
        <f t="shared" si="378"/>
        <v>-2781</v>
      </c>
      <c r="BL41" s="191">
        <f t="shared" si="379"/>
        <v>0</v>
      </c>
      <c r="BM41" s="191">
        <f t="shared" si="380"/>
        <v>0</v>
      </c>
      <c r="BN41" s="191">
        <f t="shared" si="381"/>
        <v>0</v>
      </c>
      <c r="BO41" s="195">
        <v>0</v>
      </c>
      <c r="BP41" s="194">
        <v>0</v>
      </c>
      <c r="BQ41" s="194">
        <v>0</v>
      </c>
      <c r="BR41" s="194">
        <v>0</v>
      </c>
      <c r="BS41" s="195">
        <v>0</v>
      </c>
      <c r="BT41" s="194">
        <v>0</v>
      </c>
      <c r="BU41" s="194">
        <v>0</v>
      </c>
      <c r="BV41" s="194">
        <v>0</v>
      </c>
      <c r="BW41" s="194">
        <v>0</v>
      </c>
      <c r="BX41" s="20"/>
      <c r="BY41" s="191">
        <f t="shared" si="382"/>
        <v>0</v>
      </c>
      <c r="BZ41" s="191">
        <f t="shared" si="383"/>
        <v>0</v>
      </c>
      <c r="CA41" s="191">
        <f t="shared" si="384"/>
        <v>0</v>
      </c>
      <c r="CB41" s="191">
        <f t="shared" si="385"/>
        <v>0</v>
      </c>
      <c r="CC41" s="191">
        <f t="shared" si="386"/>
        <v>0</v>
      </c>
      <c r="CD41" s="191">
        <f t="shared" si="387"/>
        <v>0</v>
      </c>
      <c r="CE41" s="191">
        <f t="shared" si="388"/>
        <v>0</v>
      </c>
      <c r="CF41" s="191">
        <f t="shared" si="389"/>
        <v>0</v>
      </c>
      <c r="CG41" s="193">
        <f t="shared" si="390"/>
        <v>0</v>
      </c>
      <c r="CH41" s="191">
        <f t="shared" si="391"/>
        <v>0</v>
      </c>
      <c r="CI41" s="193">
        <f t="shared" si="392"/>
        <v>0</v>
      </c>
      <c r="CJ41" s="193">
        <f t="shared" si="393"/>
        <v>-1103.5</v>
      </c>
      <c r="CK41" s="191">
        <f t="shared" si="394"/>
        <v>-1697.6420000000003</v>
      </c>
      <c r="CL41" s="191">
        <f t="shared" si="395"/>
        <v>-1614.452</v>
      </c>
      <c r="CM41" s="191">
        <f t="shared" si="396"/>
        <v>-2781</v>
      </c>
      <c r="CN41" s="191">
        <f t="shared" si="397"/>
        <v>0</v>
      </c>
      <c r="CO41" s="191">
        <f t="shared" si="398"/>
        <v>0</v>
      </c>
      <c r="CP41" s="192">
        <f t="shared" si="399"/>
        <v>0</v>
      </c>
      <c r="CQ41" s="1522"/>
      <c r="CR41" s="193">
        <f t="shared" si="400"/>
        <v>0</v>
      </c>
      <c r="CS41" s="191">
        <f t="shared" si="401"/>
        <v>0</v>
      </c>
      <c r="CT41" s="191">
        <f t="shared" si="402"/>
        <v>0</v>
      </c>
      <c r="CU41" s="191">
        <f t="shared" si="403"/>
        <v>0</v>
      </c>
      <c r="CV41" s="191">
        <f t="shared" si="404"/>
        <v>0</v>
      </c>
      <c r="CW41" s="191">
        <f t="shared" si="405"/>
        <v>0</v>
      </c>
      <c r="CX41" s="191">
        <f t="shared" si="406"/>
        <v>0</v>
      </c>
      <c r="CY41" s="191">
        <f t="shared" si="407"/>
        <v>0</v>
      </c>
      <c r="CZ41" s="191">
        <f t="shared" si="408"/>
        <v>0</v>
      </c>
      <c r="DA41" s="191">
        <f t="shared" si="409"/>
        <v>610</v>
      </c>
      <c r="DB41" s="191">
        <f t="shared" si="410"/>
        <v>-1413.5</v>
      </c>
      <c r="DC41" s="191">
        <f t="shared" si="411"/>
        <v>-727.9</v>
      </c>
      <c r="DD41" s="191">
        <f t="shared" si="412"/>
        <v>-1840.7420000000002</v>
      </c>
      <c r="DE41" s="191">
        <f t="shared" si="413"/>
        <v>-1043.452</v>
      </c>
      <c r="DF41" s="191">
        <f t="shared" si="414"/>
        <v>-2781</v>
      </c>
      <c r="DG41" s="191">
        <f t="shared" si="415"/>
        <v>0</v>
      </c>
      <c r="DH41" s="191">
        <f t="shared" si="416"/>
        <v>0</v>
      </c>
      <c r="DI41" s="22"/>
    </row>
    <row r="42" spans="1:113" ht="14.25" customHeight="1">
      <c r="A42" s="8"/>
      <c r="B42" s="27" t="str">
        <f t="shared" si="318"/>
        <v>Repurchase of common stock</v>
      </c>
      <c r="C42" s="28"/>
      <c r="D42" s="193">
        <f t="shared" si="319"/>
        <v>0</v>
      </c>
      <c r="E42" s="191">
        <f t="shared" si="320"/>
        <v>-7.45</v>
      </c>
      <c r="F42" s="191">
        <f t="shared" si="321"/>
        <v>-2.2999999999999687E-2</v>
      </c>
      <c r="G42" s="192">
        <f t="shared" si="322"/>
        <v>-19.047000000000001</v>
      </c>
      <c r="H42" s="193">
        <f t="shared" si="323"/>
        <v>-2.5129999999999999</v>
      </c>
      <c r="I42" s="191">
        <f t="shared" si="324"/>
        <v>0</v>
      </c>
      <c r="J42" s="191">
        <f t="shared" si="325"/>
        <v>0</v>
      </c>
      <c r="K42" s="192">
        <f t="shared" si="326"/>
        <v>-51.350999999999999</v>
      </c>
      <c r="L42" s="193">
        <f t="shared" si="327"/>
        <v>-22.82</v>
      </c>
      <c r="M42" s="191">
        <f t="shared" si="328"/>
        <v>-42.302</v>
      </c>
      <c r="N42" s="191">
        <f t="shared" si="329"/>
        <v>-1.9509999999999934</v>
      </c>
      <c r="O42" s="192">
        <f t="shared" si="330"/>
        <v>-1.203000000000003</v>
      </c>
      <c r="P42" s="193">
        <f t="shared" si="331"/>
        <v>0</v>
      </c>
      <c r="Q42" s="191">
        <f t="shared" si="332"/>
        <v>0</v>
      </c>
      <c r="R42" s="191">
        <f t="shared" si="333"/>
        <v>-3.32</v>
      </c>
      <c r="S42" s="192">
        <f t="shared" si="334"/>
        <v>0</v>
      </c>
      <c r="T42" s="193">
        <f t="shared" si="335"/>
        <v>0</v>
      </c>
      <c r="U42" s="191">
        <f t="shared" si="336"/>
        <v>0</v>
      </c>
      <c r="V42" s="191">
        <f t="shared" si="337"/>
        <v>0</v>
      </c>
      <c r="W42" s="192">
        <f t="shared" si="338"/>
        <v>0</v>
      </c>
      <c r="X42" s="193">
        <f t="shared" si="339"/>
        <v>0</v>
      </c>
      <c r="Y42" s="191">
        <f t="shared" si="340"/>
        <v>-150.172</v>
      </c>
      <c r="Z42" s="191">
        <f t="shared" si="341"/>
        <v>-814.59500000000003</v>
      </c>
      <c r="AA42" s="192">
        <f t="shared" si="342"/>
        <v>-173.27299999999994</v>
      </c>
      <c r="AB42" s="193">
        <f t="shared" si="343"/>
        <v>-23.637</v>
      </c>
      <c r="AC42" s="191">
        <f t="shared" si="344"/>
        <v>-100.292</v>
      </c>
      <c r="AD42" s="191">
        <f t="shared" si="345"/>
        <v>0</v>
      </c>
      <c r="AE42" s="192">
        <f t="shared" si="346"/>
        <v>0</v>
      </c>
      <c r="AF42" s="193">
        <f t="shared" si="347"/>
        <v>0</v>
      </c>
      <c r="AG42" s="191">
        <f t="shared" si="348"/>
        <v>0</v>
      </c>
      <c r="AH42" s="191">
        <f t="shared" si="349"/>
        <v>0</v>
      </c>
      <c r="AI42" s="192">
        <f t="shared" si="350"/>
        <v>0</v>
      </c>
      <c r="AJ42" s="193">
        <f t="shared" si="351"/>
        <v>0</v>
      </c>
      <c r="AK42" s="191">
        <f t="shared" si="352"/>
        <v>0</v>
      </c>
      <c r="AL42" s="191">
        <f t="shared" si="353"/>
        <v>0</v>
      </c>
      <c r="AM42" s="192">
        <f t="shared" si="354"/>
        <v>0</v>
      </c>
      <c r="AN42" s="191">
        <f t="shared" si="355"/>
        <v>0</v>
      </c>
      <c r="AO42" s="191">
        <f t="shared" si="356"/>
        <v>0</v>
      </c>
      <c r="AP42" s="191">
        <f t="shared" si="357"/>
        <v>0</v>
      </c>
      <c r="AQ42" s="192">
        <f t="shared" si="358"/>
        <v>0</v>
      </c>
      <c r="AR42" s="191">
        <f t="shared" si="359"/>
        <v>0</v>
      </c>
      <c r="AS42" s="191">
        <f t="shared" si="360"/>
        <v>0</v>
      </c>
      <c r="AT42" s="191">
        <f t="shared" si="361"/>
        <v>0</v>
      </c>
      <c r="AU42" s="192">
        <f t="shared" si="362"/>
        <v>0</v>
      </c>
      <c r="AV42" s="191">
        <f t="shared" si="363"/>
        <v>0</v>
      </c>
      <c r="AW42" s="191">
        <f t="shared" si="364"/>
        <v>0</v>
      </c>
      <c r="AX42" s="191">
        <f t="shared" si="365"/>
        <v>0</v>
      </c>
      <c r="AY42" s="192">
        <f t="shared" si="366"/>
        <v>0</v>
      </c>
      <c r="AZ42" s="191">
        <f t="shared" si="367"/>
        <v>0</v>
      </c>
      <c r="BA42" s="191">
        <f t="shared" si="368"/>
        <v>0</v>
      </c>
      <c r="BB42" s="191">
        <f t="shared" si="369"/>
        <v>0</v>
      </c>
      <c r="BC42" s="192">
        <f t="shared" si="370"/>
        <v>0</v>
      </c>
      <c r="BD42" s="191">
        <f t="shared" si="371"/>
        <v>0</v>
      </c>
      <c r="BE42" s="191">
        <f t="shared" si="372"/>
        <v>-363.82900000000001</v>
      </c>
      <c r="BF42" s="191">
        <f t="shared" si="373"/>
        <v>0</v>
      </c>
      <c r="BG42" s="192">
        <f t="shared" si="374"/>
        <v>363.82900000000001</v>
      </c>
      <c r="BH42" s="191">
        <f t="shared" si="375"/>
        <v>0</v>
      </c>
      <c r="BI42" s="191">
        <f t="shared" si="376"/>
        <v>0</v>
      </c>
      <c r="BJ42" s="191">
        <f t="shared" si="377"/>
        <v>0</v>
      </c>
      <c r="BK42" s="192">
        <f t="shared" si="378"/>
        <v>0</v>
      </c>
      <c r="BL42" s="191">
        <f t="shared" si="379"/>
        <v>0</v>
      </c>
      <c r="BM42" s="191">
        <f t="shared" si="380"/>
        <v>0</v>
      </c>
      <c r="BN42" s="191">
        <f t="shared" si="381"/>
        <v>0</v>
      </c>
      <c r="BO42" s="195">
        <v>0</v>
      </c>
      <c r="BP42" s="194">
        <v>0</v>
      </c>
      <c r="BQ42" s="194">
        <v>0</v>
      </c>
      <c r="BR42" s="194">
        <v>0</v>
      </c>
      <c r="BS42" s="195">
        <v>0</v>
      </c>
      <c r="BT42" s="194">
        <v>0</v>
      </c>
      <c r="BU42" s="194">
        <v>0</v>
      </c>
      <c r="BV42" s="194">
        <v>0</v>
      </c>
      <c r="BW42" s="194">
        <v>0</v>
      </c>
      <c r="BX42" s="20"/>
      <c r="BY42" s="191">
        <f t="shared" si="382"/>
        <v>-26.52</v>
      </c>
      <c r="BZ42" s="191">
        <f t="shared" si="383"/>
        <v>-53.863999999999997</v>
      </c>
      <c r="CA42" s="191">
        <f t="shared" si="384"/>
        <v>-68.275999999999996</v>
      </c>
      <c r="CB42" s="191">
        <f t="shared" si="385"/>
        <v>-3.32</v>
      </c>
      <c r="CC42" s="191">
        <f t="shared" si="386"/>
        <v>0</v>
      </c>
      <c r="CD42" s="191">
        <f t="shared" si="387"/>
        <v>-1138.04</v>
      </c>
      <c r="CE42" s="191">
        <f t="shared" si="388"/>
        <v>-123.929</v>
      </c>
      <c r="CF42" s="191">
        <f t="shared" si="389"/>
        <v>0</v>
      </c>
      <c r="CG42" s="193">
        <f t="shared" si="390"/>
        <v>0</v>
      </c>
      <c r="CH42" s="191">
        <f t="shared" si="391"/>
        <v>0</v>
      </c>
      <c r="CI42" s="193">
        <f t="shared" si="392"/>
        <v>0</v>
      </c>
      <c r="CJ42" s="193">
        <f t="shared" si="393"/>
        <v>0</v>
      </c>
      <c r="CK42" s="191">
        <f t="shared" si="394"/>
        <v>0</v>
      </c>
      <c r="CL42" s="191">
        <f>SUM(BD42:BG42)</f>
        <v>0</v>
      </c>
      <c r="CM42" s="191">
        <f t="shared" si="396"/>
        <v>0</v>
      </c>
      <c r="CN42" s="191">
        <f t="shared" si="397"/>
        <v>0</v>
      </c>
      <c r="CO42" s="191">
        <f t="shared" si="398"/>
        <v>0</v>
      </c>
      <c r="CP42" s="192">
        <f t="shared" si="399"/>
        <v>0</v>
      </c>
      <c r="CQ42" s="1522"/>
      <c r="CR42" s="193">
        <f t="shared" si="400"/>
        <v>-21.560000000000002</v>
      </c>
      <c r="CS42" s="191">
        <f t="shared" si="401"/>
        <v>-118.42399999999998</v>
      </c>
      <c r="CT42" s="191">
        <f t="shared" si="402"/>
        <v>-4.5230000000000032</v>
      </c>
      <c r="CU42" s="191">
        <f t="shared" si="403"/>
        <v>0</v>
      </c>
      <c r="CV42" s="191">
        <f t="shared" si="404"/>
        <v>-964.76700000000005</v>
      </c>
      <c r="CW42" s="191">
        <f t="shared" si="405"/>
        <v>-297.20199999999994</v>
      </c>
      <c r="CX42" s="191">
        <f t="shared" si="406"/>
        <v>0</v>
      </c>
      <c r="CY42" s="191">
        <f t="shared" si="407"/>
        <v>0</v>
      </c>
      <c r="CZ42" s="191">
        <f t="shared" si="408"/>
        <v>0</v>
      </c>
      <c r="DA42" s="191">
        <f t="shared" si="409"/>
        <v>0</v>
      </c>
      <c r="DB42" s="191">
        <f t="shared" si="410"/>
        <v>0</v>
      </c>
      <c r="DC42" s="191">
        <f t="shared" si="411"/>
        <v>0</v>
      </c>
      <c r="DD42" s="191">
        <f t="shared" si="412"/>
        <v>-363.82900000000001</v>
      </c>
      <c r="DE42" s="191">
        <f t="shared" si="413"/>
        <v>363.82900000000001</v>
      </c>
      <c r="DF42" s="191">
        <f t="shared" si="414"/>
        <v>0</v>
      </c>
      <c r="DG42" s="191">
        <f t="shared" si="415"/>
        <v>0</v>
      </c>
      <c r="DH42" s="191">
        <f t="shared" si="416"/>
        <v>0</v>
      </c>
      <c r="DI42" s="22"/>
    </row>
    <row r="43" spans="1:113" ht="14.25" customHeight="1">
      <c r="A43" s="8"/>
      <c r="B43" s="27" t="str">
        <f t="shared" si="318"/>
        <v>Payments of cash dividends</v>
      </c>
      <c r="C43" s="28"/>
      <c r="D43" s="193">
        <f t="shared" si="319"/>
        <v>0</v>
      </c>
      <c r="E43" s="191">
        <f t="shared" si="320"/>
        <v>0</v>
      </c>
      <c r="F43" s="191">
        <f t="shared" si="321"/>
        <v>-4.0609999999999999</v>
      </c>
      <c r="G43" s="192">
        <f t="shared" si="322"/>
        <v>-4.0679999999999996</v>
      </c>
      <c r="H43" s="193">
        <f t="shared" si="323"/>
        <v>-4.8929999999999998</v>
      </c>
      <c r="I43" s="191">
        <f t="shared" si="324"/>
        <v>-4.9189999999999996</v>
      </c>
      <c r="J43" s="191">
        <f t="shared" si="325"/>
        <v>-6.2229999999999999</v>
      </c>
      <c r="K43" s="192">
        <f t="shared" si="326"/>
        <v>-7.2860000000000023</v>
      </c>
      <c r="L43" s="193">
        <f t="shared" si="327"/>
        <v>-8.266</v>
      </c>
      <c r="M43" s="191">
        <f t="shared" si="328"/>
        <v>-9.4730000000000008</v>
      </c>
      <c r="N43" s="191">
        <f t="shared" si="329"/>
        <v>-10.752000000000001</v>
      </c>
      <c r="O43" s="192">
        <f t="shared" si="330"/>
        <v>-14.505999999999998</v>
      </c>
      <c r="P43" s="193">
        <f t="shared" si="331"/>
        <v>-19.795000000000002</v>
      </c>
      <c r="Q43" s="191">
        <f t="shared" si="332"/>
        <v>-26.171999999999997</v>
      </c>
      <c r="R43" s="191">
        <f t="shared" si="333"/>
        <v>-33.644999999999996</v>
      </c>
      <c r="S43" s="192">
        <f t="shared" si="334"/>
        <v>-40.497</v>
      </c>
      <c r="T43" s="193">
        <f t="shared" si="335"/>
        <v>-46.064</v>
      </c>
      <c r="U43" s="191">
        <f t="shared" si="336"/>
        <v>-50.508999999999993</v>
      </c>
      <c r="V43" s="191">
        <f t="shared" si="337"/>
        <v>-53.953000000000024</v>
      </c>
      <c r="W43" s="192">
        <f t="shared" si="338"/>
        <v>-57.371999999999979</v>
      </c>
      <c r="X43" s="193">
        <f t="shared" si="339"/>
        <v>-61.119</v>
      </c>
      <c r="Y43" s="191">
        <f t="shared" si="340"/>
        <v>-64.094999999999999</v>
      </c>
      <c r="Z43" s="191">
        <f t="shared" si="341"/>
        <v>-66.378000000000014</v>
      </c>
      <c r="AA43" s="192">
        <f t="shared" si="342"/>
        <v>-60.36699999999999</v>
      </c>
      <c r="AB43" s="193">
        <f t="shared" si="343"/>
        <v>-60.976999999999997</v>
      </c>
      <c r="AC43" s="191">
        <f t="shared" si="344"/>
        <v>-62.167999999999999</v>
      </c>
      <c r="AD43" s="191">
        <f t="shared" si="345"/>
        <v>-61.690000000000005</v>
      </c>
      <c r="AE43" s="192">
        <f t="shared" si="346"/>
        <v>-61.82200000000001</v>
      </c>
      <c r="AF43" s="193">
        <f t="shared" si="347"/>
        <v>-61.991</v>
      </c>
      <c r="AG43" s="191">
        <f t="shared" si="348"/>
        <v>-62.082999999999998</v>
      </c>
      <c r="AH43" s="191">
        <f t="shared" si="349"/>
        <v>-62.519999999999996</v>
      </c>
      <c r="AI43" s="192">
        <f t="shared" si="350"/>
        <v>-62.962000000000003</v>
      </c>
      <c r="AJ43" s="193">
        <f t="shared" si="351"/>
        <v>-63.453000000000003</v>
      </c>
      <c r="AK43" s="191">
        <f t="shared" si="352"/>
        <v>-63.908000000000001</v>
      </c>
      <c r="AL43" s="191">
        <f t="shared" si="353"/>
        <v>-129.44699999999997</v>
      </c>
      <c r="AM43" s="192">
        <f t="shared" si="354"/>
        <v>-3.0000000000001137E-3</v>
      </c>
      <c r="AN43" s="191">
        <f t="shared" si="355"/>
        <v>-65.900000000000006</v>
      </c>
      <c r="AO43" s="191">
        <f t="shared" si="356"/>
        <v>-66.205999999999989</v>
      </c>
      <c r="AP43" s="191">
        <f t="shared" si="357"/>
        <v>-66.813000000000017</v>
      </c>
      <c r="AQ43" s="192">
        <f t="shared" si="358"/>
        <v>-67.258999999999986</v>
      </c>
      <c r="AR43" s="191">
        <f t="shared" si="359"/>
        <v>-67.748999999999995</v>
      </c>
      <c r="AS43" s="191">
        <f t="shared" si="360"/>
        <v>-68.146000000000015</v>
      </c>
      <c r="AT43" s="191">
        <f t="shared" si="361"/>
        <v>-68.697000000000003</v>
      </c>
      <c r="AU43" s="192">
        <f t="shared" si="362"/>
        <v>-69.22999999999999</v>
      </c>
      <c r="AV43" s="191">
        <f>AV138</f>
        <v>-69.682000000000002</v>
      </c>
      <c r="AW43" s="191">
        <f t="shared" si="364"/>
        <v>-70.085999999999999</v>
      </c>
      <c r="AX43" s="191">
        <f t="shared" si="365"/>
        <v>-70.553999999999988</v>
      </c>
      <c r="AY43" s="192">
        <f t="shared" si="366"/>
        <v>-70.882000000000019</v>
      </c>
      <c r="AZ43" s="191">
        <f>AZ138</f>
        <v>-71.201999999999998</v>
      </c>
      <c r="BA43" s="191">
        <f t="shared" si="368"/>
        <v>-71.442000000000007</v>
      </c>
      <c r="BB43" s="191">
        <f t="shared" si="369"/>
        <v>-71.787000000000006</v>
      </c>
      <c r="BC43" s="192">
        <f t="shared" si="370"/>
        <v>-72.046999999999997</v>
      </c>
      <c r="BD43" s="191">
        <f>BD138</f>
        <v>-72.331000000000003</v>
      </c>
      <c r="BE43" s="191">
        <f t="shared" si="372"/>
        <v>-72.684999999999988</v>
      </c>
      <c r="BF43" s="191">
        <f t="shared" si="373"/>
        <v>-72.923000000000016</v>
      </c>
      <c r="BG43" s="192">
        <f t="shared" si="374"/>
        <v>-73.147999999999982</v>
      </c>
      <c r="BH43" s="191">
        <f>BH138</f>
        <v>-77.236999999999995</v>
      </c>
      <c r="BI43" s="191">
        <f t="shared" si="376"/>
        <v>-77.640000000000015</v>
      </c>
      <c r="BJ43" s="191">
        <f t="shared" si="377"/>
        <v>-77.97</v>
      </c>
      <c r="BK43" s="192">
        <f t="shared" si="378"/>
        <v>-82.581999999999965</v>
      </c>
      <c r="BL43" s="191">
        <f>BL138</f>
        <v>-82.927999999999997</v>
      </c>
      <c r="BM43" s="191">
        <f t="shared" si="380"/>
        <v>-84.52000000000001</v>
      </c>
      <c r="BN43" s="191">
        <f t="shared" si="381"/>
        <v>-84.912000000000006</v>
      </c>
      <c r="BO43" s="733">
        <f>-IS!BO110*IS!BO104</f>
        <v>-85.588503000000003</v>
      </c>
      <c r="BP43" s="732">
        <f>-IS!BP110*IS!BP104</f>
        <v>-85.770003000000003</v>
      </c>
      <c r="BQ43" s="732">
        <f>-IS!BQ110*IS!BQ104</f>
        <v>-85.951503000000002</v>
      </c>
      <c r="BR43" s="732">
        <f>-IS!BR110*IS!BR104</f>
        <v>-86.133003000000002</v>
      </c>
      <c r="BS43" s="733">
        <f>-IS!BS110*IS!BS104</f>
        <v>-86.314503000000002</v>
      </c>
      <c r="BT43" s="732">
        <f>-IS!BT110*IS!BT104</f>
        <v>-86.496003000000002</v>
      </c>
      <c r="BU43" s="732">
        <f>-IS!BU110*IS!BU104</f>
        <v>-86.677503000000002</v>
      </c>
      <c r="BV43" s="732">
        <f>-IS!BV110*IS!BV104</f>
        <v>-86.859003000000001</v>
      </c>
      <c r="BW43" s="732">
        <f>-IS!BW110*IS!BW104</f>
        <v>-87.040503000000001</v>
      </c>
      <c r="BX43" s="20"/>
      <c r="BY43" s="191">
        <f t="shared" si="382"/>
        <v>-8.1289999999999996</v>
      </c>
      <c r="BZ43" s="191">
        <f t="shared" si="383"/>
        <v>-23.321000000000002</v>
      </c>
      <c r="CA43" s="191">
        <f t="shared" si="384"/>
        <v>-42.997</v>
      </c>
      <c r="CB43" s="191">
        <f t="shared" si="385"/>
        <v>-120.10899999999999</v>
      </c>
      <c r="CC43" s="191">
        <f t="shared" si="386"/>
        <v>-207.898</v>
      </c>
      <c r="CD43" s="191">
        <f t="shared" si="387"/>
        <v>-251.959</v>
      </c>
      <c r="CE43" s="191">
        <f t="shared" si="388"/>
        <v>-246.65700000000001</v>
      </c>
      <c r="CF43" s="191">
        <f t="shared" si="389"/>
        <v>-249.55599999999998</v>
      </c>
      <c r="CG43" s="193">
        <f t="shared" si="390"/>
        <v>-256.81099999999998</v>
      </c>
      <c r="CH43" s="191">
        <f t="shared" si="391"/>
        <v>-266.178</v>
      </c>
      <c r="CI43" s="193">
        <f t="shared" si="392"/>
        <v>-273.822</v>
      </c>
      <c r="CJ43" s="193">
        <f t="shared" si="393"/>
        <v>-281.20400000000001</v>
      </c>
      <c r="CK43" s="191">
        <f t="shared" si="394"/>
        <v>-286.47800000000001</v>
      </c>
      <c r="CL43" s="191">
        <f t="shared" si="395"/>
        <v>-291.08699999999999</v>
      </c>
      <c r="CM43" s="191">
        <f t="shared" si="396"/>
        <v>-315.42899999999997</v>
      </c>
      <c r="CN43" s="191">
        <f t="shared" si="397"/>
        <v>-337.94850300000002</v>
      </c>
      <c r="CO43" s="191">
        <f t="shared" si="398"/>
        <v>-344.16901200000001</v>
      </c>
      <c r="CP43" s="192">
        <f t="shared" si="399"/>
        <v>-347.07301200000001</v>
      </c>
      <c r="CQ43" s="1522"/>
      <c r="CR43" s="193">
        <f t="shared" si="400"/>
        <v>-20.102999999999998</v>
      </c>
      <c r="CS43" s="191">
        <f t="shared" si="401"/>
        <v>-35.777000000000008</v>
      </c>
      <c r="CT43" s="191">
        <f t="shared" si="402"/>
        <v>-94.117999999999995</v>
      </c>
      <c r="CU43" s="191">
        <f t="shared" si="403"/>
        <v>-191.02300000000002</v>
      </c>
      <c r="CV43" s="191">
        <f t="shared" si="404"/>
        <v>-248.964</v>
      </c>
      <c r="CW43" s="191">
        <f t="shared" si="405"/>
        <v>-245.202</v>
      </c>
      <c r="CX43" s="191">
        <f t="shared" si="406"/>
        <v>-248.416</v>
      </c>
      <c r="CY43" s="191">
        <f t="shared" si="407"/>
        <v>-319.77</v>
      </c>
      <c r="CZ43" s="191">
        <f t="shared" si="408"/>
        <v>-198.922</v>
      </c>
      <c r="DA43" s="191">
        <f t="shared" si="409"/>
        <v>-271.851</v>
      </c>
      <c r="DB43" s="191">
        <f t="shared" si="410"/>
        <v>-279.55199999999996</v>
      </c>
      <c r="DC43" s="191">
        <f t="shared" si="411"/>
        <v>-285.31299999999999</v>
      </c>
      <c r="DD43" s="191">
        <f t="shared" si="412"/>
        <v>-289.98599999999999</v>
      </c>
      <c r="DE43" s="191">
        <f t="shared" si="413"/>
        <v>-305.995</v>
      </c>
      <c r="DF43" s="191">
        <f t="shared" si="414"/>
        <v>-334.94200000000001</v>
      </c>
      <c r="DG43" s="191">
        <f t="shared" si="415"/>
        <v>-343.44301200000007</v>
      </c>
      <c r="DH43" s="191">
        <f t="shared" si="416"/>
        <v>-346.34701200000006</v>
      </c>
      <c r="DI43" s="22"/>
    </row>
    <row r="44" spans="1:113" ht="14.25" customHeight="1">
      <c r="A44" s="8"/>
      <c r="B44" s="27" t="str">
        <f t="shared" si="318"/>
        <v>Proceeds from sale of common stock</v>
      </c>
      <c r="C44" s="28"/>
      <c r="D44" s="193">
        <f t="shared" si="319"/>
        <v>8.0739999999999998</v>
      </c>
      <c r="E44" s="191">
        <f t="shared" si="320"/>
        <v>8.8409999999999993</v>
      </c>
      <c r="F44" s="191">
        <f t="shared" si="321"/>
        <v>7.0130000000000017</v>
      </c>
      <c r="G44" s="192">
        <f t="shared" si="322"/>
        <v>7.5999999999999979</v>
      </c>
      <c r="H44" s="193">
        <f t="shared" si="323"/>
        <v>6.0220000000000002</v>
      </c>
      <c r="I44" s="191">
        <f t="shared" si="324"/>
        <v>16.841000000000001</v>
      </c>
      <c r="J44" s="191">
        <f t="shared" si="325"/>
        <v>20.838000000000001</v>
      </c>
      <c r="K44" s="192">
        <f t="shared" si="326"/>
        <v>9.4489999999999963</v>
      </c>
      <c r="L44" s="193">
        <f t="shared" si="327"/>
        <v>11.391999999999999</v>
      </c>
      <c r="M44" s="191">
        <f t="shared" si="328"/>
        <v>10.818000000000001</v>
      </c>
      <c r="N44" s="191">
        <f t="shared" si="329"/>
        <v>13.990000000000002</v>
      </c>
      <c r="O44" s="192">
        <f t="shared" si="330"/>
        <v>11.033999999999999</v>
      </c>
      <c r="P44" s="193">
        <f t="shared" si="331"/>
        <v>16.699000000000002</v>
      </c>
      <c r="Q44" s="191">
        <f t="shared" si="332"/>
        <v>19.916999999999998</v>
      </c>
      <c r="R44" s="191">
        <f t="shared" si="333"/>
        <v>26.885000000000002</v>
      </c>
      <c r="S44" s="192">
        <f t="shared" si="334"/>
        <v>32.25</v>
      </c>
      <c r="T44" s="193">
        <f t="shared" si="335"/>
        <v>17.477</v>
      </c>
      <c r="U44" s="191">
        <f t="shared" si="336"/>
        <v>15.605999999999998</v>
      </c>
      <c r="V44" s="191">
        <f t="shared" si="337"/>
        <v>9.2190000000000012</v>
      </c>
      <c r="W44" s="192">
        <f t="shared" si="338"/>
        <v>26.420999999999996</v>
      </c>
      <c r="X44" s="193">
        <f t="shared" si="339"/>
        <v>21.69</v>
      </c>
      <c r="Y44" s="191">
        <f t="shared" si="340"/>
        <v>15.971</v>
      </c>
      <c r="Z44" s="191">
        <f t="shared" si="341"/>
        <v>6.8879999999999981</v>
      </c>
      <c r="AA44" s="192">
        <f t="shared" si="342"/>
        <v>14.562999999999999</v>
      </c>
      <c r="AB44" s="193">
        <f t="shared" si="343"/>
        <v>14.422000000000001</v>
      </c>
      <c r="AC44" s="191">
        <f t="shared" si="344"/>
        <v>11.044</v>
      </c>
      <c r="AD44" s="191">
        <f t="shared" si="345"/>
        <v>1.009999999999998</v>
      </c>
      <c r="AE44" s="192">
        <f t="shared" si="346"/>
        <v>7.0790000000000006</v>
      </c>
      <c r="AF44" s="193">
        <f t="shared" si="347"/>
        <v>0.54400000000000004</v>
      </c>
      <c r="AG44" s="191">
        <f t="shared" si="348"/>
        <v>8.4309999999999992</v>
      </c>
      <c r="AH44" s="191">
        <f t="shared" si="349"/>
        <v>9.6029999999999998</v>
      </c>
      <c r="AI44" s="192">
        <f t="shared" si="350"/>
        <v>17.900000000000002</v>
      </c>
      <c r="AJ44" s="193">
        <f t="shared" si="351"/>
        <v>7.31</v>
      </c>
      <c r="AK44" s="191">
        <f t="shared" si="352"/>
        <v>14.959</v>
      </c>
      <c r="AL44" s="191">
        <f t="shared" si="353"/>
        <v>29.078000000000007</v>
      </c>
      <c r="AM44" s="192">
        <f t="shared" si="354"/>
        <v>20.592999999999996</v>
      </c>
      <c r="AN44" s="191">
        <f t="shared" si="355"/>
        <v>18.271999999999998</v>
      </c>
      <c r="AO44" s="191">
        <f t="shared" si="356"/>
        <v>7.3950000000000031</v>
      </c>
      <c r="AP44" s="191">
        <f t="shared" si="357"/>
        <v>14.742999999999995</v>
      </c>
      <c r="AQ44" s="192">
        <f t="shared" si="358"/>
        <v>17.047000000000004</v>
      </c>
      <c r="AR44" s="191">
        <f t="shared" si="359"/>
        <v>4.9610000000000003</v>
      </c>
      <c r="AS44" s="191">
        <f t="shared" si="360"/>
        <v>11.357000000000001</v>
      </c>
      <c r="AT44" s="191">
        <f t="shared" si="361"/>
        <v>6.3009999999999984</v>
      </c>
      <c r="AU44" s="192">
        <f t="shared" si="362"/>
        <v>13.075999999999999</v>
      </c>
      <c r="AV44" s="191">
        <f t="shared" si="363"/>
        <v>6.9</v>
      </c>
      <c r="AW44" s="191">
        <f t="shared" si="364"/>
        <v>15.296000000000001</v>
      </c>
      <c r="AX44" s="191">
        <f t="shared" si="365"/>
        <v>2.5559999999999974</v>
      </c>
      <c r="AY44" s="192">
        <f t="shared" si="366"/>
        <v>12.694000000000001</v>
      </c>
      <c r="AZ44" s="191">
        <f t="shared" si="367"/>
        <v>4.125</v>
      </c>
      <c r="BA44" s="191">
        <f t="shared" si="368"/>
        <v>9.91</v>
      </c>
      <c r="BB44" s="191">
        <f t="shared" si="369"/>
        <v>6.7940000000000005</v>
      </c>
      <c r="BC44" s="192">
        <f t="shared" si="370"/>
        <v>13.603999999999999</v>
      </c>
      <c r="BD44" s="191">
        <f t="shared" si="371"/>
        <v>3.4969999999999999</v>
      </c>
      <c r="BE44" s="191">
        <f t="shared" si="372"/>
        <v>10.023</v>
      </c>
      <c r="BF44" s="191">
        <f t="shared" si="373"/>
        <v>4.3960000000000008</v>
      </c>
      <c r="BG44" s="192">
        <f t="shared" si="374"/>
        <v>10.802</v>
      </c>
      <c r="BH44" s="191">
        <f t="shared" si="375"/>
        <v>4.63</v>
      </c>
      <c r="BI44" s="191">
        <f t="shared" si="376"/>
        <v>20.822000000000003</v>
      </c>
      <c r="BJ44" s="191">
        <f t="shared" si="377"/>
        <v>3.4409999999999981</v>
      </c>
      <c r="BK44" s="192">
        <f t="shared" si="378"/>
        <v>13.317000000000004</v>
      </c>
      <c r="BL44" s="191">
        <f t="shared" si="379"/>
        <v>4.4740000000000002</v>
      </c>
      <c r="BM44" s="191">
        <f t="shared" si="380"/>
        <v>15.094000000000001</v>
      </c>
      <c r="BN44" s="191">
        <f t="shared" si="381"/>
        <v>7.0079999999999991</v>
      </c>
      <c r="BO44" s="195">
        <v>0</v>
      </c>
      <c r="BP44" s="194">
        <v>0</v>
      </c>
      <c r="BQ44" s="194">
        <v>0</v>
      </c>
      <c r="BR44" s="194">
        <v>0</v>
      </c>
      <c r="BS44" s="195">
        <v>0</v>
      </c>
      <c r="BT44" s="194">
        <v>0</v>
      </c>
      <c r="BU44" s="194">
        <v>0</v>
      </c>
      <c r="BV44" s="194">
        <v>0</v>
      </c>
      <c r="BW44" s="194">
        <v>0</v>
      </c>
      <c r="BX44" s="20"/>
      <c r="BY44" s="191">
        <f t="shared" si="382"/>
        <v>31.527999999999999</v>
      </c>
      <c r="BZ44" s="191">
        <f t="shared" si="383"/>
        <v>53.15</v>
      </c>
      <c r="CA44" s="191">
        <f t="shared" si="384"/>
        <v>47.234000000000002</v>
      </c>
      <c r="CB44" s="191">
        <f t="shared" si="385"/>
        <v>95.751000000000005</v>
      </c>
      <c r="CC44" s="191">
        <f t="shared" si="386"/>
        <v>68.722999999999999</v>
      </c>
      <c r="CD44" s="191">
        <f t="shared" si="387"/>
        <v>59.111999999999995</v>
      </c>
      <c r="CE44" s="191">
        <f t="shared" si="388"/>
        <v>33.555</v>
      </c>
      <c r="CF44" s="191">
        <f t="shared" si="389"/>
        <v>36.478000000000002</v>
      </c>
      <c r="CG44" s="193">
        <f t="shared" si="390"/>
        <v>71.94</v>
      </c>
      <c r="CH44" s="191">
        <f t="shared" si="391"/>
        <v>57.457000000000001</v>
      </c>
      <c r="CI44" s="193">
        <f t="shared" si="392"/>
        <v>35.695</v>
      </c>
      <c r="CJ44" s="193">
        <f t="shared" si="393"/>
        <v>37.445999999999998</v>
      </c>
      <c r="CK44" s="191">
        <f t="shared" si="394"/>
        <v>34.433</v>
      </c>
      <c r="CL44" s="191">
        <f t="shared" si="395"/>
        <v>28.718</v>
      </c>
      <c r="CM44" s="191">
        <f t="shared" si="396"/>
        <v>42.210000000000008</v>
      </c>
      <c r="CN44" s="191">
        <f t="shared" si="397"/>
        <v>26.576000000000001</v>
      </c>
      <c r="CO44" s="191">
        <f t="shared" si="398"/>
        <v>0</v>
      </c>
      <c r="CP44" s="192">
        <f t="shared" si="399"/>
        <v>0</v>
      </c>
      <c r="CQ44" s="1522"/>
      <c r="CR44" s="193">
        <f t="shared" si="400"/>
        <v>51.301000000000002</v>
      </c>
      <c r="CS44" s="191">
        <f t="shared" si="401"/>
        <v>45.649000000000001</v>
      </c>
      <c r="CT44" s="191">
        <f t="shared" si="402"/>
        <v>74.534999999999997</v>
      </c>
      <c r="CU44" s="191">
        <f t="shared" si="403"/>
        <v>74.551999999999992</v>
      </c>
      <c r="CV44" s="191">
        <f t="shared" si="404"/>
        <v>70.97</v>
      </c>
      <c r="CW44" s="191">
        <f t="shared" si="405"/>
        <v>41.038999999999994</v>
      </c>
      <c r="CX44" s="191">
        <f t="shared" si="406"/>
        <v>25.657000000000004</v>
      </c>
      <c r="CY44" s="191">
        <f t="shared" si="407"/>
        <v>69.247</v>
      </c>
      <c r="CZ44" s="191">
        <f t="shared" si="408"/>
        <v>61.002999999999993</v>
      </c>
      <c r="DA44" s="191">
        <f t="shared" si="409"/>
        <v>39.665999999999997</v>
      </c>
      <c r="DB44" s="191">
        <f t="shared" si="410"/>
        <v>37.827999999999996</v>
      </c>
      <c r="DC44" s="191">
        <f t="shared" si="411"/>
        <v>33.523000000000003</v>
      </c>
      <c r="DD44" s="191">
        <f t="shared" si="412"/>
        <v>31.52</v>
      </c>
      <c r="DE44" s="191">
        <f t="shared" si="413"/>
        <v>39.695</v>
      </c>
      <c r="DF44" s="191">
        <f t="shared" si="414"/>
        <v>39.893000000000001</v>
      </c>
      <c r="DG44" s="191">
        <f t="shared" si="415"/>
        <v>0</v>
      </c>
      <c r="DH44" s="191">
        <f t="shared" si="416"/>
        <v>0</v>
      </c>
      <c r="DI44" s="22"/>
    </row>
    <row r="45" spans="1:113" ht="14.25" customHeight="1">
      <c r="A45" s="8"/>
      <c r="B45" s="27" t="str">
        <f t="shared" si="318"/>
        <v>Repurchase of noncontrolling interest</v>
      </c>
      <c r="C45" s="28"/>
      <c r="D45" s="193">
        <f t="shared" si="319"/>
        <v>0</v>
      </c>
      <c r="E45" s="191">
        <f t="shared" si="320"/>
        <v>0</v>
      </c>
      <c r="F45" s="191">
        <f t="shared" si="321"/>
        <v>0</v>
      </c>
      <c r="G45" s="192">
        <f t="shared" si="322"/>
        <v>0</v>
      </c>
      <c r="H45" s="193">
        <f t="shared" si="323"/>
        <v>0</v>
      </c>
      <c r="I45" s="191">
        <f t="shared" si="324"/>
        <v>0</v>
      </c>
      <c r="J45" s="191">
        <f t="shared" si="325"/>
        <v>0</v>
      </c>
      <c r="K45" s="192">
        <f t="shared" si="326"/>
        <v>0</v>
      </c>
      <c r="L45" s="193">
        <f t="shared" si="327"/>
        <v>0</v>
      </c>
      <c r="M45" s="191">
        <f t="shared" si="328"/>
        <v>0</v>
      </c>
      <c r="N45" s="191">
        <f t="shared" si="329"/>
        <v>0</v>
      </c>
      <c r="O45" s="192">
        <f t="shared" si="330"/>
        <v>0</v>
      </c>
      <c r="P45" s="193">
        <f t="shared" si="331"/>
        <v>0</v>
      </c>
      <c r="Q45" s="191">
        <f t="shared" si="332"/>
        <v>0</v>
      </c>
      <c r="R45" s="191">
        <f t="shared" si="333"/>
        <v>0</v>
      </c>
      <c r="S45" s="192">
        <f t="shared" si="334"/>
        <v>0</v>
      </c>
      <c r="T45" s="193">
        <f t="shared" si="335"/>
        <v>0</v>
      </c>
      <c r="U45" s="191">
        <f t="shared" si="336"/>
        <v>0</v>
      </c>
      <c r="V45" s="191">
        <f t="shared" si="337"/>
        <v>0</v>
      </c>
      <c r="W45" s="192">
        <f t="shared" si="338"/>
        <v>0</v>
      </c>
      <c r="X45" s="193">
        <f t="shared" si="339"/>
        <v>0</v>
      </c>
      <c r="Y45" s="191">
        <f t="shared" si="340"/>
        <v>0</v>
      </c>
      <c r="Z45" s="191">
        <f t="shared" si="341"/>
        <v>0</v>
      </c>
      <c r="AA45" s="192">
        <f t="shared" si="342"/>
        <v>0</v>
      </c>
      <c r="AB45" s="193">
        <f t="shared" si="343"/>
        <v>0</v>
      </c>
      <c r="AC45" s="191">
        <f t="shared" si="344"/>
        <v>0</v>
      </c>
      <c r="AD45" s="191">
        <f t="shared" si="345"/>
        <v>0</v>
      </c>
      <c r="AE45" s="192">
        <f t="shared" si="346"/>
        <v>0</v>
      </c>
      <c r="AF45" s="193">
        <f t="shared" si="347"/>
        <v>0</v>
      </c>
      <c r="AG45" s="191">
        <f t="shared" si="348"/>
        <v>0</v>
      </c>
      <c r="AH45" s="191">
        <f t="shared" si="349"/>
        <v>0</v>
      </c>
      <c r="AI45" s="192">
        <f t="shared" si="350"/>
        <v>0</v>
      </c>
      <c r="AJ45" s="193">
        <f t="shared" si="351"/>
        <v>0</v>
      </c>
      <c r="AK45" s="191">
        <f t="shared" si="352"/>
        <v>0</v>
      </c>
      <c r="AL45" s="191">
        <f t="shared" si="353"/>
        <v>0</v>
      </c>
      <c r="AM45" s="192">
        <f t="shared" si="354"/>
        <v>0</v>
      </c>
      <c r="AN45" s="191">
        <f t="shared" si="355"/>
        <v>0</v>
      </c>
      <c r="AO45" s="191">
        <f t="shared" si="356"/>
        <v>0</v>
      </c>
      <c r="AP45" s="191">
        <f t="shared" si="357"/>
        <v>0</v>
      </c>
      <c r="AQ45" s="192">
        <f t="shared" si="358"/>
        <v>0</v>
      </c>
      <c r="AR45" s="191">
        <f t="shared" si="359"/>
        <v>0</v>
      </c>
      <c r="AS45" s="191">
        <f t="shared" si="360"/>
        <v>0</v>
      </c>
      <c r="AT45" s="191">
        <f t="shared" si="361"/>
        <v>0</v>
      </c>
      <c r="AU45" s="192">
        <f t="shared" si="362"/>
        <v>0</v>
      </c>
      <c r="AV45" s="191">
        <f t="shared" si="363"/>
        <v>0</v>
      </c>
      <c r="AW45" s="191">
        <f t="shared" si="364"/>
        <v>0</v>
      </c>
      <c r="AX45" s="191">
        <f t="shared" si="365"/>
        <v>0</v>
      </c>
      <c r="AY45" s="192">
        <f t="shared" si="366"/>
        <v>0</v>
      </c>
      <c r="AZ45" s="191">
        <f t="shared" si="367"/>
        <v>0</v>
      </c>
      <c r="BA45" s="191">
        <f t="shared" si="368"/>
        <v>0</v>
      </c>
      <c r="BB45" s="191">
        <f t="shared" si="369"/>
        <v>0</v>
      </c>
      <c r="BC45" s="192">
        <f t="shared" si="370"/>
        <v>0</v>
      </c>
      <c r="BD45" s="191">
        <f t="shared" si="371"/>
        <v>0</v>
      </c>
      <c r="BE45" s="191">
        <f t="shared" si="372"/>
        <v>0</v>
      </c>
      <c r="BF45" s="191">
        <f t="shared" si="373"/>
        <v>0</v>
      </c>
      <c r="BG45" s="192">
        <f t="shared" si="374"/>
        <v>-363.82900000000001</v>
      </c>
      <c r="BH45" s="191">
        <f t="shared" si="375"/>
        <v>0</v>
      </c>
      <c r="BI45" s="191">
        <f t="shared" si="376"/>
        <v>0</v>
      </c>
      <c r="BJ45" s="191">
        <f t="shared" si="377"/>
        <v>0</v>
      </c>
      <c r="BK45" s="192">
        <f t="shared" si="378"/>
        <v>0</v>
      </c>
      <c r="BL45" s="191">
        <f t="shared" si="379"/>
        <v>0</v>
      </c>
      <c r="BM45" s="191">
        <f t="shared" si="380"/>
        <v>0</v>
      </c>
      <c r="BN45" s="191">
        <f t="shared" si="381"/>
        <v>0</v>
      </c>
      <c r="BO45" s="195">
        <v>0</v>
      </c>
      <c r="BP45" s="194">
        <v>0</v>
      </c>
      <c r="BQ45" s="194">
        <v>0</v>
      </c>
      <c r="BR45" s="194">
        <v>0</v>
      </c>
      <c r="BS45" s="195">
        <v>0</v>
      </c>
      <c r="BT45" s="194">
        <v>0</v>
      </c>
      <c r="BU45" s="194">
        <v>0</v>
      </c>
      <c r="BV45" s="194">
        <v>0</v>
      </c>
      <c r="BW45" s="194">
        <v>0</v>
      </c>
      <c r="BX45" s="20"/>
      <c r="BY45" s="191">
        <f t="shared" si="382"/>
        <v>0</v>
      </c>
      <c r="BZ45" s="191">
        <f t="shared" si="383"/>
        <v>0</v>
      </c>
      <c r="CA45" s="191">
        <f t="shared" si="384"/>
        <v>0</v>
      </c>
      <c r="CB45" s="191">
        <f>SUM(P45:S45)</f>
        <v>0</v>
      </c>
      <c r="CC45" s="191">
        <f>SUM(T45:W45)</f>
        <v>0</v>
      </c>
      <c r="CD45" s="191">
        <f>SUM(X45:AA45)</f>
        <v>0</v>
      </c>
      <c r="CE45" s="191">
        <f>SUM(AB45:AE45)</f>
        <v>0</v>
      </c>
      <c r="CF45" s="191">
        <f>SUM(AF45:AI45)</f>
        <v>0</v>
      </c>
      <c r="CG45" s="193">
        <f>SUM(AJ45:AM45)</f>
        <v>0</v>
      </c>
      <c r="CH45" s="191">
        <f>SUM(AN45:AQ45)</f>
        <v>0</v>
      </c>
      <c r="CI45" s="193">
        <f>SUM(AR45:AU45)</f>
        <v>0</v>
      </c>
      <c r="CJ45" s="193">
        <f>SUM(AV45:AY45)</f>
        <v>0</v>
      </c>
      <c r="CK45" s="191">
        <f>SUM(AZ45:BC45)</f>
        <v>0</v>
      </c>
      <c r="CL45" s="191">
        <f>SUM(BD45:BG45)</f>
        <v>-363.82900000000001</v>
      </c>
      <c r="CM45" s="191">
        <f t="shared" si="396"/>
        <v>0</v>
      </c>
      <c r="CN45" s="191">
        <f t="shared" si="397"/>
        <v>0</v>
      </c>
      <c r="CO45" s="191">
        <f t="shared" si="398"/>
        <v>0</v>
      </c>
      <c r="CP45" s="192">
        <f t="shared" si="399"/>
        <v>0</v>
      </c>
      <c r="CQ45" s="1522"/>
      <c r="CR45" s="193">
        <f t="shared" si="400"/>
        <v>0</v>
      </c>
      <c r="CS45" s="191">
        <f t="shared" si="401"/>
        <v>0</v>
      </c>
      <c r="CT45" s="191">
        <f t="shared" si="402"/>
        <v>0</v>
      </c>
      <c r="CU45" s="191">
        <f t="shared" si="403"/>
        <v>0</v>
      </c>
      <c r="CV45" s="191">
        <f t="shared" si="404"/>
        <v>0</v>
      </c>
      <c r="CW45" s="191">
        <f t="shared" si="405"/>
        <v>0</v>
      </c>
      <c r="CX45" s="191">
        <f t="shared" si="406"/>
        <v>0</v>
      </c>
      <c r="CY45" s="191">
        <f t="shared" si="407"/>
        <v>0</v>
      </c>
      <c r="CZ45" s="191">
        <f t="shared" si="408"/>
        <v>0</v>
      </c>
      <c r="DA45" s="191">
        <f t="shared" si="409"/>
        <v>0</v>
      </c>
      <c r="DB45" s="191">
        <f t="shared" si="410"/>
        <v>0</v>
      </c>
      <c r="DC45" s="191">
        <f t="shared" si="411"/>
        <v>0</v>
      </c>
      <c r="DD45" s="191">
        <f t="shared" si="412"/>
        <v>0</v>
      </c>
      <c r="DE45" s="191">
        <f t="shared" si="413"/>
        <v>-363.82900000000001</v>
      </c>
      <c r="DF45" s="191">
        <f t="shared" si="414"/>
        <v>0</v>
      </c>
      <c r="DG45" s="191">
        <f t="shared" si="415"/>
        <v>0</v>
      </c>
      <c r="DH45" s="191">
        <f t="shared" si="416"/>
        <v>0</v>
      </c>
      <c r="DI45" s="22"/>
    </row>
    <row r="46" spans="1:113" ht="14.25" customHeight="1">
      <c r="A46" s="8"/>
      <c r="B46" s="27" t="str">
        <f t="shared" si="318"/>
        <v>Other financing activities</v>
      </c>
      <c r="C46" s="28"/>
      <c r="D46" s="193">
        <f t="shared" si="319"/>
        <v>0</v>
      </c>
      <c r="E46" s="191">
        <f t="shared" si="320"/>
        <v>0</v>
      </c>
      <c r="F46" s="191">
        <f t="shared" si="321"/>
        <v>0</v>
      </c>
      <c r="G46" s="192">
        <f t="shared" si="322"/>
        <v>0</v>
      </c>
      <c r="H46" s="193">
        <f t="shared" si="323"/>
        <v>0</v>
      </c>
      <c r="I46" s="191">
        <f t="shared" si="324"/>
        <v>0</v>
      </c>
      <c r="J46" s="191">
        <f t="shared" si="325"/>
        <v>0</v>
      </c>
      <c r="K46" s="192">
        <f t="shared" si="326"/>
        <v>0</v>
      </c>
      <c r="L46" s="193">
        <f t="shared" si="327"/>
        <v>0</v>
      </c>
      <c r="M46" s="191">
        <f t="shared" si="328"/>
        <v>0</v>
      </c>
      <c r="N46" s="191">
        <f t="shared" si="329"/>
        <v>0</v>
      </c>
      <c r="O46" s="192">
        <f t="shared" si="330"/>
        <v>0</v>
      </c>
      <c r="P46" s="193">
        <f t="shared" si="331"/>
        <v>0</v>
      </c>
      <c r="Q46" s="191">
        <f t="shared" si="332"/>
        <v>0</v>
      </c>
      <c r="R46" s="191">
        <f t="shared" si="333"/>
        <v>0</v>
      </c>
      <c r="S46" s="192">
        <f t="shared" si="334"/>
        <v>0</v>
      </c>
      <c r="T46" s="193">
        <f t="shared" si="335"/>
        <v>7.1139999999999999</v>
      </c>
      <c r="U46" s="191">
        <f t="shared" si="336"/>
        <v>4.1360000000000001</v>
      </c>
      <c r="V46" s="191">
        <f t="shared" si="337"/>
        <v>3.3980000000000006</v>
      </c>
      <c r="W46" s="192">
        <f t="shared" si="338"/>
        <v>8.14</v>
      </c>
      <c r="X46" s="193">
        <f t="shared" si="339"/>
        <v>8.6739999999999995</v>
      </c>
      <c r="Y46" s="191">
        <f t="shared" si="340"/>
        <v>5.0630000000000006</v>
      </c>
      <c r="Z46" s="191">
        <f t="shared" si="341"/>
        <v>3.0739999999999998</v>
      </c>
      <c r="AA46" s="192">
        <f t="shared" si="342"/>
        <v>4.3729999999999993</v>
      </c>
      <c r="AB46" s="193">
        <f t="shared" si="343"/>
        <v>5.1779999999999999</v>
      </c>
      <c r="AC46" s="191">
        <f t="shared" si="344"/>
        <v>3.3769999999999998</v>
      </c>
      <c r="AD46" s="191">
        <f t="shared" si="345"/>
        <v>1.8979999999999997</v>
      </c>
      <c r="AE46" s="192">
        <f t="shared" si="346"/>
        <v>-3.6549999999999994</v>
      </c>
      <c r="AF46" s="193">
        <f t="shared" si="347"/>
        <v>0</v>
      </c>
      <c r="AG46" s="191">
        <f t="shared" si="348"/>
        <v>0.70899999999999996</v>
      </c>
      <c r="AH46" s="191">
        <f t="shared" si="349"/>
        <v>1.3409999999999997</v>
      </c>
      <c r="AI46" s="192">
        <f t="shared" si="350"/>
        <v>4.400000000000015E-2</v>
      </c>
      <c r="AJ46" s="193">
        <f t="shared" si="351"/>
        <v>0</v>
      </c>
      <c r="AK46" s="191">
        <f t="shared" si="352"/>
        <v>0</v>
      </c>
      <c r="AL46" s="191">
        <f t="shared" si="353"/>
        <v>1.24</v>
      </c>
      <c r="AM46" s="192">
        <f t="shared" si="354"/>
        <v>0.6140000000000001</v>
      </c>
      <c r="AN46" s="191">
        <f t="shared" si="355"/>
        <v>0.38500000000000001</v>
      </c>
      <c r="AO46" s="191">
        <f t="shared" si="356"/>
        <v>1.7000000000000015E-2</v>
      </c>
      <c r="AP46" s="191">
        <f t="shared" si="357"/>
        <v>3.8999999999999979E-2</v>
      </c>
      <c r="AQ46" s="192">
        <f t="shared" si="358"/>
        <v>0.1349999999999999</v>
      </c>
      <c r="AR46" s="191">
        <f t="shared" si="359"/>
        <v>0.02</v>
      </c>
      <c r="AS46" s="191">
        <f t="shared" si="360"/>
        <v>9.1999999999999998E-2</v>
      </c>
      <c r="AT46" s="191">
        <f t="shared" si="361"/>
        <v>4.1999999999999996E-2</v>
      </c>
      <c r="AU46" s="192">
        <f t="shared" si="362"/>
        <v>0.14300000000000002</v>
      </c>
      <c r="AV46" s="191">
        <f t="shared" si="363"/>
        <v>-7.5589999999999993</v>
      </c>
      <c r="AW46" s="191">
        <f t="shared" si="364"/>
        <v>-14.834000000000001</v>
      </c>
      <c r="AX46" s="191">
        <f t="shared" si="365"/>
        <v>-0.13499999999999801</v>
      </c>
      <c r="AY46" s="192">
        <f t="shared" si="366"/>
        <v>351.27000000000004</v>
      </c>
      <c r="AZ46" s="191">
        <f t="shared" si="367"/>
        <v>-9.4909999999999997</v>
      </c>
      <c r="BA46" s="191">
        <f t="shared" si="368"/>
        <v>-8.8810000000000002</v>
      </c>
      <c r="BB46" s="191">
        <f t="shared" si="369"/>
        <v>-8.3789999999999978</v>
      </c>
      <c r="BC46" s="192">
        <f t="shared" si="370"/>
        <v>215.39199999999988</v>
      </c>
      <c r="BD46" s="191">
        <f t="shared" si="371"/>
        <v>-4.7730000000000006</v>
      </c>
      <c r="BE46" s="191">
        <f t="shared" si="372"/>
        <v>-6.6840000000000002</v>
      </c>
      <c r="BF46" s="191">
        <f t="shared" si="373"/>
        <v>-7.6689999999999996</v>
      </c>
      <c r="BG46" s="192">
        <f t="shared" si="374"/>
        <v>-4.6679999999999948</v>
      </c>
      <c r="BH46" s="191">
        <f t="shared" si="375"/>
        <v>-25.378</v>
      </c>
      <c r="BI46" s="191">
        <f t="shared" si="376"/>
        <v>-10.856000000000002</v>
      </c>
      <c r="BJ46" s="191">
        <f t="shared" si="377"/>
        <v>-12.514000000000003</v>
      </c>
      <c r="BK46" s="192">
        <f t="shared" si="378"/>
        <v>2161.4280000000008</v>
      </c>
      <c r="BL46" s="191">
        <f t="shared" si="379"/>
        <v>-10.914</v>
      </c>
      <c r="BM46" s="191">
        <f t="shared" si="380"/>
        <v>-26.632999999999996</v>
      </c>
      <c r="BN46" s="191">
        <f t="shared" si="381"/>
        <v>-71.795000000000016</v>
      </c>
      <c r="BO46" s="733">
        <f>+BS!BO39-BS!BN39</f>
        <v>0</v>
      </c>
      <c r="BP46" s="732">
        <f>+BS!BP39-BS!BO39</f>
        <v>0</v>
      </c>
      <c r="BQ46" s="732">
        <f>+BS!BQ39-BS!BP39</f>
        <v>0</v>
      </c>
      <c r="BR46" s="732">
        <f>+BS!BR39-BS!BQ39</f>
        <v>0</v>
      </c>
      <c r="BS46" s="733">
        <f>+BS!BS39-BS!BR39</f>
        <v>0</v>
      </c>
      <c r="BT46" s="732">
        <f>+BS!BT39-BS!BS39</f>
        <v>0</v>
      </c>
      <c r="BU46" s="732">
        <f>+BS!BU39-BS!BT39</f>
        <v>0</v>
      </c>
      <c r="BV46" s="732">
        <f>+BS!BV39-BS!BU39</f>
        <v>0</v>
      </c>
      <c r="BW46" s="732">
        <f>+BS!BW39-BS!BV39</f>
        <v>0</v>
      </c>
      <c r="BX46" s="20"/>
      <c r="BY46" s="191">
        <f t="shared" si="382"/>
        <v>0</v>
      </c>
      <c r="BZ46" s="191">
        <f t="shared" si="383"/>
        <v>0</v>
      </c>
      <c r="CA46" s="191">
        <f t="shared" si="384"/>
        <v>0</v>
      </c>
      <c r="CB46" s="191">
        <f t="shared" si="385"/>
        <v>0</v>
      </c>
      <c r="CC46" s="191">
        <f t="shared" si="386"/>
        <v>22.788</v>
      </c>
      <c r="CD46" s="191">
        <f t="shared" si="387"/>
        <v>21.183999999999997</v>
      </c>
      <c r="CE46" s="191">
        <f t="shared" si="388"/>
        <v>6.798</v>
      </c>
      <c r="CF46" s="191">
        <f t="shared" si="389"/>
        <v>2.0939999999999999</v>
      </c>
      <c r="CG46" s="193">
        <f t="shared" si="390"/>
        <v>1.8540000000000001</v>
      </c>
      <c r="CH46" s="191">
        <f t="shared" si="391"/>
        <v>0.57599999999999985</v>
      </c>
      <c r="CI46" s="193">
        <f t="shared" si="392"/>
        <v>0.29700000000000004</v>
      </c>
      <c r="CJ46" s="193">
        <f t="shared" si="393"/>
        <v>328.74200000000002</v>
      </c>
      <c r="CK46" s="191">
        <f t="shared" si="394"/>
        <v>188.64099999999988</v>
      </c>
      <c r="CL46" s="191">
        <f t="shared" si="395"/>
        <v>-23.793999999999997</v>
      </c>
      <c r="CM46" s="191">
        <f t="shared" si="396"/>
        <v>2112.6800000000007</v>
      </c>
      <c r="CN46" s="191">
        <f t="shared" si="397"/>
        <v>-109.34200000000001</v>
      </c>
      <c r="CO46" s="191">
        <f t="shared" si="398"/>
        <v>0</v>
      </c>
      <c r="CP46" s="192">
        <f t="shared" si="399"/>
        <v>0</v>
      </c>
      <c r="CQ46" s="1522"/>
      <c r="CR46" s="193">
        <f t="shared" si="400"/>
        <v>0</v>
      </c>
      <c r="CS46" s="191">
        <f t="shared" si="401"/>
        <v>0</v>
      </c>
      <c r="CT46" s="191">
        <f t="shared" si="402"/>
        <v>0</v>
      </c>
      <c r="CU46" s="191">
        <f t="shared" si="403"/>
        <v>14.648</v>
      </c>
      <c r="CV46" s="191">
        <f t="shared" si="404"/>
        <v>24.951000000000001</v>
      </c>
      <c r="CW46" s="191">
        <f t="shared" si="405"/>
        <v>14.825999999999997</v>
      </c>
      <c r="CX46" s="191">
        <f t="shared" si="406"/>
        <v>-1.6049999999999995</v>
      </c>
      <c r="CY46" s="191">
        <f t="shared" si="407"/>
        <v>1.2840000000000003</v>
      </c>
      <c r="CZ46" s="191">
        <f t="shared" si="408"/>
        <v>1.0549999999999999</v>
      </c>
      <c r="DA46" s="191">
        <f t="shared" si="409"/>
        <v>0.28899999999999987</v>
      </c>
      <c r="DB46" s="191">
        <f t="shared" si="410"/>
        <v>-22.384999999999998</v>
      </c>
      <c r="DC46" s="191">
        <f t="shared" si="411"/>
        <v>324.51900000000001</v>
      </c>
      <c r="DD46" s="191">
        <f t="shared" si="412"/>
        <v>196.26599999999988</v>
      </c>
      <c r="DE46" s="191">
        <f t="shared" si="413"/>
        <v>-53.416000000000004</v>
      </c>
      <c r="DF46" s="191">
        <f t="shared" si="414"/>
        <v>2052.0860000000007</v>
      </c>
      <c r="DG46" s="191">
        <f t="shared" si="415"/>
        <v>0</v>
      </c>
      <c r="DH46" s="191">
        <f t="shared" si="416"/>
        <v>0</v>
      </c>
      <c r="DI46" s="22"/>
    </row>
    <row r="47" spans="1:113" ht="14.25" customHeight="1" thickBot="1">
      <c r="A47" s="8"/>
      <c r="B47" s="197" t="str">
        <f t="shared" ref="B47:B57" si="417">B142</f>
        <v>Net cash used for financing activities</v>
      </c>
      <c r="C47" s="198"/>
      <c r="D47" s="200">
        <f t="shared" ref="D47:O47" si="418">SUM(D39:D46)</f>
        <v>8.0739999999999998</v>
      </c>
      <c r="E47" s="199">
        <f t="shared" si="418"/>
        <v>1.3909999999999991</v>
      </c>
      <c r="F47" s="199">
        <f t="shared" si="418"/>
        <v>2.929000000000002</v>
      </c>
      <c r="G47" s="201">
        <f t="shared" si="418"/>
        <v>-15.515000000000004</v>
      </c>
      <c r="H47" s="200">
        <f t="shared" si="418"/>
        <v>-1.3839999999999995</v>
      </c>
      <c r="I47" s="199">
        <f t="shared" si="418"/>
        <v>11.922000000000001</v>
      </c>
      <c r="J47" s="199">
        <f t="shared" si="418"/>
        <v>14.615000000000002</v>
      </c>
      <c r="K47" s="201">
        <f t="shared" si="418"/>
        <v>-49.188000000000002</v>
      </c>
      <c r="L47" s="200">
        <f t="shared" si="418"/>
        <v>-19.693999999999999</v>
      </c>
      <c r="M47" s="199">
        <f t="shared" si="418"/>
        <v>1.3179999999999996</v>
      </c>
      <c r="N47" s="199">
        <f t="shared" si="418"/>
        <v>3.2640000000000118</v>
      </c>
      <c r="O47" s="201">
        <f t="shared" si="418"/>
        <v>-3.4730000000000043</v>
      </c>
      <c r="P47" s="200">
        <f t="shared" ref="P47:AX47" si="419">SUM(P39:P46)</f>
        <v>-3.0960000000000001</v>
      </c>
      <c r="Q47" s="199">
        <f t="shared" si="419"/>
        <v>-6.254999999999999</v>
      </c>
      <c r="R47" s="199">
        <f t="shared" si="419"/>
        <v>-10.079999999999995</v>
      </c>
      <c r="S47" s="201">
        <f t="shared" si="419"/>
        <v>215.25299999999999</v>
      </c>
      <c r="T47" s="200">
        <f t="shared" si="419"/>
        <v>-152.92699999999999</v>
      </c>
      <c r="U47" s="199">
        <f t="shared" si="419"/>
        <v>-87.466999999999985</v>
      </c>
      <c r="V47" s="199">
        <f t="shared" si="419"/>
        <v>-92.636000000000053</v>
      </c>
      <c r="W47" s="201">
        <f t="shared" si="419"/>
        <v>-52.310999999999993</v>
      </c>
      <c r="X47" s="200">
        <f t="shared" si="419"/>
        <v>-30.755000000000003</v>
      </c>
      <c r="Y47" s="199">
        <f t="shared" si="419"/>
        <v>-193.233</v>
      </c>
      <c r="Z47" s="199">
        <f t="shared" si="419"/>
        <v>255.98899999999998</v>
      </c>
      <c r="AA47" s="201">
        <f t="shared" si="419"/>
        <v>-214.70399999999995</v>
      </c>
      <c r="AB47" s="200">
        <f t="shared" si="419"/>
        <v>-65.01400000000001</v>
      </c>
      <c r="AC47" s="199">
        <f t="shared" si="419"/>
        <v>-148.03899999999999</v>
      </c>
      <c r="AD47" s="199">
        <f t="shared" si="419"/>
        <v>-58.782000000000011</v>
      </c>
      <c r="AE47" s="201">
        <f t="shared" si="419"/>
        <v>-58.39800000000001</v>
      </c>
      <c r="AF47" s="200">
        <f t="shared" si="419"/>
        <v>-61.447000000000003</v>
      </c>
      <c r="AG47" s="199">
        <f t="shared" si="419"/>
        <v>-52.942999999999998</v>
      </c>
      <c r="AH47" s="199">
        <f t="shared" si="419"/>
        <v>-51.575999999999993</v>
      </c>
      <c r="AI47" s="201">
        <f t="shared" si="419"/>
        <v>-45.018000000000001</v>
      </c>
      <c r="AJ47" s="200">
        <f t="shared" si="419"/>
        <v>-56.143000000000001</v>
      </c>
      <c r="AK47" s="199">
        <f t="shared" si="419"/>
        <v>-48.948999999999998</v>
      </c>
      <c r="AL47" s="199">
        <f t="shared" si="419"/>
        <v>-99.128999999999976</v>
      </c>
      <c r="AM47" s="201">
        <f t="shared" si="419"/>
        <v>21.203999999999997</v>
      </c>
      <c r="AN47" s="199">
        <f t="shared" si="419"/>
        <v>-47.243000000000009</v>
      </c>
      <c r="AO47" s="199">
        <f t="shared" si="419"/>
        <v>-58.793999999999983</v>
      </c>
      <c r="AP47" s="199">
        <f t="shared" si="419"/>
        <v>-52.03100000000002</v>
      </c>
      <c r="AQ47" s="201">
        <f t="shared" si="419"/>
        <v>-50.076999999999984</v>
      </c>
      <c r="AR47" s="199">
        <f t="shared" si="419"/>
        <v>-62.767999999999994</v>
      </c>
      <c r="AS47" s="199">
        <f t="shared" si="419"/>
        <v>543.303</v>
      </c>
      <c r="AT47" s="199">
        <f t="shared" si="419"/>
        <v>-52.353999999999999</v>
      </c>
      <c r="AU47" s="201">
        <f t="shared" si="419"/>
        <v>-46.010999999999989</v>
      </c>
      <c r="AV47" s="199">
        <f t="shared" si="419"/>
        <v>-80.340999999999994</v>
      </c>
      <c r="AW47" s="199">
        <f t="shared" si="419"/>
        <v>-39.624000000000002</v>
      </c>
      <c r="AX47" s="199">
        <f t="shared" si="419"/>
        <v>-58.132999999999988</v>
      </c>
      <c r="AY47" s="201">
        <f t="shared" ref="AY47:BB47" si="420">SUM(AY39:AY46)</f>
        <v>-56.91799999999995</v>
      </c>
      <c r="AZ47" s="199">
        <f t="shared" si="420"/>
        <v>257.80700000000002</v>
      </c>
      <c r="BA47" s="199">
        <f t="shared" si="420"/>
        <v>-80.413000000000011</v>
      </c>
      <c r="BB47" s="199">
        <f t="shared" si="420"/>
        <v>-53.372000000000007</v>
      </c>
      <c r="BC47" s="201">
        <f t="shared" ref="BC47:BH47" si="421">SUM(BC39:BC46)</f>
        <v>-25.474000000000331</v>
      </c>
      <c r="BD47" s="199">
        <f t="shared" si="421"/>
        <v>-38.607000000000006</v>
      </c>
      <c r="BE47" s="199">
        <f t="shared" si="421"/>
        <v>366.32499999999999</v>
      </c>
      <c r="BF47" s="199">
        <f t="shared" si="421"/>
        <v>-364.19599999999997</v>
      </c>
      <c r="BG47" s="201">
        <f t="shared" si="421"/>
        <v>-23.465999999999941</v>
      </c>
      <c r="BH47" s="199">
        <f t="shared" si="421"/>
        <v>580.01499999999999</v>
      </c>
      <c r="BI47" s="199">
        <f t="shared" ref="BI47:BL47" si="422">SUM(BI39:BI46)</f>
        <v>-312.17399999999998</v>
      </c>
      <c r="BJ47" s="199">
        <f t="shared" si="422"/>
        <v>-82.043000000000006</v>
      </c>
      <c r="BK47" s="201">
        <f t="shared" si="422"/>
        <v>409.66300000000092</v>
      </c>
      <c r="BL47" s="199">
        <f t="shared" si="422"/>
        <v>-89.367999999999995</v>
      </c>
      <c r="BM47" s="199">
        <f t="shared" ref="BM47:BN47" si="423">SUM(BM39:BM46)</f>
        <v>-96.059000000000012</v>
      </c>
      <c r="BN47" s="199">
        <f t="shared" si="423"/>
        <v>-149.69900000000001</v>
      </c>
      <c r="BO47" s="201">
        <f t="shared" ref="BO47:BS47" si="424">SUM(BO39:BO46)</f>
        <v>-85.588503000000003</v>
      </c>
      <c r="BP47" s="199">
        <f t="shared" si="424"/>
        <v>-85.770003000000003</v>
      </c>
      <c r="BQ47" s="199">
        <f t="shared" si="424"/>
        <v>-85.951503000000002</v>
      </c>
      <c r="BR47" s="199">
        <f t="shared" si="424"/>
        <v>-86.133003000000002</v>
      </c>
      <c r="BS47" s="201">
        <f t="shared" si="424"/>
        <v>-86.314503000000002</v>
      </c>
      <c r="BT47" s="199">
        <f t="shared" ref="BT47:BW47" si="425">SUM(BT39:BT46)</f>
        <v>-86.496003000000002</v>
      </c>
      <c r="BU47" s="199">
        <f t="shared" si="425"/>
        <v>-86.677503000000002</v>
      </c>
      <c r="BV47" s="199">
        <f t="shared" si="425"/>
        <v>-86.859003000000001</v>
      </c>
      <c r="BW47" s="199">
        <f t="shared" si="425"/>
        <v>-87.040503000000001</v>
      </c>
      <c r="BX47" s="20"/>
      <c r="BY47" s="199">
        <f>SUM(BY39:BY46)</f>
        <v>-3.1210000000000022</v>
      </c>
      <c r="BZ47" s="199">
        <f>SUM(BZ39:BZ46)</f>
        <v>-24.035000000000004</v>
      </c>
      <c r="CA47" s="199">
        <f>SUM(CA39:CA46)</f>
        <v>-18.584999999999987</v>
      </c>
      <c r="CB47" s="199">
        <f t="shared" ref="CB47:CL47" si="426">SUM(CB39:CB46)</f>
        <v>195.822</v>
      </c>
      <c r="CC47" s="199">
        <f t="shared" si="426"/>
        <v>-385.34099999999995</v>
      </c>
      <c r="CD47" s="199">
        <f t="shared" si="426"/>
        <v>-182.70299999999997</v>
      </c>
      <c r="CE47" s="199">
        <f t="shared" si="426"/>
        <v>-330.233</v>
      </c>
      <c r="CF47" s="199">
        <f t="shared" si="426"/>
        <v>-210.98399999999998</v>
      </c>
      <c r="CG47" s="200">
        <f t="shared" si="426"/>
        <v>-183.01699999999997</v>
      </c>
      <c r="CH47" s="199">
        <f t="shared" si="426"/>
        <v>-208.14500000000001</v>
      </c>
      <c r="CI47" s="200">
        <f t="shared" si="426"/>
        <v>382.17</v>
      </c>
      <c r="CJ47" s="200">
        <f t="shared" si="426"/>
        <v>-235.01599999999991</v>
      </c>
      <c r="CK47" s="199">
        <f t="shared" si="426"/>
        <v>98.547999999999632</v>
      </c>
      <c r="CL47" s="199">
        <f t="shared" si="426"/>
        <v>-59.943999999999974</v>
      </c>
      <c r="CM47" s="199">
        <f>SUM(CM39:CM46)</f>
        <v>595.46100000000069</v>
      </c>
      <c r="CN47" s="199">
        <f>SUM(CN39:CN46)</f>
        <v>-420.71450300000004</v>
      </c>
      <c r="CO47" s="199">
        <f>SUM(CO39:CO46)</f>
        <v>-344.16901200000001</v>
      </c>
      <c r="CP47" s="201">
        <f>SUM(CP39:CP46)</f>
        <v>-347.07301200000001</v>
      </c>
      <c r="CQ47" s="20"/>
      <c r="CR47" s="200">
        <f>SUM(CR39:CR46)</f>
        <v>9.6380000000000052</v>
      </c>
      <c r="CS47" s="199">
        <f>SUM(CS39:CS46)</f>
        <v>-64.299999999999983</v>
      </c>
      <c r="CT47" s="199">
        <f>SUM(CT39:CT46)</f>
        <v>-22.903999999999996</v>
      </c>
      <c r="CU47" s="199">
        <f t="shared" ref="CU47:DD47" si="427">SUM(CU39:CU46)</f>
        <v>-117.77700000000004</v>
      </c>
      <c r="CV47" s="199">
        <f t="shared" si="427"/>
        <v>-20.310000000000052</v>
      </c>
      <c r="CW47" s="199">
        <f t="shared" si="427"/>
        <v>-486.53899999999999</v>
      </c>
      <c r="CX47" s="199">
        <f t="shared" si="427"/>
        <v>-224.36399999999998</v>
      </c>
      <c r="CY47" s="199">
        <f t="shared" si="427"/>
        <v>-249.23899999999998</v>
      </c>
      <c r="CZ47" s="199">
        <f t="shared" si="427"/>
        <v>-136.864</v>
      </c>
      <c r="DA47" s="199">
        <f t="shared" si="427"/>
        <v>378.10399999999998</v>
      </c>
      <c r="DB47" s="199">
        <f t="shared" si="427"/>
        <v>-224.10899999999995</v>
      </c>
      <c r="DC47" s="199">
        <f t="shared" si="427"/>
        <v>67.104000000000042</v>
      </c>
      <c r="DD47" s="199">
        <f t="shared" si="427"/>
        <v>-61.952000000000368</v>
      </c>
      <c r="DE47" s="199">
        <f>SUM(DE39:DE46)</f>
        <v>162.33199999999999</v>
      </c>
      <c r="DF47" s="199">
        <f>SUM(DF39:DF46)</f>
        <v>74.537000000000717</v>
      </c>
      <c r="DG47" s="199">
        <f>SUM(DG39:DG46)</f>
        <v>-343.44301200000007</v>
      </c>
      <c r="DH47" s="199">
        <f>SUM(DH39:DH46)</f>
        <v>-346.34701200000006</v>
      </c>
      <c r="DI47" s="22"/>
    </row>
    <row r="48" spans="1:113" ht="14.25" customHeight="1" thickTop="1">
      <c r="A48" s="8"/>
      <c r="B48" s="44"/>
      <c r="C48" s="45"/>
      <c r="D48" s="206"/>
      <c r="E48" s="205"/>
      <c r="F48" s="205"/>
      <c r="G48" s="303"/>
      <c r="H48" s="206"/>
      <c r="I48" s="205"/>
      <c r="J48" s="205"/>
      <c r="K48" s="303"/>
      <c r="L48" s="206"/>
      <c r="M48" s="205"/>
      <c r="N48" s="205"/>
      <c r="O48" s="303"/>
      <c r="P48" s="206"/>
      <c r="Q48" s="205"/>
      <c r="R48" s="205"/>
      <c r="S48" s="303"/>
      <c r="T48" s="206"/>
      <c r="U48" s="205"/>
      <c r="V48" s="205"/>
      <c r="W48" s="303"/>
      <c r="X48" s="206"/>
      <c r="Y48" s="205"/>
      <c r="Z48" s="205"/>
      <c r="AA48" s="303"/>
      <c r="AB48" s="206"/>
      <c r="AC48" s="205"/>
      <c r="AD48" s="205"/>
      <c r="AE48" s="303"/>
      <c r="AF48" s="206"/>
      <c r="AG48" s="205"/>
      <c r="AH48" s="205"/>
      <c r="AI48" s="303"/>
      <c r="AJ48" s="206"/>
      <c r="AK48" s="205"/>
      <c r="AL48" s="205"/>
      <c r="AM48" s="303"/>
      <c r="AN48" s="205"/>
      <c r="AO48" s="205"/>
      <c r="AP48" s="205"/>
      <c r="AQ48" s="303"/>
      <c r="AR48" s="205"/>
      <c r="AS48" s="205"/>
      <c r="AT48" s="205"/>
      <c r="AU48" s="303"/>
      <c r="AV48" s="205"/>
      <c r="AW48" s="205"/>
      <c r="AX48" s="205"/>
      <c r="AY48" s="303"/>
      <c r="AZ48" s="205"/>
      <c r="BA48" s="205"/>
      <c r="BB48" s="205"/>
      <c r="BC48" s="303"/>
      <c r="BD48" s="205"/>
      <c r="BE48" s="205"/>
      <c r="BF48" s="205"/>
      <c r="BG48" s="303"/>
      <c r="BH48" s="205"/>
      <c r="BI48" s="205"/>
      <c r="BJ48" s="205"/>
      <c r="BK48" s="303"/>
      <c r="BL48" s="205"/>
      <c r="BM48" s="205"/>
      <c r="BN48" s="205"/>
      <c r="BO48" s="207"/>
      <c r="BP48" s="205"/>
      <c r="BQ48" s="205"/>
      <c r="BR48" s="205"/>
      <c r="BS48" s="207"/>
      <c r="BT48" s="205"/>
      <c r="BU48" s="205"/>
      <c r="BV48" s="205"/>
      <c r="BW48" s="205"/>
      <c r="BX48" s="20"/>
      <c r="BY48" s="205"/>
      <c r="BZ48" s="205"/>
      <c r="CA48" s="205"/>
      <c r="CB48" s="205"/>
      <c r="CC48" s="205"/>
      <c r="CD48" s="205"/>
      <c r="CE48" s="205"/>
      <c r="CF48" s="205"/>
      <c r="CG48" s="206"/>
      <c r="CH48" s="205"/>
      <c r="CI48" s="206"/>
      <c r="CJ48" s="206"/>
      <c r="CK48" s="205"/>
      <c r="CL48" s="205"/>
      <c r="CM48" s="205"/>
      <c r="CN48" s="205"/>
      <c r="CO48" s="205"/>
      <c r="CP48" s="207"/>
      <c r="CQ48" s="20"/>
      <c r="CR48" s="206"/>
      <c r="CS48" s="205"/>
      <c r="CT48" s="205"/>
      <c r="CU48" s="205"/>
      <c r="CV48" s="205"/>
      <c r="CW48" s="205"/>
      <c r="CX48" s="205"/>
      <c r="CY48" s="205"/>
      <c r="CZ48" s="205"/>
      <c r="DA48" s="205"/>
      <c r="DB48" s="205"/>
      <c r="DC48" s="205"/>
      <c r="DD48" s="205"/>
      <c r="DE48" s="205"/>
      <c r="DF48" s="205"/>
      <c r="DG48" s="205"/>
      <c r="DH48" s="205"/>
      <c r="DI48" s="22"/>
    </row>
    <row r="49" spans="1:113" ht="14.25" customHeight="1">
      <c r="A49" s="8"/>
      <c r="B49" s="44" t="str">
        <f t="shared" si="417"/>
        <v>Effect of exchange rate changes on cash and cash equivalents</v>
      </c>
      <c r="C49" s="45"/>
      <c r="D49" s="193">
        <f>D144</f>
        <v>0</v>
      </c>
      <c r="E49" s="191">
        <f>E144-D49</f>
        <v>0</v>
      </c>
      <c r="F49" s="191">
        <f>F144-E49-D49</f>
        <v>0</v>
      </c>
      <c r="G49" s="192">
        <f>G144-F49-E49-D49</f>
        <v>0</v>
      </c>
      <c r="H49" s="193">
        <f>H144</f>
        <v>0</v>
      </c>
      <c r="I49" s="191">
        <f>I144-H49</f>
        <v>0</v>
      </c>
      <c r="J49" s="191">
        <f>J144-I49-H49</f>
        <v>0</v>
      </c>
      <c r="K49" s="192">
        <f>K144-J49-I49-H49</f>
        <v>0</v>
      </c>
      <c r="L49" s="193">
        <f>L144</f>
        <v>0</v>
      </c>
      <c r="M49" s="191">
        <f>M144-L49</f>
        <v>0</v>
      </c>
      <c r="N49" s="191">
        <f>N144-M49-L49</f>
        <v>0</v>
      </c>
      <c r="O49" s="192">
        <f>O144-N49-M49-L49</f>
        <v>0</v>
      </c>
      <c r="P49" s="193">
        <f>P144</f>
        <v>0</v>
      </c>
      <c r="Q49" s="191">
        <f>Q144-P49</f>
        <v>0</v>
      </c>
      <c r="R49" s="191">
        <f>R144-Q49-P49</f>
        <v>0</v>
      </c>
      <c r="S49" s="192">
        <f>S144-R49-Q49-P49</f>
        <v>0</v>
      </c>
      <c r="T49" s="193">
        <f>T144</f>
        <v>0</v>
      </c>
      <c r="U49" s="191">
        <f>U144-T49</f>
        <v>0</v>
      </c>
      <c r="V49" s="191">
        <f>V144-U49-T49</f>
        <v>0</v>
      </c>
      <c r="W49" s="192">
        <f>W144-V49-U49-T49</f>
        <v>0</v>
      </c>
      <c r="X49" s="193">
        <f>X144</f>
        <v>0</v>
      </c>
      <c r="Y49" s="191">
        <f>Y144-X49</f>
        <v>0</v>
      </c>
      <c r="Z49" s="191">
        <f>Z144-Y49-X49</f>
        <v>0</v>
      </c>
      <c r="AA49" s="192">
        <f>AA144-Z49-Y49-X49</f>
        <v>0</v>
      </c>
      <c r="AB49" s="193">
        <f>AB144</f>
        <v>0</v>
      </c>
      <c r="AC49" s="191">
        <f>AC144-AB49</f>
        <v>0</v>
      </c>
      <c r="AD49" s="191">
        <f>AD144-AC49-AB49</f>
        <v>0</v>
      </c>
      <c r="AE49" s="192">
        <f>AE144-AD49-AC49-AB49</f>
        <v>0</v>
      </c>
      <c r="AF49" s="193">
        <f>AF144</f>
        <v>0</v>
      </c>
      <c r="AG49" s="191">
        <f>AG144-AF49</f>
        <v>0</v>
      </c>
      <c r="AH49" s="191">
        <f>AH144-AG49-AF49</f>
        <v>0</v>
      </c>
      <c r="AI49" s="192">
        <f>AI144-AH49-AG49-AF49</f>
        <v>0</v>
      </c>
      <c r="AJ49" s="193">
        <f>AJ144</f>
        <v>0</v>
      </c>
      <c r="AK49" s="191">
        <f>AK144-AJ49</f>
        <v>0</v>
      </c>
      <c r="AL49" s="191">
        <f>AL144-AK49-AJ49</f>
        <v>0</v>
      </c>
      <c r="AM49" s="192">
        <f>AM144-AL49-AK49-AJ49</f>
        <v>0</v>
      </c>
      <c r="AN49" s="191">
        <f>AN144</f>
        <v>0</v>
      </c>
      <c r="AO49" s="191">
        <f>AO144-AN49</f>
        <v>0</v>
      </c>
      <c r="AP49" s="191">
        <f>AP144-AO49-AN49</f>
        <v>0</v>
      </c>
      <c r="AQ49" s="192">
        <f>AQ144-AP49-AO49-AN49</f>
        <v>0</v>
      </c>
      <c r="AR49" s="191">
        <f>AR144</f>
        <v>0</v>
      </c>
      <c r="AS49" s="191">
        <f>AS144-AR49</f>
        <v>1.339</v>
      </c>
      <c r="AT49" s="191">
        <f>AT144-AS49-AR49</f>
        <v>-0.35299999999999998</v>
      </c>
      <c r="AU49" s="192">
        <f>AU144-AT49-AS49-AR49</f>
        <v>0</v>
      </c>
      <c r="AV49" s="191">
        <f>AV144</f>
        <v>0</v>
      </c>
      <c r="AW49" s="191">
        <f>AW144-AV49</f>
        <v>0</v>
      </c>
      <c r="AX49" s="191">
        <f>AX144-AW49-AV49</f>
        <v>0</v>
      </c>
      <c r="AY49" s="192">
        <f>AY144-AX49-AW49-AV49</f>
        <v>0</v>
      </c>
      <c r="AZ49" s="191">
        <f>AZ144</f>
        <v>0</v>
      </c>
      <c r="BA49" s="191">
        <f>BA144-AZ49</f>
        <v>-0.20100000000000001</v>
      </c>
      <c r="BB49" s="191">
        <f>BB144-BA49-AZ49</f>
        <v>0</v>
      </c>
      <c r="BC49" s="192">
        <f>BC144-BB49-BA49-AZ49</f>
        <v>0</v>
      </c>
      <c r="BD49" s="191">
        <f>BD144</f>
        <v>0</v>
      </c>
      <c r="BE49" s="191">
        <f>BE144-BD49</f>
        <v>0</v>
      </c>
      <c r="BF49" s="191">
        <f>BF144-BE49-BD49</f>
        <v>0</v>
      </c>
      <c r="BG49" s="192">
        <f>BG144-BF49-BE49-BD49</f>
        <v>0</v>
      </c>
      <c r="BH49" s="191">
        <f>BH144</f>
        <v>0</v>
      </c>
      <c r="BI49" s="191">
        <f>BI144-BH49</f>
        <v>-0.374</v>
      </c>
      <c r="BJ49" s="191">
        <f>BJ144-BI49-BH49</f>
        <v>-0.6329999999999999</v>
      </c>
      <c r="BK49" s="192">
        <f>BK144-BJ49-BI49-BH49</f>
        <v>0</v>
      </c>
      <c r="BL49" s="191">
        <f>BL144</f>
        <v>0</v>
      </c>
      <c r="BM49" s="191">
        <f>BM144-BL49</f>
        <v>0</v>
      </c>
      <c r="BN49" s="191">
        <f>BN144-BM49-BL49</f>
        <v>0</v>
      </c>
      <c r="BO49" s="195">
        <v>0</v>
      </c>
      <c r="BP49" s="194">
        <v>0</v>
      </c>
      <c r="BQ49" s="194">
        <v>0</v>
      </c>
      <c r="BR49" s="194">
        <v>0</v>
      </c>
      <c r="BS49" s="195">
        <v>0</v>
      </c>
      <c r="BT49" s="194">
        <v>0</v>
      </c>
      <c r="BU49" s="194">
        <v>0</v>
      </c>
      <c r="BV49" s="194">
        <v>0</v>
      </c>
      <c r="BW49" s="195">
        <v>0</v>
      </c>
      <c r="BX49" s="20"/>
      <c r="BY49" s="191">
        <f>SUM(D49:G49)</f>
        <v>0</v>
      </c>
      <c r="BZ49" s="191">
        <f>SUM(H49:K49)</f>
        <v>0</v>
      </c>
      <c r="CA49" s="191">
        <f>SUM(L49:O49)</f>
        <v>0</v>
      </c>
      <c r="CB49" s="191">
        <f>SUM(P49:S49)</f>
        <v>0</v>
      </c>
      <c r="CC49" s="191">
        <f>SUM(T49:W49)</f>
        <v>0</v>
      </c>
      <c r="CD49" s="191">
        <f>SUM(X49:AA49)</f>
        <v>0</v>
      </c>
      <c r="CE49" s="191">
        <f>SUM(AB49:AE49)</f>
        <v>0</v>
      </c>
      <c r="CF49" s="191">
        <f>SUM(AF49:AI49)</f>
        <v>0</v>
      </c>
      <c r="CG49" s="193">
        <f>SUM(AJ49:AM49)</f>
        <v>0</v>
      </c>
      <c r="CH49" s="191">
        <f>SUM(AN49:AQ49)</f>
        <v>0</v>
      </c>
      <c r="CI49" s="193">
        <f>SUM(AR49:AU49)</f>
        <v>0.98599999999999999</v>
      </c>
      <c r="CJ49" s="193">
        <f>SUM(AV49:AY49)</f>
        <v>0</v>
      </c>
      <c r="CK49" s="191">
        <f>SUM(AZ49:BC49)</f>
        <v>-0.20100000000000001</v>
      </c>
      <c r="CL49" s="191">
        <f>SUM(BD49:BG49)</f>
        <v>0</v>
      </c>
      <c r="CM49" s="191">
        <f>SUM(BH49:BK49)</f>
        <v>-1.0069999999999999</v>
      </c>
      <c r="CN49" s="191">
        <f>SUM(BL49:BO49)</f>
        <v>0</v>
      </c>
      <c r="CO49" s="191">
        <f>SUM(BP49:BS49)</f>
        <v>0</v>
      </c>
      <c r="CP49" s="192">
        <f t="shared" ref="CP49" si="428">SUM(BT49:BW49)</f>
        <v>0</v>
      </c>
      <c r="CQ49" s="20"/>
      <c r="CR49" s="193">
        <f>SUM(G49:J49)</f>
        <v>0</v>
      </c>
      <c r="CS49" s="191">
        <f>SUM(K49:N49)</f>
        <v>0</v>
      </c>
      <c r="CT49" s="191">
        <f>SUM(O49:R49)</f>
        <v>0</v>
      </c>
      <c r="CU49" s="191">
        <f>SUM(S49:V49)</f>
        <v>0</v>
      </c>
      <c r="CV49" s="191">
        <f>SUM(W49:Z49)</f>
        <v>0</v>
      </c>
      <c r="CW49" s="191">
        <f>SUM(AA49:AD49)</f>
        <v>0</v>
      </c>
      <c r="CX49" s="191">
        <f>SUM(AE49:AH49)</f>
        <v>0</v>
      </c>
      <c r="CY49" s="191">
        <f>SUM(AI49:AL49)</f>
        <v>0</v>
      </c>
      <c r="CZ49" s="191">
        <f>SUM(AM49:AP49)</f>
        <v>0</v>
      </c>
      <c r="DA49" s="191">
        <f>SUM(AQ49:AT49)</f>
        <v>0.98599999999999999</v>
      </c>
      <c r="DB49" s="191">
        <f>SUM(AU49:AX49)</f>
        <v>0</v>
      </c>
      <c r="DC49" s="191">
        <f>SUM(AY49:BB49)</f>
        <v>-0.20100000000000001</v>
      </c>
      <c r="DD49" s="191">
        <f>SUM(BC49:BF49)</f>
        <v>0</v>
      </c>
      <c r="DE49" s="191">
        <f>SUM(BG49:BJ49)</f>
        <v>-1.0069999999999999</v>
      </c>
      <c r="DF49" s="191">
        <f>SUM(BK49:BN49)</f>
        <v>0</v>
      </c>
      <c r="DG49" s="191">
        <f>SUM(BO49:BR49)</f>
        <v>0</v>
      </c>
      <c r="DH49" s="191">
        <f>SUM(BS49:BV49)</f>
        <v>0</v>
      </c>
      <c r="DI49" s="22"/>
    </row>
    <row r="50" spans="1:113" ht="14.25" customHeight="1">
      <c r="A50" s="8"/>
      <c r="B50" s="44"/>
      <c r="C50" s="45"/>
      <c r="D50" s="206"/>
      <c r="E50" s="205"/>
      <c r="F50" s="205"/>
      <c r="G50" s="207"/>
      <c r="H50" s="206"/>
      <c r="I50" s="205"/>
      <c r="J50" s="205"/>
      <c r="K50" s="207"/>
      <c r="L50" s="206"/>
      <c r="M50" s="205"/>
      <c r="N50" s="205"/>
      <c r="O50" s="207"/>
      <c r="P50" s="206"/>
      <c r="Q50" s="205"/>
      <c r="R50" s="205"/>
      <c r="S50" s="207"/>
      <c r="T50" s="206"/>
      <c r="U50" s="205"/>
      <c r="V50" s="205"/>
      <c r="W50" s="207"/>
      <c r="X50" s="206"/>
      <c r="Y50" s="205"/>
      <c r="Z50" s="205"/>
      <c r="AA50" s="207"/>
      <c r="AB50" s="206"/>
      <c r="AC50" s="205"/>
      <c r="AD50" s="205"/>
      <c r="AE50" s="207"/>
      <c r="AF50" s="206"/>
      <c r="AG50" s="205"/>
      <c r="AH50" s="205"/>
      <c r="AI50" s="207"/>
      <c r="AJ50" s="206"/>
      <c r="AK50" s="205"/>
      <c r="AL50" s="205"/>
      <c r="AM50" s="207"/>
      <c r="AN50" s="205"/>
      <c r="AO50" s="205"/>
      <c r="AP50" s="205"/>
      <c r="AQ50" s="207"/>
      <c r="AR50" s="205"/>
      <c r="AS50" s="205"/>
      <c r="AT50" s="205"/>
      <c r="AU50" s="207"/>
      <c r="AV50" s="205"/>
      <c r="AW50" s="205"/>
      <c r="AX50" s="205"/>
      <c r="AY50" s="207"/>
      <c r="AZ50" s="205"/>
      <c r="BA50" s="205"/>
      <c r="BB50" s="205"/>
      <c r="BC50" s="207"/>
      <c r="BD50" s="205"/>
      <c r="BE50" s="205"/>
      <c r="BF50" s="205"/>
      <c r="BG50" s="207"/>
      <c r="BH50" s="205"/>
      <c r="BI50" s="205"/>
      <c r="BJ50" s="205"/>
      <c r="BK50" s="207"/>
      <c r="BL50" s="205"/>
      <c r="BM50" s="205"/>
      <c r="BN50" s="205"/>
      <c r="BO50" s="209"/>
      <c r="BP50" s="208"/>
      <c r="BQ50" s="208"/>
      <c r="BR50" s="208"/>
      <c r="BS50" s="209"/>
      <c r="BT50" s="208"/>
      <c r="BU50" s="208"/>
      <c r="BV50" s="208"/>
      <c r="BW50" s="208"/>
      <c r="BX50" s="20"/>
      <c r="BY50" s="208"/>
      <c r="BZ50" s="208"/>
      <c r="CA50" s="208"/>
      <c r="CB50" s="208"/>
      <c r="CC50" s="208"/>
      <c r="CD50" s="208"/>
      <c r="CE50" s="208"/>
      <c r="CF50" s="208"/>
      <c r="CG50" s="210"/>
      <c r="CH50" s="208"/>
      <c r="CI50" s="210"/>
      <c r="CJ50" s="210"/>
      <c r="CK50" s="208"/>
      <c r="CL50" s="208"/>
      <c r="CM50" s="208"/>
      <c r="CN50" s="208"/>
      <c r="CO50" s="208"/>
      <c r="CP50" s="209"/>
      <c r="CQ50" s="20"/>
      <c r="CR50" s="210"/>
      <c r="CS50" s="208"/>
      <c r="CT50" s="208"/>
      <c r="CU50" s="208"/>
      <c r="CV50" s="208"/>
      <c r="CW50" s="208"/>
      <c r="CX50" s="208"/>
      <c r="CY50" s="208"/>
      <c r="CZ50" s="208"/>
      <c r="DA50" s="208"/>
      <c r="DB50" s="208"/>
      <c r="DC50" s="208"/>
      <c r="DD50" s="208"/>
      <c r="DE50" s="208"/>
      <c r="DF50" s="208"/>
      <c r="DG50" s="208"/>
      <c r="DH50" s="208"/>
      <c r="DI50" s="22"/>
    </row>
    <row r="51" spans="1:113" ht="14.25" customHeight="1">
      <c r="A51" s="8"/>
      <c r="B51" s="44" t="str">
        <f t="shared" si="417"/>
        <v>Cash and cash equivalents, beginning of period</v>
      </c>
      <c r="C51" s="45"/>
      <c r="D51" s="206">
        <f>D146</f>
        <v>173.59700000000001</v>
      </c>
      <c r="E51" s="205">
        <f t="shared" ref="E51:O51" si="429">D54</f>
        <v>62.52000000000001</v>
      </c>
      <c r="F51" s="205">
        <f t="shared" si="429"/>
        <v>45.650000000000034</v>
      </c>
      <c r="G51" s="207">
        <f t="shared" si="429"/>
        <v>48.336000000000027</v>
      </c>
      <c r="H51" s="206">
        <f t="shared" si="429"/>
        <v>53.909000000000027</v>
      </c>
      <c r="I51" s="205">
        <f t="shared" si="429"/>
        <v>47.648999999999994</v>
      </c>
      <c r="J51" s="205">
        <f t="shared" si="429"/>
        <v>44.462000000000025</v>
      </c>
      <c r="K51" s="207">
        <f t="shared" si="429"/>
        <v>58.174000000000028</v>
      </c>
      <c r="L51" s="206">
        <f t="shared" si="429"/>
        <v>105.3339999999998</v>
      </c>
      <c r="M51" s="205">
        <f t="shared" si="429"/>
        <v>86.885999999999783</v>
      </c>
      <c r="N51" s="205">
        <f t="shared" si="429"/>
        <v>75.224999999999781</v>
      </c>
      <c r="O51" s="207">
        <f t="shared" si="429"/>
        <v>76.182999999999694</v>
      </c>
      <c r="P51" s="206">
        <f>P146</f>
        <v>68.729999999999933</v>
      </c>
      <c r="Q51" s="205">
        <f t="shared" ref="Q51:BM51" si="430">P54</f>
        <v>141.3719999999999</v>
      </c>
      <c r="R51" s="205">
        <f t="shared" si="430"/>
        <v>110.07999999999988</v>
      </c>
      <c r="S51" s="207">
        <f t="shared" si="430"/>
        <v>157.45199999999994</v>
      </c>
      <c r="T51" s="206">
        <f t="shared" si="430"/>
        <v>565.27299999999968</v>
      </c>
      <c r="U51" s="205">
        <f t="shared" si="430"/>
        <v>136.65599999999972</v>
      </c>
      <c r="V51" s="205">
        <f t="shared" si="430"/>
        <v>132.56899999999976</v>
      </c>
      <c r="W51" s="207">
        <f t="shared" si="430"/>
        <v>153.27699999999982</v>
      </c>
      <c r="X51" s="206">
        <f t="shared" si="430"/>
        <v>167.47699999999983</v>
      </c>
      <c r="Y51" s="205">
        <f t="shared" si="430"/>
        <v>168.00299999999979</v>
      </c>
      <c r="Z51" s="205">
        <f t="shared" si="430"/>
        <v>174.2249999999998</v>
      </c>
      <c r="AA51" s="207">
        <f t="shared" si="430"/>
        <v>831.00499999999977</v>
      </c>
      <c r="AB51" s="206">
        <f t="shared" si="430"/>
        <v>487.73599999999999</v>
      </c>
      <c r="AC51" s="205">
        <f t="shared" si="430"/>
        <v>685.57500000000005</v>
      </c>
      <c r="AD51" s="205">
        <f t="shared" si="430"/>
        <v>311.73800000000006</v>
      </c>
      <c r="AE51" s="207">
        <f t="shared" si="430"/>
        <v>391.19400000000007</v>
      </c>
      <c r="AF51" s="206">
        <f t="shared" si="430"/>
        <v>446.32899999999995</v>
      </c>
      <c r="AG51" s="205">
        <f t="shared" si="430"/>
        <v>576.97900000000004</v>
      </c>
      <c r="AH51" s="205">
        <f t="shared" si="430"/>
        <v>541.04500000000007</v>
      </c>
      <c r="AI51" s="207">
        <f t="shared" si="430"/>
        <v>361.29100000000017</v>
      </c>
      <c r="AJ51" s="205">
        <f t="shared" si="430"/>
        <v>492.13</v>
      </c>
      <c r="AK51" s="205">
        <f t="shared" si="430"/>
        <v>523.47399999999993</v>
      </c>
      <c r="AL51" s="205">
        <f t="shared" si="430"/>
        <v>423.72100000000012</v>
      </c>
      <c r="AM51" s="207">
        <f t="shared" si="430"/>
        <v>500.6160000000001</v>
      </c>
      <c r="AN51" s="205">
        <f t="shared" si="430"/>
        <v>703.92399999999998</v>
      </c>
      <c r="AO51" s="205">
        <f t="shared" si="430"/>
        <v>651.38300000000004</v>
      </c>
      <c r="AP51" s="205">
        <f>AO54</f>
        <v>675.12899999999991</v>
      </c>
      <c r="AQ51" s="207">
        <f t="shared" si="430"/>
        <v>605.72499999999991</v>
      </c>
      <c r="AR51" s="205">
        <f>AQ54</f>
        <v>635.75499999999988</v>
      </c>
      <c r="AS51" s="205">
        <f t="shared" si="430"/>
        <v>779.84799999999996</v>
      </c>
      <c r="AT51" s="205">
        <f>AS54</f>
        <v>436.7349999999999</v>
      </c>
      <c r="AU51" s="207">
        <f t="shared" si="430"/>
        <v>465.29299999999989</v>
      </c>
      <c r="AV51" s="205">
        <f>AU54</f>
        <v>528.33399999999983</v>
      </c>
      <c r="AW51" s="205">
        <f t="shared" si="430"/>
        <v>403.23099999999977</v>
      </c>
      <c r="AX51" s="205">
        <f>AW54</f>
        <v>344.20199999999966</v>
      </c>
      <c r="AY51" s="207">
        <f t="shared" si="430"/>
        <v>375.09999999999991</v>
      </c>
      <c r="AZ51" s="205">
        <f>AY54</f>
        <v>466.60299999999995</v>
      </c>
      <c r="BA51" s="205">
        <f t="shared" si="430"/>
        <v>617.76999999999987</v>
      </c>
      <c r="BB51" s="205">
        <f>BA54</f>
        <v>481.43900000000008</v>
      </c>
      <c r="BC51" s="207">
        <f t="shared" si="430"/>
        <v>456.33899999999988</v>
      </c>
      <c r="BD51" s="205">
        <f>BC54</f>
        <v>607.8149999999996</v>
      </c>
      <c r="BE51" s="205">
        <f t="shared" si="430"/>
        <v>563.54699999999968</v>
      </c>
      <c r="BF51" s="205">
        <f t="shared" ref="BF51:BO51" si="431">BE54</f>
        <v>539.07799999999952</v>
      </c>
      <c r="BG51" s="207">
        <f t="shared" si="430"/>
        <v>331.45100000000002</v>
      </c>
      <c r="BH51" s="205">
        <f>BG54</f>
        <v>2092.7510000000007</v>
      </c>
      <c r="BI51" s="205">
        <f t="shared" si="430"/>
        <v>600.52600000000064</v>
      </c>
      <c r="BJ51" s="205">
        <f t="shared" si="431"/>
        <v>489.98800000000068</v>
      </c>
      <c r="BK51" s="207">
        <f t="shared" si="430"/>
        <v>663.93800000000067</v>
      </c>
      <c r="BL51" s="205">
        <f>BK54</f>
        <v>908.68400000000156</v>
      </c>
      <c r="BM51" s="205">
        <f t="shared" si="430"/>
        <v>773.03600000000165</v>
      </c>
      <c r="BN51" s="205">
        <f t="shared" si="431"/>
        <v>826.40700000000152</v>
      </c>
      <c r="BO51" s="207">
        <f t="shared" si="431"/>
        <v>672.07900000000132</v>
      </c>
      <c r="BP51" s="205">
        <f t="shared" ref="BP51:BW51" si="432">BO54</f>
        <v>905.80638599740291</v>
      </c>
      <c r="BQ51" s="205">
        <f t="shared" si="432"/>
        <v>1158.9528898418239</v>
      </c>
      <c r="BR51" s="205">
        <f t="shared" si="432"/>
        <v>1414.2165595832148</v>
      </c>
      <c r="BS51" s="207">
        <f t="shared" si="432"/>
        <v>1696.2471215812488</v>
      </c>
      <c r="BT51" s="205">
        <f t="shared" si="432"/>
        <v>1976.2383428177236</v>
      </c>
      <c r="BU51" s="205">
        <f t="shared" si="432"/>
        <v>2251.5789171630267</v>
      </c>
      <c r="BV51" s="205">
        <f t="shared" si="432"/>
        <v>2528.5782448541172</v>
      </c>
      <c r="BW51" s="205">
        <f t="shared" si="432"/>
        <v>2845.8919431339168</v>
      </c>
      <c r="BX51" s="20"/>
      <c r="BY51" s="205">
        <f>D51</f>
        <v>173.59700000000001</v>
      </c>
      <c r="BZ51" s="205">
        <f>BY54</f>
        <v>53.90900000000002</v>
      </c>
      <c r="CA51" s="205">
        <f>BZ54</f>
        <v>105.3339999999998</v>
      </c>
      <c r="CB51" s="205">
        <f>CA54</f>
        <v>68.729999999999833</v>
      </c>
      <c r="CC51" s="205">
        <f t="shared" ref="CC51:CP51" si="433">CB54</f>
        <v>565.27299999999968</v>
      </c>
      <c r="CD51" s="205">
        <f t="shared" si="433"/>
        <v>167.4769999999998</v>
      </c>
      <c r="CE51" s="205">
        <f t="shared" si="433"/>
        <v>487.73599999999993</v>
      </c>
      <c r="CF51" s="205">
        <f t="shared" si="433"/>
        <v>446.32899999999978</v>
      </c>
      <c r="CG51" s="206">
        <f t="shared" si="433"/>
        <v>492.12999999999977</v>
      </c>
      <c r="CH51" s="205">
        <f t="shared" si="433"/>
        <v>703.92399999999975</v>
      </c>
      <c r="CI51" s="206">
        <f t="shared" si="433"/>
        <v>635.75499999999965</v>
      </c>
      <c r="CJ51" s="206">
        <f t="shared" si="433"/>
        <v>528.33399999999961</v>
      </c>
      <c r="CK51" s="205">
        <f t="shared" si="433"/>
        <v>466.60299999999972</v>
      </c>
      <c r="CL51" s="205">
        <f t="shared" si="433"/>
        <v>607.81499999999937</v>
      </c>
      <c r="CM51" s="205">
        <f t="shared" si="433"/>
        <v>2092.7510000000002</v>
      </c>
      <c r="CN51" s="205">
        <f t="shared" si="433"/>
        <v>908.68400000000133</v>
      </c>
      <c r="CO51" s="205">
        <f t="shared" si="433"/>
        <v>905.80638599740269</v>
      </c>
      <c r="CP51" s="207">
        <f t="shared" si="433"/>
        <v>1976.2383428177236</v>
      </c>
      <c r="CQ51" s="20"/>
      <c r="CR51" s="206">
        <f>G51</f>
        <v>48.336000000000027</v>
      </c>
      <c r="CS51" s="205">
        <f>CR54</f>
        <v>58.174000000000028</v>
      </c>
      <c r="CT51" s="205">
        <f>CS54</f>
        <v>76.182999999999709</v>
      </c>
      <c r="CU51" s="205">
        <f>CT54</f>
        <v>157.45199999999988</v>
      </c>
      <c r="CV51" s="205">
        <f t="shared" ref="CV51:DA51" si="434">CU54</f>
        <v>153.27699999999982</v>
      </c>
      <c r="CW51" s="205">
        <f t="shared" si="434"/>
        <v>831.00499999999977</v>
      </c>
      <c r="CX51" s="205">
        <f t="shared" si="434"/>
        <v>391.19399999999996</v>
      </c>
      <c r="CY51" s="205">
        <f t="shared" si="434"/>
        <v>361.29099999999994</v>
      </c>
      <c r="CZ51" s="205">
        <f t="shared" si="434"/>
        <v>500.61599999999993</v>
      </c>
      <c r="DA51" s="205">
        <f t="shared" si="434"/>
        <v>605.72499999999968</v>
      </c>
      <c r="DB51" s="205">
        <f t="shared" ref="DB51:DH51" si="435">DA54</f>
        <v>465.29299999999967</v>
      </c>
      <c r="DC51" s="205">
        <f t="shared" si="435"/>
        <v>375.09999999999968</v>
      </c>
      <c r="DD51" s="205">
        <f t="shared" si="435"/>
        <v>456.33899999999966</v>
      </c>
      <c r="DE51" s="205">
        <f t="shared" si="435"/>
        <v>331.45099999999979</v>
      </c>
      <c r="DF51" s="205">
        <f t="shared" si="435"/>
        <v>663.93800000000022</v>
      </c>
      <c r="DG51" s="205">
        <f t="shared" si="435"/>
        <v>672.07900000000097</v>
      </c>
      <c r="DH51" s="205">
        <f t="shared" si="435"/>
        <v>1696.2471215812484</v>
      </c>
      <c r="DI51" s="22"/>
    </row>
    <row r="52" spans="1:113" ht="14.25" customHeight="1">
      <c r="A52" s="274"/>
      <c r="B52" s="327" t="str">
        <f t="shared" si="417"/>
        <v>Change in cash flow due to restatement</v>
      </c>
      <c r="C52" s="437"/>
      <c r="D52" s="443">
        <f>D147</f>
        <v>0</v>
      </c>
      <c r="E52" s="444">
        <f>E147-D52</f>
        <v>0</v>
      </c>
      <c r="F52" s="444">
        <f>F147-E52-D52</f>
        <v>0</v>
      </c>
      <c r="G52" s="445">
        <f>G147-F52-E52-D52</f>
        <v>0</v>
      </c>
      <c r="H52" s="443">
        <f>H147</f>
        <v>0</v>
      </c>
      <c r="I52" s="444">
        <f>I147-H52</f>
        <v>0</v>
      </c>
      <c r="J52" s="444">
        <f>J147-I52-H52</f>
        <v>0</v>
      </c>
      <c r="K52" s="445">
        <f>K147-J52-I52-H52</f>
        <v>0</v>
      </c>
      <c r="L52" s="443">
        <f>L147</f>
        <v>0</v>
      </c>
      <c r="M52" s="444">
        <f>M147-L52</f>
        <v>0</v>
      </c>
      <c r="N52" s="444">
        <f>N147-M52-L52</f>
        <v>0</v>
      </c>
      <c r="O52" s="445">
        <f>O147-N52-M52-L52</f>
        <v>0</v>
      </c>
      <c r="P52" s="443">
        <f>P147</f>
        <v>0</v>
      </c>
      <c r="Q52" s="444">
        <f>Q147-P52</f>
        <v>0</v>
      </c>
      <c r="R52" s="444">
        <f>R147-Q52-P52</f>
        <v>0</v>
      </c>
      <c r="S52" s="445">
        <f>S147-R52-Q52-P52</f>
        <v>0</v>
      </c>
      <c r="T52" s="443">
        <f>T147</f>
        <v>0</v>
      </c>
      <c r="U52" s="444">
        <f>U147-T52</f>
        <v>0</v>
      </c>
      <c r="V52" s="444">
        <f>V147-U52-T52</f>
        <v>0</v>
      </c>
      <c r="W52" s="445">
        <f>W147-V52-U52-T52</f>
        <v>0</v>
      </c>
      <c r="X52" s="443">
        <f>X147</f>
        <v>0</v>
      </c>
      <c r="Y52" s="444">
        <f>Y147-X52</f>
        <v>0</v>
      </c>
      <c r="Z52" s="444">
        <f>Z147-Y52-X52</f>
        <v>0</v>
      </c>
      <c r="AA52" s="445">
        <f>AA147-Z52-Y52-X52</f>
        <v>0</v>
      </c>
      <c r="AB52" s="443">
        <f>AB147</f>
        <v>0</v>
      </c>
      <c r="AC52" s="444">
        <f>AC147-AB52</f>
        <v>0</v>
      </c>
      <c r="AD52" s="444">
        <f>AD147-AC52-AB52</f>
        <v>0</v>
      </c>
      <c r="AE52" s="445">
        <f>AE147-AD52-AC52-AB52</f>
        <v>0</v>
      </c>
      <c r="AF52" s="443">
        <f>AF147</f>
        <v>0</v>
      </c>
      <c r="AG52" s="444">
        <f>AG147-AF52</f>
        <v>0</v>
      </c>
      <c r="AH52" s="444">
        <f>AH147-AG52-AF52</f>
        <v>0</v>
      </c>
      <c r="AI52" s="445">
        <f>AI147-AH52-AG52-AF52</f>
        <v>0</v>
      </c>
      <c r="AJ52" s="443">
        <f>AJ147</f>
        <v>0</v>
      </c>
      <c r="AK52" s="444">
        <f>AK147-AJ52</f>
        <v>0</v>
      </c>
      <c r="AL52" s="444">
        <f>AL147-AK52-AJ52</f>
        <v>0</v>
      </c>
      <c r="AM52" s="445">
        <f>AM147-AL52-AK52-AJ52</f>
        <v>0</v>
      </c>
      <c r="AN52" s="444">
        <f>AN147</f>
        <v>0</v>
      </c>
      <c r="AO52" s="444">
        <f>AO147-AN52</f>
        <v>0</v>
      </c>
      <c r="AP52" s="191">
        <f>AP147-AO52-AN52</f>
        <v>0</v>
      </c>
      <c r="AQ52" s="445">
        <f>AQ147-AP52-AO52-AN52</f>
        <v>0</v>
      </c>
      <c r="AR52" s="444">
        <f>AR147</f>
        <v>0</v>
      </c>
      <c r="AS52" s="444">
        <f>AS147-AR52</f>
        <v>0</v>
      </c>
      <c r="AT52" s="191">
        <f>AT147-AS52-AR52</f>
        <v>0</v>
      </c>
      <c r="AU52" s="445">
        <f>AU147-AT52-AS52-AR52</f>
        <v>0</v>
      </c>
      <c r="AV52" s="444">
        <f>AV147</f>
        <v>0</v>
      </c>
      <c r="AW52" s="444">
        <f>AW147-AV52</f>
        <v>0</v>
      </c>
      <c r="AX52" s="191">
        <f>AX147-AW52-AV52</f>
        <v>0</v>
      </c>
      <c r="AY52" s="445">
        <f>AY147-AX52-AW52-AV52</f>
        <v>0</v>
      </c>
      <c r="AZ52" s="444">
        <f>AZ147</f>
        <v>0</v>
      </c>
      <c r="BA52" s="191">
        <f>BA147-AZ52</f>
        <v>0</v>
      </c>
      <c r="BB52" s="191">
        <f>BB147-BA52-AZ52</f>
        <v>0</v>
      </c>
      <c r="BC52" s="445">
        <f>BC147-BB52-BA52-AZ52</f>
        <v>0</v>
      </c>
      <c r="BD52" s="444">
        <f>BD147</f>
        <v>0</v>
      </c>
      <c r="BE52" s="191">
        <f>BE147-BD52</f>
        <v>0</v>
      </c>
      <c r="BF52" s="191">
        <f>+BF147-BE52-BD52</f>
        <v>8.3000000000481577E-2</v>
      </c>
      <c r="BG52" s="445">
        <f>BG147-BF52-BE52-BD52</f>
        <v>4.7000000000000042E-2</v>
      </c>
      <c r="BH52" s="444">
        <f>BH147</f>
        <v>-0.47799999999999998</v>
      </c>
      <c r="BI52" s="191">
        <f>BI147-BH52</f>
        <v>0.47799999999999998</v>
      </c>
      <c r="BJ52" s="191">
        <f>+BJ147-BI52-BH52</f>
        <v>0</v>
      </c>
      <c r="BK52" s="445">
        <f>BK147-BJ52-BI52-BH52</f>
        <v>0</v>
      </c>
      <c r="BL52" s="444">
        <f>BL147</f>
        <v>0</v>
      </c>
      <c r="BM52" s="191">
        <f>BM147-BL52</f>
        <v>0</v>
      </c>
      <c r="BN52" s="191">
        <f>+BN147-BM52-BL52</f>
        <v>0</v>
      </c>
      <c r="BO52" s="192"/>
      <c r="BP52" s="1432"/>
      <c r="BQ52" s="439"/>
      <c r="BR52" s="439"/>
      <c r="BS52" s="440"/>
      <c r="BT52" s="439"/>
      <c r="BU52" s="439"/>
      <c r="BV52" s="439"/>
      <c r="BW52" s="439"/>
      <c r="BX52" s="442"/>
      <c r="BY52" s="439">
        <f>SUM(D52:G52)</f>
        <v>0</v>
      </c>
      <c r="BZ52" s="439">
        <f>SUM(H52:K52)</f>
        <v>0</v>
      </c>
      <c r="CA52" s="439">
        <f>SUM(L52:O52)</f>
        <v>0</v>
      </c>
      <c r="CB52" s="439">
        <f>SUM(P52:S52)</f>
        <v>0</v>
      </c>
      <c r="CC52" s="439">
        <f>SUM(T52:W52)</f>
        <v>0</v>
      </c>
      <c r="CD52" s="439">
        <f>SUM(X52:AA52)</f>
        <v>0</v>
      </c>
      <c r="CE52" s="439">
        <f>SUM(AB52:AE52)</f>
        <v>0</v>
      </c>
      <c r="CF52" s="439">
        <f>SUM(AF52:AI52)</f>
        <v>0</v>
      </c>
      <c r="CG52" s="438">
        <f>SUM(AJ52:AM52)</f>
        <v>0</v>
      </c>
      <c r="CH52" s="439">
        <f>SUM(AN52:AQ52)</f>
        <v>0</v>
      </c>
      <c r="CI52" s="193">
        <f>SUM(AR52:AU52)</f>
        <v>0</v>
      </c>
      <c r="CJ52" s="193">
        <f>SUM(AV52:AY52)</f>
        <v>0</v>
      </c>
      <c r="CK52" s="191">
        <f>SUM(AZ52:BC52)</f>
        <v>0</v>
      </c>
      <c r="CL52" s="191">
        <f>SUM(BD52:BG52)</f>
        <v>0.13000000000048162</v>
      </c>
      <c r="CM52" s="191">
        <f>SUM(BH52:BK52)</f>
        <v>0</v>
      </c>
      <c r="CN52" s="191">
        <f>SUM(BL52:BO52)</f>
        <v>0</v>
      </c>
      <c r="CO52" s="191">
        <f>SUM(BP52:BS52)</f>
        <v>0</v>
      </c>
      <c r="CP52" s="192">
        <f>SUM(BT52:BW52)</f>
        <v>0</v>
      </c>
      <c r="CQ52" s="442"/>
      <c r="CR52" s="443">
        <f>SUM(G52:J52)</f>
        <v>0</v>
      </c>
      <c r="CS52" s="444">
        <f>SUM(K52:N52)</f>
        <v>0</v>
      </c>
      <c r="CT52" s="444">
        <f>SUM(O52:R52)</f>
        <v>0</v>
      </c>
      <c r="CU52" s="444">
        <f>SUM(S52:V52)</f>
        <v>0</v>
      </c>
      <c r="CV52" s="444">
        <f>SUM(W52:Z52)</f>
        <v>0</v>
      </c>
      <c r="CW52" s="444">
        <f>SUM(AA52:AD52)</f>
        <v>0</v>
      </c>
      <c r="CX52" s="444">
        <f>SUM(AE52:AH52)</f>
        <v>0</v>
      </c>
      <c r="CY52" s="444">
        <f>SUM(AI52:AL52)</f>
        <v>0</v>
      </c>
      <c r="CZ52" s="444">
        <f>SUM(AM52:AP52)</f>
        <v>0</v>
      </c>
      <c r="DA52" s="444">
        <f>SUM(AQ52:AT52)</f>
        <v>0</v>
      </c>
      <c r="DB52" s="444">
        <f>SUM(AU52:AX52)</f>
        <v>0</v>
      </c>
      <c r="DC52" s="444">
        <f>SUM(AY52:BB52)</f>
        <v>0</v>
      </c>
      <c r="DD52" s="444">
        <f>SUM(BC52:BF52)</f>
        <v>8.3000000000481577E-2</v>
      </c>
      <c r="DE52" s="444">
        <f>SUM(BG52:BJ52)</f>
        <v>4.7000000000000042E-2</v>
      </c>
      <c r="DF52" s="444">
        <f>SUM(BK52:BN52)</f>
        <v>0</v>
      </c>
      <c r="DG52" s="444">
        <f>SUM(BO52:BR52)</f>
        <v>0</v>
      </c>
      <c r="DH52" s="444">
        <f>SUM(BS52:BV52)</f>
        <v>0</v>
      </c>
      <c r="DI52" s="313"/>
    </row>
    <row r="53" spans="1:113" ht="14.25" customHeight="1">
      <c r="A53" s="8"/>
      <c r="B53" s="202" t="str">
        <f t="shared" si="417"/>
        <v>Net increase (decrease) in cash and cash equivalents</v>
      </c>
      <c r="C53" s="203"/>
      <c r="D53" s="206">
        <f t="shared" ref="D53:O53" si="436">D47+D36+D26+D49</f>
        <v>-111.077</v>
      </c>
      <c r="E53" s="205">
        <f t="shared" si="436"/>
        <v>-16.869999999999976</v>
      </c>
      <c r="F53" s="205">
        <f t="shared" si="436"/>
        <v>2.6859999999999928</v>
      </c>
      <c r="G53" s="207">
        <f t="shared" si="436"/>
        <v>5.5730000000000004</v>
      </c>
      <c r="H53" s="206">
        <f t="shared" si="436"/>
        <v>-6.2600000000000335</v>
      </c>
      <c r="I53" s="205">
        <f t="shared" si="436"/>
        <v>-3.1869999999999692</v>
      </c>
      <c r="J53" s="205">
        <f t="shared" si="436"/>
        <v>13.712000000000003</v>
      </c>
      <c r="K53" s="207">
        <f t="shared" si="436"/>
        <v>47.159999999999783</v>
      </c>
      <c r="L53" s="206">
        <f t="shared" si="436"/>
        <v>-18.448000000000022</v>
      </c>
      <c r="M53" s="205">
        <f t="shared" si="436"/>
        <v>-11.661000000000001</v>
      </c>
      <c r="N53" s="205">
        <f t="shared" si="436"/>
        <v>0.95799999999991314</v>
      </c>
      <c r="O53" s="207">
        <f t="shared" si="436"/>
        <v>-7.4529999999998608</v>
      </c>
      <c r="P53" s="206">
        <f t="shared" ref="P53:AT53" si="437">P47+P36+P26+P49</f>
        <v>72.641999999999982</v>
      </c>
      <c r="Q53" s="205">
        <f t="shared" si="437"/>
        <v>-31.292000000000016</v>
      </c>
      <c r="R53" s="205">
        <f t="shared" si="437"/>
        <v>47.372000000000057</v>
      </c>
      <c r="S53" s="207">
        <f t="shared" si="437"/>
        <v>407.8209999999998</v>
      </c>
      <c r="T53" s="206">
        <f t="shared" si="437"/>
        <v>-428.61699999999996</v>
      </c>
      <c r="U53" s="205">
        <f t="shared" si="437"/>
        <v>-4.0869999999999607</v>
      </c>
      <c r="V53" s="205">
        <f t="shared" si="437"/>
        <v>20.708000000000055</v>
      </c>
      <c r="W53" s="207">
        <f t="shared" si="437"/>
        <v>14.20000000000001</v>
      </c>
      <c r="X53" s="206">
        <f t="shared" si="437"/>
        <v>0.52599999999995362</v>
      </c>
      <c r="Y53" s="205">
        <f t="shared" si="437"/>
        <v>6.2220000000000084</v>
      </c>
      <c r="Z53" s="205">
        <f t="shared" si="437"/>
        <v>656.78</v>
      </c>
      <c r="AA53" s="207">
        <f t="shared" si="437"/>
        <v>-343.26899999999978</v>
      </c>
      <c r="AB53" s="206">
        <f t="shared" si="437"/>
        <v>197.839</v>
      </c>
      <c r="AC53" s="205">
        <f t="shared" si="437"/>
        <v>-373.83699999999999</v>
      </c>
      <c r="AD53" s="205">
        <f t="shared" si="437"/>
        <v>79.455999999999989</v>
      </c>
      <c r="AE53" s="207">
        <f t="shared" si="437"/>
        <v>55.13499999999987</v>
      </c>
      <c r="AF53" s="206">
        <f t="shared" si="437"/>
        <v>130.65000000000003</v>
      </c>
      <c r="AG53" s="205">
        <f t="shared" si="437"/>
        <v>-35.933999999999969</v>
      </c>
      <c r="AH53" s="205">
        <f t="shared" si="437"/>
        <v>-179.75399999999993</v>
      </c>
      <c r="AI53" s="207">
        <f t="shared" si="437"/>
        <v>130.83899999999986</v>
      </c>
      <c r="AJ53" s="206">
        <f t="shared" si="437"/>
        <v>31.343999999999994</v>
      </c>
      <c r="AK53" s="205">
        <f t="shared" si="437"/>
        <v>-99.752999999999815</v>
      </c>
      <c r="AL53" s="205">
        <f t="shared" si="437"/>
        <v>76.894999999999953</v>
      </c>
      <c r="AM53" s="207">
        <f t="shared" si="437"/>
        <v>203.30799999999985</v>
      </c>
      <c r="AN53" s="205">
        <f t="shared" si="437"/>
        <v>-52.54099999999994</v>
      </c>
      <c r="AO53" s="205">
        <f t="shared" si="437"/>
        <v>23.745999999999924</v>
      </c>
      <c r="AP53" s="205">
        <f t="shared" si="437"/>
        <v>-69.404000000000053</v>
      </c>
      <c r="AQ53" s="207">
        <f t="shared" si="437"/>
        <v>30.029999999999987</v>
      </c>
      <c r="AR53" s="205">
        <f t="shared" si="437"/>
        <v>144.09300000000002</v>
      </c>
      <c r="AS53" s="205">
        <f t="shared" si="437"/>
        <v>-343.11300000000006</v>
      </c>
      <c r="AT53" s="205">
        <f t="shared" si="437"/>
        <v>28.558000000000014</v>
      </c>
      <c r="AU53" s="207">
        <f t="shared" ref="AU53:AZ53" si="438">AU47+AU36+AU26+AU49</f>
        <v>63.040999999999968</v>
      </c>
      <c r="AV53" s="205">
        <f t="shared" si="438"/>
        <v>-125.10300000000004</v>
      </c>
      <c r="AW53" s="205">
        <f t="shared" si="438"/>
        <v>-59.029000000000138</v>
      </c>
      <c r="AX53" s="205">
        <f t="shared" si="438"/>
        <v>30.898000000000224</v>
      </c>
      <c r="AY53" s="207">
        <f t="shared" si="438"/>
        <v>91.503000000000043</v>
      </c>
      <c r="AZ53" s="205">
        <f t="shared" si="438"/>
        <v>151.16699999999994</v>
      </c>
      <c r="BA53" s="205">
        <f t="shared" ref="BA53:BF53" si="439">BA47+BA36+BA26+BA49</f>
        <v>-136.33099999999982</v>
      </c>
      <c r="BB53" s="205">
        <f t="shared" si="439"/>
        <v>-25.100000000000193</v>
      </c>
      <c r="BC53" s="207">
        <f t="shared" si="439"/>
        <v>151.47599999999974</v>
      </c>
      <c r="BD53" s="205">
        <f t="shared" si="439"/>
        <v>-44.267999999999944</v>
      </c>
      <c r="BE53" s="205">
        <f t="shared" si="439"/>
        <v>-24.469000000000165</v>
      </c>
      <c r="BF53" s="205">
        <f t="shared" si="439"/>
        <v>-207.70999999999998</v>
      </c>
      <c r="BG53" s="207">
        <f>BG47+BG36+BG26+BG49</f>
        <v>1761.2530000000004</v>
      </c>
      <c r="BH53" s="205">
        <f t="shared" ref="BH53:BJ53" si="440">BH47+BH36+BH26+BH49</f>
        <v>-1491.7470000000001</v>
      </c>
      <c r="BI53" s="205">
        <f t="shared" si="440"/>
        <v>-111.01599999999993</v>
      </c>
      <c r="BJ53" s="205">
        <f t="shared" si="440"/>
        <v>173.95000000000002</v>
      </c>
      <c r="BK53" s="207">
        <f>BK47+BK36+BK26+BK49</f>
        <v>244.74600000000095</v>
      </c>
      <c r="BL53" s="205">
        <f t="shared" ref="BL53:BN53" si="441">BL47+BL36+BL26+BL49</f>
        <v>-135.64799999999997</v>
      </c>
      <c r="BM53" s="205">
        <f t="shared" si="441"/>
        <v>53.370999999999924</v>
      </c>
      <c r="BN53" s="205">
        <f t="shared" si="441"/>
        <v>-154.32800000000015</v>
      </c>
      <c r="BO53" s="207">
        <f t="shared" ref="BO53" si="442">BO47+BO36+BO26+BO49</f>
        <v>233.72738599740154</v>
      </c>
      <c r="BP53" s="205">
        <f t="shared" ref="BP53:BW53" si="443">BP47+BP36+BP26+BP49</f>
        <v>253.14650384442103</v>
      </c>
      <c r="BQ53" s="205">
        <f t="shared" si="443"/>
        <v>255.26366974139088</v>
      </c>
      <c r="BR53" s="205">
        <f t="shared" si="443"/>
        <v>282.03056199803405</v>
      </c>
      <c r="BS53" s="207">
        <f t="shared" si="443"/>
        <v>279.99122123647487</v>
      </c>
      <c r="BT53" s="205">
        <f t="shared" si="443"/>
        <v>275.34057434530303</v>
      </c>
      <c r="BU53" s="205">
        <f t="shared" si="443"/>
        <v>276.99932769109029</v>
      </c>
      <c r="BV53" s="205">
        <f t="shared" si="443"/>
        <v>317.31369827979955</v>
      </c>
      <c r="BW53" s="205">
        <f t="shared" si="443"/>
        <v>299.93871359625217</v>
      </c>
      <c r="BX53" s="20"/>
      <c r="BY53" s="205">
        <f>SUM(D53:G53)</f>
        <v>-119.68799999999999</v>
      </c>
      <c r="BZ53" s="205">
        <f>SUM(H53:K53)</f>
        <v>51.424999999999784</v>
      </c>
      <c r="CA53" s="205">
        <f>SUM(L53:O53)</f>
        <v>-36.603999999999971</v>
      </c>
      <c r="CB53" s="205">
        <f>SUM(P53:S53)</f>
        <v>496.54299999999984</v>
      </c>
      <c r="CC53" s="205">
        <f>SUM(T53:W53)</f>
        <v>-397.79599999999988</v>
      </c>
      <c r="CD53" s="205">
        <f>SUM(X53:AA53)</f>
        <v>320.25900000000013</v>
      </c>
      <c r="CE53" s="205">
        <f>SUM(AB53:AE53)</f>
        <v>-41.407000000000131</v>
      </c>
      <c r="CF53" s="205">
        <f>SUM(AF53:AI53)</f>
        <v>45.800999999999988</v>
      </c>
      <c r="CG53" s="206">
        <f>SUM(AJ53:AM53)</f>
        <v>211.79399999999998</v>
      </c>
      <c r="CH53" s="205">
        <f>SUM(AN53:AQ53)</f>
        <v>-68.169000000000082</v>
      </c>
      <c r="CI53" s="206">
        <f>SUM(AR53:AU53)</f>
        <v>-107.42100000000005</v>
      </c>
      <c r="CJ53" s="206">
        <f>SUM(AV53:AY53)</f>
        <v>-61.730999999999909</v>
      </c>
      <c r="CK53" s="205">
        <f>SUM(AZ53:BC53)</f>
        <v>141.21199999999968</v>
      </c>
      <c r="CL53" s="205">
        <f>SUM(BD53:BG53)</f>
        <v>1484.8060000000003</v>
      </c>
      <c r="CM53" s="205">
        <f>SUM(BH53:BK53)</f>
        <v>-1184.0669999999989</v>
      </c>
      <c r="CN53" s="205">
        <f>SUM(BL53:BO53)</f>
        <v>-2.8776140025986479</v>
      </c>
      <c r="CO53" s="205">
        <f>SUM(BP53:BS53)</f>
        <v>1070.4319568203209</v>
      </c>
      <c r="CP53" s="207">
        <f>SUM(BT53:BW53)</f>
        <v>1169.5923139124452</v>
      </c>
      <c r="CQ53" s="20"/>
      <c r="CR53" s="206">
        <f>SUM(G53:J53)</f>
        <v>9.838000000000001</v>
      </c>
      <c r="CS53" s="205">
        <f>SUM(K53:N53)</f>
        <v>18.008999999999673</v>
      </c>
      <c r="CT53" s="205">
        <f>SUM(O53:R53)</f>
        <v>81.269000000000162</v>
      </c>
      <c r="CU53" s="205">
        <f>SUM(S53:V53)</f>
        <v>-4.1750000000000682</v>
      </c>
      <c r="CV53" s="205">
        <f>SUM(W53:Z53)</f>
        <v>677.72799999999995</v>
      </c>
      <c r="CW53" s="205">
        <f>SUM(AA53:AD53)</f>
        <v>-439.81099999999981</v>
      </c>
      <c r="CX53" s="205">
        <f>SUM(AE53:AH53)</f>
        <v>-29.902999999999992</v>
      </c>
      <c r="CY53" s="205">
        <f>SUM(AI53:AL53)</f>
        <v>139.32499999999999</v>
      </c>
      <c r="CZ53" s="205">
        <f>SUM(AM53:AP53)</f>
        <v>105.10899999999978</v>
      </c>
      <c r="DA53" s="205">
        <f>SUM(AQ53:AT53)</f>
        <v>-140.43200000000004</v>
      </c>
      <c r="DB53" s="205">
        <f>SUM(AU53:AX53)</f>
        <v>-90.192999999999984</v>
      </c>
      <c r="DC53" s="205">
        <f>SUM(AY53:BB53)</f>
        <v>81.238999999999976</v>
      </c>
      <c r="DD53" s="205">
        <f>SUM(BC53:BF53)</f>
        <v>-124.97100000000034</v>
      </c>
      <c r="DE53" s="205">
        <f>SUM(BG53:BJ53)</f>
        <v>332.4400000000004</v>
      </c>
      <c r="DF53" s="205">
        <f>SUM(BK53:BN53)</f>
        <v>8.1410000000007585</v>
      </c>
      <c r="DG53" s="205">
        <f>SUM(BO53:BR53)</f>
        <v>1024.1681215812475</v>
      </c>
      <c r="DH53" s="205">
        <f>SUM(BS53:BV53)</f>
        <v>1149.6448215526677</v>
      </c>
      <c r="DI53" s="22"/>
    </row>
    <row r="54" spans="1:113" ht="14.25" customHeight="1">
      <c r="A54" s="8"/>
      <c r="B54" s="361" t="str">
        <f t="shared" si="417"/>
        <v>Cash and cash equivalents, end of period</v>
      </c>
      <c r="C54" s="211"/>
      <c r="D54" s="213">
        <f t="shared" ref="D54:O54" si="444">D53+D51+D52</f>
        <v>62.52000000000001</v>
      </c>
      <c r="E54" s="212">
        <f t="shared" si="444"/>
        <v>45.650000000000034</v>
      </c>
      <c r="F54" s="212">
        <f t="shared" si="444"/>
        <v>48.336000000000027</v>
      </c>
      <c r="G54" s="214">
        <f t="shared" si="444"/>
        <v>53.909000000000027</v>
      </c>
      <c r="H54" s="213">
        <f t="shared" si="444"/>
        <v>47.648999999999994</v>
      </c>
      <c r="I54" s="212">
        <f t="shared" si="444"/>
        <v>44.462000000000025</v>
      </c>
      <c r="J54" s="212">
        <f t="shared" si="444"/>
        <v>58.174000000000028</v>
      </c>
      <c r="K54" s="214">
        <f t="shared" si="444"/>
        <v>105.3339999999998</v>
      </c>
      <c r="L54" s="213">
        <f t="shared" si="444"/>
        <v>86.885999999999783</v>
      </c>
      <c r="M54" s="212">
        <f t="shared" si="444"/>
        <v>75.224999999999781</v>
      </c>
      <c r="N54" s="212">
        <f t="shared" si="444"/>
        <v>76.182999999999694</v>
      </c>
      <c r="O54" s="214">
        <f t="shared" si="444"/>
        <v>68.729999999999833</v>
      </c>
      <c r="P54" s="213">
        <f t="shared" ref="P54:AH54" si="445">P53+P51+P52</f>
        <v>141.3719999999999</v>
      </c>
      <c r="Q54" s="212">
        <f t="shared" si="445"/>
        <v>110.07999999999988</v>
      </c>
      <c r="R54" s="212">
        <f t="shared" si="445"/>
        <v>157.45199999999994</v>
      </c>
      <c r="S54" s="214">
        <f t="shared" si="445"/>
        <v>565.27299999999968</v>
      </c>
      <c r="T54" s="213">
        <f t="shared" si="445"/>
        <v>136.65599999999972</v>
      </c>
      <c r="U54" s="212">
        <f t="shared" si="445"/>
        <v>132.56899999999976</v>
      </c>
      <c r="V54" s="212">
        <f t="shared" si="445"/>
        <v>153.27699999999982</v>
      </c>
      <c r="W54" s="214">
        <f t="shared" si="445"/>
        <v>167.47699999999983</v>
      </c>
      <c r="X54" s="213">
        <f t="shared" si="445"/>
        <v>168.00299999999979</v>
      </c>
      <c r="Y54" s="212">
        <f t="shared" si="445"/>
        <v>174.2249999999998</v>
      </c>
      <c r="Z54" s="212">
        <f t="shared" si="445"/>
        <v>831.00499999999977</v>
      </c>
      <c r="AA54" s="214">
        <f t="shared" si="445"/>
        <v>487.73599999999999</v>
      </c>
      <c r="AB54" s="213">
        <f t="shared" si="445"/>
        <v>685.57500000000005</v>
      </c>
      <c r="AC54" s="212">
        <f t="shared" si="445"/>
        <v>311.73800000000006</v>
      </c>
      <c r="AD54" s="212">
        <f t="shared" si="445"/>
        <v>391.19400000000007</v>
      </c>
      <c r="AE54" s="214">
        <f t="shared" si="445"/>
        <v>446.32899999999995</v>
      </c>
      <c r="AF54" s="213">
        <f t="shared" si="445"/>
        <v>576.97900000000004</v>
      </c>
      <c r="AG54" s="212">
        <f t="shared" si="445"/>
        <v>541.04500000000007</v>
      </c>
      <c r="AH54" s="212">
        <f t="shared" si="445"/>
        <v>361.29100000000017</v>
      </c>
      <c r="AI54" s="214">
        <f t="shared" ref="AI54:AY54" si="446">AI53+AI51+AI52</f>
        <v>492.13</v>
      </c>
      <c r="AJ54" s="213">
        <f t="shared" si="446"/>
        <v>523.47399999999993</v>
      </c>
      <c r="AK54" s="212">
        <f t="shared" si="446"/>
        <v>423.72100000000012</v>
      </c>
      <c r="AL54" s="212">
        <f t="shared" si="446"/>
        <v>500.6160000000001</v>
      </c>
      <c r="AM54" s="214">
        <f t="shared" si="446"/>
        <v>703.92399999999998</v>
      </c>
      <c r="AN54" s="212">
        <f t="shared" si="446"/>
        <v>651.38300000000004</v>
      </c>
      <c r="AO54" s="212">
        <f t="shared" si="446"/>
        <v>675.12899999999991</v>
      </c>
      <c r="AP54" s="212">
        <f t="shared" si="446"/>
        <v>605.72499999999991</v>
      </c>
      <c r="AQ54" s="214">
        <f t="shared" si="446"/>
        <v>635.75499999999988</v>
      </c>
      <c r="AR54" s="212">
        <f t="shared" si="446"/>
        <v>779.84799999999996</v>
      </c>
      <c r="AS54" s="212">
        <f t="shared" si="446"/>
        <v>436.7349999999999</v>
      </c>
      <c r="AT54" s="212">
        <f t="shared" si="446"/>
        <v>465.29299999999989</v>
      </c>
      <c r="AU54" s="214">
        <f t="shared" si="446"/>
        <v>528.33399999999983</v>
      </c>
      <c r="AV54" s="212">
        <f t="shared" si="446"/>
        <v>403.23099999999977</v>
      </c>
      <c r="AW54" s="212">
        <f t="shared" si="446"/>
        <v>344.20199999999966</v>
      </c>
      <c r="AX54" s="212">
        <f t="shared" si="446"/>
        <v>375.09999999999991</v>
      </c>
      <c r="AY54" s="214">
        <f t="shared" si="446"/>
        <v>466.60299999999995</v>
      </c>
      <c r="AZ54" s="212">
        <f t="shared" ref="AZ54:BE54" si="447">AZ53+AZ51+AZ52</f>
        <v>617.76999999999987</v>
      </c>
      <c r="BA54" s="212">
        <f t="shared" si="447"/>
        <v>481.43900000000008</v>
      </c>
      <c r="BB54" s="212">
        <f t="shared" si="447"/>
        <v>456.33899999999988</v>
      </c>
      <c r="BC54" s="214">
        <f t="shared" si="447"/>
        <v>607.8149999999996</v>
      </c>
      <c r="BD54" s="212">
        <f t="shared" si="447"/>
        <v>563.54699999999968</v>
      </c>
      <c r="BE54" s="212">
        <f t="shared" si="447"/>
        <v>539.07799999999952</v>
      </c>
      <c r="BF54" s="212">
        <f>BF53+BF51+BF52</f>
        <v>331.45100000000002</v>
      </c>
      <c r="BG54" s="214">
        <f>BG53+BG51+BG52</f>
        <v>2092.7510000000007</v>
      </c>
      <c r="BH54" s="212">
        <f t="shared" ref="BH54:BI54" si="448">BH53+BH51+BH52</f>
        <v>600.52600000000064</v>
      </c>
      <c r="BI54" s="212">
        <f t="shared" si="448"/>
        <v>489.98800000000068</v>
      </c>
      <c r="BJ54" s="212">
        <f>BJ53+BJ51+BJ52</f>
        <v>663.93800000000067</v>
      </c>
      <c r="BK54" s="214">
        <f>BK53+BK51+BK52</f>
        <v>908.68400000000156</v>
      </c>
      <c r="BL54" s="212">
        <f t="shared" ref="BL54:BM54" si="449">BL53+BL51+BL52</f>
        <v>773.03600000000165</v>
      </c>
      <c r="BM54" s="212">
        <f t="shared" si="449"/>
        <v>826.40700000000152</v>
      </c>
      <c r="BN54" s="212">
        <f>BN53+BN51+BN52</f>
        <v>672.07900000000132</v>
      </c>
      <c r="BO54" s="214">
        <f t="shared" ref="BO54" si="450">BO53+BO51+BO52</f>
        <v>905.80638599740291</v>
      </c>
      <c r="BP54" s="212">
        <f t="shared" ref="BP54:BW54" si="451">BP53+BP51+BP52</f>
        <v>1158.9528898418239</v>
      </c>
      <c r="BQ54" s="212">
        <f t="shared" si="451"/>
        <v>1414.2165595832148</v>
      </c>
      <c r="BR54" s="212">
        <f t="shared" si="451"/>
        <v>1696.2471215812488</v>
      </c>
      <c r="BS54" s="214">
        <f t="shared" si="451"/>
        <v>1976.2383428177236</v>
      </c>
      <c r="BT54" s="212">
        <f t="shared" si="451"/>
        <v>2251.5789171630267</v>
      </c>
      <c r="BU54" s="212">
        <f t="shared" si="451"/>
        <v>2528.5782448541172</v>
      </c>
      <c r="BV54" s="212">
        <f t="shared" si="451"/>
        <v>2845.8919431339168</v>
      </c>
      <c r="BW54" s="212">
        <f t="shared" si="451"/>
        <v>3145.8306567301688</v>
      </c>
      <c r="BX54" s="20"/>
      <c r="BY54" s="212">
        <f>BY53+BY51+BY52</f>
        <v>53.90900000000002</v>
      </c>
      <c r="BZ54" s="212">
        <f>BZ53+BZ51+BZ52</f>
        <v>105.3339999999998</v>
      </c>
      <c r="CA54" s="212">
        <f>CA53+CA51+CA52</f>
        <v>68.729999999999833</v>
      </c>
      <c r="CB54" s="212">
        <f t="shared" ref="CB54:CH54" si="452">CB53+CB51+CB52</f>
        <v>565.27299999999968</v>
      </c>
      <c r="CC54" s="212">
        <f t="shared" si="452"/>
        <v>167.4769999999998</v>
      </c>
      <c r="CD54" s="212">
        <f t="shared" si="452"/>
        <v>487.73599999999993</v>
      </c>
      <c r="CE54" s="212">
        <f t="shared" si="452"/>
        <v>446.32899999999978</v>
      </c>
      <c r="CF54" s="212">
        <f t="shared" si="452"/>
        <v>492.12999999999977</v>
      </c>
      <c r="CG54" s="213">
        <f t="shared" si="452"/>
        <v>703.92399999999975</v>
      </c>
      <c r="CH54" s="212">
        <f t="shared" si="452"/>
        <v>635.75499999999965</v>
      </c>
      <c r="CI54" s="213">
        <f t="shared" ref="CI54:CN54" si="453">CI53+CI51+CI52</f>
        <v>528.33399999999961</v>
      </c>
      <c r="CJ54" s="213">
        <f t="shared" si="453"/>
        <v>466.60299999999972</v>
      </c>
      <c r="CK54" s="212">
        <f t="shared" si="453"/>
        <v>607.81499999999937</v>
      </c>
      <c r="CL54" s="212">
        <f t="shared" si="453"/>
        <v>2092.7510000000002</v>
      </c>
      <c r="CM54" s="212">
        <f t="shared" si="453"/>
        <v>908.68400000000133</v>
      </c>
      <c r="CN54" s="212">
        <f t="shared" si="453"/>
        <v>905.80638599740269</v>
      </c>
      <c r="CO54" s="212">
        <f>CO53+CO51+CO52</f>
        <v>1976.2383428177236</v>
      </c>
      <c r="CP54" s="214">
        <f>CP53+CP51+CP52</f>
        <v>3145.8306567301688</v>
      </c>
      <c r="CQ54" s="20"/>
      <c r="CR54" s="213">
        <f>CR53+CR51+CR52</f>
        <v>58.174000000000028</v>
      </c>
      <c r="CS54" s="212">
        <f>CS53+CS51+CS52</f>
        <v>76.182999999999709</v>
      </c>
      <c r="CT54" s="212">
        <f>CT53+CT51+CT52</f>
        <v>157.45199999999988</v>
      </c>
      <c r="CU54" s="212">
        <f t="shared" ref="CU54:DA54" si="454">CU53+CU51+CU52</f>
        <v>153.27699999999982</v>
      </c>
      <c r="CV54" s="212">
        <f t="shared" si="454"/>
        <v>831.00499999999977</v>
      </c>
      <c r="CW54" s="212">
        <f t="shared" si="454"/>
        <v>391.19399999999996</v>
      </c>
      <c r="CX54" s="212">
        <f t="shared" si="454"/>
        <v>361.29099999999994</v>
      </c>
      <c r="CY54" s="212">
        <f t="shared" si="454"/>
        <v>500.61599999999993</v>
      </c>
      <c r="CZ54" s="212">
        <f t="shared" si="454"/>
        <v>605.72499999999968</v>
      </c>
      <c r="DA54" s="212">
        <f t="shared" si="454"/>
        <v>465.29299999999967</v>
      </c>
      <c r="DB54" s="212">
        <f t="shared" ref="DB54:DG54" si="455">DB53+DB51+DB52</f>
        <v>375.09999999999968</v>
      </c>
      <c r="DC54" s="212">
        <f t="shared" si="455"/>
        <v>456.33899999999966</v>
      </c>
      <c r="DD54" s="212">
        <f t="shared" si="455"/>
        <v>331.45099999999979</v>
      </c>
      <c r="DE54" s="212">
        <f t="shared" si="455"/>
        <v>663.93800000000022</v>
      </c>
      <c r="DF54" s="212">
        <f t="shared" si="455"/>
        <v>672.07900000000097</v>
      </c>
      <c r="DG54" s="212">
        <f t="shared" si="455"/>
        <v>1696.2471215812484</v>
      </c>
      <c r="DH54" s="212">
        <f t="shared" ref="DH54" si="456">DH53+DH51+DH52</f>
        <v>2845.8919431339164</v>
      </c>
      <c r="DI54" s="22"/>
    </row>
    <row r="55" spans="1:113" ht="14.25" customHeight="1">
      <c r="A55" s="8"/>
      <c r="B55" s="1191"/>
      <c r="C55" s="21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  <c r="AB55" s="205"/>
      <c r="AC55" s="205"/>
      <c r="AD55" s="205"/>
      <c r="AE55" s="205"/>
      <c r="AF55" s="205"/>
      <c r="AG55" s="205"/>
      <c r="AH55" s="205"/>
      <c r="AI55" s="205"/>
      <c r="AJ55" s="205"/>
      <c r="AK55" s="205"/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14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05"/>
      <c r="CK55" s="205"/>
      <c r="CL55" s="205"/>
      <c r="CM55" s="205"/>
      <c r="CN55" s="205"/>
      <c r="CO55" s="205"/>
      <c r="CP55" s="205"/>
      <c r="CQ55" s="8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8"/>
    </row>
    <row r="56" spans="1:113" ht="14.25" customHeight="1">
      <c r="A56" s="8"/>
      <c r="B56" s="73" t="str">
        <f t="shared" si="417"/>
        <v>vs. Balance Sheet</v>
      </c>
      <c r="C56" s="217"/>
      <c r="D56" s="158">
        <f>BS!D9</f>
        <v>62.52</v>
      </c>
      <c r="E56" s="156">
        <f>BS!E9</f>
        <v>45.65</v>
      </c>
      <c r="F56" s="156">
        <f>BS!F9</f>
        <v>48.335999999999999</v>
      </c>
      <c r="G56" s="159">
        <f>BS!G9</f>
        <v>53.908999999999999</v>
      </c>
      <c r="H56" s="158">
        <f>BS!H9</f>
        <v>47.649000000000001</v>
      </c>
      <c r="I56" s="156">
        <f>BS!I9</f>
        <v>44.462000000000003</v>
      </c>
      <c r="J56" s="156">
        <f>BS!J9</f>
        <v>58.173999999999999</v>
      </c>
      <c r="K56" s="159">
        <f>BS!K9</f>
        <v>105.334</v>
      </c>
      <c r="L56" s="158">
        <f>BS!L9</f>
        <v>86.885999999999996</v>
      </c>
      <c r="M56" s="156">
        <f>BS!M9</f>
        <v>75.224999999999994</v>
      </c>
      <c r="N56" s="156">
        <f>BS!N9</f>
        <v>76.183000000000007</v>
      </c>
      <c r="O56" s="159">
        <f>BS!O9</f>
        <v>68.73</v>
      </c>
      <c r="P56" s="158">
        <f>BS!P9</f>
        <v>141.37200000000001</v>
      </c>
      <c r="Q56" s="156">
        <f>BS!Q9</f>
        <v>110.08</v>
      </c>
      <c r="R56" s="156">
        <f>BS!R9</f>
        <v>157.452</v>
      </c>
      <c r="S56" s="159">
        <f>BS!S9</f>
        <v>565.27300000000002</v>
      </c>
      <c r="T56" s="158">
        <f>BS!T9</f>
        <v>136.65600000000001</v>
      </c>
      <c r="U56" s="156">
        <f>BS!U9</f>
        <v>132.56899999999999</v>
      </c>
      <c r="V56" s="156">
        <f>BS!V9</f>
        <v>153.27699999999999</v>
      </c>
      <c r="W56" s="159">
        <f>BS!W9</f>
        <v>167.477</v>
      </c>
      <c r="X56" s="158">
        <f>BS!X9</f>
        <v>168.00299999999999</v>
      </c>
      <c r="Y56" s="156">
        <f>BS!Y9</f>
        <v>174.22499999999999</v>
      </c>
      <c r="Z56" s="156">
        <f>BS!Z9</f>
        <v>831.005</v>
      </c>
      <c r="AA56" s="159">
        <f>BS!AA9</f>
        <v>487.73599999999999</v>
      </c>
      <c r="AB56" s="158">
        <f>BS!AB9</f>
        <v>685.57500000000005</v>
      </c>
      <c r="AC56" s="156">
        <f>BS!AC9</f>
        <v>311.738</v>
      </c>
      <c r="AD56" s="156">
        <f>BS!AD9</f>
        <v>391.19400000000002</v>
      </c>
      <c r="AE56" s="159">
        <f>BS!AE9</f>
        <v>446.32900000000001</v>
      </c>
      <c r="AF56" s="158">
        <f>BS!AF9</f>
        <v>576.97900000000004</v>
      </c>
      <c r="AG56" s="156">
        <f>BS!AG9</f>
        <v>541.04499999999996</v>
      </c>
      <c r="AH56" s="156">
        <f>BS!AH9</f>
        <v>361.291</v>
      </c>
      <c r="AI56" s="159">
        <f>BS!AI9</f>
        <v>492.13</v>
      </c>
      <c r="AJ56" s="158">
        <f>BS!AJ9</f>
        <v>523.47400000000005</v>
      </c>
      <c r="AK56" s="156">
        <f>BS!AK9</f>
        <v>423.721</v>
      </c>
      <c r="AL56" s="156">
        <f>BS!AL9</f>
        <v>500.61599999999999</v>
      </c>
      <c r="AM56" s="159">
        <f>BS!AM9</f>
        <v>703.92399999999998</v>
      </c>
      <c r="AN56" s="156">
        <f>BS!AN9</f>
        <v>651.38300000000004</v>
      </c>
      <c r="AO56" s="156">
        <f>BS!AO9</f>
        <v>675.12900000000002</v>
      </c>
      <c r="AP56" s="156">
        <f>BS!AP9</f>
        <v>605.72500000000002</v>
      </c>
      <c r="AQ56" s="159">
        <f>BS!AQ9</f>
        <v>635.755</v>
      </c>
      <c r="AR56" s="156">
        <f>BS!AR9</f>
        <v>779.84799999999996</v>
      </c>
      <c r="AS56" s="156">
        <f>BS!AS9</f>
        <v>436.73500000000001</v>
      </c>
      <c r="AT56" s="156">
        <f>BS!AT9</f>
        <v>465.29300000000001</v>
      </c>
      <c r="AU56" s="159">
        <f>BS!AU9</f>
        <v>528.33399999999995</v>
      </c>
      <c r="AV56" s="156">
        <f>BS!AV9</f>
        <v>403.23099999999999</v>
      </c>
      <c r="AW56" s="156">
        <f>BS!AW9</f>
        <v>344.202</v>
      </c>
      <c r="AX56" s="156">
        <f>BS!AX9</f>
        <v>375.1</v>
      </c>
      <c r="AY56" s="159">
        <f>BS!AY9</f>
        <v>466.60300000000001</v>
      </c>
      <c r="AZ56" s="156">
        <f>BS!AZ9</f>
        <v>617.77</v>
      </c>
      <c r="BA56" s="156">
        <f>BS!BA9</f>
        <v>481.43900000000002</v>
      </c>
      <c r="BB56" s="156">
        <f>BS!BB9</f>
        <v>456.339</v>
      </c>
      <c r="BC56" s="157">
        <f>BS!BC9</f>
        <v>607.81500000000005</v>
      </c>
      <c r="BD56" s="156">
        <f>BS!BD9</f>
        <v>563.54700000000003</v>
      </c>
      <c r="BE56" s="156">
        <f>BS!BE9</f>
        <v>539.07799999999997</v>
      </c>
      <c r="BF56" s="156">
        <f>BS!BF9</f>
        <v>331.45100000000002</v>
      </c>
      <c r="BG56" s="157">
        <f>BS!BG9</f>
        <v>2092.7510000000002</v>
      </c>
      <c r="BH56" s="156">
        <f>BS!BH9</f>
        <v>600.52599999999995</v>
      </c>
      <c r="BI56" s="156">
        <f>BS!BI9</f>
        <v>489.988</v>
      </c>
      <c r="BJ56" s="156">
        <f>BS!BJ9</f>
        <v>663.93799999999999</v>
      </c>
      <c r="BK56" s="157">
        <f>BS!BK9</f>
        <v>908.68399999999997</v>
      </c>
      <c r="BL56" s="156">
        <f>BS!BL9</f>
        <v>773.03599999999994</v>
      </c>
      <c r="BM56" s="156">
        <f>BS!BM9</f>
        <v>826.40700000000004</v>
      </c>
      <c r="BN56" s="156">
        <f>BS!BN9</f>
        <v>672.07899999999995</v>
      </c>
      <c r="BO56" s="157">
        <f>BS!BO9</f>
        <v>905.80638599740155</v>
      </c>
      <c r="BP56" s="156">
        <f>BS!BP9</f>
        <v>1158.9528898418225</v>
      </c>
      <c r="BQ56" s="156">
        <f>BS!BQ9</f>
        <v>1414.2165595832134</v>
      </c>
      <c r="BR56" s="156">
        <f>BS!BR9</f>
        <v>1696.2471215812475</v>
      </c>
      <c r="BS56" s="157">
        <f>BS!BS9</f>
        <v>1976.2383428177222</v>
      </c>
      <c r="BT56" s="156">
        <f>BS!BT9</f>
        <v>2251.5789171630254</v>
      </c>
      <c r="BU56" s="156">
        <f>BS!BU9</f>
        <v>2528.5782448541158</v>
      </c>
      <c r="BV56" s="156">
        <f>BS!BV9</f>
        <v>2845.8919431339154</v>
      </c>
      <c r="BW56" s="157">
        <f>BS!BW9</f>
        <v>3145.8306567301674</v>
      </c>
      <c r="BX56" s="20"/>
      <c r="BY56" s="218">
        <f>BS!BY9</f>
        <v>53.908999999999999</v>
      </c>
      <c r="BZ56" s="218">
        <f>BS!BZ9</f>
        <v>105.334</v>
      </c>
      <c r="CA56" s="218">
        <f>BS!CA9</f>
        <v>68.73</v>
      </c>
      <c r="CB56" s="218">
        <f>BS!CB9</f>
        <v>565.27300000000002</v>
      </c>
      <c r="CC56" s="218">
        <f>BS!CC9</f>
        <v>167.477</v>
      </c>
      <c r="CD56" s="218">
        <f>BS!CD9</f>
        <v>487.73599999999999</v>
      </c>
      <c r="CE56" s="218">
        <f>BS!CE9</f>
        <v>446.32900000000001</v>
      </c>
      <c r="CF56" s="218">
        <f>BS!CF9</f>
        <v>492.13</v>
      </c>
      <c r="CG56" s="218">
        <f>BS!CG9</f>
        <v>703.92399999999998</v>
      </c>
      <c r="CH56" s="218">
        <f>BS!CH9</f>
        <v>635.755</v>
      </c>
      <c r="CI56" s="218">
        <f>BS!CI9</f>
        <v>528.33399999999995</v>
      </c>
      <c r="CJ56" s="218">
        <f>BS!CJ9</f>
        <v>466.60300000000001</v>
      </c>
      <c r="CK56" s="218">
        <f>BS!CK9</f>
        <v>607.81500000000005</v>
      </c>
      <c r="CL56" s="218">
        <f>BS!CL9</f>
        <v>2092.7510000000002</v>
      </c>
      <c r="CM56" s="218">
        <f>BS!CM9</f>
        <v>908.68399999999997</v>
      </c>
      <c r="CN56" s="218">
        <f>BS!CN9</f>
        <v>905.80638599740155</v>
      </c>
      <c r="CO56" s="218">
        <f>BS!CO9</f>
        <v>1976.2383428177222</v>
      </c>
      <c r="CP56" s="218">
        <f>BS!CP9</f>
        <v>3145.8306567301674</v>
      </c>
      <c r="CQ56" s="20"/>
      <c r="CR56" s="299">
        <f>BS!CR9</f>
        <v>58.173999999999999</v>
      </c>
      <c r="CS56" s="218">
        <f>BS!CS9</f>
        <v>76.183000000000007</v>
      </c>
      <c r="CT56" s="218">
        <f>BS!CT9</f>
        <v>157.452</v>
      </c>
      <c r="CU56" s="218">
        <f>BS!CU9</f>
        <v>153.27699999999999</v>
      </c>
      <c r="CV56" s="218">
        <f>BS!CV9</f>
        <v>831.005</v>
      </c>
      <c r="CW56" s="218">
        <f>BS!CW9</f>
        <v>391.19400000000002</v>
      </c>
      <c r="CX56" s="218">
        <f>BS!CX9</f>
        <v>361.291</v>
      </c>
      <c r="CY56" s="218">
        <f>BS!CY9</f>
        <v>500.61599999999999</v>
      </c>
      <c r="CZ56" s="218">
        <f>BS!CZ9</f>
        <v>605.72500000000002</v>
      </c>
      <c r="DA56" s="218">
        <f>BS!DA9</f>
        <v>465.29300000000001</v>
      </c>
      <c r="DB56" s="218">
        <f>BS!DB9</f>
        <v>375.1</v>
      </c>
      <c r="DC56" s="218">
        <f>BS!DC9</f>
        <v>456.339</v>
      </c>
      <c r="DD56" s="218">
        <f>BS!DD9</f>
        <v>331.45100000000002</v>
      </c>
      <c r="DE56" s="218">
        <f>BS!DE9</f>
        <v>663.93799999999999</v>
      </c>
      <c r="DF56" s="218">
        <f>BS!DF9</f>
        <v>672.07899999999995</v>
      </c>
      <c r="DG56" s="218">
        <f>BS!DG9</f>
        <v>1696.2471215812475</v>
      </c>
      <c r="DH56" s="218">
        <f>BS!DH9</f>
        <v>2845.8919431339154</v>
      </c>
      <c r="DI56" s="22"/>
    </row>
    <row r="57" spans="1:113" ht="14.25" customHeight="1">
      <c r="A57" s="8"/>
      <c r="B57" s="131" t="str">
        <f t="shared" si="417"/>
        <v>Check</v>
      </c>
      <c r="C57" s="132"/>
      <c r="D57" s="135">
        <f t="shared" ref="D57:O57" si="457">IF(ROUND(D56,4)=ROUND(D54,4),0,(D56-D54))</f>
        <v>0</v>
      </c>
      <c r="E57" s="133">
        <f t="shared" si="457"/>
        <v>0</v>
      </c>
      <c r="F57" s="133">
        <f t="shared" si="457"/>
        <v>0</v>
      </c>
      <c r="G57" s="134">
        <f t="shared" si="457"/>
        <v>0</v>
      </c>
      <c r="H57" s="135">
        <f t="shared" si="457"/>
        <v>0</v>
      </c>
      <c r="I57" s="133">
        <f t="shared" si="457"/>
        <v>0</v>
      </c>
      <c r="J57" s="133">
        <f t="shared" si="457"/>
        <v>0</v>
      </c>
      <c r="K57" s="134">
        <f t="shared" si="457"/>
        <v>0</v>
      </c>
      <c r="L57" s="135">
        <f t="shared" si="457"/>
        <v>0</v>
      </c>
      <c r="M57" s="133">
        <f t="shared" si="457"/>
        <v>0</v>
      </c>
      <c r="N57" s="133">
        <f t="shared" si="457"/>
        <v>0</v>
      </c>
      <c r="O57" s="134">
        <f t="shared" si="457"/>
        <v>0</v>
      </c>
      <c r="P57" s="135">
        <f t="shared" ref="P57:AX57" si="458">IF(ROUND(P56,4)=ROUND(P54,4),0,(P56-P54))</f>
        <v>0</v>
      </c>
      <c r="Q57" s="133">
        <f t="shared" si="458"/>
        <v>0</v>
      </c>
      <c r="R57" s="133">
        <f t="shared" si="458"/>
        <v>0</v>
      </c>
      <c r="S57" s="134">
        <f t="shared" si="458"/>
        <v>0</v>
      </c>
      <c r="T57" s="135">
        <f t="shared" si="458"/>
        <v>0</v>
      </c>
      <c r="U57" s="133">
        <f t="shared" si="458"/>
        <v>0</v>
      </c>
      <c r="V57" s="133">
        <f t="shared" si="458"/>
        <v>0</v>
      </c>
      <c r="W57" s="134">
        <f t="shared" si="458"/>
        <v>0</v>
      </c>
      <c r="X57" s="135">
        <f t="shared" si="458"/>
        <v>0</v>
      </c>
      <c r="Y57" s="133">
        <f t="shared" si="458"/>
        <v>0</v>
      </c>
      <c r="Z57" s="133">
        <f t="shared" si="458"/>
        <v>0</v>
      </c>
      <c r="AA57" s="134">
        <f t="shared" si="458"/>
        <v>0</v>
      </c>
      <c r="AB57" s="135">
        <f t="shared" si="458"/>
        <v>0</v>
      </c>
      <c r="AC57" s="133">
        <f t="shared" si="458"/>
        <v>0</v>
      </c>
      <c r="AD57" s="133">
        <f t="shared" si="458"/>
        <v>0</v>
      </c>
      <c r="AE57" s="134">
        <f t="shared" si="458"/>
        <v>0</v>
      </c>
      <c r="AF57" s="135">
        <f t="shared" si="458"/>
        <v>0</v>
      </c>
      <c r="AG57" s="133">
        <f t="shared" si="458"/>
        <v>0</v>
      </c>
      <c r="AH57" s="133">
        <f t="shared" si="458"/>
        <v>0</v>
      </c>
      <c r="AI57" s="134">
        <f t="shared" si="458"/>
        <v>0</v>
      </c>
      <c r="AJ57" s="135">
        <f t="shared" si="458"/>
        <v>0</v>
      </c>
      <c r="AK57" s="133">
        <f t="shared" si="458"/>
        <v>0</v>
      </c>
      <c r="AL57" s="133">
        <f t="shared" si="458"/>
        <v>0</v>
      </c>
      <c r="AM57" s="134">
        <f t="shared" si="458"/>
        <v>0</v>
      </c>
      <c r="AN57" s="135">
        <f>IF(ROUND(AN56,4)=ROUND(AN54,4),0,(AN56-AN54))</f>
        <v>0</v>
      </c>
      <c r="AO57" s="133">
        <f t="shared" si="458"/>
        <v>0</v>
      </c>
      <c r="AP57" s="133">
        <f t="shared" si="458"/>
        <v>0</v>
      </c>
      <c r="AQ57" s="134">
        <f t="shared" si="458"/>
        <v>0</v>
      </c>
      <c r="AR57" s="135">
        <f>IF(ROUND(AR56,4)=ROUND(AR54,4),0,(AR56-AR54))</f>
        <v>0</v>
      </c>
      <c r="AS57" s="133">
        <f t="shared" si="458"/>
        <v>0</v>
      </c>
      <c r="AT57" s="133">
        <f t="shared" si="458"/>
        <v>0</v>
      </c>
      <c r="AU57" s="134">
        <f t="shared" si="458"/>
        <v>0</v>
      </c>
      <c r="AV57" s="135">
        <f>IF(ROUND(AV56,4)=ROUND(AV54,4),0,(AV56-AV54))</f>
        <v>0</v>
      </c>
      <c r="AW57" s="133">
        <f t="shared" si="458"/>
        <v>0</v>
      </c>
      <c r="AX57" s="133">
        <f t="shared" si="458"/>
        <v>0</v>
      </c>
      <c r="AY57" s="134">
        <f t="shared" ref="AY57:BL57" si="459">IF(ROUND(AY56,4)=ROUND(AY54,4),0,(AY56-AY54))</f>
        <v>0</v>
      </c>
      <c r="AZ57" s="135">
        <f t="shared" si="459"/>
        <v>0</v>
      </c>
      <c r="BA57" s="133">
        <f t="shared" si="459"/>
        <v>0</v>
      </c>
      <c r="BB57" s="133">
        <f t="shared" si="459"/>
        <v>0</v>
      </c>
      <c r="BC57" s="134">
        <f t="shared" si="459"/>
        <v>0</v>
      </c>
      <c r="BD57" s="133">
        <f t="shared" si="459"/>
        <v>0</v>
      </c>
      <c r="BE57" s="133">
        <f>IF(ROUND(BE56,4)=ROUND(BE54,4),0,(BE56-BE54))</f>
        <v>0</v>
      </c>
      <c r="BF57" s="133">
        <f>IF(ROUND(BF56,4)=ROUND(BF54,4),0,(BF56-BF54))</f>
        <v>0</v>
      </c>
      <c r="BG57" s="134">
        <f>IF(ROUND(BG56,4)=ROUND(BG54,4),0,(BG56-BG54))</f>
        <v>0</v>
      </c>
      <c r="BH57" s="133">
        <f t="shared" ref="BH57" si="460">IF(ROUND(BH56,4)=ROUND(BH54,4),0,(BH56-BH54))</f>
        <v>0</v>
      </c>
      <c r="BI57" s="133">
        <f>IF(ROUND(BI56,4)=ROUND(BI54,4),0,(BI56-BI54))</f>
        <v>0</v>
      </c>
      <c r="BJ57" s="133">
        <f>IF(ROUND(BJ56,4)=ROUND(BJ54,4),0,(BJ56-BJ54))</f>
        <v>0</v>
      </c>
      <c r="BK57" s="134">
        <f t="shared" si="459"/>
        <v>0</v>
      </c>
      <c r="BL57" s="133">
        <f t="shared" si="459"/>
        <v>0</v>
      </c>
      <c r="BM57" s="133">
        <f>IF(ROUND(BM56,4)=ROUND(BM54,4),0,(BM56-BM54))</f>
        <v>0</v>
      </c>
      <c r="BN57" s="133">
        <f>IF(ROUND(BN56,4)=ROUND(BN54,4),0,(BN56-BN54))</f>
        <v>0</v>
      </c>
      <c r="BO57" s="134">
        <f t="shared" ref="BO57:BS57" si="461">IF(ROUND(BO56,4)=ROUND(BO54,4),0,(BO56-BO54))</f>
        <v>0</v>
      </c>
      <c r="BP57" s="133">
        <f t="shared" si="461"/>
        <v>0</v>
      </c>
      <c r="BQ57" s="133">
        <f t="shared" si="461"/>
        <v>0</v>
      </c>
      <c r="BR57" s="133">
        <f t="shared" si="461"/>
        <v>0</v>
      </c>
      <c r="BS57" s="134">
        <f t="shared" si="461"/>
        <v>0</v>
      </c>
      <c r="BT57" s="133">
        <f t="shared" ref="BT57:BW57" si="462">IF(ROUND(BT56,4)=ROUND(BT54,4),0,(BT56-BT54))</f>
        <v>0</v>
      </c>
      <c r="BU57" s="133">
        <f t="shared" si="462"/>
        <v>0</v>
      </c>
      <c r="BV57" s="133">
        <f t="shared" si="462"/>
        <v>0</v>
      </c>
      <c r="BW57" s="134">
        <f t="shared" si="462"/>
        <v>0</v>
      </c>
      <c r="BX57" s="20"/>
      <c r="BY57" s="219">
        <f>IF(ROUND(BY56,4)=ROUND(BY54,4),0,(BY56-BY54))</f>
        <v>0</v>
      </c>
      <c r="BZ57" s="219">
        <f>IF(ROUND(BZ56,4)=ROUND(BZ54,4),0,(BZ56-BZ54))</f>
        <v>0</v>
      </c>
      <c r="CA57" s="219">
        <f>IF(ROUND(CA56,4)=ROUND(CA54,4),0,(CA56-CA54))</f>
        <v>0</v>
      </c>
      <c r="CB57" s="219">
        <f t="shared" ref="CB57:CH57" si="463">IF(ROUND(CB56,4)=ROUND(CB54,4),0,(CB56-CB54))</f>
        <v>0</v>
      </c>
      <c r="CC57" s="219">
        <f t="shared" si="463"/>
        <v>0</v>
      </c>
      <c r="CD57" s="219">
        <f t="shared" si="463"/>
        <v>0</v>
      </c>
      <c r="CE57" s="219">
        <f t="shared" si="463"/>
        <v>0</v>
      </c>
      <c r="CF57" s="219">
        <f t="shared" si="463"/>
        <v>0</v>
      </c>
      <c r="CG57" s="219">
        <f t="shared" si="463"/>
        <v>0</v>
      </c>
      <c r="CH57" s="219">
        <f t="shared" si="463"/>
        <v>0</v>
      </c>
      <c r="CI57" s="219">
        <f t="shared" ref="CI57:CN57" si="464">IF(ROUND(CI56,4)=ROUND(CI54,4),0,(CI56-CI54))</f>
        <v>0</v>
      </c>
      <c r="CJ57" s="219">
        <f t="shared" si="464"/>
        <v>0</v>
      </c>
      <c r="CK57" s="219">
        <f t="shared" si="464"/>
        <v>0</v>
      </c>
      <c r="CL57" s="219">
        <f t="shared" si="464"/>
        <v>0</v>
      </c>
      <c r="CM57" s="219">
        <f t="shared" si="464"/>
        <v>0</v>
      </c>
      <c r="CN57" s="219">
        <f t="shared" si="464"/>
        <v>0</v>
      </c>
      <c r="CO57" s="219">
        <f>IF(ROUND(CO56,4)=ROUND(CO54,4),0,(CO56-CO54))</f>
        <v>0</v>
      </c>
      <c r="CP57" s="219">
        <f>IF(ROUND(CP56,4)=ROUND(CP54,4),0,(CP56-CP54))</f>
        <v>0</v>
      </c>
      <c r="CQ57" s="20"/>
      <c r="CR57" s="300">
        <f>IF(ROUND(CR56,4)=ROUND(CR54,4),0,(CR56-CR54))</f>
        <v>0</v>
      </c>
      <c r="CS57" s="219">
        <f>IF(ROUND(CS56,4)=ROUND(CS54,4),0,(CS56-CS54))</f>
        <v>0</v>
      </c>
      <c r="CT57" s="219">
        <f>IF(ROUND(CT56,4)=ROUND(CT54,4),0,(CT56-CT54))</f>
        <v>0</v>
      </c>
      <c r="CU57" s="219">
        <f t="shared" ref="CU57:DA57" si="465">IF(ROUND(CU56,4)=ROUND(CU54,4),0,(CU56-CU54))</f>
        <v>0</v>
      </c>
      <c r="CV57" s="219">
        <f t="shared" si="465"/>
        <v>0</v>
      </c>
      <c r="CW57" s="219">
        <f t="shared" si="465"/>
        <v>0</v>
      </c>
      <c r="CX57" s="219">
        <f t="shared" si="465"/>
        <v>0</v>
      </c>
      <c r="CY57" s="219">
        <f t="shared" si="465"/>
        <v>0</v>
      </c>
      <c r="CZ57" s="219">
        <f t="shared" si="465"/>
        <v>0</v>
      </c>
      <c r="DA57" s="219">
        <f t="shared" si="465"/>
        <v>0</v>
      </c>
      <c r="DB57" s="219">
        <f t="shared" ref="DB57:DG57" si="466">IF(ROUND(DB56,4)=ROUND(DB54,4),0,(DB56-DB54))</f>
        <v>0</v>
      </c>
      <c r="DC57" s="219">
        <f t="shared" si="466"/>
        <v>0</v>
      </c>
      <c r="DD57" s="219">
        <f t="shared" si="466"/>
        <v>0</v>
      </c>
      <c r="DE57" s="219">
        <f t="shared" si="466"/>
        <v>0</v>
      </c>
      <c r="DF57" s="219">
        <f t="shared" si="466"/>
        <v>0</v>
      </c>
      <c r="DG57" s="219">
        <f t="shared" si="466"/>
        <v>0</v>
      </c>
      <c r="DH57" s="219">
        <f t="shared" ref="DH57" si="467">IF(ROUND(DH56,4)=ROUND(DH54,4),0,(DH56-DH54))</f>
        <v>0</v>
      </c>
      <c r="DI57" s="22"/>
    </row>
    <row r="58" spans="1:113" ht="14.25" customHeight="1">
      <c r="A58" s="8"/>
      <c r="B58" s="220"/>
      <c r="C58" s="220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221"/>
      <c r="AZ58" s="221"/>
      <c r="BA58" s="221"/>
      <c r="BB58" s="221"/>
      <c r="BC58" s="221"/>
      <c r="BD58" s="221"/>
      <c r="BE58" s="221"/>
      <c r="BF58" s="221"/>
      <c r="BG58" s="221"/>
      <c r="BH58" s="221"/>
      <c r="BI58" s="221"/>
      <c r="BJ58" s="221"/>
      <c r="BK58" s="221"/>
      <c r="BL58" s="221"/>
      <c r="BM58" s="221"/>
      <c r="BN58" s="221"/>
      <c r="BO58" s="221"/>
      <c r="BP58" s="221"/>
      <c r="BQ58" s="221"/>
      <c r="BR58" s="221"/>
      <c r="BS58" s="221"/>
      <c r="BT58" s="221"/>
      <c r="BU58" s="221"/>
      <c r="BV58" s="221"/>
      <c r="BW58" s="221"/>
      <c r="BX58" s="14"/>
      <c r="BY58" s="221"/>
      <c r="BZ58" s="221"/>
      <c r="CA58" s="221"/>
      <c r="CB58" s="221"/>
      <c r="CC58" s="221"/>
      <c r="CD58" s="221"/>
      <c r="CE58" s="221"/>
      <c r="CF58" s="221"/>
      <c r="CG58" s="221"/>
      <c r="CH58" s="221"/>
      <c r="CI58" s="221"/>
      <c r="CJ58" s="221"/>
      <c r="CK58" s="221"/>
      <c r="CL58" s="221"/>
      <c r="CM58" s="221"/>
      <c r="CN58" s="221"/>
      <c r="CO58" s="221"/>
      <c r="CP58" s="221"/>
      <c r="CQ58" s="8"/>
      <c r="CR58" s="221"/>
      <c r="CS58" s="221"/>
      <c r="CT58" s="221"/>
      <c r="CU58" s="221"/>
      <c r="CV58" s="221"/>
      <c r="CW58" s="221"/>
      <c r="CX58" s="221"/>
      <c r="CY58" s="221"/>
      <c r="CZ58" s="221"/>
      <c r="DA58" s="221"/>
      <c r="DB58" s="221"/>
      <c r="DC58" s="221"/>
      <c r="DD58" s="221"/>
      <c r="DE58" s="221"/>
      <c r="DF58" s="221"/>
      <c r="DG58" s="221"/>
      <c r="DH58" s="221"/>
      <c r="DI58" s="8"/>
    </row>
    <row r="59" spans="1:113" ht="14.25" customHeight="1">
      <c r="A59" s="8"/>
      <c r="B59" s="14"/>
      <c r="C59" s="14"/>
      <c r="D59" s="222"/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56"/>
      <c r="AO59" s="222"/>
      <c r="AP59" s="222"/>
      <c r="AQ59" s="222"/>
      <c r="AR59" s="256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1195"/>
      <c r="BE59" s="222"/>
      <c r="BF59" s="222"/>
      <c r="BG59" s="222"/>
      <c r="BH59" s="1195"/>
      <c r="BI59" s="222"/>
      <c r="BJ59" s="222"/>
      <c r="BK59" s="222"/>
      <c r="BL59" s="222"/>
      <c r="BM59" s="222"/>
      <c r="BN59" s="1534"/>
      <c r="BO59" s="222"/>
      <c r="BP59" s="222"/>
      <c r="BQ59" s="222"/>
      <c r="BR59" s="222"/>
      <c r="BS59" s="222"/>
      <c r="BT59" s="222"/>
      <c r="BU59" s="222"/>
      <c r="BV59" s="222"/>
      <c r="BW59" s="222"/>
      <c r="BX59" s="14"/>
      <c r="BY59" s="222"/>
      <c r="BZ59" s="222"/>
      <c r="CA59" s="222"/>
      <c r="CB59" s="222"/>
      <c r="CC59" s="222"/>
      <c r="CD59" s="222"/>
      <c r="CE59" s="887"/>
      <c r="CF59" s="222"/>
      <c r="CG59" s="222"/>
      <c r="CH59" s="222"/>
      <c r="CI59" s="222"/>
      <c r="CJ59" s="222"/>
      <c r="CK59" s="222"/>
      <c r="CL59" s="222"/>
      <c r="CM59" s="222"/>
      <c r="CN59" s="887"/>
      <c r="CO59" s="887"/>
      <c r="CP59" s="887"/>
      <c r="CQ59" s="8"/>
      <c r="CR59" s="222"/>
      <c r="CS59" s="222"/>
      <c r="CT59" s="222"/>
      <c r="CU59" s="222"/>
      <c r="CV59" s="222"/>
      <c r="CW59" s="222"/>
      <c r="CX59" s="222"/>
      <c r="CY59" s="222"/>
      <c r="CZ59" s="222"/>
      <c r="DA59" s="222"/>
      <c r="DB59" s="222"/>
      <c r="DC59" s="222"/>
      <c r="DD59" s="222"/>
      <c r="DE59" s="222"/>
      <c r="DF59" s="887"/>
      <c r="DG59" s="887"/>
      <c r="DH59" s="222"/>
      <c r="DI59" s="8"/>
    </row>
    <row r="60" spans="1:113" ht="14.25" customHeight="1">
      <c r="A60" s="8"/>
      <c r="B60" s="14"/>
      <c r="C60" s="223"/>
      <c r="D60" s="222"/>
      <c r="E60" s="222"/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  <c r="BM60" s="222"/>
      <c r="BN60" s="222"/>
      <c r="BO60" s="256"/>
      <c r="BP60" s="222"/>
      <c r="BQ60" s="222"/>
      <c r="BR60" s="222"/>
      <c r="BS60" s="222"/>
      <c r="BT60" s="222"/>
      <c r="BU60" s="222"/>
      <c r="BV60" s="222"/>
      <c r="BW60" s="222"/>
      <c r="BX60" s="14"/>
      <c r="BY60" s="1120">
        <f>+AVERAGE(BY64:CI64)</f>
        <v>7.4609339514692077E-2</v>
      </c>
      <c r="BZ60" s="222"/>
      <c r="CA60" s="222"/>
      <c r="CB60" s="222"/>
      <c r="CC60" s="222"/>
      <c r="CD60" s="222"/>
      <c r="CE60" s="887"/>
      <c r="CF60" s="222"/>
      <c r="CG60" s="222"/>
      <c r="CH60" s="222"/>
      <c r="CI60" s="222"/>
      <c r="CJ60" s="222"/>
      <c r="CK60" s="222"/>
      <c r="CL60" s="222"/>
      <c r="CM60" s="222"/>
      <c r="CN60" s="887"/>
      <c r="CO60" s="887"/>
      <c r="CP60" s="887"/>
      <c r="CQ60" s="8"/>
      <c r="CR60" s="222"/>
      <c r="CS60" s="222"/>
      <c r="CT60" s="222"/>
      <c r="CU60" s="222"/>
      <c r="CV60" s="222"/>
      <c r="CW60" s="222"/>
      <c r="CX60" s="222"/>
      <c r="CY60" s="222"/>
      <c r="CZ60" s="222"/>
      <c r="DA60" s="222"/>
      <c r="DB60" s="222"/>
      <c r="DC60" s="222"/>
      <c r="DD60" s="222"/>
      <c r="DE60" s="222"/>
      <c r="DF60" s="887"/>
      <c r="DG60" s="887"/>
      <c r="DH60" s="222"/>
      <c r="DI60" s="8"/>
    </row>
    <row r="61" spans="1:113" ht="14.25" customHeight="1">
      <c r="A61" s="8"/>
      <c r="B61" s="141" t="s">
        <v>76</v>
      </c>
      <c r="C61" s="142"/>
      <c r="D61" s="224" t="str">
        <f t="shared" ref="D61:O61" si="468">D7</f>
        <v>F1Q03A</v>
      </c>
      <c r="E61" s="224" t="str">
        <f t="shared" si="468"/>
        <v>F2Q03A</v>
      </c>
      <c r="F61" s="224" t="str">
        <f t="shared" si="468"/>
        <v>F3Q03A</v>
      </c>
      <c r="G61" s="225" t="str">
        <f t="shared" si="468"/>
        <v>F4Q03A</v>
      </c>
      <c r="H61" s="224" t="str">
        <f t="shared" si="468"/>
        <v>F1Q04A</v>
      </c>
      <c r="I61" s="224" t="str">
        <f t="shared" si="468"/>
        <v>F2Q04A</v>
      </c>
      <c r="J61" s="224" t="str">
        <f t="shared" si="468"/>
        <v>F3Q04A</v>
      </c>
      <c r="K61" s="225" t="str">
        <f t="shared" si="468"/>
        <v>F4Q04A</v>
      </c>
      <c r="L61" s="224" t="str">
        <f t="shared" si="468"/>
        <v>F1Q05A</v>
      </c>
      <c r="M61" s="224" t="str">
        <f t="shared" si="468"/>
        <v>F2Q05A</v>
      </c>
      <c r="N61" s="224" t="str">
        <f t="shared" si="468"/>
        <v>F3Q05A</v>
      </c>
      <c r="O61" s="225" t="str">
        <f t="shared" si="468"/>
        <v>F4Q05A</v>
      </c>
      <c r="P61" s="224" t="str">
        <f t="shared" ref="P61:AI61" si="469">P7</f>
        <v>F1Q06A</v>
      </c>
      <c r="Q61" s="224" t="str">
        <f t="shared" si="469"/>
        <v>F2Q06A</v>
      </c>
      <c r="R61" s="224" t="str">
        <f t="shared" si="469"/>
        <v>F3Q06A</v>
      </c>
      <c r="S61" s="225" t="str">
        <f t="shared" si="469"/>
        <v>F4Q06A</v>
      </c>
      <c r="T61" s="224" t="str">
        <f t="shared" si="469"/>
        <v>F1Q07A</v>
      </c>
      <c r="U61" s="224" t="str">
        <f t="shared" si="469"/>
        <v>F2Q07A</v>
      </c>
      <c r="V61" s="224" t="str">
        <f t="shared" si="469"/>
        <v>F3Q07A</v>
      </c>
      <c r="W61" s="225" t="str">
        <f t="shared" si="469"/>
        <v>F4Q07A</v>
      </c>
      <c r="X61" s="224" t="str">
        <f t="shared" si="469"/>
        <v>F1Q08A</v>
      </c>
      <c r="Y61" s="224" t="str">
        <f t="shared" si="469"/>
        <v>F2Q08A</v>
      </c>
      <c r="Z61" s="224" t="str">
        <f t="shared" si="469"/>
        <v>F3Q08A</v>
      </c>
      <c r="AA61" s="225" t="str">
        <f t="shared" si="469"/>
        <v>F4Q08A</v>
      </c>
      <c r="AB61" s="224" t="str">
        <f t="shared" si="469"/>
        <v>F1Q09A</v>
      </c>
      <c r="AC61" s="224" t="str">
        <f t="shared" si="469"/>
        <v>F2Q09A</v>
      </c>
      <c r="AD61" s="224" t="str">
        <f t="shared" si="469"/>
        <v>F3Q09A</v>
      </c>
      <c r="AE61" s="225" t="str">
        <f t="shared" si="469"/>
        <v>F4Q09A</v>
      </c>
      <c r="AF61" s="224" t="str">
        <f t="shared" si="469"/>
        <v>F1Q10A</v>
      </c>
      <c r="AG61" s="224" t="str">
        <f t="shared" si="469"/>
        <v>F2Q10A</v>
      </c>
      <c r="AH61" s="224" t="str">
        <f t="shared" si="469"/>
        <v>F3Q10A</v>
      </c>
      <c r="AI61" s="225" t="str">
        <f t="shared" si="469"/>
        <v>F4Q10A</v>
      </c>
      <c r="AJ61" s="224" t="str">
        <f t="shared" ref="AJ61:BC61" si="470">AJ7</f>
        <v>F1Q11A</v>
      </c>
      <c r="AK61" s="224" t="str">
        <f t="shared" si="470"/>
        <v>F2Q11A</v>
      </c>
      <c r="AL61" s="224" t="str">
        <f t="shared" si="470"/>
        <v>F3Q11A</v>
      </c>
      <c r="AM61" s="225" t="str">
        <f t="shared" si="470"/>
        <v>F4Q11A</v>
      </c>
      <c r="AN61" s="224" t="str">
        <f t="shared" ref="AN61:AS61" si="471">AN7</f>
        <v>F1Q12A</v>
      </c>
      <c r="AO61" s="224" t="str">
        <f t="shared" si="471"/>
        <v>F2Q12A</v>
      </c>
      <c r="AP61" s="224" t="str">
        <f t="shared" si="471"/>
        <v>F3Q12A</v>
      </c>
      <c r="AQ61" s="225" t="str">
        <f t="shared" si="471"/>
        <v>F4Q12A</v>
      </c>
      <c r="AR61" s="224" t="str">
        <f t="shared" si="471"/>
        <v>F1Q13A</v>
      </c>
      <c r="AS61" s="224" t="str">
        <f t="shared" si="471"/>
        <v>F2Q13A</v>
      </c>
      <c r="AT61" s="224" t="str">
        <f>AT7</f>
        <v>F3Q13A</v>
      </c>
      <c r="AU61" s="225" t="str">
        <f t="shared" si="470"/>
        <v>F4Q13A</v>
      </c>
      <c r="AV61" s="224" t="str">
        <f t="shared" si="470"/>
        <v>F1Q14A</v>
      </c>
      <c r="AW61" s="224" t="str">
        <f t="shared" si="470"/>
        <v>F2Q14A</v>
      </c>
      <c r="AX61" s="224" t="str">
        <f t="shared" si="470"/>
        <v>F3Q14A</v>
      </c>
      <c r="AY61" s="225" t="str">
        <f t="shared" si="470"/>
        <v>F4Q14A</v>
      </c>
      <c r="AZ61" s="224" t="str">
        <f t="shared" si="470"/>
        <v>F1Q15A</v>
      </c>
      <c r="BA61" s="224" t="str">
        <f t="shared" si="470"/>
        <v>F2Q15A</v>
      </c>
      <c r="BB61" s="224" t="str">
        <f t="shared" si="470"/>
        <v>F3Q15A</v>
      </c>
      <c r="BC61" s="225" t="str">
        <f t="shared" si="470"/>
        <v>F4Q15A</v>
      </c>
      <c r="BD61" s="224" t="str">
        <f t="shared" ref="BD61:BK61" si="472">BD7</f>
        <v>F1Q16A</v>
      </c>
      <c r="BE61" s="224" t="str">
        <f>BE7</f>
        <v>F2Q16A</v>
      </c>
      <c r="BF61" s="224" t="str">
        <f>BF7</f>
        <v>F3Q16A</v>
      </c>
      <c r="BG61" s="225" t="str">
        <f>BG7</f>
        <v>F4Q16A</v>
      </c>
      <c r="BH61" s="224" t="str">
        <f t="shared" ref="BH61" si="473">BH7</f>
        <v>F1Q17A</v>
      </c>
      <c r="BI61" s="224" t="str">
        <f>BI7</f>
        <v>F2Q17A</v>
      </c>
      <c r="BJ61" s="1382" t="str">
        <f>BJ7</f>
        <v>F3Q17A</v>
      </c>
      <c r="BK61" s="1383" t="str">
        <f t="shared" si="472"/>
        <v>F4Q17A</v>
      </c>
      <c r="BL61" s="1395" t="str">
        <f t="shared" ref="BL61:BS61" si="474">BL7</f>
        <v>F1Q18A</v>
      </c>
      <c r="BM61" s="1382" t="str">
        <f t="shared" si="474"/>
        <v>F2Q18A</v>
      </c>
      <c r="BN61" s="1382" t="str">
        <f t="shared" si="474"/>
        <v>F3Q18A</v>
      </c>
      <c r="BO61" s="1383" t="str">
        <f t="shared" si="474"/>
        <v>F4Q18E</v>
      </c>
      <c r="BP61" s="1450" t="str">
        <f t="shared" si="474"/>
        <v>F1Q19E</v>
      </c>
      <c r="BQ61" s="1443" t="str">
        <f t="shared" si="474"/>
        <v>F2Q19E</v>
      </c>
      <c r="BR61" s="1443" t="str">
        <f t="shared" si="474"/>
        <v>F3Q19E</v>
      </c>
      <c r="BS61" s="1444" t="str">
        <f t="shared" si="474"/>
        <v>F4Q19E</v>
      </c>
      <c r="BT61" s="1382" t="str">
        <f t="shared" ref="BT61:BW61" si="475">BT7</f>
        <v>F1Q20E</v>
      </c>
      <c r="BU61" s="1382" t="str">
        <f t="shared" si="475"/>
        <v>F2Q20E</v>
      </c>
      <c r="BV61" s="1382" t="str">
        <f t="shared" si="475"/>
        <v>F3Q20E</v>
      </c>
      <c r="BW61" s="1383" t="str">
        <f t="shared" si="475"/>
        <v>F4Q20E</v>
      </c>
      <c r="BX61" s="20"/>
      <c r="BY61" s="17" t="str">
        <f>BY7</f>
        <v>FY2003A</v>
      </c>
      <c r="BZ61" s="18" t="str">
        <f>BZ7</f>
        <v>FY2004A</v>
      </c>
      <c r="CA61" s="18" t="str">
        <f>CA7</f>
        <v>FY2005A</v>
      </c>
      <c r="CB61" s="18" t="str">
        <f t="shared" ref="CB61:CH61" si="476">CB7</f>
        <v>FY2006A</v>
      </c>
      <c r="CC61" s="18" t="str">
        <f t="shared" si="476"/>
        <v>FY2007A</v>
      </c>
      <c r="CD61" s="18" t="str">
        <f t="shared" si="476"/>
        <v>FY2008A</v>
      </c>
      <c r="CE61" s="18" t="str">
        <f t="shared" si="476"/>
        <v>FY2009A</v>
      </c>
      <c r="CF61" s="18" t="str">
        <f t="shared" si="476"/>
        <v>FY2010A</v>
      </c>
      <c r="CG61" s="18" t="str">
        <f t="shared" si="476"/>
        <v>FY2011A</v>
      </c>
      <c r="CH61" s="18" t="str">
        <f t="shared" si="476"/>
        <v>FY2012A</v>
      </c>
      <c r="CI61" s="18" t="str">
        <f t="shared" ref="CI61:CN61" si="477">CI7</f>
        <v>FY2013A</v>
      </c>
      <c r="CJ61" s="18" t="str">
        <f t="shared" si="477"/>
        <v>FY2014A</v>
      </c>
      <c r="CK61" s="18" t="str">
        <f t="shared" si="477"/>
        <v>FY2015A</v>
      </c>
      <c r="CL61" s="18" t="str">
        <f t="shared" si="477"/>
        <v>FY2016A</v>
      </c>
      <c r="CM61" s="18" t="str">
        <f t="shared" si="477"/>
        <v>FY2017A</v>
      </c>
      <c r="CN61" s="18" t="str">
        <f t="shared" si="477"/>
        <v>FY2018E</v>
      </c>
      <c r="CO61" s="18" t="str">
        <f>CO7</f>
        <v>FY2019E</v>
      </c>
      <c r="CP61" s="1374" t="str">
        <f>CP7</f>
        <v>FY2020E</v>
      </c>
      <c r="CQ61" s="20"/>
      <c r="CR61" s="17" t="str">
        <f>CR5</f>
        <v>CY2003</v>
      </c>
      <c r="CS61" s="18" t="str">
        <f>CS5</f>
        <v>CY2004</v>
      </c>
      <c r="CT61" s="18" t="str">
        <f>CT5</f>
        <v>CY2005</v>
      </c>
      <c r="CU61" s="18" t="str">
        <f t="shared" ref="CU61:DA61" si="478">CU5</f>
        <v>CY2006</v>
      </c>
      <c r="CV61" s="18" t="str">
        <f t="shared" si="478"/>
        <v>CY2007</v>
      </c>
      <c r="CW61" s="18" t="str">
        <f t="shared" si="478"/>
        <v>CY2008</v>
      </c>
      <c r="CX61" s="18" t="str">
        <f t="shared" si="478"/>
        <v>CY2009</v>
      </c>
      <c r="CY61" s="18" t="str">
        <f t="shared" si="478"/>
        <v>CY2010</v>
      </c>
      <c r="CZ61" s="18" t="str">
        <f t="shared" si="478"/>
        <v>CY2011</v>
      </c>
      <c r="DA61" s="18" t="str">
        <f t="shared" si="478"/>
        <v>CY2012</v>
      </c>
      <c r="DB61" s="18" t="str">
        <f t="shared" ref="DB61:DG61" si="479">DB5</f>
        <v>CY2013</v>
      </c>
      <c r="DC61" s="18" t="str">
        <f t="shared" si="479"/>
        <v>CY2014</v>
      </c>
      <c r="DD61" s="18" t="str">
        <f t="shared" si="479"/>
        <v>CY2015</v>
      </c>
      <c r="DE61" s="18" t="str">
        <f t="shared" si="479"/>
        <v>CY2016</v>
      </c>
      <c r="DF61" s="18" t="str">
        <f t="shared" si="479"/>
        <v>CY2017</v>
      </c>
      <c r="DG61" s="1439" t="str">
        <f t="shared" si="479"/>
        <v>CY2018</v>
      </c>
      <c r="DH61" s="1440" t="str">
        <f t="shared" ref="DH61" si="480">DH5</f>
        <v>CY2019</v>
      </c>
      <c r="DI61" s="22"/>
    </row>
    <row r="62" spans="1:113" ht="14.25" customHeight="1">
      <c r="A62" s="8"/>
      <c r="B62" s="22" t="s">
        <v>77</v>
      </c>
      <c r="C62" s="226"/>
      <c r="D62" s="798">
        <f t="shared" ref="D62:O62" si="481">-D29</f>
        <v>25.263999999999999</v>
      </c>
      <c r="E62" s="799">
        <f t="shared" si="481"/>
        <v>16.852999999999998</v>
      </c>
      <c r="F62" s="799">
        <f t="shared" si="481"/>
        <v>20.800999999999998</v>
      </c>
      <c r="G62" s="800">
        <f t="shared" si="481"/>
        <v>17.469000000000005</v>
      </c>
      <c r="H62" s="798">
        <f t="shared" si="481"/>
        <v>10.33</v>
      </c>
      <c r="I62" s="799">
        <f t="shared" si="481"/>
        <v>10.854999999999999</v>
      </c>
      <c r="J62" s="799">
        <f t="shared" si="481"/>
        <v>18.453000000000003</v>
      </c>
      <c r="K62" s="800">
        <f t="shared" si="481"/>
        <v>23.869</v>
      </c>
      <c r="L62" s="798">
        <f t="shared" si="481"/>
        <v>13.548</v>
      </c>
      <c r="M62" s="799">
        <f t="shared" si="481"/>
        <v>20.512</v>
      </c>
      <c r="N62" s="799">
        <f t="shared" si="481"/>
        <v>21.265999999999998</v>
      </c>
      <c r="O62" s="800">
        <f t="shared" si="481"/>
        <v>7.8849999999999998</v>
      </c>
      <c r="P62" s="798">
        <f t="shared" ref="P62:AN62" si="482">-P29</f>
        <v>14.794</v>
      </c>
      <c r="Q62" s="799">
        <f t="shared" si="482"/>
        <v>10.372</v>
      </c>
      <c r="R62" s="799">
        <f t="shared" si="482"/>
        <v>17.651</v>
      </c>
      <c r="S62" s="800">
        <f t="shared" si="482"/>
        <v>33.477000000000004</v>
      </c>
      <c r="T62" s="798">
        <f t="shared" si="482"/>
        <v>16.645</v>
      </c>
      <c r="U62" s="799">
        <f t="shared" si="482"/>
        <v>19.269000000000002</v>
      </c>
      <c r="V62" s="799">
        <f t="shared" si="482"/>
        <v>15.501999999999992</v>
      </c>
      <c r="W62" s="800">
        <f t="shared" si="482"/>
        <v>8.6230000000000047</v>
      </c>
      <c r="X62" s="798">
        <f t="shared" si="482"/>
        <v>25.47</v>
      </c>
      <c r="Y62" s="799">
        <f t="shared" si="482"/>
        <v>11.774999999999999</v>
      </c>
      <c r="Z62" s="799">
        <f t="shared" si="482"/>
        <v>11.808</v>
      </c>
      <c r="AA62" s="800">
        <f t="shared" si="482"/>
        <v>20.774000000000001</v>
      </c>
      <c r="AB62" s="798">
        <f t="shared" si="482"/>
        <v>21.747</v>
      </c>
      <c r="AC62" s="799">
        <f t="shared" si="482"/>
        <v>46.269000000000005</v>
      </c>
      <c r="AD62" s="799">
        <f t="shared" si="482"/>
        <v>23.804999999999993</v>
      </c>
      <c r="AE62" s="800">
        <f t="shared" si="482"/>
        <v>10.549000000000007</v>
      </c>
      <c r="AF62" s="798">
        <f t="shared" si="482"/>
        <v>3.7559999999999998</v>
      </c>
      <c r="AG62" s="799">
        <f t="shared" si="482"/>
        <v>5.9770000000000003</v>
      </c>
      <c r="AH62" s="799">
        <f t="shared" si="482"/>
        <v>18.683</v>
      </c>
      <c r="AI62" s="800">
        <f t="shared" si="482"/>
        <v>19.187999999999999</v>
      </c>
      <c r="AJ62" s="798">
        <f t="shared" si="482"/>
        <v>34.103000000000002</v>
      </c>
      <c r="AK62" s="799">
        <f t="shared" si="482"/>
        <v>31.833999999999996</v>
      </c>
      <c r="AL62" s="799">
        <f t="shared" si="482"/>
        <v>34.177</v>
      </c>
      <c r="AM62" s="800">
        <f t="shared" si="482"/>
        <v>24.339999999999989</v>
      </c>
      <c r="AN62" s="797">
        <f t="shared" si="482"/>
        <v>27.219000000000001</v>
      </c>
      <c r="AO62" s="799">
        <f t="shared" ref="AO62:AT62" si="483">-AO29</f>
        <v>25.229999999999997</v>
      </c>
      <c r="AP62" s="799">
        <f t="shared" si="483"/>
        <v>6.1330000000000027</v>
      </c>
      <c r="AQ62" s="800">
        <f t="shared" si="483"/>
        <v>3.7879999999999967</v>
      </c>
      <c r="AR62" s="797">
        <f t="shared" si="483"/>
        <v>10.304</v>
      </c>
      <c r="AS62" s="799">
        <f t="shared" si="483"/>
        <v>15.907999999999999</v>
      </c>
      <c r="AT62" s="799">
        <f t="shared" si="483"/>
        <v>9.863999999999999</v>
      </c>
      <c r="AU62" s="800">
        <f t="shared" ref="AU62:AZ62" si="484">-AU29</f>
        <v>14.741999999999999</v>
      </c>
      <c r="AV62" s="797">
        <f t="shared" si="484"/>
        <v>27.757000000000001</v>
      </c>
      <c r="AW62" s="799">
        <f t="shared" si="484"/>
        <v>27.449000000000002</v>
      </c>
      <c r="AX62" s="799">
        <f t="shared" si="484"/>
        <v>24.330000000000002</v>
      </c>
      <c r="AY62" s="800">
        <f t="shared" si="484"/>
        <v>33.536000000000001</v>
      </c>
      <c r="AZ62" s="797">
        <f t="shared" si="484"/>
        <v>44.637</v>
      </c>
      <c r="BA62" s="799">
        <f t="shared" ref="BA62:BF62" si="485">-BA29</f>
        <v>38.734999999999999</v>
      </c>
      <c r="BB62" s="799">
        <f t="shared" si="485"/>
        <v>36.641999999999996</v>
      </c>
      <c r="BC62" s="800">
        <f t="shared" si="485"/>
        <v>29.458000000000013</v>
      </c>
      <c r="BD62" s="797">
        <f t="shared" si="485"/>
        <v>33.610999999999997</v>
      </c>
      <c r="BE62" s="799">
        <f t="shared" si="485"/>
        <v>29.943000000000005</v>
      </c>
      <c r="BF62" s="799">
        <f t="shared" si="485"/>
        <v>17.869</v>
      </c>
      <c r="BG62" s="800">
        <f>-BG29</f>
        <v>16.471999999999994</v>
      </c>
      <c r="BH62" s="797">
        <f t="shared" ref="BH62:BJ62" si="486">-BH29</f>
        <v>18.494</v>
      </c>
      <c r="BI62" s="799">
        <f t="shared" si="486"/>
        <v>18.152000000000001</v>
      </c>
      <c r="BJ62" s="799">
        <f t="shared" si="486"/>
        <v>15.692</v>
      </c>
      <c r="BK62" s="800">
        <f>-BK29</f>
        <v>22.972000000000001</v>
      </c>
      <c r="BL62" s="797">
        <f t="shared" ref="BL62:BN62" si="487">-BL29</f>
        <v>22.13</v>
      </c>
      <c r="BM62" s="799">
        <f t="shared" si="487"/>
        <v>59.89500000000001</v>
      </c>
      <c r="BN62" s="799">
        <f t="shared" si="487"/>
        <v>66.387</v>
      </c>
      <c r="BO62" s="733">
        <f>IS!BO8*BO64</f>
        <v>57.160865628000003</v>
      </c>
      <c r="BP62" s="1367">
        <f>IS!BP8*BP64</f>
        <v>41.164074060000004</v>
      </c>
      <c r="BQ62" s="732">
        <f>IS!BQ8*BQ64</f>
        <v>42.453062106180006</v>
      </c>
      <c r="BR62" s="732">
        <f>IS!BR8*BR64</f>
        <v>41.58949680019834</v>
      </c>
      <c r="BS62" s="733">
        <f>IS!BS8*BS64</f>
        <v>41.214492720949409</v>
      </c>
      <c r="BT62" s="732">
        <f>IS!BT8*BT64</f>
        <v>42.856384848787982</v>
      </c>
      <c r="BU62" s="732">
        <f>IS!BU8*BU64</f>
        <v>43.957851837956653</v>
      </c>
      <c r="BV62" s="732">
        <f>IS!BV8*BV64</f>
        <v>43.320470478150682</v>
      </c>
      <c r="BW62" s="733">
        <f>IS!BW8*BW64</f>
        <v>42.928944073199311</v>
      </c>
      <c r="BX62" s="20"/>
      <c r="BY62" s="563">
        <f>-BY29</f>
        <v>80.387</v>
      </c>
      <c r="BZ62" s="563">
        <f>-BZ29</f>
        <v>63.507000000000005</v>
      </c>
      <c r="CA62" s="563">
        <f>-CA29</f>
        <v>63.210999999999999</v>
      </c>
      <c r="CB62" s="563">
        <f t="shared" ref="CB62:CH62" si="488">-CB29</f>
        <v>76.294000000000011</v>
      </c>
      <c r="CC62" s="563">
        <f t="shared" si="488"/>
        <v>60.039000000000001</v>
      </c>
      <c r="CD62" s="563">
        <f t="shared" si="488"/>
        <v>69.826999999999998</v>
      </c>
      <c r="CE62" s="563">
        <f t="shared" si="488"/>
        <v>102.37</v>
      </c>
      <c r="CF62" s="563">
        <f t="shared" si="488"/>
        <v>47.603999999999999</v>
      </c>
      <c r="CG62" s="247">
        <f t="shared" si="488"/>
        <v>124.45399999999999</v>
      </c>
      <c r="CH62" s="247">
        <f t="shared" si="488"/>
        <v>62.37</v>
      </c>
      <c r="CI62" s="247">
        <f t="shared" ref="CI62:CN62" si="489">-CI29</f>
        <v>50.817999999999998</v>
      </c>
      <c r="CJ62" s="247">
        <f t="shared" si="489"/>
        <v>113.072</v>
      </c>
      <c r="CK62" s="247">
        <f t="shared" si="489"/>
        <v>149.47200000000001</v>
      </c>
      <c r="CL62" s="247">
        <f t="shared" si="489"/>
        <v>97.894999999999996</v>
      </c>
      <c r="CM62" s="247">
        <f t="shared" si="489"/>
        <v>75.31</v>
      </c>
      <c r="CN62" s="247">
        <f t="shared" si="489"/>
        <v>205.57286562800002</v>
      </c>
      <c r="CO62" s="247">
        <f>-CO29</f>
        <v>166.42112568732776</v>
      </c>
      <c r="CP62" s="1391">
        <f>-CP29</f>
        <v>173.06365123809462</v>
      </c>
      <c r="CQ62" s="20"/>
      <c r="CR62" s="301">
        <f>-CR29</f>
        <v>57.107000000000006</v>
      </c>
      <c r="CS62" s="563">
        <f>-CS29</f>
        <v>79.194999999999993</v>
      </c>
      <c r="CT62" s="563">
        <f>-CT29</f>
        <v>50.701999999999998</v>
      </c>
      <c r="CU62" s="563">
        <f t="shared" ref="CU62:DA62" si="490">-CU29</f>
        <v>84.893000000000001</v>
      </c>
      <c r="CV62" s="563">
        <f t="shared" si="490"/>
        <v>57.676000000000002</v>
      </c>
      <c r="CW62" s="563">
        <f t="shared" si="490"/>
        <v>112.595</v>
      </c>
      <c r="CX62" s="563">
        <f t="shared" si="490"/>
        <v>38.965000000000003</v>
      </c>
      <c r="CY62" s="231">
        <f t="shared" si="490"/>
        <v>119.30199999999999</v>
      </c>
      <c r="CZ62" s="231">
        <f t="shared" si="490"/>
        <v>82.921999999999997</v>
      </c>
      <c r="DA62" s="247">
        <f t="shared" si="490"/>
        <v>39.863999999999997</v>
      </c>
      <c r="DB62" s="247">
        <f t="shared" ref="DB62:DG62" si="491">-DB29</f>
        <v>94.278000000000006</v>
      </c>
      <c r="DC62" s="156">
        <f t="shared" si="491"/>
        <v>153.55000000000001</v>
      </c>
      <c r="DD62" s="156">
        <f t="shared" si="491"/>
        <v>110.88100000000001</v>
      </c>
      <c r="DE62" s="156">
        <f t="shared" si="491"/>
        <v>68.81</v>
      </c>
      <c r="DF62" s="156">
        <f t="shared" si="491"/>
        <v>171.38400000000001</v>
      </c>
      <c r="DG62" s="156">
        <f t="shared" si="491"/>
        <v>182.36749859437833</v>
      </c>
      <c r="DH62" s="156">
        <f t="shared" ref="DH62" si="492">-DH29</f>
        <v>171.34919988584471</v>
      </c>
      <c r="DI62" s="22"/>
    </row>
    <row r="63" spans="1:113" ht="14.25" customHeight="1">
      <c r="A63" s="8"/>
      <c r="B63" s="22" t="s">
        <v>78</v>
      </c>
      <c r="C63" s="232"/>
      <c r="D63" s="236">
        <v>0</v>
      </c>
      <c r="E63" s="237">
        <v>0</v>
      </c>
      <c r="F63" s="237">
        <v>0</v>
      </c>
      <c r="G63" s="234">
        <v>0</v>
      </c>
      <c r="H63" s="236">
        <v>0</v>
      </c>
      <c r="I63" s="237">
        <v>0</v>
      </c>
      <c r="J63" s="237">
        <v>0</v>
      </c>
      <c r="K63" s="234">
        <v>0</v>
      </c>
      <c r="L63" s="236">
        <v>0</v>
      </c>
      <c r="M63" s="237">
        <v>0</v>
      </c>
      <c r="N63" s="237">
        <v>0</v>
      </c>
      <c r="O63" s="234">
        <v>0</v>
      </c>
      <c r="P63" s="352">
        <v>0</v>
      </c>
      <c r="Q63" s="235">
        <v>0</v>
      </c>
      <c r="R63" s="235">
        <v>0</v>
      </c>
      <c r="S63" s="234">
        <v>0</v>
      </c>
      <c r="T63" s="352">
        <v>0</v>
      </c>
      <c r="U63" s="235">
        <v>0</v>
      </c>
      <c r="V63" s="235">
        <v>0</v>
      </c>
      <c r="W63" s="234">
        <v>0</v>
      </c>
      <c r="X63" s="352">
        <v>0</v>
      </c>
      <c r="Y63" s="235">
        <v>0</v>
      </c>
      <c r="Z63" s="235">
        <v>0</v>
      </c>
      <c r="AA63" s="234">
        <v>0</v>
      </c>
      <c r="AB63" s="352">
        <v>0</v>
      </c>
      <c r="AC63" s="235">
        <v>0</v>
      </c>
      <c r="AD63" s="235">
        <v>0</v>
      </c>
      <c r="AE63" s="234">
        <v>0</v>
      </c>
      <c r="AF63" s="352">
        <v>0</v>
      </c>
      <c r="AG63" s="235">
        <v>0</v>
      </c>
      <c r="AH63" s="235">
        <v>0</v>
      </c>
      <c r="AI63" s="234">
        <v>0</v>
      </c>
      <c r="AJ63" s="352">
        <v>0</v>
      </c>
      <c r="AK63" s="235">
        <v>0</v>
      </c>
      <c r="AL63" s="235">
        <v>0</v>
      </c>
      <c r="AM63" s="234">
        <v>0</v>
      </c>
      <c r="AN63" s="235">
        <v>0</v>
      </c>
      <c r="AO63" s="235">
        <v>0</v>
      </c>
      <c r="AP63" s="235">
        <v>0</v>
      </c>
      <c r="AQ63" s="234">
        <v>0</v>
      </c>
      <c r="AR63" s="235">
        <v>0</v>
      </c>
      <c r="AS63" s="235">
        <v>0</v>
      </c>
      <c r="AT63" s="235">
        <v>0</v>
      </c>
      <c r="AU63" s="234">
        <v>0</v>
      </c>
      <c r="AV63" s="235">
        <v>0</v>
      </c>
      <c r="AW63" s="235">
        <v>0</v>
      </c>
      <c r="AX63" s="235">
        <v>0</v>
      </c>
      <c r="AY63" s="234">
        <v>0</v>
      </c>
      <c r="AZ63" s="235">
        <v>0</v>
      </c>
      <c r="BA63" s="235">
        <v>0</v>
      </c>
      <c r="BB63" s="235">
        <v>0</v>
      </c>
      <c r="BC63" s="234">
        <v>0</v>
      </c>
      <c r="BD63" s="235">
        <v>0</v>
      </c>
      <c r="BE63" s="235">
        <v>0</v>
      </c>
      <c r="BF63" s="235">
        <v>0</v>
      </c>
      <c r="BG63" s="234">
        <v>0</v>
      </c>
      <c r="BH63" s="235">
        <v>0</v>
      </c>
      <c r="BI63" s="235">
        <v>0</v>
      </c>
      <c r="BJ63" s="1387">
        <v>0</v>
      </c>
      <c r="BK63" s="234">
        <v>0</v>
      </c>
      <c r="BL63" s="1445">
        <v>0</v>
      </c>
      <c r="BM63" s="1445">
        <v>0</v>
      </c>
      <c r="BN63" s="1445">
        <v>0</v>
      </c>
      <c r="BO63" s="1388">
        <v>0</v>
      </c>
      <c r="BP63" s="1451">
        <v>0</v>
      </c>
      <c r="BQ63" s="1445">
        <v>0</v>
      </c>
      <c r="BR63" s="1445">
        <v>0</v>
      </c>
      <c r="BS63" s="1446">
        <v>0</v>
      </c>
      <c r="BT63" s="1387">
        <v>0</v>
      </c>
      <c r="BU63" s="1387">
        <v>0</v>
      </c>
      <c r="BV63" s="1387">
        <v>0</v>
      </c>
      <c r="BW63" s="1388">
        <v>0</v>
      </c>
      <c r="BX63" s="20"/>
      <c r="BY63" s="247">
        <f>G63</f>
        <v>0</v>
      </c>
      <c r="BZ63" s="247">
        <f>K63</f>
        <v>0</v>
      </c>
      <c r="CA63" s="247">
        <f>O63</f>
        <v>0</v>
      </c>
      <c r="CB63" s="247">
        <f>S63</f>
        <v>0</v>
      </c>
      <c r="CC63" s="247">
        <f>W63</f>
        <v>0</v>
      </c>
      <c r="CD63" s="247">
        <f>AA63</f>
        <v>0</v>
      </c>
      <c r="CE63" s="247">
        <f>AE63</f>
        <v>0</v>
      </c>
      <c r="CF63" s="247">
        <f>AI63</f>
        <v>0</v>
      </c>
      <c r="CG63" s="247">
        <f>AM63</f>
        <v>0</v>
      </c>
      <c r="CH63" s="247">
        <f>AQ63</f>
        <v>0</v>
      </c>
      <c r="CI63" s="247">
        <f>AU63</f>
        <v>0</v>
      </c>
      <c r="CJ63" s="247">
        <f>AY63</f>
        <v>0</v>
      </c>
      <c r="CK63" s="247">
        <f t="shared" ref="CK63" si="493">BC63</f>
        <v>0</v>
      </c>
      <c r="CL63" s="247">
        <f>BG63</f>
        <v>0</v>
      </c>
      <c r="CM63" s="247">
        <f>BK63</f>
        <v>0</v>
      </c>
      <c r="CN63" s="247">
        <f>BO63</f>
        <v>0</v>
      </c>
      <c r="CO63" s="247">
        <f>BS63</f>
        <v>0</v>
      </c>
      <c r="CP63" s="1391">
        <f>BW63</f>
        <v>0</v>
      </c>
      <c r="CQ63" s="20"/>
      <c r="CR63" s="236">
        <v>0</v>
      </c>
      <c r="CS63" s="237">
        <v>0</v>
      </c>
      <c r="CT63" s="237">
        <v>0</v>
      </c>
      <c r="CU63" s="237">
        <v>0</v>
      </c>
      <c r="CV63" s="237">
        <v>0</v>
      </c>
      <c r="CW63" s="237">
        <v>0</v>
      </c>
      <c r="CX63" s="237">
        <v>0</v>
      </c>
      <c r="CY63" s="237">
        <v>0</v>
      </c>
      <c r="CZ63" s="237">
        <v>0</v>
      </c>
      <c r="DA63" s="237">
        <v>0</v>
      </c>
      <c r="DB63" s="237">
        <v>0</v>
      </c>
      <c r="DC63" s="237">
        <v>0</v>
      </c>
      <c r="DD63" s="237">
        <v>0</v>
      </c>
      <c r="DE63" s="237">
        <v>0</v>
      </c>
      <c r="DF63" s="237">
        <v>0</v>
      </c>
      <c r="DG63" s="237">
        <v>0</v>
      </c>
      <c r="DH63" s="237">
        <v>0</v>
      </c>
      <c r="DI63" s="22"/>
    </row>
    <row r="64" spans="1:113" ht="14.25" customHeight="1">
      <c r="A64" s="11"/>
      <c r="B64" s="34" t="s">
        <v>79</v>
      </c>
      <c r="C64" s="35"/>
      <c r="D64" s="1236">
        <f>D62/IS!D8</f>
        <v>0.1603615497892652</v>
      </c>
      <c r="E64" s="1236">
        <f>E62/IS!E8</f>
        <v>0.10105049826715753</v>
      </c>
      <c r="F64" s="1236">
        <f>F62/IS!F8</f>
        <v>0.12420435410869747</v>
      </c>
      <c r="G64" s="1237">
        <f>G62/IS!G8</f>
        <v>0.10940964262898803</v>
      </c>
      <c r="H64" s="1236">
        <f>H62/IS!H8</f>
        <v>6.4048907820415057E-2</v>
      </c>
      <c r="I64" s="1236">
        <f>I62/IS!I8</f>
        <v>6.4426717946891726E-2</v>
      </c>
      <c r="J64" s="1236">
        <f>J62/IS!J8</f>
        <v>0.10368776233796154</v>
      </c>
      <c r="K64" s="1237">
        <f>K62/IS!K8</f>
        <v>0.12462667864079696</v>
      </c>
      <c r="L64" s="1236">
        <f>L62/IS!L8</f>
        <v>6.367289390200917E-2</v>
      </c>
      <c r="M64" s="1236">
        <f>M62/IS!M8</f>
        <v>9.2943170181337062E-2</v>
      </c>
      <c r="N64" s="1236">
        <f>N62/IS!N8</f>
        <v>0.10354263233747517</v>
      </c>
      <c r="O64" s="1237">
        <f>O62/IS!O8</f>
        <v>3.7893532869095491E-2</v>
      </c>
      <c r="P64" s="1236">
        <f>P62/IS!P8</f>
        <v>6.7698728303596356E-2</v>
      </c>
      <c r="Q64" s="1236">
        <f>Q62/IS!Q8</f>
        <v>4.5631725752096369E-2</v>
      </c>
      <c r="R64" s="1236">
        <f>R62/IS!R8</f>
        <v>7.5143893467747427E-2</v>
      </c>
      <c r="S64" s="1237">
        <f>S62/IS!S8</f>
        <v>0.13544009839302187</v>
      </c>
      <c r="T64" s="1236">
        <f>T62/IS!T8</f>
        <v>6.3395757873528413E-2</v>
      </c>
      <c r="U64" s="1236">
        <f>U62/IS!U8</f>
        <v>7.1916964625616753E-2</v>
      </c>
      <c r="V64" s="1236">
        <f>V62/IS!V8</f>
        <v>6.1759971952638174E-2</v>
      </c>
      <c r="W64" s="1237">
        <f>W62/IS!W8</f>
        <v>3.3399696331184947E-2</v>
      </c>
      <c r="X64" s="1236">
        <f>X62/IS!X8</f>
        <v>9.645096791784058E-2</v>
      </c>
      <c r="Y64" s="1236">
        <f>Y62/IS!Y8</f>
        <v>4.552536855250592E-2</v>
      </c>
      <c r="Z64" s="1236">
        <f>Z62/IS!Z8</f>
        <v>4.6745843230403802E-2</v>
      </c>
      <c r="AA64" s="1237">
        <f>AA62/IS!AA8</f>
        <v>7.9771751568631977E-2</v>
      </c>
      <c r="AB64" s="1236">
        <f>AB62/IS!AB8</f>
        <v>8.1093477320525631E-2</v>
      </c>
      <c r="AC64" s="1236">
        <f>AC62/IS!AC8</f>
        <v>0.17155346933327401</v>
      </c>
      <c r="AD64" s="1236">
        <f>AD62/IS!AD8</f>
        <v>0.12387727277458027</v>
      </c>
      <c r="AE64" s="1237">
        <f>AE62/IS!AE8</f>
        <v>6.0887834554091455E-2</v>
      </c>
      <c r="AF64" s="1236">
        <f>AF62/IS!AF8</f>
        <v>1.9466283836661498E-2</v>
      </c>
      <c r="AG64" s="1236">
        <f>AG62/IS!AG8</f>
        <v>2.6369776891481112E-2</v>
      </c>
      <c r="AH64" s="1236">
        <f>AH62/IS!AH8</f>
        <v>7.4702417842534355E-2</v>
      </c>
      <c r="AI64" s="1237">
        <f>AI62/IS!AI8</f>
        <v>6.9016617509531655E-2</v>
      </c>
      <c r="AJ64" s="1236">
        <f>AJ62/IS!AJ8</f>
        <v>9.5493174658732943E-2</v>
      </c>
      <c r="AK64" s="1236">
        <f>AK62/IS!AK8</f>
        <v>8.3276000533652819E-2</v>
      </c>
      <c r="AL64" s="1236">
        <f>AL62/IS!AL8</f>
        <v>9.2916721040497627E-2</v>
      </c>
      <c r="AM64" s="1237">
        <f>AM62/IS!AM8</f>
        <v>6.4055160072108097E-2</v>
      </c>
      <c r="AN64" s="1236">
        <f>AN62/IS!AN8</f>
        <v>7.2679549380919445E-2</v>
      </c>
      <c r="AO64" s="1236">
        <f>AO62/IS!AO8</f>
        <v>7.4074726513643482E-2</v>
      </c>
      <c r="AP64" s="1236">
        <f>AP62/IS!AP8</f>
        <v>1.8632502521600709E-2</v>
      </c>
      <c r="AQ64" s="1237">
        <f>AQ62/IS!AQ8</f>
        <v>1.1176975666177836E-2</v>
      </c>
      <c r="AR64" s="1236">
        <f>AR62/IS!AR8</f>
        <v>2.926158791823567E-2</v>
      </c>
      <c r="AS64" s="1236">
        <f>AS62/IS!AS8</f>
        <v>4.1502955924633052E-2</v>
      </c>
      <c r="AT64" s="1236">
        <f>AT62/IS!AT8</f>
        <v>2.3708859816318824E-2</v>
      </c>
      <c r="AU64" s="1237">
        <f>AU62/IS!AU8</f>
        <v>3.4272243713733073E-2</v>
      </c>
      <c r="AV64" s="1236">
        <f>AV62/IS!AV8</f>
        <v>5.9977268405676853E-2</v>
      </c>
      <c r="AW64" s="1236">
        <f>AW62/IS!AW8</f>
        <v>5.5714891742731941E-2</v>
      </c>
      <c r="AX64" s="1236">
        <f>AX62/IS!AX8</f>
        <v>5.0438250976424834E-2</v>
      </c>
      <c r="AY64" s="1237">
        <f>AY62/IS!AY8</f>
        <v>6.7971397532145331E-2</v>
      </c>
      <c r="AZ64" s="1236">
        <f>AZ62/IS!AZ8</f>
        <v>8.4399745876160018E-2</v>
      </c>
      <c r="BA64" s="1236">
        <f>BA62/IS!BA8</f>
        <v>7.0911663856562002E-2</v>
      </c>
      <c r="BB64" s="1236">
        <f>BB62/IS!BB8</f>
        <v>6.9304533676306471E-2</v>
      </c>
      <c r="BC64" s="1237">
        <f>BC62/IS!BC8</f>
        <v>5.4229787171373001E-2</v>
      </c>
      <c r="BD64" s="1236">
        <f>BD62/IS!BD8</f>
        <v>6.2947605777298327E-2</v>
      </c>
      <c r="BE64" s="1236">
        <f>BE62/IS!BE8</f>
        <v>5.53075318946935E-2</v>
      </c>
      <c r="BF64" s="1236">
        <f>BF62/IS!BF8</f>
        <v>3.3069674133514942E-2</v>
      </c>
      <c r="BG64" s="1237">
        <f>BG62/IS!BG8</f>
        <v>2.9540889526542314E-2</v>
      </c>
      <c r="BH64" s="1236">
        <f>BH62/IS!BH8</f>
        <v>2.3134532799773833E-2</v>
      </c>
      <c r="BI64" s="1236">
        <f>BI62/IS!BI8</f>
        <v>2.0831707529803848E-2</v>
      </c>
      <c r="BJ64" s="1236">
        <f>BJ62/IS!BJ8</f>
        <v>1.8807094248806878E-2</v>
      </c>
      <c r="BK64" s="1237">
        <f>BK62/IS!BK8</f>
        <v>2.5449058677295921E-2</v>
      </c>
      <c r="BL64" s="1236">
        <f>BL62/IS!BL8</f>
        <v>2.2764187499549962E-2</v>
      </c>
      <c r="BM64" s="1236">
        <f>BM62/IS!BM8</f>
        <v>5.9176654589932813E-2</v>
      </c>
      <c r="BN64" s="1236">
        <f>BN62/IS!BN8</f>
        <v>6.6773955069628493E-2</v>
      </c>
      <c r="BO64" s="1228">
        <v>5.8000000000000003E-2</v>
      </c>
      <c r="BP64" s="1227">
        <v>0.04</v>
      </c>
      <c r="BQ64" s="1219">
        <f t="shared" ref="BQ64:BW64" si="494">BP64</f>
        <v>0.04</v>
      </c>
      <c r="BR64" s="1219">
        <f t="shared" si="494"/>
        <v>0.04</v>
      </c>
      <c r="BS64" s="1228">
        <f t="shared" si="494"/>
        <v>0.04</v>
      </c>
      <c r="BT64" s="1227">
        <f t="shared" si="494"/>
        <v>0.04</v>
      </c>
      <c r="BU64" s="1219">
        <f t="shared" si="494"/>
        <v>0.04</v>
      </c>
      <c r="BV64" s="1219">
        <f t="shared" si="494"/>
        <v>0.04</v>
      </c>
      <c r="BW64" s="1228">
        <f t="shared" si="494"/>
        <v>0.04</v>
      </c>
      <c r="BX64" s="160"/>
      <c r="BY64" s="90">
        <f>BY62/IS!BY8</f>
        <v>0.12339476439147641</v>
      </c>
      <c r="BZ64" s="90">
        <f>BZ62/IS!BZ8</f>
        <v>9.0820295741212143E-2</v>
      </c>
      <c r="CA64" s="90">
        <f>CA62/IS!CA8</f>
        <v>7.4634919285518617E-2</v>
      </c>
      <c r="CB64" s="90">
        <f>CB62/IS!CB8</f>
        <v>8.2222842504469817E-2</v>
      </c>
      <c r="CC64" s="90">
        <f>CC62/IS!CC8</f>
        <v>5.7748076074065735E-2</v>
      </c>
      <c r="CD64" s="90">
        <f>CD62/IS!CD8</f>
        <v>6.7417693874023993E-2</v>
      </c>
      <c r="CE64" s="90">
        <f>CE62/IS!CE8</f>
        <v>0.11332928150984671</v>
      </c>
      <c r="CF64" s="90">
        <f>CF62/IS!CF8</f>
        <v>5.0229548742309241E-2</v>
      </c>
      <c r="CG64" s="90">
        <f>CG62/IS!CG8</f>
        <v>8.3683150608019743E-2</v>
      </c>
      <c r="CH64" s="90">
        <f>CH62/IS!CH8</f>
        <v>4.5091875509696525E-2</v>
      </c>
      <c r="CI64" s="1236">
        <f>CI62/IS!CI8</f>
        <v>3.2130286420973896E-2</v>
      </c>
      <c r="CJ64" s="1236">
        <f>CJ62/IS!CJ8</f>
        <v>5.8549608873575569E-2</v>
      </c>
      <c r="CK64" s="1236">
        <f>CK62/IS!CK8</f>
        <v>6.9617835937543671E-2</v>
      </c>
      <c r="CL64" s="1236">
        <f>CL62/IS!CL8</f>
        <v>4.5044671964632375E-2</v>
      </c>
      <c r="CM64" s="1236">
        <f>CM62/IS!CM8</f>
        <v>2.2099256207877969E-2</v>
      </c>
      <c r="CN64" s="1236">
        <f>CN62/IS!CN8</f>
        <v>5.1859731433867358E-2</v>
      </c>
      <c r="CO64" s="1236">
        <f>CO62/IS!CO8</f>
        <v>0.04</v>
      </c>
      <c r="CP64" s="1236">
        <f>CP62/IS!CP8</f>
        <v>0.04</v>
      </c>
      <c r="CQ64" s="1238"/>
      <c r="CR64" s="1236">
        <f>CR62/IS!CR8</f>
        <v>8.5566120569012388E-2</v>
      </c>
      <c r="CS64" s="1236">
        <f>CS62/IS!CS8</f>
        <v>9.5372342923756306E-2</v>
      </c>
      <c r="CT64" s="1236">
        <f>CT62/IS!CT8</f>
        <v>5.7045197816391467E-2</v>
      </c>
      <c r="CU64" s="1236">
        <f>CU62/IS!CU8</f>
        <v>8.2527192959431978E-2</v>
      </c>
      <c r="CV64" s="1236">
        <f>CV62/IS!CV8</f>
        <v>5.5806752814479034E-2</v>
      </c>
      <c r="CW64" s="1236">
        <f>CW62/IS!CW8</f>
        <v>0.11367927290496758</v>
      </c>
      <c r="CX64" s="1236">
        <f>CX62/IS!CX8</f>
        <v>4.6223910449106842E-2</v>
      </c>
      <c r="CY64" s="1236">
        <f>CY62/IS!CY8</f>
        <v>8.6123704195662829E-2</v>
      </c>
      <c r="CZ64" s="1236">
        <f>CZ62/IS!CZ8</f>
        <v>5.8221520098297348E-2</v>
      </c>
      <c r="DA64" s="1236">
        <f>DA62/IS!DA8</f>
        <v>2.6747361428887739E-2</v>
      </c>
      <c r="DB64" s="1236">
        <f>DB62/IS!DB8</f>
        <v>5.0470642839820834E-2</v>
      </c>
      <c r="DC64" s="1236">
        <f>DC62/IS!DC8</f>
        <v>7.3216215997135251E-2</v>
      </c>
      <c r="DD64" s="1236">
        <f>DD62/IS!DD8</f>
        <v>5.1360094566940295E-2</v>
      </c>
      <c r="DE64" s="1236">
        <f>DE62/IS!DE8</f>
        <v>2.2466803428693449E-2</v>
      </c>
      <c r="DF64" s="1236">
        <f>DF62/IS!DF8</f>
        <v>4.4158034562427492E-2</v>
      </c>
      <c r="DG64" s="1236">
        <f>DG62/IS!DG8</f>
        <v>4.4310223692412547E-2</v>
      </c>
      <c r="DH64" s="1236">
        <f>DH62/IS!DH8</f>
        <v>0.04</v>
      </c>
      <c r="DI64" s="23"/>
    </row>
    <row r="65" spans="1:113" ht="14.25" customHeight="1">
      <c r="A65" s="8"/>
      <c r="B65" s="15" t="s">
        <v>80</v>
      </c>
      <c r="C65" s="16"/>
      <c r="D65" s="246">
        <f t="shared" ref="D65:O65" si="495">D16+D34</f>
        <v>8.8610000000000007</v>
      </c>
      <c r="E65" s="245">
        <f t="shared" si="495"/>
        <v>3.8579999999999988</v>
      </c>
      <c r="F65" s="245">
        <f t="shared" si="495"/>
        <v>4.6980000000000022</v>
      </c>
      <c r="G65" s="244">
        <f t="shared" si="495"/>
        <v>1.141999999999999</v>
      </c>
      <c r="H65" s="246">
        <f t="shared" si="495"/>
        <v>3.3929999999999998</v>
      </c>
      <c r="I65" s="245">
        <f t="shared" si="495"/>
        <v>8.3780000000000001</v>
      </c>
      <c r="J65" s="245">
        <f t="shared" si="495"/>
        <v>15.427999999999997</v>
      </c>
      <c r="K65" s="244">
        <f t="shared" si="495"/>
        <v>12.769000000000004</v>
      </c>
      <c r="L65" s="246">
        <f t="shared" si="495"/>
        <v>7.1209999999999996</v>
      </c>
      <c r="M65" s="245">
        <f t="shared" si="495"/>
        <v>3.0070000000000001</v>
      </c>
      <c r="N65" s="245">
        <f t="shared" si="495"/>
        <v>5.4239999999999995</v>
      </c>
      <c r="O65" s="244">
        <f t="shared" si="495"/>
        <v>1.4029999999999998</v>
      </c>
      <c r="P65" s="246">
        <f t="shared" ref="P65:AT65" si="496">P16+P34</f>
        <v>5.6289999999999996</v>
      </c>
      <c r="Q65" s="245">
        <f t="shared" si="496"/>
        <v>4.2020000000000008</v>
      </c>
      <c r="R65" s="245">
        <f t="shared" si="496"/>
        <v>8.6389999999999993</v>
      </c>
      <c r="S65" s="244">
        <f t="shared" si="496"/>
        <v>12.247999999999998</v>
      </c>
      <c r="T65" s="246">
        <f t="shared" si="496"/>
        <v>7.79</v>
      </c>
      <c r="U65" s="245">
        <f t="shared" si="496"/>
        <v>5.2110000000000003</v>
      </c>
      <c r="V65" s="245">
        <f t="shared" si="496"/>
        <v>3.4040000000000008</v>
      </c>
      <c r="W65" s="244">
        <f t="shared" si="496"/>
        <v>8.2029999999999959</v>
      </c>
      <c r="X65" s="246">
        <f t="shared" si="496"/>
        <v>9.2169999999999987</v>
      </c>
      <c r="Y65" s="245">
        <f t="shared" si="496"/>
        <v>6.0430000000000001</v>
      </c>
      <c r="Z65" s="245">
        <f t="shared" si="496"/>
        <v>31.484999999999999</v>
      </c>
      <c r="AA65" s="244">
        <f t="shared" si="496"/>
        <v>4.4170000000000034</v>
      </c>
      <c r="AB65" s="246">
        <f t="shared" si="496"/>
        <v>6.0369999999999999</v>
      </c>
      <c r="AC65" s="245">
        <f t="shared" si="496"/>
        <v>3.4569999999999999</v>
      </c>
      <c r="AD65" s="245">
        <f t="shared" si="496"/>
        <v>1.9010000000000011</v>
      </c>
      <c r="AE65" s="244">
        <f t="shared" si="496"/>
        <v>-11.229000000000001</v>
      </c>
      <c r="AF65" s="246">
        <f t="shared" si="496"/>
        <v>0</v>
      </c>
      <c r="AG65" s="245">
        <f t="shared" si="496"/>
        <v>0</v>
      </c>
      <c r="AH65" s="245">
        <f t="shared" si="496"/>
        <v>0.1</v>
      </c>
      <c r="AI65" s="244">
        <f t="shared" si="496"/>
        <v>0</v>
      </c>
      <c r="AJ65" s="246">
        <f t="shared" si="496"/>
        <v>18.481999999999999</v>
      </c>
      <c r="AK65" s="245">
        <f t="shared" si="496"/>
        <v>10.042999999999999</v>
      </c>
      <c r="AL65" s="245">
        <f t="shared" si="496"/>
        <v>1.8490000000000013</v>
      </c>
      <c r="AM65" s="244">
        <f t="shared" si="496"/>
        <v>1.1369999999999982</v>
      </c>
      <c r="AN65" s="245">
        <f t="shared" si="496"/>
        <v>6.0999999999999999E-2</v>
      </c>
      <c r="AO65" s="245">
        <f t="shared" si="496"/>
        <v>6.0999999999999999E-2</v>
      </c>
      <c r="AP65" s="245">
        <f t="shared" si="496"/>
        <v>0.14999999999999997</v>
      </c>
      <c r="AQ65" s="244">
        <f t="shared" si="496"/>
        <v>0.33400000000000002</v>
      </c>
      <c r="AR65" s="245">
        <f t="shared" si="496"/>
        <v>0.17099999999999999</v>
      </c>
      <c r="AS65" s="245">
        <f t="shared" si="496"/>
        <v>4.8000000000000001E-2</v>
      </c>
      <c r="AT65" s="245">
        <f t="shared" si="496"/>
        <v>0.46899999999999997</v>
      </c>
      <c r="AU65" s="244">
        <f t="shared" ref="AU65:AZ65" si="497">AU16+AU34</f>
        <v>0.23499999999999999</v>
      </c>
      <c r="AV65" s="245">
        <f t="shared" si="497"/>
        <v>16.46</v>
      </c>
      <c r="AW65" s="245">
        <f t="shared" si="497"/>
        <v>0.10099999999999998</v>
      </c>
      <c r="AX65" s="245">
        <f t="shared" si="497"/>
        <v>-0.15</v>
      </c>
      <c r="AY65" s="244">
        <f t="shared" si="497"/>
        <v>1.0000000000001119E-3</v>
      </c>
      <c r="AZ65" s="245">
        <f t="shared" si="497"/>
        <v>3.2000000000000001E-2</v>
      </c>
      <c r="BA65" s="245">
        <f t="shared" ref="BA65:BF65" si="498">BA16+BA34</f>
        <v>3.5000000000000003E-2</v>
      </c>
      <c r="BB65" s="245">
        <f t="shared" si="498"/>
        <v>6.2E-2</v>
      </c>
      <c r="BC65" s="244">
        <f t="shared" si="498"/>
        <v>0.188</v>
      </c>
      <c r="BD65" s="245">
        <f t="shared" si="498"/>
        <v>0.17699999999999999</v>
      </c>
      <c r="BE65" s="245">
        <f t="shared" si="498"/>
        <v>14.351999999999999</v>
      </c>
      <c r="BF65" s="245">
        <f t="shared" si="498"/>
        <v>5.5999999999999966E-2</v>
      </c>
      <c r="BG65" s="244">
        <f>BG16+BG34</f>
        <v>5.6000000000000022E-2</v>
      </c>
      <c r="BH65" s="245">
        <f t="shared" ref="BH65:BJ65" si="499">BH16+BH34</f>
        <v>5.6000000000000001E-2</v>
      </c>
      <c r="BI65" s="245">
        <f t="shared" si="499"/>
        <v>0.122</v>
      </c>
      <c r="BJ65" s="1390">
        <f t="shared" si="499"/>
        <v>23.058</v>
      </c>
      <c r="BK65" s="1389">
        <f>BK16+BK34</f>
        <v>5.4999999999998932E-2</v>
      </c>
      <c r="BL65" s="1448">
        <f t="shared" ref="BL65:BN65" si="500">BL16+BL34</f>
        <v>5.5E-2</v>
      </c>
      <c r="BM65" s="1448">
        <f t="shared" si="500"/>
        <v>10.296999999999999</v>
      </c>
      <c r="BN65" s="1448">
        <f t="shared" si="500"/>
        <v>0.10400000000000006</v>
      </c>
      <c r="BO65" s="1389">
        <f t="shared" ref="BO65" si="501">BO17+BO34</f>
        <v>0</v>
      </c>
      <c r="BP65" s="1449">
        <f t="shared" ref="BP65:BW65" si="502">BP17+BP34</f>
        <v>0</v>
      </c>
      <c r="BQ65" s="1448">
        <f t="shared" si="502"/>
        <v>0</v>
      </c>
      <c r="BR65" s="1448">
        <f t="shared" si="502"/>
        <v>0</v>
      </c>
      <c r="BS65" s="1447">
        <f t="shared" si="502"/>
        <v>0</v>
      </c>
      <c r="BT65" s="1390">
        <f t="shared" si="502"/>
        <v>0</v>
      </c>
      <c r="BU65" s="1390">
        <f t="shared" si="502"/>
        <v>0</v>
      </c>
      <c r="BV65" s="1390">
        <f t="shared" si="502"/>
        <v>0</v>
      </c>
      <c r="BW65" s="1389">
        <f t="shared" si="502"/>
        <v>0</v>
      </c>
      <c r="BX65" s="20"/>
      <c r="BY65" s="243">
        <f>BY16+BY34</f>
        <v>18.559000000000001</v>
      </c>
      <c r="BZ65" s="243">
        <f>BZ16+BZ34</f>
        <v>39.968000000000004</v>
      </c>
      <c r="CA65" s="243">
        <f>CA16+CA34</f>
        <v>16.954999999999998</v>
      </c>
      <c r="CB65" s="243">
        <f t="shared" ref="CB65:CL65" si="503">CB16+CB34</f>
        <v>30.717999999999996</v>
      </c>
      <c r="CC65" s="243">
        <f t="shared" si="503"/>
        <v>24.607999999999997</v>
      </c>
      <c r="CD65" s="243">
        <f t="shared" si="503"/>
        <v>51.162000000000006</v>
      </c>
      <c r="CE65" s="243">
        <f t="shared" si="503"/>
        <v>0.16600000000000001</v>
      </c>
      <c r="CF65" s="243">
        <f t="shared" si="503"/>
        <v>0.1</v>
      </c>
      <c r="CG65" s="245">
        <f t="shared" si="503"/>
        <v>31.510999999999999</v>
      </c>
      <c r="CH65" s="245">
        <f t="shared" si="503"/>
        <v>0.60599999999999998</v>
      </c>
      <c r="CI65" s="245">
        <f t="shared" si="503"/>
        <v>0.92300000000000004</v>
      </c>
      <c r="CJ65" s="245">
        <f t="shared" si="503"/>
        <v>16.411999999999999</v>
      </c>
      <c r="CK65" s="245">
        <f t="shared" si="503"/>
        <v>0.317</v>
      </c>
      <c r="CL65" s="245">
        <f t="shared" si="503"/>
        <v>14.641</v>
      </c>
      <c r="CM65" s="245">
        <f>CM16+CM34</f>
        <v>23.291</v>
      </c>
      <c r="CN65" s="245">
        <f>CN16+CN34</f>
        <v>10.456</v>
      </c>
      <c r="CO65" s="245">
        <f>CO16+CO34</f>
        <v>0</v>
      </c>
      <c r="CP65" s="1390">
        <f>CP16+CP34</f>
        <v>0</v>
      </c>
      <c r="CQ65" s="20"/>
      <c r="CR65" s="302">
        <f>CR16+CR34</f>
        <v>28.340999999999998</v>
      </c>
      <c r="CS65" s="243">
        <f>CS16+CS34</f>
        <v>28.321000000000002</v>
      </c>
      <c r="CT65" s="243">
        <f>CT16+CT34</f>
        <v>19.873000000000001</v>
      </c>
      <c r="CU65" s="243">
        <f t="shared" ref="CU65:DC65" si="504">CU16+CU34</f>
        <v>28.652999999999999</v>
      </c>
      <c r="CV65" s="243">
        <f t="shared" si="504"/>
        <v>54.947999999999993</v>
      </c>
      <c r="CW65" s="243">
        <f t="shared" si="504"/>
        <v>15.812000000000005</v>
      </c>
      <c r="CX65" s="243">
        <f t="shared" si="504"/>
        <v>-11.129000000000001</v>
      </c>
      <c r="CY65" s="243">
        <f t="shared" si="504"/>
        <v>30.374000000000002</v>
      </c>
      <c r="CZ65" s="243">
        <f t="shared" si="504"/>
        <v>1.4089999999999983</v>
      </c>
      <c r="DA65" s="245">
        <f t="shared" si="504"/>
        <v>1.022</v>
      </c>
      <c r="DB65" s="245">
        <f t="shared" si="504"/>
        <v>16.646000000000001</v>
      </c>
      <c r="DC65" s="245">
        <f t="shared" si="504"/>
        <v>0.13000000000000012</v>
      </c>
      <c r="DD65" s="245">
        <f>DD16+DD34</f>
        <v>14.773</v>
      </c>
      <c r="DE65" s="245">
        <f>DE16+DE34</f>
        <v>23.291999999999998</v>
      </c>
      <c r="DF65" s="245">
        <f>DF16+DF34</f>
        <v>10.510999999999997</v>
      </c>
      <c r="DG65" s="1448">
        <f>DG16+DG34</f>
        <v>0</v>
      </c>
      <c r="DH65" s="1448">
        <f>DH16+DH34</f>
        <v>0</v>
      </c>
      <c r="DI65" s="22"/>
    </row>
    <row r="66" spans="1:113" ht="14.25" customHeight="1">
      <c r="A66" s="8"/>
      <c r="B66" s="23" t="s">
        <v>81</v>
      </c>
      <c r="C66" s="232"/>
      <c r="D66" s="236">
        <v>1173.08</v>
      </c>
      <c r="E66" s="237">
        <f>1263.534-0.012</f>
        <v>1263.5220000000002</v>
      </c>
      <c r="F66" s="237">
        <v>1281.7860000000001</v>
      </c>
      <c r="G66" s="1106">
        <v>1295.3610000000001</v>
      </c>
      <c r="H66" s="236">
        <v>1300.68</v>
      </c>
      <c r="I66" s="237">
        <v>1306.2260000000001</v>
      </c>
      <c r="J66" s="237">
        <v>1320.0070000000001</v>
      </c>
      <c r="K66" s="1106">
        <v>1323.8810000000001</v>
      </c>
      <c r="L66" s="236">
        <v>1333.6369999999999</v>
      </c>
      <c r="M66" s="237">
        <v>1343.4010000000001</v>
      </c>
      <c r="N66" s="237">
        <v>1364.068</v>
      </c>
      <c r="O66" s="1106">
        <v>1424.981</v>
      </c>
      <c r="P66" s="352">
        <v>1453.1959999999999</v>
      </c>
      <c r="Q66" s="235">
        <v>1460.38</v>
      </c>
      <c r="R66" s="235">
        <v>1474.1890000000001</v>
      </c>
      <c r="S66" s="451">
        <v>1492.06</v>
      </c>
      <c r="T66" s="352">
        <v>1509.6959999999999</v>
      </c>
      <c r="U66" s="235">
        <v>1527.5740000000001</v>
      </c>
      <c r="V66" s="235">
        <v>1541.479</v>
      </c>
      <c r="W66" s="451">
        <v>1547.9659999999999</v>
      </c>
      <c r="X66" s="352">
        <v>1571.2059999999999</v>
      </c>
      <c r="Y66" s="235">
        <v>1520.047</v>
      </c>
      <c r="Z66" s="235">
        <v>1531.7349999999999</v>
      </c>
      <c r="AA66" s="451">
        <v>1549.115</v>
      </c>
      <c r="AB66" s="352">
        <v>1567.921</v>
      </c>
      <c r="AC66" s="235">
        <v>1606.2670000000001</v>
      </c>
      <c r="AD66" s="235">
        <v>1628.269</v>
      </c>
      <c r="AE66" s="451">
        <v>1637.454</v>
      </c>
      <c r="AF66" s="352">
        <v>1636.2550000000001</v>
      </c>
      <c r="AG66" s="235">
        <v>1642.1780000000001</v>
      </c>
      <c r="AH66" s="235">
        <v>1649.45</v>
      </c>
      <c r="AI66" s="451">
        <v>1664.4369999999999</v>
      </c>
      <c r="AJ66" s="352">
        <v>1733.8150000000001</v>
      </c>
      <c r="AK66" s="235">
        <v>1772.5630000000001</v>
      </c>
      <c r="AL66" s="235">
        <v>1795.7360000000001</v>
      </c>
      <c r="AM66" s="451">
        <v>1829.6769999999999</v>
      </c>
      <c r="AN66" s="235">
        <v>1853.549</v>
      </c>
      <c r="AO66" s="235">
        <v>1877.8209999999999</v>
      </c>
      <c r="AP66" s="235">
        <v>1815.835</v>
      </c>
      <c r="AQ66" s="451">
        <v>1818.55</v>
      </c>
      <c r="AR66" s="235">
        <v>1826.616</v>
      </c>
      <c r="AS66" s="235">
        <v>1877.7180000000001</v>
      </c>
      <c r="AT66" s="235">
        <v>1885.3969999999999</v>
      </c>
      <c r="AU66" s="451">
        <v>1897.6849999999999</v>
      </c>
      <c r="AV66" s="235">
        <v>1917.502</v>
      </c>
      <c r="AW66" s="235">
        <v>1942.9939999999999</v>
      </c>
      <c r="AX66" s="235">
        <v>1967.5070000000001</v>
      </c>
      <c r="AY66" s="451">
        <v>2001.019</v>
      </c>
      <c r="AZ66" s="235">
        <v>2061.6729999999998</v>
      </c>
      <c r="BA66" s="235">
        <v>2100.7800000000002</v>
      </c>
      <c r="BB66" s="235">
        <v>2112.1179999999999</v>
      </c>
      <c r="BC66" s="451">
        <v>2142.4160000000002</v>
      </c>
      <c r="BD66" s="235">
        <v>2177.9490000000001</v>
      </c>
      <c r="BE66" s="235">
        <v>2240.0259999999998</v>
      </c>
      <c r="BF66" s="235">
        <v>2256.5059999999999</v>
      </c>
      <c r="BG66" s="451">
        <v>2267.2730000000001</v>
      </c>
      <c r="BH66" s="235">
        <v>2420.9079999999999</v>
      </c>
      <c r="BI66" s="235">
        <v>2432.6010000000001</v>
      </c>
      <c r="BJ66" s="1387">
        <v>2437.9479999999999</v>
      </c>
      <c r="BK66" s="451">
        <v>2452.3530000000001</v>
      </c>
      <c r="BL66" s="1445">
        <v>2490.172</v>
      </c>
      <c r="BM66" s="1445">
        <v>2545.17</v>
      </c>
      <c r="BN66" s="1445">
        <v>2605.69</v>
      </c>
      <c r="BO66" s="1386">
        <f t="shared" ref="BO66" si="505">BN66+BO62+BO63-BO65</f>
        <v>2662.8508656280001</v>
      </c>
      <c r="BP66" s="229">
        <f t="shared" ref="BP66:BW66" si="506">BO66+BP62+BP63-BP65</f>
        <v>2704.0149396880001</v>
      </c>
      <c r="BQ66" s="229">
        <f t="shared" si="506"/>
        <v>2746.4680017941801</v>
      </c>
      <c r="BR66" s="229">
        <f t="shared" si="506"/>
        <v>2788.0574985943786</v>
      </c>
      <c r="BS66" s="230">
        <f t="shared" si="506"/>
        <v>2829.2719913153278</v>
      </c>
      <c r="BT66" s="1385">
        <f t="shared" si="506"/>
        <v>2872.1283761641157</v>
      </c>
      <c r="BU66" s="1385">
        <f t="shared" si="506"/>
        <v>2916.0862280020724</v>
      </c>
      <c r="BV66" s="1385">
        <f t="shared" si="506"/>
        <v>2959.406698480223</v>
      </c>
      <c r="BW66" s="1386">
        <f t="shared" si="506"/>
        <v>3002.3356425534221</v>
      </c>
      <c r="BX66" s="20"/>
      <c r="BY66" s="247">
        <f>G66</f>
        <v>1295.3610000000001</v>
      </c>
      <c r="BZ66" s="247">
        <f>K66</f>
        <v>1323.8810000000001</v>
      </c>
      <c r="CA66" s="247">
        <f>O66</f>
        <v>1424.981</v>
      </c>
      <c r="CB66" s="247">
        <f>S66</f>
        <v>1492.06</v>
      </c>
      <c r="CC66" s="247">
        <f>W66</f>
        <v>1547.9659999999999</v>
      </c>
      <c r="CD66" s="247">
        <f>AA66</f>
        <v>1549.115</v>
      </c>
      <c r="CE66" s="247">
        <f>AE66</f>
        <v>1637.454</v>
      </c>
      <c r="CF66" s="247">
        <f>AI66</f>
        <v>1664.4369999999999</v>
      </c>
      <c r="CG66" s="247">
        <f>AM66</f>
        <v>1829.6769999999999</v>
      </c>
      <c r="CH66" s="247">
        <f>AQ66</f>
        <v>1818.55</v>
      </c>
      <c r="CI66" s="247">
        <f>AU66</f>
        <v>1897.6849999999999</v>
      </c>
      <c r="CJ66" s="247">
        <f>AY66</f>
        <v>2001.019</v>
      </c>
      <c r="CK66" s="247">
        <f>BC66</f>
        <v>2142.4160000000002</v>
      </c>
      <c r="CL66" s="247">
        <f>BG66</f>
        <v>2267.2730000000001</v>
      </c>
      <c r="CM66" s="247">
        <f>BK66</f>
        <v>2452.3530000000001</v>
      </c>
      <c r="CN66" s="247">
        <f>BO66</f>
        <v>2662.8508656280001</v>
      </c>
      <c r="CO66" s="247">
        <f>BS66</f>
        <v>2829.2719913153278</v>
      </c>
      <c r="CP66" s="1391">
        <f>BW66</f>
        <v>3002.3356425534221</v>
      </c>
      <c r="CQ66" s="20"/>
      <c r="CR66" s="248">
        <f>J66</f>
        <v>1320.0070000000001</v>
      </c>
      <c r="CS66" s="247">
        <f>N66</f>
        <v>1364.068</v>
      </c>
      <c r="CT66" s="247">
        <f>R66</f>
        <v>1474.1890000000001</v>
      </c>
      <c r="CU66" s="247">
        <f>V66</f>
        <v>1541.479</v>
      </c>
      <c r="CV66" s="247">
        <f>Z66</f>
        <v>1531.7349999999999</v>
      </c>
      <c r="CW66" s="247">
        <f>AD66</f>
        <v>1628.269</v>
      </c>
      <c r="CX66" s="247">
        <f>AH66</f>
        <v>1649.45</v>
      </c>
      <c r="CY66" s="247">
        <f>AL66</f>
        <v>1795.7360000000001</v>
      </c>
      <c r="CZ66" s="247">
        <f>AP66</f>
        <v>1815.835</v>
      </c>
      <c r="DA66" s="247">
        <f>AT66</f>
        <v>1885.3969999999999</v>
      </c>
      <c r="DB66" s="247">
        <f>AX66</f>
        <v>1967.5070000000001</v>
      </c>
      <c r="DC66" s="247">
        <f>BB66</f>
        <v>2112.1179999999999</v>
      </c>
      <c r="DD66" s="247">
        <f>BF66</f>
        <v>2256.5059999999999</v>
      </c>
      <c r="DE66" s="247">
        <f>BJ66</f>
        <v>2437.9479999999999</v>
      </c>
      <c r="DF66" s="247">
        <f>BN66</f>
        <v>2605.69</v>
      </c>
      <c r="DG66" s="1391">
        <f>BR66</f>
        <v>2788.0574985943786</v>
      </c>
      <c r="DH66" s="1391">
        <f>BV66</f>
        <v>2959.406698480223</v>
      </c>
      <c r="DI66" s="22"/>
    </row>
    <row r="67" spans="1:113" ht="14.25" customHeight="1">
      <c r="A67" s="8"/>
      <c r="B67" s="34" t="s">
        <v>82</v>
      </c>
      <c r="C67" s="239"/>
      <c r="D67" s="1236">
        <f>D66/BS!D25</f>
        <v>0.87890319163203356</v>
      </c>
      <c r="E67" s="1236">
        <f>E66/BS!E25</f>
        <v>0.93873548180029032</v>
      </c>
      <c r="F67" s="1236">
        <f>F66/BS!F25</f>
        <v>0.90877611660934476</v>
      </c>
      <c r="G67" s="1237">
        <f>G66/BS!G25</f>
        <v>0.90694089023472368</v>
      </c>
      <c r="H67" s="1236">
        <f>H66/BS!H25</f>
        <v>0.90804561590901955</v>
      </c>
      <c r="I67" s="1236">
        <f>I66/BS!I25</f>
        <v>0.87531587337858363</v>
      </c>
      <c r="J67" s="1236">
        <f>J66/BS!J25</f>
        <v>0.83463501983512256</v>
      </c>
      <c r="K67" s="1237">
        <f>K66/BS!K25</f>
        <v>0.81613088365205788</v>
      </c>
      <c r="L67" s="1236">
        <f>L66/BS!L25</f>
        <v>0.81086502232309776</v>
      </c>
      <c r="M67" s="1236">
        <f>M66/BS!M25</f>
        <v>0.791013867756994</v>
      </c>
      <c r="N67" s="1236">
        <f>N66/BS!N25</f>
        <v>0.76404977726594714</v>
      </c>
      <c r="O67" s="1237">
        <f>O66/BS!O25</f>
        <v>0.78401026874579793</v>
      </c>
      <c r="P67" s="1236">
        <f>P66/BS!P25</f>
        <v>0.76805004495102946</v>
      </c>
      <c r="Q67" s="1236">
        <f>Q66/BS!Q25</f>
        <v>0.74581672492907658</v>
      </c>
      <c r="R67" s="1236">
        <f>R66/BS!R25</f>
        <v>0.73471768827841943</v>
      </c>
      <c r="S67" s="1237">
        <f>S66/BS!S25</f>
        <v>0.63475816346152225</v>
      </c>
      <c r="T67" s="1236">
        <f>T66/BS!T25</f>
        <v>0.65790818894570124</v>
      </c>
      <c r="U67" s="1236">
        <f>U66/BS!U25</f>
        <v>0.66669605369971108</v>
      </c>
      <c r="V67" s="1236">
        <f>V66/BS!V25</f>
        <v>0.67654424479692421</v>
      </c>
      <c r="W67" s="1237">
        <f>W66/BS!W25</f>
        <v>0.68206126260772559</v>
      </c>
      <c r="X67" s="1236">
        <f>X66/BS!X25</f>
        <v>0.66510522185187415</v>
      </c>
      <c r="Y67" s="1236">
        <f>Y66/BS!Y25</f>
        <v>0.67597331588901755</v>
      </c>
      <c r="Z67" s="1236">
        <f>Z66/BS!Z25</f>
        <v>0.58535823854647073</v>
      </c>
      <c r="AA67" s="1237">
        <f>AA66/BS!AA25</f>
        <v>0.61661054958649564</v>
      </c>
      <c r="AB67" s="1236">
        <f>AB66/BS!AB25</f>
        <v>0.61645733058954078</v>
      </c>
      <c r="AC67" s="1236">
        <f>AC66/BS!AC25</f>
        <v>0.63817131932503346</v>
      </c>
      <c r="AD67" s="1236">
        <f>AD66/BS!AD25</f>
        <v>0.66537550114562161</v>
      </c>
      <c r="AE67" s="1237">
        <f>AE66/BS!AE25</f>
        <v>0.67623177788083866</v>
      </c>
      <c r="AF67" s="1236">
        <f>AF66/BS!AF25</f>
        <v>0.68565572791587692</v>
      </c>
      <c r="AG67" s="1236">
        <f>AG66/BS!AG25</f>
        <v>0.67906719017816353</v>
      </c>
      <c r="AH67" s="1236">
        <f>AH66/BS!AH25</f>
        <v>0.67500625100517397</v>
      </c>
      <c r="AI67" s="1237">
        <f>AI66/BS!AI25</f>
        <v>0.66145865001690973</v>
      </c>
      <c r="AJ67" s="1236">
        <f>AJ66/BS!AJ25</f>
        <v>0.64375856997574321</v>
      </c>
      <c r="AK67" s="1236">
        <f>AK66/BS!AK25</f>
        <v>0.63117146244974853</v>
      </c>
      <c r="AL67" s="1236">
        <f>AL66/BS!AL25</f>
        <v>0.63482147086709717</v>
      </c>
      <c r="AM67" s="1237">
        <f>AM66/BS!AM25</f>
        <v>0.61645594526791581</v>
      </c>
      <c r="AN67" s="1236">
        <f>AN66/BS!AN25</f>
        <v>0.61187390218000925</v>
      </c>
      <c r="AO67" s="1236">
        <f>AO66/BS!AO25</f>
        <v>0.61897704787047303</v>
      </c>
      <c r="AP67" s="1236">
        <f>AP66/BS!AP25</f>
        <v>0.60104079537897981</v>
      </c>
      <c r="AQ67" s="1237">
        <f>AQ66/BS!AQ25</f>
        <v>0.58971533600365267</v>
      </c>
      <c r="AR67" s="1236">
        <f>AR66/BS!AR25</f>
        <v>0.58082954935704212</v>
      </c>
      <c r="AS67" s="1236">
        <f>AS66/BS!AS25</f>
        <v>0.48290545976006438</v>
      </c>
      <c r="AT67" s="1236">
        <f>AT66/BS!AT25</f>
        <v>0.49053863069412335</v>
      </c>
      <c r="AU67" s="1237">
        <f>AU66/BS!AU25</f>
        <v>0.49272538203590643</v>
      </c>
      <c r="AV67" s="1236">
        <f>AV66/BS!AV25</f>
        <v>0.49374661233528389</v>
      </c>
      <c r="AW67" s="1236">
        <f>AW66/BS!AW25</f>
        <v>0.49001765632632904</v>
      </c>
      <c r="AX67" s="1236">
        <f>AX66/BS!AX25</f>
        <v>0.49149485849494939</v>
      </c>
      <c r="AY67" s="1237">
        <f>AY66/BS!AY25</f>
        <v>0.49193731976605543</v>
      </c>
      <c r="AZ67" s="1236">
        <f>AZ66/BS!AZ25</f>
        <v>0.45797216766927823</v>
      </c>
      <c r="BA67" s="1236">
        <f>BA66/BS!BA25</f>
        <v>0.45563867994526558</v>
      </c>
      <c r="BB67" s="1236">
        <f>BB66/BS!BB25</f>
        <v>0.45628772345669627</v>
      </c>
      <c r="BC67" s="1237">
        <f>BC66/BS!BC25</f>
        <v>0.44813733850996706</v>
      </c>
      <c r="BD67" s="1236">
        <f>BD66/BS!BD25</f>
        <v>0.44841583822062447</v>
      </c>
      <c r="BE67" s="1236">
        <f>BE66/BS!BE25</f>
        <v>0.38712519500773285</v>
      </c>
      <c r="BF67" s="1236">
        <f>BF66/BS!BF25</f>
        <v>0.41429983330741477</v>
      </c>
      <c r="BG67" s="1237">
        <f>BG66/BS!BG25</f>
        <v>0.40723249061744782</v>
      </c>
      <c r="BH67" s="1236">
        <f>BH66/BS!BH25</f>
        <v>0.32898332272465619</v>
      </c>
      <c r="BI67" s="1236">
        <f>BI66/BS!BI25</f>
        <v>0.34385988570614373</v>
      </c>
      <c r="BJ67" s="1236">
        <f>BJ66/BS!BJ25</f>
        <v>0.34123036746311641</v>
      </c>
      <c r="BK67" s="1237">
        <f>BK66/BS!BK25</f>
        <v>0.31903095676907189</v>
      </c>
      <c r="BL67" s="1236">
        <f>BL66/BS!BL25</f>
        <v>0.31569553889626517</v>
      </c>
      <c r="BM67" s="1236">
        <f>BM66/BS!BM25</f>
        <v>0.31596616247049419</v>
      </c>
      <c r="BN67" s="1236">
        <f>BN66/BS!BN25</f>
        <v>0.32074795603482265</v>
      </c>
      <c r="BO67" s="1237">
        <f>BO66/BS!BO25</f>
        <v>0.31663798656501058</v>
      </c>
      <c r="BP67" s="1236">
        <f>BP66/BS!BP25</f>
        <v>0.31097634027898313</v>
      </c>
      <c r="BQ67" s="1236">
        <f>BQ66/BS!BQ25</f>
        <v>0.30534911147414101</v>
      </c>
      <c r="BR67" s="1236">
        <f>BR66/BS!BR25</f>
        <v>0.30131764746800377</v>
      </c>
      <c r="BS67" s="1237">
        <f>BS66/BS!BS25</f>
        <v>0.29682221691111405</v>
      </c>
      <c r="BT67" s="1236">
        <f>BT66/BS!BT25</f>
        <v>0.29195927271080502</v>
      </c>
      <c r="BU67" s="1236">
        <f>BU66/BS!BU25</f>
        <v>0.28718677460470882</v>
      </c>
      <c r="BV67" s="1236">
        <f>BV66/BS!BV25</f>
        <v>0.28303108838060509</v>
      </c>
      <c r="BW67" s="1237">
        <f>BW66/BS!BW25</f>
        <v>0.27915688085347423</v>
      </c>
      <c r="BX67" s="20"/>
      <c r="BY67" s="90">
        <f>BY66/BS!BY25</f>
        <v>0.90694089023472368</v>
      </c>
      <c r="BZ67" s="90">
        <f>BZ66/BS!BZ25</f>
        <v>0.81613088365205788</v>
      </c>
      <c r="CA67" s="90">
        <f>CA66/BS!CA25</f>
        <v>0.78401026874579793</v>
      </c>
      <c r="CB67" s="90">
        <f>CB66/BS!CB25</f>
        <v>0.63475816346152225</v>
      </c>
      <c r="CC67" s="90">
        <f>CC66/BS!CC25</f>
        <v>0.68206126260772559</v>
      </c>
      <c r="CD67" s="90">
        <f>CD66/BS!CD25</f>
        <v>0.61661054958649564</v>
      </c>
      <c r="CE67" s="90">
        <f>CE66/BS!CE25</f>
        <v>0.67623177788083866</v>
      </c>
      <c r="CF67" s="90">
        <f>CF66/BS!CF25</f>
        <v>0.66145865001690973</v>
      </c>
      <c r="CG67" s="90">
        <f>CG66/BS!CG25</f>
        <v>0.61645594526791581</v>
      </c>
      <c r="CH67" s="90">
        <f>CH66/BS!CH25</f>
        <v>0.58971533600365267</v>
      </c>
      <c r="CI67" s="1236">
        <f>CI66/BS!CI25</f>
        <v>0.49272538203590643</v>
      </c>
      <c r="CJ67" s="1236">
        <f>CJ66/BS!CJ25</f>
        <v>0.49193731976605543</v>
      </c>
      <c r="CK67" s="1236">
        <f>CK66/BS!CK25</f>
        <v>0.44813733850996706</v>
      </c>
      <c r="CL67" s="1236">
        <f>CL66/BS!CL25</f>
        <v>0.40723249061744782</v>
      </c>
      <c r="CM67" s="1236">
        <f>CM66/BS!CM25</f>
        <v>0.31903095676907189</v>
      </c>
      <c r="CN67" s="1236">
        <f>CN66/BS!CN25</f>
        <v>0.31663798656501058</v>
      </c>
      <c r="CO67" s="1236">
        <f>CO66/BS!CO25</f>
        <v>0.29682221691111405</v>
      </c>
      <c r="CP67" s="1236">
        <f>CP66/BS!CP25</f>
        <v>0.27915688085347423</v>
      </c>
      <c r="CQ67" s="1239"/>
      <c r="CR67" s="1236">
        <f>CR66/BS!CR25</f>
        <v>0.83463501983512256</v>
      </c>
      <c r="CS67" s="1236">
        <f>CS66/BS!CS25</f>
        <v>0.76404977726594714</v>
      </c>
      <c r="CT67" s="1236">
        <f>CT66/BS!CT25</f>
        <v>0.73471768827841943</v>
      </c>
      <c r="CU67" s="1236">
        <f>CU66/BS!CU25</f>
        <v>0.67654424479692421</v>
      </c>
      <c r="CV67" s="1236">
        <f>CV66/BS!CV25</f>
        <v>0.58535823854647073</v>
      </c>
      <c r="CW67" s="1236">
        <f>CW66/BS!CW25</f>
        <v>0.66537550114562161</v>
      </c>
      <c r="CX67" s="1236">
        <f>CX66/BS!CX25</f>
        <v>0.67500625100517397</v>
      </c>
      <c r="CY67" s="1236">
        <f>CY66/BS!CY25</f>
        <v>0.63482147086709717</v>
      </c>
      <c r="CZ67" s="1236">
        <f>CZ66/BS!CZ25</f>
        <v>0.60104079537897981</v>
      </c>
      <c r="DA67" s="1236">
        <f>DA66/BS!DA25</f>
        <v>0.49053863069412335</v>
      </c>
      <c r="DB67" s="1236">
        <f>DB66/BS!DB25</f>
        <v>0.49149485849494939</v>
      </c>
      <c r="DC67" s="1236">
        <f>DC66/BS!DC25</f>
        <v>0.45628772345669627</v>
      </c>
      <c r="DD67" s="1236">
        <f>DD66/BS!DD25</f>
        <v>0.41429983330741477</v>
      </c>
      <c r="DE67" s="1236">
        <f>DE66/BS!DE25</f>
        <v>0.34123036746311641</v>
      </c>
      <c r="DF67" s="1236">
        <f>DF66/BS!DF25</f>
        <v>0.32074795603482265</v>
      </c>
      <c r="DG67" s="1236">
        <f>DG66/BS!DG25</f>
        <v>0.30131764746800377</v>
      </c>
      <c r="DH67" s="1236">
        <f>DH66/BS!DH25</f>
        <v>0.28303108838060509</v>
      </c>
      <c r="DI67" s="22"/>
    </row>
    <row r="68" spans="1:113" ht="14.25" customHeight="1">
      <c r="A68" s="8"/>
      <c r="B68" s="62" t="s">
        <v>83</v>
      </c>
      <c r="C68" s="16"/>
      <c r="D68" s="236">
        <v>459.68099999999998</v>
      </c>
      <c r="E68" s="237">
        <v>479.24599999999998</v>
      </c>
      <c r="F68" s="237">
        <v>504.03300000000002</v>
      </c>
      <c r="G68" s="1107">
        <v>527.428</v>
      </c>
      <c r="H68" s="236">
        <v>581.34900000000005</v>
      </c>
      <c r="I68" s="237">
        <v>602.95399999999995</v>
      </c>
      <c r="J68" s="237">
        <v>626.32899999999995</v>
      </c>
      <c r="K68" s="1107">
        <v>634.67499999999995</v>
      </c>
      <c r="L68" s="236">
        <v>660.06100000000004</v>
      </c>
      <c r="M68" s="237">
        <v>680.26</v>
      </c>
      <c r="N68" s="237">
        <v>709.9</v>
      </c>
      <c r="O68" s="1107">
        <v>731.67899999999997</v>
      </c>
      <c r="P68" s="236">
        <v>773.07299999999998</v>
      </c>
      <c r="Q68" s="237">
        <v>797.78800000000001</v>
      </c>
      <c r="R68" s="237">
        <v>820.62900000000002</v>
      </c>
      <c r="S68" s="450">
        <v>832.08799999999997</v>
      </c>
      <c r="T68" s="236">
        <v>861.154</v>
      </c>
      <c r="U68" s="237">
        <v>888.98199999999997</v>
      </c>
      <c r="V68" s="237">
        <v>916.48299999999995</v>
      </c>
      <c r="W68" s="450">
        <v>942.24400000000003</v>
      </c>
      <c r="X68" s="236">
        <v>966.43399999999997</v>
      </c>
      <c r="Y68" s="237">
        <v>983.73099999999999</v>
      </c>
      <c r="Z68" s="237">
        <v>1006.966</v>
      </c>
      <c r="AA68" s="450">
        <v>1026.81</v>
      </c>
      <c r="AB68" s="236">
        <v>1047.1310000000001</v>
      </c>
      <c r="AC68" s="237">
        <v>1063.145</v>
      </c>
      <c r="AD68" s="237">
        <v>1084.5640000000001</v>
      </c>
      <c r="AE68" s="450">
        <v>1105.7670000000001</v>
      </c>
      <c r="AF68" s="236">
        <v>1122.49</v>
      </c>
      <c r="AG68" s="237">
        <v>1144.22</v>
      </c>
      <c r="AH68" s="237">
        <v>1154.385</v>
      </c>
      <c r="AI68" s="450">
        <v>1171.3979999999999</v>
      </c>
      <c r="AJ68" s="236">
        <v>1226.1489999999999</v>
      </c>
      <c r="AK68" s="237">
        <v>1254.895</v>
      </c>
      <c r="AL68" s="237">
        <v>1267.521</v>
      </c>
      <c r="AM68" s="450">
        <v>1289.164</v>
      </c>
      <c r="AN68" s="233">
        <v>1307.846</v>
      </c>
      <c r="AO68" s="237">
        <v>1328.8440000000001</v>
      </c>
      <c r="AP68" s="233">
        <v>1282.183</v>
      </c>
      <c r="AQ68" s="450">
        <v>1301.9390000000001</v>
      </c>
      <c r="AR68" s="233">
        <v>1320.3869999999999</v>
      </c>
      <c r="AS68" s="237">
        <v>1340.991</v>
      </c>
      <c r="AT68" s="233">
        <v>1362.66</v>
      </c>
      <c r="AU68" s="450">
        <v>1383.1410000000001</v>
      </c>
      <c r="AV68" s="233">
        <v>1403.779</v>
      </c>
      <c r="AW68" s="237">
        <v>1424.8030000000001</v>
      </c>
      <c r="AX68" s="233">
        <v>1446.942</v>
      </c>
      <c r="AY68" s="450">
        <v>1469.0519999999999</v>
      </c>
      <c r="AZ68" s="233">
        <v>1491.7650000000001</v>
      </c>
      <c r="BA68" s="237">
        <v>1515.6780000000001</v>
      </c>
      <c r="BB68" s="233">
        <v>1534.9949999999999</v>
      </c>
      <c r="BC68" s="450">
        <v>1560.8440000000001</v>
      </c>
      <c r="BD68" s="233">
        <v>1582.702</v>
      </c>
      <c r="BE68" s="237">
        <v>1608.4259999999999</v>
      </c>
      <c r="BF68" s="233">
        <v>1633.664</v>
      </c>
      <c r="BG68" s="450">
        <v>1657.877</v>
      </c>
      <c r="BH68" s="233">
        <v>1688.0920000000001</v>
      </c>
      <c r="BI68" s="237">
        <v>1715.6030000000001</v>
      </c>
      <c r="BJ68" s="233">
        <v>1739.2439999999999</v>
      </c>
      <c r="BK68" s="450">
        <v>1769.0150000000001</v>
      </c>
      <c r="BL68" s="233">
        <v>1796.1769999999999</v>
      </c>
      <c r="BM68" s="237">
        <v>1822.39</v>
      </c>
      <c r="BN68" s="233">
        <v>1850.91</v>
      </c>
      <c r="BO68" s="1384">
        <f t="shared" ref="BO68" si="507">BN68+BO77</f>
        <v>1882.91</v>
      </c>
      <c r="BP68" s="227">
        <f t="shared" ref="BP68:BW68" si="508">BO68+BP77</f>
        <v>1914.91</v>
      </c>
      <c r="BQ68" s="227">
        <f t="shared" si="508"/>
        <v>1946.91</v>
      </c>
      <c r="BR68" s="227">
        <f t="shared" si="508"/>
        <v>1978.91</v>
      </c>
      <c r="BS68" s="228">
        <f t="shared" si="508"/>
        <v>2010.91</v>
      </c>
      <c r="BT68" s="227">
        <f t="shared" si="508"/>
        <v>2042.91</v>
      </c>
      <c r="BU68" s="227">
        <f t="shared" si="508"/>
        <v>2074.91</v>
      </c>
      <c r="BV68" s="227">
        <f t="shared" si="508"/>
        <v>2106.91</v>
      </c>
      <c r="BW68" s="1384">
        <f t="shared" si="508"/>
        <v>2138.91</v>
      </c>
      <c r="BX68" s="20"/>
      <c r="BY68" s="245">
        <f>G68</f>
        <v>527.428</v>
      </c>
      <c r="BZ68" s="245">
        <f>K68</f>
        <v>634.67499999999995</v>
      </c>
      <c r="CA68" s="245">
        <f>O68</f>
        <v>731.67899999999997</v>
      </c>
      <c r="CB68" s="245">
        <f>S68</f>
        <v>832.08799999999997</v>
      </c>
      <c r="CC68" s="245">
        <f>W68</f>
        <v>942.24400000000003</v>
      </c>
      <c r="CD68" s="245">
        <f>AA68</f>
        <v>1026.81</v>
      </c>
      <c r="CE68" s="245">
        <f>AE68</f>
        <v>1105.7670000000001</v>
      </c>
      <c r="CF68" s="245">
        <f>AI68</f>
        <v>1171.3979999999999</v>
      </c>
      <c r="CG68" s="245">
        <f>AM68</f>
        <v>1289.164</v>
      </c>
      <c r="CH68" s="245">
        <f>AQ68</f>
        <v>1301.9390000000001</v>
      </c>
      <c r="CI68" s="245">
        <f>AU68</f>
        <v>1383.1410000000001</v>
      </c>
      <c r="CJ68" s="245">
        <f>AY68</f>
        <v>1469.0519999999999</v>
      </c>
      <c r="CK68" s="245">
        <f>BC68</f>
        <v>1560.8440000000001</v>
      </c>
      <c r="CL68" s="245">
        <f>BG68</f>
        <v>1657.877</v>
      </c>
      <c r="CM68" s="245">
        <f>BK68</f>
        <v>1769.0150000000001</v>
      </c>
      <c r="CN68" s="245">
        <f>BO68</f>
        <v>1882.91</v>
      </c>
      <c r="CO68" s="245">
        <f>BS68</f>
        <v>2010.91</v>
      </c>
      <c r="CP68" s="1390">
        <f>BW68</f>
        <v>2138.91</v>
      </c>
      <c r="CQ68" s="20"/>
      <c r="CR68" s="246">
        <f>J68</f>
        <v>626.32899999999995</v>
      </c>
      <c r="CS68" s="245">
        <f>N68</f>
        <v>709.9</v>
      </c>
      <c r="CT68" s="245">
        <f>R68</f>
        <v>820.62900000000002</v>
      </c>
      <c r="CU68" s="245">
        <f>V68</f>
        <v>916.48299999999995</v>
      </c>
      <c r="CV68" s="245">
        <f>Z68</f>
        <v>1006.966</v>
      </c>
      <c r="CW68" s="245">
        <f>AD68</f>
        <v>1084.5640000000001</v>
      </c>
      <c r="CX68" s="245">
        <f>AH68</f>
        <v>1154.385</v>
      </c>
      <c r="CY68" s="245">
        <f>AL68</f>
        <v>1267.521</v>
      </c>
      <c r="CZ68" s="245">
        <f>AP68</f>
        <v>1282.183</v>
      </c>
      <c r="DA68" s="245">
        <f>AT68</f>
        <v>1362.66</v>
      </c>
      <c r="DB68" s="245">
        <f>AX68</f>
        <v>1446.942</v>
      </c>
      <c r="DC68" s="245">
        <f>BB68</f>
        <v>1534.9949999999999</v>
      </c>
      <c r="DD68" s="245">
        <f>BF68</f>
        <v>1633.664</v>
      </c>
      <c r="DE68" s="247">
        <f>BJ68</f>
        <v>1739.2439999999999</v>
      </c>
      <c r="DF68" s="247">
        <f>BN68</f>
        <v>1850.91</v>
      </c>
      <c r="DG68" s="1391">
        <f>BR68</f>
        <v>1978.91</v>
      </c>
      <c r="DH68" s="1391">
        <f>BV68</f>
        <v>2106.91</v>
      </c>
      <c r="DI68" s="22"/>
    </row>
    <row r="69" spans="1:113" ht="14.25" customHeight="1">
      <c r="A69" s="8"/>
      <c r="B69" s="249" t="s">
        <v>84</v>
      </c>
      <c r="C69" s="250"/>
      <c r="D69" s="253">
        <f t="shared" ref="D69:O69" si="509">D66-D68</f>
        <v>713.39899999999989</v>
      </c>
      <c r="E69" s="251">
        <f t="shared" si="509"/>
        <v>784.27600000000018</v>
      </c>
      <c r="F69" s="251">
        <f t="shared" si="509"/>
        <v>777.75300000000004</v>
      </c>
      <c r="G69" s="252">
        <f t="shared" si="509"/>
        <v>767.93300000000011</v>
      </c>
      <c r="H69" s="253">
        <f t="shared" si="509"/>
        <v>719.33100000000002</v>
      </c>
      <c r="I69" s="251">
        <f t="shared" si="509"/>
        <v>703.27200000000016</v>
      </c>
      <c r="J69" s="251">
        <f t="shared" si="509"/>
        <v>693.67800000000011</v>
      </c>
      <c r="K69" s="252">
        <f t="shared" si="509"/>
        <v>689.20600000000013</v>
      </c>
      <c r="L69" s="253">
        <f t="shared" si="509"/>
        <v>673.57599999999991</v>
      </c>
      <c r="M69" s="251">
        <f t="shared" si="509"/>
        <v>663.14100000000008</v>
      </c>
      <c r="N69" s="251">
        <f t="shared" si="509"/>
        <v>654.16800000000001</v>
      </c>
      <c r="O69" s="252">
        <f t="shared" si="509"/>
        <v>693.30200000000002</v>
      </c>
      <c r="P69" s="253">
        <f t="shared" ref="P69:AL69" si="510">P66-P68</f>
        <v>680.12299999999993</v>
      </c>
      <c r="Q69" s="251">
        <f t="shared" si="510"/>
        <v>662.5920000000001</v>
      </c>
      <c r="R69" s="251">
        <f t="shared" si="510"/>
        <v>653.56000000000006</v>
      </c>
      <c r="S69" s="252">
        <f t="shared" si="510"/>
        <v>659.97199999999998</v>
      </c>
      <c r="T69" s="253">
        <f t="shared" si="510"/>
        <v>648.54199999999992</v>
      </c>
      <c r="U69" s="251">
        <f t="shared" si="510"/>
        <v>638.5920000000001</v>
      </c>
      <c r="V69" s="251">
        <f t="shared" si="510"/>
        <v>624.99600000000009</v>
      </c>
      <c r="W69" s="252">
        <f t="shared" si="510"/>
        <v>605.72199999999987</v>
      </c>
      <c r="X69" s="253">
        <f t="shared" si="510"/>
        <v>604.77199999999993</v>
      </c>
      <c r="Y69" s="251">
        <f t="shared" si="510"/>
        <v>536.31600000000003</v>
      </c>
      <c r="Z69" s="251">
        <f t="shared" si="510"/>
        <v>524.76899999999989</v>
      </c>
      <c r="AA69" s="252">
        <f t="shared" si="510"/>
        <v>522.30500000000006</v>
      </c>
      <c r="AB69" s="253">
        <f t="shared" si="510"/>
        <v>520.79</v>
      </c>
      <c r="AC69" s="251">
        <f t="shared" si="510"/>
        <v>543.12200000000007</v>
      </c>
      <c r="AD69" s="251">
        <f t="shared" si="510"/>
        <v>543.70499999999993</v>
      </c>
      <c r="AE69" s="252">
        <f t="shared" si="510"/>
        <v>531.6869999999999</v>
      </c>
      <c r="AF69" s="253">
        <f t="shared" si="510"/>
        <v>513.7650000000001</v>
      </c>
      <c r="AG69" s="251">
        <f t="shared" si="510"/>
        <v>497.95800000000008</v>
      </c>
      <c r="AH69" s="251">
        <f t="shared" si="510"/>
        <v>495.06500000000005</v>
      </c>
      <c r="AI69" s="252">
        <f t="shared" si="510"/>
        <v>493.03899999999999</v>
      </c>
      <c r="AJ69" s="253">
        <f t="shared" si="510"/>
        <v>507.66600000000017</v>
      </c>
      <c r="AK69" s="251">
        <f t="shared" si="510"/>
        <v>517.66800000000012</v>
      </c>
      <c r="AL69" s="251">
        <f t="shared" si="510"/>
        <v>528.21500000000015</v>
      </c>
      <c r="AM69" s="252">
        <f>AM66-AM68</f>
        <v>540.51299999999992</v>
      </c>
      <c r="AN69" s="251">
        <f t="shared" ref="AN69:BC69" si="511">AN66-AN68</f>
        <v>545.70299999999997</v>
      </c>
      <c r="AO69" s="251">
        <f t="shared" si="511"/>
        <v>548.97699999999986</v>
      </c>
      <c r="AP69" s="251">
        <f>AP66-AP68</f>
        <v>533.65200000000004</v>
      </c>
      <c r="AQ69" s="252">
        <f>AQ66-AQ68</f>
        <v>516.61099999999988</v>
      </c>
      <c r="AR69" s="251">
        <f t="shared" si="511"/>
        <v>506.22900000000004</v>
      </c>
      <c r="AS69" s="251">
        <f t="shared" si="511"/>
        <v>536.72700000000009</v>
      </c>
      <c r="AT69" s="251">
        <f>AT66-AT68</f>
        <v>522.73699999999985</v>
      </c>
      <c r="AU69" s="252">
        <f>AU66-AU68</f>
        <v>514.54399999999987</v>
      </c>
      <c r="AV69" s="251">
        <f t="shared" si="511"/>
        <v>513.72299999999996</v>
      </c>
      <c r="AW69" s="251">
        <f t="shared" si="511"/>
        <v>518.1909999999998</v>
      </c>
      <c r="AX69" s="251">
        <f>AX66-AX68</f>
        <v>520.56500000000005</v>
      </c>
      <c r="AY69" s="252">
        <f t="shared" si="511"/>
        <v>531.9670000000001</v>
      </c>
      <c r="AZ69" s="251">
        <f>AZ66-AZ68</f>
        <v>569.90799999999967</v>
      </c>
      <c r="BA69" s="251">
        <f>BA66-BA68</f>
        <v>585.10200000000009</v>
      </c>
      <c r="BB69" s="251">
        <f>BB66-BB68</f>
        <v>577.12300000000005</v>
      </c>
      <c r="BC69" s="252">
        <f t="shared" si="511"/>
        <v>581.57200000000012</v>
      </c>
      <c r="BD69" s="251">
        <f t="shared" ref="BD69:BK69" si="512">BD66-BD68</f>
        <v>595.24700000000007</v>
      </c>
      <c r="BE69" s="251">
        <f>BE66-BE68</f>
        <v>631.59999999999991</v>
      </c>
      <c r="BF69" s="251">
        <f>BF66-BF68</f>
        <v>622.84199999999987</v>
      </c>
      <c r="BG69" s="252">
        <f>BG66-BG68</f>
        <v>609.39600000000019</v>
      </c>
      <c r="BH69" s="251">
        <f t="shared" ref="BH69" si="513">BH66-BH68</f>
        <v>732.8159999999998</v>
      </c>
      <c r="BI69" s="251">
        <f>BI66-BI68</f>
        <v>716.99800000000005</v>
      </c>
      <c r="BJ69" s="1393">
        <f>BJ66-BJ68</f>
        <v>698.70399999999995</v>
      </c>
      <c r="BK69" s="1394">
        <f t="shared" si="512"/>
        <v>683.33799999999997</v>
      </c>
      <c r="BL69" s="1393">
        <f t="shared" ref="BL69:BS69" si="514">BL66-BL68</f>
        <v>693.99500000000012</v>
      </c>
      <c r="BM69" s="1393">
        <f t="shared" si="514"/>
        <v>722.78</v>
      </c>
      <c r="BN69" s="1393">
        <f>BN66-BN68</f>
        <v>754.78</v>
      </c>
      <c r="BO69" s="1394">
        <f t="shared" si="514"/>
        <v>779.94086562799998</v>
      </c>
      <c r="BP69" s="251">
        <f t="shared" si="514"/>
        <v>789.10493968800006</v>
      </c>
      <c r="BQ69" s="251">
        <f t="shared" si="514"/>
        <v>799.55800179417997</v>
      </c>
      <c r="BR69" s="251">
        <f t="shared" si="514"/>
        <v>809.14749859437848</v>
      </c>
      <c r="BS69" s="252">
        <f t="shared" si="514"/>
        <v>818.36199131532771</v>
      </c>
      <c r="BT69" s="1393">
        <f t="shared" ref="BT69:BW69" si="515">BT66-BT68</f>
        <v>829.21837616411563</v>
      </c>
      <c r="BU69" s="1393">
        <f t="shared" si="515"/>
        <v>841.17622800207255</v>
      </c>
      <c r="BV69" s="1393">
        <f t="shared" si="515"/>
        <v>852.49669848022313</v>
      </c>
      <c r="BW69" s="1394">
        <f t="shared" si="515"/>
        <v>863.42564255342222</v>
      </c>
      <c r="BX69" s="20"/>
      <c r="BY69" s="251">
        <f>BY66-BY68</f>
        <v>767.93300000000011</v>
      </c>
      <c r="BZ69" s="251">
        <f>BZ66-BZ68</f>
        <v>689.20600000000013</v>
      </c>
      <c r="CA69" s="251">
        <f>CA66-CA68</f>
        <v>693.30200000000002</v>
      </c>
      <c r="CB69" s="251">
        <f t="shared" ref="CB69:CH69" si="516">CB66-CB68</f>
        <v>659.97199999999998</v>
      </c>
      <c r="CC69" s="251">
        <f t="shared" si="516"/>
        <v>605.72199999999987</v>
      </c>
      <c r="CD69" s="251">
        <f t="shared" si="516"/>
        <v>522.30500000000006</v>
      </c>
      <c r="CE69" s="251">
        <f t="shared" si="516"/>
        <v>531.6869999999999</v>
      </c>
      <c r="CF69" s="251">
        <f t="shared" si="516"/>
        <v>493.03899999999999</v>
      </c>
      <c r="CG69" s="251">
        <f t="shared" si="516"/>
        <v>540.51299999999992</v>
      </c>
      <c r="CH69" s="251">
        <f t="shared" si="516"/>
        <v>516.61099999999988</v>
      </c>
      <c r="CI69" s="251">
        <f t="shared" ref="CI69:CN69" si="517">CI66-CI68</f>
        <v>514.54399999999987</v>
      </c>
      <c r="CJ69" s="251">
        <f t="shared" si="517"/>
        <v>531.9670000000001</v>
      </c>
      <c r="CK69" s="251">
        <f t="shared" si="517"/>
        <v>581.57200000000012</v>
      </c>
      <c r="CL69" s="251">
        <f t="shared" si="517"/>
        <v>609.39600000000019</v>
      </c>
      <c r="CM69" s="251">
        <f t="shared" si="517"/>
        <v>683.33799999999997</v>
      </c>
      <c r="CN69" s="251">
        <f t="shared" si="517"/>
        <v>779.94086562799998</v>
      </c>
      <c r="CO69" s="251">
        <f>CO66-CO68</f>
        <v>818.36199131532771</v>
      </c>
      <c r="CP69" s="1393">
        <f>CP66-CP68</f>
        <v>863.42564255342222</v>
      </c>
      <c r="CQ69" s="20"/>
      <c r="CR69" s="253">
        <f>CR66-CR68</f>
        <v>693.67800000000011</v>
      </c>
      <c r="CS69" s="251">
        <f>CS66-CS68</f>
        <v>654.16800000000001</v>
      </c>
      <c r="CT69" s="251">
        <f>CT66-CT68</f>
        <v>653.56000000000006</v>
      </c>
      <c r="CU69" s="251">
        <f t="shared" ref="CU69:DA69" si="518">CU66-CU68</f>
        <v>624.99600000000009</v>
      </c>
      <c r="CV69" s="251">
        <f t="shared" si="518"/>
        <v>524.76899999999989</v>
      </c>
      <c r="CW69" s="251">
        <f t="shared" si="518"/>
        <v>543.70499999999993</v>
      </c>
      <c r="CX69" s="251">
        <f t="shared" si="518"/>
        <v>495.06500000000005</v>
      </c>
      <c r="CY69" s="251">
        <f t="shared" si="518"/>
        <v>528.21500000000015</v>
      </c>
      <c r="CZ69" s="251">
        <f t="shared" si="518"/>
        <v>533.65200000000004</v>
      </c>
      <c r="DA69" s="251">
        <f t="shared" si="518"/>
        <v>522.73699999999985</v>
      </c>
      <c r="DB69" s="251">
        <f t="shared" ref="DB69:DG69" si="519">DB66-DB68</f>
        <v>520.56500000000005</v>
      </c>
      <c r="DC69" s="251">
        <f t="shared" si="519"/>
        <v>577.12300000000005</v>
      </c>
      <c r="DD69" s="251">
        <f t="shared" si="519"/>
        <v>622.84199999999987</v>
      </c>
      <c r="DE69" s="251">
        <f t="shared" si="519"/>
        <v>698.70399999999995</v>
      </c>
      <c r="DF69" s="251">
        <f t="shared" si="519"/>
        <v>754.78</v>
      </c>
      <c r="DG69" s="1393">
        <f t="shared" si="519"/>
        <v>809.14749859437848</v>
      </c>
      <c r="DH69" s="1393">
        <f t="shared" ref="DH69" si="520">DH66-DH68</f>
        <v>852.49669848022313</v>
      </c>
      <c r="DI69" s="22"/>
    </row>
    <row r="70" spans="1:113" ht="14.25" customHeight="1">
      <c r="A70" s="8"/>
      <c r="B70" s="14"/>
      <c r="C70" s="14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29"/>
      <c r="Q70" s="229"/>
      <c r="R70" s="229"/>
      <c r="S70" s="229"/>
      <c r="T70" s="229"/>
      <c r="U70" s="229"/>
      <c r="V70" s="229"/>
      <c r="W70" s="229"/>
      <c r="X70" s="229"/>
      <c r="Y70" s="229"/>
      <c r="Z70" s="229"/>
      <c r="AA70" s="229"/>
      <c r="AB70" s="229"/>
      <c r="AC70" s="229"/>
      <c r="AD70" s="229"/>
      <c r="AE70" s="229"/>
      <c r="AF70" s="229"/>
      <c r="AG70" s="229"/>
      <c r="AH70" s="229"/>
      <c r="AI70" s="229"/>
      <c r="AJ70" s="229"/>
      <c r="AK70" s="229"/>
      <c r="AL70" s="229"/>
      <c r="AM70" s="229"/>
      <c r="AN70" s="229"/>
      <c r="AO70" s="229"/>
      <c r="AP70" s="229"/>
      <c r="AQ70" s="229"/>
      <c r="AR70" s="229"/>
      <c r="AS70" s="229"/>
      <c r="AT70" s="229"/>
      <c r="AU70" s="229"/>
      <c r="AV70" s="229"/>
      <c r="AW70" s="229"/>
      <c r="AX70" s="229"/>
      <c r="AY70" s="229"/>
      <c r="AZ70" s="229"/>
      <c r="BA70" s="229"/>
      <c r="BB70" s="229"/>
      <c r="BC70" s="229"/>
      <c r="BD70" s="229"/>
      <c r="BE70" s="229"/>
      <c r="BF70" s="229"/>
      <c r="BG70" s="229"/>
      <c r="BH70" s="229"/>
      <c r="BI70" s="229"/>
      <c r="BJ70" s="1385"/>
      <c r="BK70" s="1385"/>
      <c r="BL70" s="1385"/>
      <c r="BM70" s="1385"/>
      <c r="BN70" s="1385"/>
      <c r="BO70" s="229"/>
      <c r="BP70" s="229"/>
      <c r="BQ70" s="229"/>
      <c r="BR70" s="229"/>
      <c r="BS70" s="229"/>
      <c r="BT70" s="1385"/>
      <c r="BU70" s="1385"/>
      <c r="BV70" s="1385"/>
      <c r="BW70" s="1385"/>
      <c r="BX70" s="14"/>
      <c r="BY70" s="229"/>
      <c r="BZ70" s="229"/>
      <c r="CA70" s="229"/>
      <c r="CB70" s="229"/>
      <c r="CC70" s="229"/>
      <c r="CD70" s="229"/>
      <c r="CE70" s="229"/>
      <c r="CF70" s="229"/>
      <c r="CG70" s="229"/>
      <c r="CH70" s="229"/>
      <c r="CI70" s="229"/>
      <c r="CJ70" s="229"/>
      <c r="CK70" s="229"/>
      <c r="CL70" s="229"/>
      <c r="CM70" s="229"/>
      <c r="CN70" s="229"/>
      <c r="CO70" s="229"/>
      <c r="CP70" s="1385"/>
      <c r="CQ70" s="8"/>
      <c r="CR70" s="254"/>
      <c r="CS70" s="229"/>
      <c r="CT70" s="229"/>
      <c r="CU70" s="229"/>
      <c r="CV70" s="229"/>
      <c r="CW70" s="229"/>
      <c r="CX70" s="229"/>
      <c r="CY70" s="229"/>
      <c r="CZ70" s="229"/>
      <c r="DA70" s="229"/>
      <c r="DB70" s="229"/>
      <c r="DC70" s="229"/>
      <c r="DD70" s="229"/>
      <c r="DE70" s="229"/>
      <c r="DF70" s="229"/>
      <c r="DG70" s="1385"/>
      <c r="DH70" s="1385"/>
      <c r="DI70" s="8"/>
    </row>
    <row r="71" spans="1:113" ht="14.25" customHeight="1">
      <c r="A71" s="8"/>
      <c r="B71" s="1515" t="s">
        <v>55</v>
      </c>
      <c r="C71" s="217"/>
      <c r="D71" s="299">
        <f>BS!D18</f>
        <v>713.399</v>
      </c>
      <c r="E71" s="218">
        <f>BS!E18</f>
        <v>784.27599999999995</v>
      </c>
      <c r="F71" s="218">
        <f>BS!F18</f>
        <v>777.75300000000004</v>
      </c>
      <c r="G71" s="157">
        <f>BS!G18</f>
        <v>767.93299999999999</v>
      </c>
      <c r="H71" s="299">
        <f>BS!H18</f>
        <v>719.33100000000002</v>
      </c>
      <c r="I71" s="218">
        <f>BS!I18</f>
        <v>703.27200000000005</v>
      </c>
      <c r="J71" s="218">
        <f>BS!J18</f>
        <v>693.678</v>
      </c>
      <c r="K71" s="157">
        <f>BS!K18</f>
        <v>689.20600000000002</v>
      </c>
      <c r="L71" s="299">
        <f>BS!L18</f>
        <v>673.57600000000002</v>
      </c>
      <c r="M71" s="218">
        <f>BS!M18</f>
        <v>663.14099999999996</v>
      </c>
      <c r="N71" s="218">
        <f>BS!N18</f>
        <v>654.16800000000001</v>
      </c>
      <c r="O71" s="157">
        <f>BS!O18</f>
        <v>693.30200000000002</v>
      </c>
      <c r="P71" s="299">
        <f>BS!P18</f>
        <v>680.12300000000005</v>
      </c>
      <c r="Q71" s="218">
        <f>BS!Q18</f>
        <v>662.59199999999998</v>
      </c>
      <c r="R71" s="218">
        <f>BS!R18</f>
        <v>653.55999999999995</v>
      </c>
      <c r="S71" s="157">
        <f>BS!S18</f>
        <v>659.97199999999998</v>
      </c>
      <c r="T71" s="299">
        <f>BS!T18</f>
        <v>648.54200000000003</v>
      </c>
      <c r="U71" s="218">
        <f>BS!U18</f>
        <v>638.59199999999998</v>
      </c>
      <c r="V71" s="218">
        <f>BS!V18</f>
        <v>624.99599999999998</v>
      </c>
      <c r="W71" s="157">
        <f>BS!W18</f>
        <v>605.72199999999998</v>
      </c>
      <c r="X71" s="299">
        <f>BS!X18</f>
        <v>604.77200000000005</v>
      </c>
      <c r="Y71" s="218">
        <f>BS!Y18</f>
        <v>536.31600000000003</v>
      </c>
      <c r="Z71" s="218">
        <f>BS!Z18</f>
        <v>524.76900000000001</v>
      </c>
      <c r="AA71" s="157">
        <f>BS!AA18</f>
        <v>522.30499999999995</v>
      </c>
      <c r="AB71" s="299">
        <f>BS!AB18</f>
        <v>520.79</v>
      </c>
      <c r="AC71" s="218">
        <f>BS!AC18</f>
        <v>543.12199999999996</v>
      </c>
      <c r="AD71" s="218">
        <f>BS!AD18</f>
        <v>543.70500000000004</v>
      </c>
      <c r="AE71" s="157">
        <f>BS!AE18</f>
        <v>531.68700000000001</v>
      </c>
      <c r="AF71" s="299">
        <f>BS!AF18</f>
        <v>513.76499999999999</v>
      </c>
      <c r="AG71" s="218">
        <f>BS!AG18</f>
        <v>497.95800000000003</v>
      </c>
      <c r="AH71" s="218">
        <f>BS!AH18</f>
        <v>495.065</v>
      </c>
      <c r="AI71" s="157">
        <f>BS!AI18</f>
        <v>493.03899999999999</v>
      </c>
      <c r="AJ71" s="299">
        <f>BS!AJ18</f>
        <v>507.666</v>
      </c>
      <c r="AK71" s="218">
        <f>BS!AK18</f>
        <v>517.66800000000001</v>
      </c>
      <c r="AL71" s="218">
        <f>BS!AL18</f>
        <v>528.21500000000003</v>
      </c>
      <c r="AM71" s="157">
        <f>BS!AM18</f>
        <v>540.51300000000003</v>
      </c>
      <c r="AN71" s="218">
        <f>BS!AN18</f>
        <v>545.70299999999997</v>
      </c>
      <c r="AO71" s="218">
        <f>BS!AO18</f>
        <v>548.97699999999998</v>
      </c>
      <c r="AP71" s="218">
        <f>BS!AP18</f>
        <v>533.65200000000004</v>
      </c>
      <c r="AQ71" s="157">
        <f>BS!AQ18</f>
        <v>516.61099999999999</v>
      </c>
      <c r="AR71" s="218">
        <f>BS!AR18</f>
        <v>506.22899999999998</v>
      </c>
      <c r="AS71" s="218">
        <f>BS!AS18</f>
        <v>536.72699999999998</v>
      </c>
      <c r="AT71" s="218">
        <f>BS!AT18</f>
        <v>522.73699999999997</v>
      </c>
      <c r="AU71" s="157">
        <f>BS!AU18</f>
        <v>514.54399999999998</v>
      </c>
      <c r="AV71" s="218">
        <f>BS!AV18</f>
        <v>513.72299999999996</v>
      </c>
      <c r="AW71" s="218">
        <f>BS!AW18</f>
        <v>518.19100000000003</v>
      </c>
      <c r="AX71" s="218">
        <f>BS!AX18</f>
        <v>520.56500000000005</v>
      </c>
      <c r="AY71" s="157">
        <f>BS!AY18</f>
        <v>531.96699999999998</v>
      </c>
      <c r="AZ71" s="218">
        <f>BS!AZ18</f>
        <v>569.90800000000002</v>
      </c>
      <c r="BA71" s="218">
        <f>BS!BA18</f>
        <v>585.10199999999998</v>
      </c>
      <c r="BB71" s="218">
        <f>BS!BB18</f>
        <v>577.12300000000005</v>
      </c>
      <c r="BC71" s="157">
        <f>BS!BC18</f>
        <v>581.572</v>
      </c>
      <c r="BD71" s="218">
        <f>BS!BD18</f>
        <v>595.24699999999996</v>
      </c>
      <c r="BE71" s="218">
        <f>BS!BE18</f>
        <v>631.6</v>
      </c>
      <c r="BF71" s="218">
        <f>BS!BF18</f>
        <v>622.84199999999998</v>
      </c>
      <c r="BG71" s="157">
        <f>BS!BG18</f>
        <v>609.39599999999996</v>
      </c>
      <c r="BH71" s="218">
        <f>BS!BH18</f>
        <v>732.81600000000003</v>
      </c>
      <c r="BI71" s="218">
        <f>BS!BI18</f>
        <v>716.99800000000005</v>
      </c>
      <c r="BJ71" s="218">
        <f>BS!BJ18</f>
        <v>698.70399999999995</v>
      </c>
      <c r="BK71" s="157">
        <f>BS!BK18</f>
        <v>683.33799999999997</v>
      </c>
      <c r="BL71" s="218">
        <f>BS!BL18</f>
        <v>693.995</v>
      </c>
      <c r="BM71" s="218">
        <f>BS!BM18</f>
        <v>722.78</v>
      </c>
      <c r="BN71" s="218">
        <f>BS!BN18</f>
        <v>754.78</v>
      </c>
      <c r="BO71" s="157">
        <f>BS!BO18</f>
        <v>779.94086562799998</v>
      </c>
      <c r="BP71" s="218">
        <f>BS!BP18</f>
        <v>789.10493968800006</v>
      </c>
      <c r="BQ71" s="218">
        <f>BS!BQ18</f>
        <v>799.55800179417997</v>
      </c>
      <c r="BR71" s="218">
        <f>BS!BR18</f>
        <v>809.14749859437848</v>
      </c>
      <c r="BS71" s="157">
        <f>BS!BS18</f>
        <v>818.36199131532771</v>
      </c>
      <c r="BT71" s="218">
        <f>BS!BT18</f>
        <v>829.21837616411563</v>
      </c>
      <c r="BU71" s="218">
        <f>BS!BU18</f>
        <v>841.17622800207255</v>
      </c>
      <c r="BV71" s="218">
        <f>BS!BV18</f>
        <v>852.49669848022313</v>
      </c>
      <c r="BW71" s="157">
        <f>BS!BW18</f>
        <v>863.42564255342222</v>
      </c>
      <c r="BX71" s="160"/>
      <c r="BY71" s="156">
        <f>BS!BY18</f>
        <v>767.93299999999999</v>
      </c>
      <c r="BZ71" s="156">
        <f>BS!BZ18</f>
        <v>689.20600000000002</v>
      </c>
      <c r="CA71" s="156">
        <f>BS!CA18</f>
        <v>693.30200000000002</v>
      </c>
      <c r="CB71" s="156">
        <f>BS!CB18</f>
        <v>659.97199999999998</v>
      </c>
      <c r="CC71" s="156">
        <f>BS!CC18</f>
        <v>605.72199999999998</v>
      </c>
      <c r="CD71" s="156">
        <f>BS!CD18</f>
        <v>522.30499999999995</v>
      </c>
      <c r="CE71" s="156">
        <f>BS!CE18</f>
        <v>531.68700000000001</v>
      </c>
      <c r="CF71" s="156">
        <f>BS!CF18</f>
        <v>493.03899999999999</v>
      </c>
      <c r="CG71" s="156">
        <f>BS!CG18</f>
        <v>540.51300000000003</v>
      </c>
      <c r="CH71" s="156">
        <f>BS!CH18</f>
        <v>516.61099999999999</v>
      </c>
      <c r="CI71" s="156">
        <f>BS!CI18</f>
        <v>514.54399999999998</v>
      </c>
      <c r="CJ71" s="299">
        <f>BS!CJ18</f>
        <v>531.96699999999998</v>
      </c>
      <c r="CK71" s="218">
        <f>BS!CK18</f>
        <v>581.572</v>
      </c>
      <c r="CL71" s="218">
        <f>BS!CL18</f>
        <v>609.39599999999996</v>
      </c>
      <c r="CM71" s="218">
        <f>BS!CM18</f>
        <v>683.33799999999997</v>
      </c>
      <c r="CN71" s="218">
        <f>BS!CN18</f>
        <v>779.94086562799998</v>
      </c>
      <c r="CO71" s="218">
        <f>BS!CO18</f>
        <v>818.36199131532771</v>
      </c>
      <c r="CP71" s="157">
        <f>BS!CP18</f>
        <v>863.42564255342222</v>
      </c>
      <c r="CQ71" s="20"/>
      <c r="CR71" s="158">
        <f>BS!CR18</f>
        <v>693.678</v>
      </c>
      <c r="CS71" s="156">
        <f>BS!CS18</f>
        <v>654.16800000000001</v>
      </c>
      <c r="CT71" s="156">
        <f>BS!CT18</f>
        <v>653.55999999999995</v>
      </c>
      <c r="CU71" s="156">
        <f>BS!CU18</f>
        <v>624.99599999999998</v>
      </c>
      <c r="CV71" s="156">
        <f>BS!CV18</f>
        <v>524.76900000000001</v>
      </c>
      <c r="CW71" s="156">
        <f>BS!CW18</f>
        <v>543.70500000000004</v>
      </c>
      <c r="CX71" s="156">
        <f>BS!CX18</f>
        <v>495.065</v>
      </c>
      <c r="CY71" s="156">
        <f>BS!CY18</f>
        <v>528.21500000000003</v>
      </c>
      <c r="CZ71" s="156">
        <f>BS!CZ18</f>
        <v>533.65200000000004</v>
      </c>
      <c r="DA71" s="156">
        <f>BS!DA18</f>
        <v>522.73699999999997</v>
      </c>
      <c r="DB71" s="156">
        <f>BS!DB18</f>
        <v>520.56500000000005</v>
      </c>
      <c r="DC71" s="299">
        <f>BS!DC18</f>
        <v>577.12300000000005</v>
      </c>
      <c r="DD71" s="218">
        <f>BS!DD18</f>
        <v>622.84199999999998</v>
      </c>
      <c r="DE71" s="218">
        <f>BS!DE18</f>
        <v>698.70399999999995</v>
      </c>
      <c r="DF71" s="218">
        <f>BS!DF18</f>
        <v>754.78</v>
      </c>
      <c r="DG71" s="218">
        <f>BS!DG18</f>
        <v>809.14749859437848</v>
      </c>
      <c r="DH71" s="157">
        <f>BS!DH18</f>
        <v>852.49669848022313</v>
      </c>
      <c r="DI71" s="22"/>
    </row>
    <row r="72" spans="1:113" ht="14.25" customHeight="1" outlineLevel="1">
      <c r="A72" s="8"/>
      <c r="B72" s="131" t="s">
        <v>38</v>
      </c>
      <c r="C72" s="132"/>
      <c r="D72" s="135">
        <f t="shared" ref="D72:O72" si="521">IF(ROUND(D71,4)=ROUND(D69,4),0,(D71-D69))</f>
        <v>0</v>
      </c>
      <c r="E72" s="133">
        <f t="shared" si="521"/>
        <v>0</v>
      </c>
      <c r="F72" s="133">
        <f t="shared" si="521"/>
        <v>0</v>
      </c>
      <c r="G72" s="134">
        <f t="shared" si="521"/>
        <v>0</v>
      </c>
      <c r="H72" s="135">
        <f t="shared" si="521"/>
        <v>0</v>
      </c>
      <c r="I72" s="133">
        <f t="shared" si="521"/>
        <v>0</v>
      </c>
      <c r="J72" s="133">
        <f t="shared" si="521"/>
        <v>0</v>
      </c>
      <c r="K72" s="134">
        <f t="shared" si="521"/>
        <v>0</v>
      </c>
      <c r="L72" s="135">
        <f t="shared" si="521"/>
        <v>0</v>
      </c>
      <c r="M72" s="133">
        <f t="shared" si="521"/>
        <v>0</v>
      </c>
      <c r="N72" s="133">
        <f t="shared" si="521"/>
        <v>0</v>
      </c>
      <c r="O72" s="134">
        <f t="shared" si="521"/>
        <v>0</v>
      </c>
      <c r="P72" s="135">
        <f t="shared" ref="P72:AL72" si="522">IF(ROUND(P71,4)=ROUND(P69,4),0,(P71-P69))</f>
        <v>0</v>
      </c>
      <c r="Q72" s="133">
        <f t="shared" si="522"/>
        <v>0</v>
      </c>
      <c r="R72" s="133">
        <f t="shared" si="522"/>
        <v>0</v>
      </c>
      <c r="S72" s="134">
        <f t="shared" si="522"/>
        <v>0</v>
      </c>
      <c r="T72" s="135">
        <f t="shared" si="522"/>
        <v>0</v>
      </c>
      <c r="U72" s="133">
        <f t="shared" si="522"/>
        <v>0</v>
      </c>
      <c r="V72" s="133">
        <f t="shared" si="522"/>
        <v>0</v>
      </c>
      <c r="W72" s="134">
        <f t="shared" si="522"/>
        <v>0</v>
      </c>
      <c r="X72" s="135">
        <f t="shared" si="522"/>
        <v>0</v>
      </c>
      <c r="Y72" s="133">
        <f t="shared" si="522"/>
        <v>0</v>
      </c>
      <c r="Z72" s="133">
        <f t="shared" si="522"/>
        <v>0</v>
      </c>
      <c r="AA72" s="134">
        <f t="shared" si="522"/>
        <v>0</v>
      </c>
      <c r="AB72" s="135">
        <f t="shared" si="522"/>
        <v>0</v>
      </c>
      <c r="AC72" s="133">
        <f t="shared" si="522"/>
        <v>0</v>
      </c>
      <c r="AD72" s="133">
        <f t="shared" si="522"/>
        <v>0</v>
      </c>
      <c r="AE72" s="134">
        <f t="shared" si="522"/>
        <v>0</v>
      </c>
      <c r="AF72" s="135">
        <f t="shared" si="522"/>
        <v>0</v>
      </c>
      <c r="AG72" s="133">
        <f t="shared" si="522"/>
        <v>0</v>
      </c>
      <c r="AH72" s="133">
        <f t="shared" si="522"/>
        <v>0</v>
      </c>
      <c r="AI72" s="134">
        <f t="shared" si="522"/>
        <v>0</v>
      </c>
      <c r="AJ72" s="135">
        <f t="shared" si="522"/>
        <v>0</v>
      </c>
      <c r="AK72" s="133">
        <f t="shared" si="522"/>
        <v>0</v>
      </c>
      <c r="AL72" s="133">
        <f t="shared" si="522"/>
        <v>0</v>
      </c>
      <c r="AM72" s="134">
        <f t="shared" ref="AM72:BC72" si="523">IF(ROUND(AM71,4)=ROUND(AM69,4),0,(AM71-AM69))</f>
        <v>0</v>
      </c>
      <c r="AN72" s="135">
        <f t="shared" si="523"/>
        <v>0</v>
      </c>
      <c r="AO72" s="133">
        <f t="shared" si="523"/>
        <v>0</v>
      </c>
      <c r="AP72" s="133">
        <f t="shared" si="523"/>
        <v>0</v>
      </c>
      <c r="AQ72" s="134">
        <f t="shared" si="523"/>
        <v>0</v>
      </c>
      <c r="AR72" s="135">
        <f t="shared" si="523"/>
        <v>0</v>
      </c>
      <c r="AS72" s="133">
        <f t="shared" si="523"/>
        <v>0</v>
      </c>
      <c r="AT72" s="133">
        <f t="shared" si="523"/>
        <v>0</v>
      </c>
      <c r="AU72" s="134">
        <f t="shared" si="523"/>
        <v>0</v>
      </c>
      <c r="AV72" s="135">
        <f t="shared" si="523"/>
        <v>0</v>
      </c>
      <c r="AW72" s="133">
        <f t="shared" si="523"/>
        <v>0</v>
      </c>
      <c r="AX72" s="133">
        <f t="shared" si="523"/>
        <v>0</v>
      </c>
      <c r="AY72" s="134">
        <f t="shared" si="523"/>
        <v>0</v>
      </c>
      <c r="AZ72" s="135">
        <f t="shared" si="523"/>
        <v>0</v>
      </c>
      <c r="BA72" s="133">
        <f t="shared" si="523"/>
        <v>0</v>
      </c>
      <c r="BB72" s="133">
        <f t="shared" si="523"/>
        <v>0</v>
      </c>
      <c r="BC72" s="134">
        <f t="shared" si="523"/>
        <v>0</v>
      </c>
      <c r="BD72" s="135">
        <f t="shared" ref="BD72:BK72" si="524">IF(ROUND(BD71,4)=ROUND(BD69,4),0,(BD71-BD69))</f>
        <v>0</v>
      </c>
      <c r="BE72" s="133">
        <f t="shared" si="524"/>
        <v>0</v>
      </c>
      <c r="BF72" s="133">
        <f t="shared" si="524"/>
        <v>0</v>
      </c>
      <c r="BG72" s="134">
        <f t="shared" si="524"/>
        <v>0</v>
      </c>
      <c r="BH72" s="135">
        <f t="shared" ref="BH72:BJ72" si="525">IF(ROUND(BH71,4)=ROUND(BH69,4),0,(BH71-BH69))</f>
        <v>0</v>
      </c>
      <c r="BI72" s="133">
        <f t="shared" si="525"/>
        <v>0</v>
      </c>
      <c r="BJ72" s="133">
        <f t="shared" si="525"/>
        <v>0</v>
      </c>
      <c r="BK72" s="134">
        <f t="shared" si="524"/>
        <v>0</v>
      </c>
      <c r="BL72" s="135">
        <f t="shared" ref="BL72:BS72" si="526">IF(ROUND(BL71,4)=ROUND(BL69,4),0,(BL71-BL69))</f>
        <v>0</v>
      </c>
      <c r="BM72" s="133">
        <f>IF(ROUND(BM71,4)=ROUND(BM69,4),0,(BM71-BM69))</f>
        <v>0</v>
      </c>
      <c r="BN72" s="133">
        <f t="shared" ref="BN72" si="527">IF(ROUND(BN71,4)=ROUND(BN69,4),0,(BN71-BN69))</f>
        <v>0</v>
      </c>
      <c r="BO72" s="134">
        <f t="shared" si="526"/>
        <v>0</v>
      </c>
      <c r="BP72" s="135">
        <f t="shared" si="526"/>
        <v>0</v>
      </c>
      <c r="BQ72" s="133">
        <f t="shared" si="526"/>
        <v>0</v>
      </c>
      <c r="BR72" s="133">
        <f t="shared" si="526"/>
        <v>0</v>
      </c>
      <c r="BS72" s="134">
        <f t="shared" si="526"/>
        <v>0</v>
      </c>
      <c r="BT72" s="135">
        <f t="shared" ref="BT72:BW72" si="528">IF(ROUND(BT71,4)=ROUND(BT69,4),0,(BT71-BT69))</f>
        <v>0</v>
      </c>
      <c r="BU72" s="133">
        <f t="shared" si="528"/>
        <v>0</v>
      </c>
      <c r="BV72" s="133">
        <f t="shared" si="528"/>
        <v>0</v>
      </c>
      <c r="BW72" s="134">
        <f t="shared" si="528"/>
        <v>0</v>
      </c>
      <c r="BX72" s="160"/>
      <c r="BY72" s="133">
        <f>IF(ROUND(BY71,4)=ROUND(BY69,4),0,(BY71-BY69))</f>
        <v>0</v>
      </c>
      <c r="BZ72" s="133">
        <f>IF(ROUND(BZ71,4)=ROUND(BZ69,4),0,(BZ71-BZ69))</f>
        <v>0</v>
      </c>
      <c r="CA72" s="133">
        <f>IF(ROUND(CA71,4)=ROUND(CA69,4),0,(CA71-CA69))</f>
        <v>0</v>
      </c>
      <c r="CB72" s="133">
        <f t="shared" ref="CB72:CH72" si="529">IF(ROUND(CB71,4)=ROUND(CB69,4),0,(CB71-CB69))</f>
        <v>0</v>
      </c>
      <c r="CC72" s="133">
        <f t="shared" si="529"/>
        <v>0</v>
      </c>
      <c r="CD72" s="133">
        <f t="shared" si="529"/>
        <v>0</v>
      </c>
      <c r="CE72" s="133">
        <f t="shared" si="529"/>
        <v>0</v>
      </c>
      <c r="CF72" s="133">
        <f t="shared" si="529"/>
        <v>0</v>
      </c>
      <c r="CG72" s="133">
        <f t="shared" si="529"/>
        <v>0</v>
      </c>
      <c r="CH72" s="133">
        <f t="shared" si="529"/>
        <v>0</v>
      </c>
      <c r="CI72" s="133">
        <f t="shared" ref="CI72:CN72" si="530">IF(ROUND(CI71,4)=ROUND(CI69,4),0,(CI71-CI69))</f>
        <v>0</v>
      </c>
      <c r="CJ72" s="133">
        <f t="shared" si="530"/>
        <v>0</v>
      </c>
      <c r="CK72" s="133">
        <f t="shared" si="530"/>
        <v>0</v>
      </c>
      <c r="CL72" s="133">
        <f t="shared" si="530"/>
        <v>0</v>
      </c>
      <c r="CM72" s="133">
        <f t="shared" si="530"/>
        <v>0</v>
      </c>
      <c r="CN72" s="133">
        <f t="shared" si="530"/>
        <v>0</v>
      </c>
      <c r="CO72" s="133">
        <f>IF(ROUND(CO71,4)=ROUND(CO69,4),0,(CO71-CO69))</f>
        <v>0</v>
      </c>
      <c r="CP72" s="133">
        <f>IF(ROUND(CP71,4)=ROUND(CP69,4),0,(CP71-CP69))</f>
        <v>0</v>
      </c>
      <c r="CQ72" s="20"/>
      <c r="CR72" s="135">
        <f>IF(ROUND(CR71,4)=ROUND(CR69,4),0,(CR71-CR69))</f>
        <v>0</v>
      </c>
      <c r="CS72" s="133">
        <f>IF(ROUND(CS71,4)=ROUND(CS69,4),0,(CS71-CS69))</f>
        <v>0</v>
      </c>
      <c r="CT72" s="133">
        <f>IF(ROUND(CT71,4)=ROUND(CT69,4),0,(CT71-CT69))</f>
        <v>0</v>
      </c>
      <c r="CU72" s="133">
        <f t="shared" ref="CU72:DA72" si="531">IF(ROUND(CU71,4)=ROUND(CU69,4),0,(CU71-CU69))</f>
        <v>0</v>
      </c>
      <c r="CV72" s="133">
        <f t="shared" si="531"/>
        <v>0</v>
      </c>
      <c r="CW72" s="133">
        <f t="shared" si="531"/>
        <v>0</v>
      </c>
      <c r="CX72" s="133">
        <f t="shared" si="531"/>
        <v>0</v>
      </c>
      <c r="CY72" s="133">
        <f t="shared" si="531"/>
        <v>0</v>
      </c>
      <c r="CZ72" s="133">
        <f t="shared" si="531"/>
        <v>0</v>
      </c>
      <c r="DA72" s="133">
        <f t="shared" si="531"/>
        <v>0</v>
      </c>
      <c r="DB72" s="133">
        <f t="shared" ref="DB72:DG72" si="532">IF(ROUND(DB71,4)=ROUND(DB69,4),0,(DB71-DB69))</f>
        <v>0</v>
      </c>
      <c r="DC72" s="133">
        <f t="shared" si="532"/>
        <v>0</v>
      </c>
      <c r="DD72" s="133">
        <f t="shared" si="532"/>
        <v>0</v>
      </c>
      <c r="DE72" s="133">
        <f t="shared" si="532"/>
        <v>0</v>
      </c>
      <c r="DF72" s="133">
        <f t="shared" si="532"/>
        <v>0</v>
      </c>
      <c r="DG72" s="133">
        <f t="shared" si="532"/>
        <v>0</v>
      </c>
      <c r="DH72" s="133">
        <f t="shared" ref="DH72" si="533">IF(ROUND(DH71,4)=ROUND(DH69,4),0,(DH71-DH69))</f>
        <v>0</v>
      </c>
      <c r="DI72" s="22"/>
    </row>
    <row r="73" spans="1:113" ht="14.25" customHeight="1">
      <c r="A73" s="8"/>
      <c r="B73" s="14"/>
      <c r="C73" s="14"/>
      <c r="D73" s="256"/>
      <c r="E73" s="256"/>
      <c r="F73" s="256"/>
      <c r="G73" s="255"/>
      <c r="H73" s="256"/>
      <c r="I73" s="256"/>
      <c r="J73" s="256"/>
      <c r="K73" s="255"/>
      <c r="L73" s="256"/>
      <c r="M73" s="256"/>
      <c r="N73" s="256"/>
      <c r="O73" s="255"/>
      <c r="P73" s="256"/>
      <c r="Q73" s="256"/>
      <c r="R73" s="256"/>
      <c r="S73" s="255"/>
      <c r="T73" s="256"/>
      <c r="U73" s="256"/>
      <c r="V73" s="256"/>
      <c r="W73" s="255"/>
      <c r="X73" s="256"/>
      <c r="Y73" s="256"/>
      <c r="Z73" s="256"/>
      <c r="AA73" s="255"/>
      <c r="AB73" s="256"/>
      <c r="AC73" s="256"/>
      <c r="AD73" s="256"/>
      <c r="AE73" s="255"/>
      <c r="AF73" s="256"/>
      <c r="AG73" s="256"/>
      <c r="AH73" s="256"/>
      <c r="AI73" s="255"/>
      <c r="AJ73" s="256"/>
      <c r="AK73" s="256"/>
      <c r="AL73" s="256"/>
      <c r="AM73" s="255"/>
      <c r="AN73" s="256"/>
      <c r="AO73" s="256"/>
      <c r="AP73" s="256"/>
      <c r="AQ73" s="255"/>
      <c r="AR73" s="256"/>
      <c r="AS73" s="256"/>
      <c r="AT73" s="256"/>
      <c r="AU73" s="256"/>
      <c r="AV73" s="256"/>
      <c r="AW73" s="256"/>
      <c r="AX73" s="256"/>
      <c r="AY73" s="256"/>
      <c r="AZ73" s="256"/>
      <c r="BA73" s="256"/>
      <c r="BB73" s="256"/>
      <c r="BC73" s="256"/>
      <c r="BD73" s="256"/>
      <c r="BE73" s="256"/>
      <c r="BF73" s="256"/>
      <c r="BG73" s="256"/>
      <c r="BH73" s="256"/>
      <c r="BI73" s="256"/>
      <c r="BJ73" s="256"/>
      <c r="BK73" s="256"/>
      <c r="BL73" s="256"/>
      <c r="BM73" s="256"/>
      <c r="BN73" s="256"/>
      <c r="BO73" s="256"/>
      <c r="BP73" s="256"/>
      <c r="BQ73" s="256"/>
      <c r="BR73" s="256"/>
      <c r="BS73" s="256"/>
      <c r="BT73" s="256"/>
      <c r="BU73" s="256"/>
      <c r="BV73" s="256"/>
      <c r="BW73" s="256"/>
      <c r="BX73" s="8"/>
      <c r="BY73" s="222"/>
      <c r="BZ73" s="222"/>
      <c r="CA73" s="222"/>
      <c r="CB73" s="222"/>
      <c r="CC73" s="222"/>
      <c r="CD73" s="222"/>
      <c r="CE73" s="887"/>
      <c r="CF73" s="222"/>
      <c r="CG73" s="222"/>
      <c r="CH73" s="222"/>
      <c r="CI73" s="222"/>
      <c r="CJ73" s="222"/>
      <c r="CK73" s="222"/>
      <c r="CL73" s="222"/>
      <c r="CM73" s="222"/>
      <c r="CN73" s="887"/>
      <c r="CO73" s="887"/>
      <c r="CP73" s="887"/>
      <c r="CQ73" s="8"/>
      <c r="CR73" s="222"/>
      <c r="CS73" s="222"/>
      <c r="CT73" s="222"/>
      <c r="CU73" s="222"/>
      <c r="CV73" s="222"/>
      <c r="CW73" s="222"/>
      <c r="CX73" s="222"/>
      <c r="CY73" s="222"/>
      <c r="CZ73" s="222"/>
      <c r="DA73" s="222"/>
      <c r="DB73" s="222"/>
      <c r="DC73" s="222"/>
      <c r="DD73" s="222"/>
      <c r="DE73" s="222"/>
      <c r="DF73" s="887"/>
      <c r="DG73" s="887"/>
      <c r="DH73" s="222"/>
      <c r="DI73" s="8"/>
    </row>
    <row r="74" spans="1:113" ht="14.25" customHeight="1">
      <c r="A74" s="8"/>
      <c r="B74" s="14"/>
      <c r="C74" s="14"/>
      <c r="D74" s="256"/>
      <c r="E74" s="256"/>
      <c r="F74" s="256"/>
      <c r="G74" s="233"/>
      <c r="H74" s="256"/>
      <c r="I74" s="256"/>
      <c r="J74" s="256"/>
      <c r="K74" s="233"/>
      <c r="L74" s="256"/>
      <c r="M74" s="256"/>
      <c r="N74" s="256"/>
      <c r="O74" s="233"/>
      <c r="P74" s="256"/>
      <c r="Q74" s="256"/>
      <c r="R74" s="256"/>
      <c r="S74" s="233"/>
      <c r="T74" s="256"/>
      <c r="U74" s="256"/>
      <c r="V74" s="256"/>
      <c r="W74" s="233"/>
      <c r="X74" s="256"/>
      <c r="Y74" s="256"/>
      <c r="Z74" s="256"/>
      <c r="AA74" s="233"/>
      <c r="AB74" s="256"/>
      <c r="AC74" s="256"/>
      <c r="AD74" s="256"/>
      <c r="AE74" s="233"/>
      <c r="AF74" s="256"/>
      <c r="AG74" s="256"/>
      <c r="AH74" s="256"/>
      <c r="AI74" s="233"/>
      <c r="AJ74" s="256"/>
      <c r="AK74" s="256"/>
      <c r="AL74" s="256"/>
      <c r="AM74" s="233"/>
      <c r="AN74" s="256"/>
      <c r="AO74" s="256"/>
      <c r="AP74" s="256"/>
      <c r="AQ74" s="233"/>
      <c r="AR74" s="256"/>
      <c r="AS74" s="256"/>
      <c r="AT74" s="256"/>
      <c r="AU74" s="256"/>
      <c r="AV74" s="256"/>
      <c r="AW74" s="256"/>
      <c r="AX74" s="256"/>
      <c r="AY74" s="256"/>
      <c r="AZ74" s="256"/>
      <c r="BA74" s="256"/>
      <c r="BB74" s="1241"/>
      <c r="BC74" s="1195"/>
      <c r="BD74" s="1241"/>
      <c r="BE74" s="256"/>
      <c r="BF74" s="1241"/>
      <c r="BG74" s="1195"/>
      <c r="BH74" s="1241"/>
      <c r="BI74" s="256"/>
      <c r="BJ74" s="1241"/>
      <c r="BK74" s="1195"/>
      <c r="BL74" s="256"/>
      <c r="BM74" s="256"/>
      <c r="BN74" s="256"/>
      <c r="BO74" s="256"/>
      <c r="BP74" s="256"/>
      <c r="BQ74" s="256"/>
      <c r="BR74" s="256"/>
      <c r="BS74" s="256"/>
      <c r="BT74" s="256"/>
      <c r="BU74" s="256"/>
      <c r="BV74" s="256"/>
      <c r="BW74" s="256"/>
      <c r="BX74" s="8"/>
      <c r="BY74" s="222"/>
      <c r="BZ74" s="222"/>
      <c r="CA74" s="222"/>
      <c r="CB74" s="222"/>
      <c r="CC74" s="222"/>
      <c r="CD74" s="222"/>
      <c r="CE74" s="887"/>
      <c r="CF74" s="222"/>
      <c r="CG74" s="222"/>
      <c r="CH74" s="222"/>
      <c r="CI74" s="222"/>
      <c r="CJ74" s="222"/>
      <c r="CK74" s="222"/>
      <c r="CL74" s="222"/>
      <c r="CM74" s="222"/>
      <c r="CN74" s="887"/>
      <c r="CO74" s="887"/>
      <c r="CP74" s="887"/>
      <c r="CQ74" s="8"/>
      <c r="CR74" s="222"/>
      <c r="CS74" s="222"/>
      <c r="CT74" s="222"/>
      <c r="CU74" s="222"/>
      <c r="CV74" s="222"/>
      <c r="CW74" s="222"/>
      <c r="CX74" s="222"/>
      <c r="CY74" s="222"/>
      <c r="CZ74" s="222"/>
      <c r="DA74" s="222"/>
      <c r="DB74" s="222"/>
      <c r="DC74" s="222"/>
      <c r="DD74" s="222"/>
      <c r="DE74" s="222"/>
      <c r="DF74" s="887"/>
      <c r="DG74" s="887"/>
      <c r="DH74" s="222"/>
      <c r="DI74" s="8"/>
    </row>
    <row r="75" spans="1:113" ht="14.25" customHeight="1">
      <c r="A75" s="8"/>
      <c r="B75" s="14"/>
      <c r="C75" s="14"/>
      <c r="D75" s="222"/>
      <c r="E75" s="222"/>
      <c r="F75" s="222"/>
      <c r="G75" s="257"/>
      <c r="H75" s="222"/>
      <c r="I75" s="222"/>
      <c r="J75" s="222"/>
      <c r="K75" s="257"/>
      <c r="L75" s="222"/>
      <c r="M75" s="222"/>
      <c r="N75" s="222"/>
      <c r="O75" s="257"/>
      <c r="P75" s="222"/>
      <c r="Q75" s="222"/>
      <c r="R75" s="222"/>
      <c r="S75" s="257"/>
      <c r="T75" s="222"/>
      <c r="U75" s="222"/>
      <c r="V75" s="222"/>
      <c r="W75" s="257"/>
      <c r="X75" s="222"/>
      <c r="Y75" s="222"/>
      <c r="Z75" s="222"/>
      <c r="AA75" s="257"/>
      <c r="AB75" s="222"/>
      <c r="AC75" s="222"/>
      <c r="AD75" s="222"/>
      <c r="AE75" s="257"/>
      <c r="AF75" s="222"/>
      <c r="AG75" s="222"/>
      <c r="AH75" s="222"/>
      <c r="AI75" s="257"/>
      <c r="AJ75" s="222"/>
      <c r="AK75" s="222"/>
      <c r="AL75" s="222"/>
      <c r="AM75" s="257"/>
      <c r="AN75" s="222"/>
      <c r="AO75" s="222"/>
      <c r="AP75" s="222"/>
      <c r="AQ75" s="257"/>
      <c r="AR75" s="222"/>
      <c r="AS75" s="222"/>
      <c r="AT75" s="222"/>
      <c r="AU75" s="222"/>
      <c r="AV75" s="306"/>
      <c r="AW75" s="222"/>
      <c r="AX75" s="222"/>
      <c r="AY75" s="222"/>
      <c r="AZ75" s="306"/>
      <c r="BA75" s="222"/>
      <c r="BB75" s="222"/>
      <c r="BC75" s="222"/>
      <c r="BD75" s="306"/>
      <c r="BE75" s="222"/>
      <c r="BF75" s="222"/>
      <c r="BG75" s="222"/>
      <c r="BH75" s="306"/>
      <c r="BI75" s="222"/>
      <c r="BJ75" s="222"/>
      <c r="BK75" s="222"/>
      <c r="BL75" s="306"/>
      <c r="BM75" s="222"/>
      <c r="BN75" s="222"/>
      <c r="BO75" s="222"/>
      <c r="BP75" s="306"/>
      <c r="BQ75" s="222"/>
      <c r="BR75" s="222"/>
      <c r="BS75" s="222"/>
      <c r="BT75" s="306"/>
      <c r="BU75" s="222"/>
      <c r="BV75" s="222"/>
      <c r="BW75" s="222"/>
      <c r="BX75" s="8"/>
      <c r="BY75" s="222"/>
      <c r="BZ75" s="222"/>
      <c r="CA75" s="222"/>
      <c r="CB75" s="222"/>
      <c r="CC75" s="222"/>
      <c r="CD75" s="222"/>
      <c r="CE75" s="887"/>
      <c r="CF75" s="222"/>
      <c r="CG75" s="222"/>
      <c r="CH75" s="222"/>
      <c r="CI75" s="222"/>
      <c r="CJ75" s="222"/>
      <c r="CK75" s="222"/>
      <c r="CL75" s="222"/>
      <c r="CM75" s="222"/>
      <c r="CN75" s="887"/>
      <c r="CO75" s="887"/>
      <c r="CP75" s="887"/>
      <c r="CQ75" s="8"/>
      <c r="CR75" s="222"/>
      <c r="CS75" s="222"/>
      <c r="CT75" s="222"/>
      <c r="CU75" s="222"/>
      <c r="CV75" s="222"/>
      <c r="CW75" s="222"/>
      <c r="CX75" s="222"/>
      <c r="CY75" s="222"/>
      <c r="CZ75" s="222"/>
      <c r="DA75" s="222"/>
      <c r="DB75" s="222"/>
      <c r="DC75" s="222"/>
      <c r="DD75" s="222"/>
      <c r="DE75" s="222"/>
      <c r="DF75" s="887"/>
      <c r="DG75" s="887"/>
      <c r="DH75" s="222"/>
      <c r="DI75" s="8"/>
    </row>
    <row r="76" spans="1:113" ht="14.25" customHeight="1">
      <c r="A76" s="8"/>
      <c r="B76" s="141" t="s">
        <v>85</v>
      </c>
      <c r="C76" s="142"/>
      <c r="D76" s="258" t="str">
        <f t="shared" ref="D76:O76" si="534">D61</f>
        <v>F1Q03A</v>
      </c>
      <c r="E76" s="224" t="str">
        <f t="shared" si="534"/>
        <v>F2Q03A</v>
      </c>
      <c r="F76" s="224" t="str">
        <f t="shared" si="534"/>
        <v>F3Q03A</v>
      </c>
      <c r="G76" s="225" t="str">
        <f t="shared" si="534"/>
        <v>F4Q03A</v>
      </c>
      <c r="H76" s="258" t="str">
        <f t="shared" si="534"/>
        <v>F1Q04A</v>
      </c>
      <c r="I76" s="224" t="str">
        <f t="shared" si="534"/>
        <v>F2Q04A</v>
      </c>
      <c r="J76" s="224" t="str">
        <f t="shared" si="534"/>
        <v>F3Q04A</v>
      </c>
      <c r="K76" s="225" t="str">
        <f t="shared" si="534"/>
        <v>F4Q04A</v>
      </c>
      <c r="L76" s="258" t="str">
        <f t="shared" si="534"/>
        <v>F1Q05A</v>
      </c>
      <c r="M76" s="224" t="str">
        <f t="shared" si="534"/>
        <v>F2Q05A</v>
      </c>
      <c r="N76" s="224" t="str">
        <f t="shared" si="534"/>
        <v>F3Q05A</v>
      </c>
      <c r="O76" s="225" t="str">
        <f t="shared" si="534"/>
        <v>F4Q05A</v>
      </c>
      <c r="P76" s="258" t="str">
        <f t="shared" ref="P76:AL76" si="535">P61</f>
        <v>F1Q06A</v>
      </c>
      <c r="Q76" s="224" t="str">
        <f t="shared" si="535"/>
        <v>F2Q06A</v>
      </c>
      <c r="R76" s="224" t="str">
        <f t="shared" si="535"/>
        <v>F3Q06A</v>
      </c>
      <c r="S76" s="225" t="str">
        <f t="shared" si="535"/>
        <v>F4Q06A</v>
      </c>
      <c r="T76" s="258" t="str">
        <f t="shared" si="535"/>
        <v>F1Q07A</v>
      </c>
      <c r="U76" s="224" t="str">
        <f t="shared" si="535"/>
        <v>F2Q07A</v>
      </c>
      <c r="V76" s="224" t="str">
        <f t="shared" si="535"/>
        <v>F3Q07A</v>
      </c>
      <c r="W76" s="225" t="str">
        <f t="shared" si="535"/>
        <v>F4Q07A</v>
      </c>
      <c r="X76" s="258" t="str">
        <f t="shared" si="535"/>
        <v>F1Q08A</v>
      </c>
      <c r="Y76" s="224" t="str">
        <f t="shared" si="535"/>
        <v>F2Q08A</v>
      </c>
      <c r="Z76" s="224" t="str">
        <f t="shared" si="535"/>
        <v>F3Q08A</v>
      </c>
      <c r="AA76" s="225" t="str">
        <f t="shared" si="535"/>
        <v>F4Q08A</v>
      </c>
      <c r="AB76" s="258" t="str">
        <f t="shared" si="535"/>
        <v>F1Q09A</v>
      </c>
      <c r="AC76" s="224" t="str">
        <f t="shared" si="535"/>
        <v>F2Q09A</v>
      </c>
      <c r="AD76" s="224" t="str">
        <f t="shared" si="535"/>
        <v>F3Q09A</v>
      </c>
      <c r="AE76" s="225" t="str">
        <f t="shared" si="535"/>
        <v>F4Q09A</v>
      </c>
      <c r="AF76" s="258" t="str">
        <f t="shared" si="535"/>
        <v>F1Q10A</v>
      </c>
      <c r="AG76" s="224" t="str">
        <f t="shared" si="535"/>
        <v>F2Q10A</v>
      </c>
      <c r="AH76" s="224" t="str">
        <f t="shared" si="535"/>
        <v>F3Q10A</v>
      </c>
      <c r="AI76" s="225" t="str">
        <f t="shared" si="535"/>
        <v>F4Q10A</v>
      </c>
      <c r="AJ76" s="258" t="str">
        <f t="shared" si="535"/>
        <v>F1Q11A</v>
      </c>
      <c r="AK76" s="224" t="str">
        <f t="shared" si="535"/>
        <v>F2Q11A</v>
      </c>
      <c r="AL76" s="224" t="str">
        <f t="shared" si="535"/>
        <v>F3Q11A</v>
      </c>
      <c r="AM76" s="225" t="str">
        <f t="shared" ref="AM76:BC76" si="536">AM61</f>
        <v>F4Q11A</v>
      </c>
      <c r="AN76" s="258" t="str">
        <f t="shared" ref="AN76:AS76" si="537">AN61</f>
        <v>F1Q12A</v>
      </c>
      <c r="AO76" s="224" t="str">
        <f t="shared" si="537"/>
        <v>F2Q12A</v>
      </c>
      <c r="AP76" s="224" t="str">
        <f t="shared" si="537"/>
        <v>F3Q12A</v>
      </c>
      <c r="AQ76" s="225" t="str">
        <f t="shared" si="537"/>
        <v>F4Q12A</v>
      </c>
      <c r="AR76" s="258" t="str">
        <f t="shared" si="537"/>
        <v>F1Q13A</v>
      </c>
      <c r="AS76" s="224" t="str">
        <f t="shared" si="537"/>
        <v>F2Q13A</v>
      </c>
      <c r="AT76" s="224" t="str">
        <f>AT61</f>
        <v>F3Q13A</v>
      </c>
      <c r="AU76" s="225" t="str">
        <f t="shared" si="536"/>
        <v>F4Q13A</v>
      </c>
      <c r="AV76" s="258" t="str">
        <f t="shared" si="536"/>
        <v>F1Q14A</v>
      </c>
      <c r="AW76" s="224" t="str">
        <f t="shared" si="536"/>
        <v>F2Q14A</v>
      </c>
      <c r="AX76" s="224" t="str">
        <f t="shared" si="536"/>
        <v>F3Q14A</v>
      </c>
      <c r="AY76" s="225" t="str">
        <f t="shared" si="536"/>
        <v>F4Q14A</v>
      </c>
      <c r="AZ76" s="258" t="str">
        <f t="shared" si="536"/>
        <v>F1Q15A</v>
      </c>
      <c r="BA76" s="224" t="str">
        <f t="shared" si="536"/>
        <v>F2Q15A</v>
      </c>
      <c r="BB76" s="224" t="str">
        <f t="shared" si="536"/>
        <v>F3Q15A</v>
      </c>
      <c r="BC76" s="225" t="str">
        <f t="shared" si="536"/>
        <v>F4Q15A</v>
      </c>
      <c r="BD76" s="258" t="str">
        <f t="shared" ref="BD76:BK76" si="538">BD61</f>
        <v>F1Q16A</v>
      </c>
      <c r="BE76" s="224" t="str">
        <f t="shared" si="538"/>
        <v>F2Q16A</v>
      </c>
      <c r="BF76" s="224" t="str">
        <f t="shared" si="538"/>
        <v>F3Q16A</v>
      </c>
      <c r="BG76" s="225" t="str">
        <f t="shared" si="538"/>
        <v>F4Q16A</v>
      </c>
      <c r="BH76" s="258" t="str">
        <f t="shared" ref="BH76:BJ76" si="539">BH61</f>
        <v>F1Q17A</v>
      </c>
      <c r="BI76" s="224" t="str">
        <f t="shared" si="539"/>
        <v>F2Q17A</v>
      </c>
      <c r="BJ76" s="1382" t="str">
        <f t="shared" si="539"/>
        <v>F3Q17A</v>
      </c>
      <c r="BK76" s="1383" t="str">
        <f t="shared" si="538"/>
        <v>F4Q17A</v>
      </c>
      <c r="BL76" s="258" t="str">
        <f t="shared" ref="BL76:BS76" si="540">BL61</f>
        <v>F1Q18A</v>
      </c>
      <c r="BM76" s="224" t="str">
        <f t="shared" si="540"/>
        <v>F2Q18A</v>
      </c>
      <c r="BN76" s="224" t="str">
        <f t="shared" si="540"/>
        <v>F3Q18A</v>
      </c>
      <c r="BO76" s="225" t="str">
        <f t="shared" si="540"/>
        <v>F4Q18E</v>
      </c>
      <c r="BP76" s="258" t="str">
        <f t="shared" si="540"/>
        <v>F1Q19E</v>
      </c>
      <c r="BQ76" s="224" t="str">
        <f t="shared" si="540"/>
        <v>F2Q19E</v>
      </c>
      <c r="BR76" s="224" t="str">
        <f t="shared" si="540"/>
        <v>F3Q19E</v>
      </c>
      <c r="BS76" s="225" t="str">
        <f t="shared" si="540"/>
        <v>F4Q19E</v>
      </c>
      <c r="BT76" s="1395" t="str">
        <f t="shared" ref="BT76:BW76" si="541">BT61</f>
        <v>F1Q20E</v>
      </c>
      <c r="BU76" s="1382" t="str">
        <f t="shared" si="541"/>
        <v>F2Q20E</v>
      </c>
      <c r="BV76" s="1382" t="str">
        <f t="shared" si="541"/>
        <v>F3Q20E</v>
      </c>
      <c r="BW76" s="1383" t="str">
        <f t="shared" si="541"/>
        <v>F4Q20E</v>
      </c>
      <c r="BX76" s="20"/>
      <c r="BY76" s="17" t="str">
        <f>BY61</f>
        <v>FY2003A</v>
      </c>
      <c r="BZ76" s="18" t="str">
        <f>BZ61</f>
        <v>FY2004A</v>
      </c>
      <c r="CA76" s="18" t="str">
        <f>CA61</f>
        <v>FY2005A</v>
      </c>
      <c r="CB76" s="18" t="str">
        <f t="shared" ref="CB76:CH76" si="542">CB61</f>
        <v>FY2006A</v>
      </c>
      <c r="CC76" s="18" t="str">
        <f t="shared" si="542"/>
        <v>FY2007A</v>
      </c>
      <c r="CD76" s="18" t="str">
        <f t="shared" si="542"/>
        <v>FY2008A</v>
      </c>
      <c r="CE76" s="18" t="str">
        <f t="shared" si="542"/>
        <v>FY2009A</v>
      </c>
      <c r="CF76" s="18" t="str">
        <f t="shared" si="542"/>
        <v>FY2010A</v>
      </c>
      <c r="CG76" s="18" t="str">
        <f t="shared" si="542"/>
        <v>FY2011A</v>
      </c>
      <c r="CH76" s="18" t="str">
        <f t="shared" si="542"/>
        <v>FY2012A</v>
      </c>
      <c r="CI76" s="18" t="str">
        <f t="shared" ref="CI76:CN76" si="543">CI61</f>
        <v>FY2013A</v>
      </c>
      <c r="CJ76" s="18" t="str">
        <f t="shared" si="543"/>
        <v>FY2014A</v>
      </c>
      <c r="CK76" s="18" t="str">
        <f t="shared" si="543"/>
        <v>FY2015A</v>
      </c>
      <c r="CL76" s="18" t="str">
        <f t="shared" si="543"/>
        <v>FY2016A</v>
      </c>
      <c r="CM76" s="18" t="str">
        <f t="shared" si="543"/>
        <v>FY2017A</v>
      </c>
      <c r="CN76" s="18" t="str">
        <f t="shared" si="543"/>
        <v>FY2018E</v>
      </c>
      <c r="CO76" s="18" t="str">
        <f>CO61</f>
        <v>FY2019E</v>
      </c>
      <c r="CP76" s="1374" t="str">
        <f>CP61</f>
        <v>FY2020E</v>
      </c>
      <c r="CQ76" s="20"/>
      <c r="CR76" s="17" t="str">
        <f>CR61</f>
        <v>CY2003</v>
      </c>
      <c r="CS76" s="18" t="str">
        <f>CS61</f>
        <v>CY2004</v>
      </c>
      <c r="CT76" s="18" t="str">
        <f>CT61</f>
        <v>CY2005</v>
      </c>
      <c r="CU76" s="18" t="str">
        <f t="shared" ref="CU76:DA76" si="544">CU61</f>
        <v>CY2006</v>
      </c>
      <c r="CV76" s="18" t="str">
        <f t="shared" si="544"/>
        <v>CY2007</v>
      </c>
      <c r="CW76" s="18" t="str">
        <f t="shared" si="544"/>
        <v>CY2008</v>
      </c>
      <c r="CX76" s="18" t="str">
        <f t="shared" si="544"/>
        <v>CY2009</v>
      </c>
      <c r="CY76" s="18" t="str">
        <f t="shared" si="544"/>
        <v>CY2010</v>
      </c>
      <c r="CZ76" s="18" t="str">
        <f t="shared" si="544"/>
        <v>CY2011</v>
      </c>
      <c r="DA76" s="18" t="str">
        <f t="shared" si="544"/>
        <v>CY2012</v>
      </c>
      <c r="DB76" s="18" t="str">
        <f t="shared" ref="DB76:DG76" si="545">DB61</f>
        <v>CY2013</v>
      </c>
      <c r="DC76" s="18" t="str">
        <f t="shared" si="545"/>
        <v>CY2014</v>
      </c>
      <c r="DD76" s="18" t="str">
        <f t="shared" si="545"/>
        <v>CY2015</v>
      </c>
      <c r="DE76" s="18" t="str">
        <f t="shared" si="545"/>
        <v>CY2016</v>
      </c>
      <c r="DF76" s="18" t="str">
        <f t="shared" si="545"/>
        <v>CY2017</v>
      </c>
      <c r="DG76" s="1439" t="str">
        <f t="shared" si="545"/>
        <v>CY2018</v>
      </c>
      <c r="DH76" s="1440" t="str">
        <f t="shared" ref="DH76" si="546">DH61</f>
        <v>CY2019</v>
      </c>
      <c r="DI76" s="22"/>
    </row>
    <row r="77" spans="1:113" ht="14.25" customHeight="1">
      <c r="A77" s="856"/>
      <c r="B77" s="972" t="s">
        <v>218</v>
      </c>
      <c r="C77" s="857"/>
      <c r="D77" s="196">
        <v>27.2</v>
      </c>
      <c r="E77" s="194">
        <f>55.1-D77</f>
        <v>27.900000000000002</v>
      </c>
      <c r="F77" s="194">
        <f>82.9-E77-D77</f>
        <v>27.8</v>
      </c>
      <c r="G77" s="195">
        <f>109.6-F77-E77-D77</f>
        <v>26.699999999999992</v>
      </c>
      <c r="H77" s="196">
        <v>28.2</v>
      </c>
      <c r="I77" s="194">
        <f>55.1-H77</f>
        <v>26.900000000000002</v>
      </c>
      <c r="J77" s="194">
        <f>83-I77-H77</f>
        <v>27.899999999999995</v>
      </c>
      <c r="K77" s="195">
        <f>109.8-J77-I77-H77</f>
        <v>26.8</v>
      </c>
      <c r="L77" s="196">
        <v>29.2</v>
      </c>
      <c r="M77" s="194">
        <f>60.1-L77</f>
        <v>30.900000000000002</v>
      </c>
      <c r="N77" s="194">
        <f>90.3-M77-L77</f>
        <v>30.199999999999992</v>
      </c>
      <c r="O77" s="195">
        <f>119-N77-M77-L77</f>
        <v>28.700000000000006</v>
      </c>
      <c r="P77" s="871">
        <v>27.9</v>
      </c>
      <c r="Q77" s="870">
        <f>55.5-P77</f>
        <v>27.6</v>
      </c>
      <c r="R77" s="870">
        <f>82.2-Q77-P77</f>
        <v>26.700000000000003</v>
      </c>
      <c r="S77" s="872">
        <f>109.3-R77-Q77-P77</f>
        <v>27.099999999999994</v>
      </c>
      <c r="T77" s="871">
        <v>28.1</v>
      </c>
      <c r="U77" s="870">
        <f>57.3-T77</f>
        <v>29.199999999999996</v>
      </c>
      <c r="V77" s="870">
        <f>86.4-U77-T77</f>
        <v>29.100000000000009</v>
      </c>
      <c r="W77" s="872">
        <f>114.3-V77-U77-T77</f>
        <v>27.899999999999991</v>
      </c>
      <c r="X77" s="871">
        <v>26.4</v>
      </c>
      <c r="Y77" s="870">
        <f>51.9-X77</f>
        <v>25.5</v>
      </c>
      <c r="Z77" s="870">
        <f>75.2-Y77-X77</f>
        <v>23.300000000000004</v>
      </c>
      <c r="AA77" s="872">
        <f>98.2-Z77-Y77-X77</f>
        <v>23.000000000000007</v>
      </c>
      <c r="AB77" s="871">
        <v>23.2</v>
      </c>
      <c r="AC77" s="870">
        <f>47.2-AB77</f>
        <v>24.000000000000004</v>
      </c>
      <c r="AD77" s="870">
        <f>70.4-AC77-AB77</f>
        <v>23.200000000000006</v>
      </c>
      <c r="AE77" s="872">
        <f>93.3-AD77-AC77-AB77</f>
        <v>22.899999999999995</v>
      </c>
      <c r="AF77" s="871">
        <v>21.7</v>
      </c>
      <c r="AG77" s="870">
        <v>21.8</v>
      </c>
      <c r="AH77" s="870">
        <v>21.8</v>
      </c>
      <c r="AI77" s="872">
        <f>86.4-AH77-AG77-AF77</f>
        <v>21.100000000000012</v>
      </c>
      <c r="AJ77" s="871">
        <v>22.5</v>
      </c>
      <c r="AK77" s="870">
        <v>23.9</v>
      </c>
      <c r="AL77" s="870">
        <v>23.6</v>
      </c>
      <c r="AM77" s="872">
        <f>92.7-AL77-AK77-AJ77</f>
        <v>22.699999999999996</v>
      </c>
      <c r="AN77" s="870">
        <v>22</v>
      </c>
      <c r="AO77" s="870">
        <v>22</v>
      </c>
      <c r="AP77" s="870">
        <v>21.5</v>
      </c>
      <c r="AQ77" s="872">
        <f>86.4-AP77-AO77-AN77</f>
        <v>20.900000000000006</v>
      </c>
      <c r="AR77" s="870">
        <v>20.7</v>
      </c>
      <c r="AS77" s="870">
        <v>22.4</v>
      </c>
      <c r="AT77" s="870">
        <v>23</v>
      </c>
      <c r="AU77" s="872">
        <f>88.3-AT77-AS77-AR77</f>
        <v>22.2</v>
      </c>
      <c r="AV77" s="870">
        <v>20.7</v>
      </c>
      <c r="AW77" s="870">
        <v>23</v>
      </c>
      <c r="AX77" s="870">
        <v>22.2</v>
      </c>
      <c r="AY77" s="872">
        <f>89.7-AX77-AW77-AV77</f>
        <v>23.8</v>
      </c>
      <c r="AZ77" s="870">
        <v>23.3</v>
      </c>
      <c r="BA77" s="870">
        <v>24.3</v>
      </c>
      <c r="BB77" s="870">
        <v>24.7</v>
      </c>
      <c r="BC77" s="872">
        <f>89.7-BB77-BA77-AZ77</f>
        <v>17.400000000000002</v>
      </c>
      <c r="BD77" s="870">
        <v>24.7</v>
      </c>
      <c r="BE77" s="870">
        <v>24.3</v>
      </c>
      <c r="BF77" s="870">
        <v>24.7</v>
      </c>
      <c r="BG77" s="872">
        <f>89.7-BF77-BE77-BD77</f>
        <v>16.000000000000004</v>
      </c>
      <c r="BH77" s="870">
        <v>24.7</v>
      </c>
      <c r="BI77" s="870">
        <v>24.3</v>
      </c>
      <c r="BJ77" s="870">
        <v>24.7</v>
      </c>
      <c r="BK77" s="872">
        <f>89.7-BJ77-BI77-BH77</f>
        <v>16.000000000000004</v>
      </c>
      <c r="BL77" s="870">
        <v>29</v>
      </c>
      <c r="BM77" s="870">
        <v>29.9</v>
      </c>
      <c r="BN77" s="870">
        <v>32</v>
      </c>
      <c r="BO77" s="873">
        <f t="shared" ref="BO77" si="547">+BN77</f>
        <v>32</v>
      </c>
      <c r="BP77" s="858">
        <f t="shared" ref="BP77:BS78" si="548">+BO77</f>
        <v>32</v>
      </c>
      <c r="BQ77" s="858">
        <f t="shared" si="548"/>
        <v>32</v>
      </c>
      <c r="BR77" s="858">
        <f t="shared" si="548"/>
        <v>32</v>
      </c>
      <c r="BS77" s="873">
        <f t="shared" si="548"/>
        <v>32</v>
      </c>
      <c r="BT77" s="858">
        <f t="shared" ref="BT77:BT78" si="549">+BS77</f>
        <v>32</v>
      </c>
      <c r="BU77" s="858">
        <f t="shared" ref="BU77:BU78" si="550">+BT77</f>
        <v>32</v>
      </c>
      <c r="BV77" s="858">
        <f t="shared" ref="BV77" si="551">+BU77</f>
        <v>32</v>
      </c>
      <c r="BW77" s="873">
        <f t="shared" ref="BW77" si="552">+BV77</f>
        <v>32</v>
      </c>
      <c r="BX77" s="859"/>
      <c r="BY77" s="860">
        <f>SUM(D77:G77)</f>
        <v>109.6</v>
      </c>
      <c r="BZ77" s="861">
        <f>SUM(H77:K77)</f>
        <v>109.8</v>
      </c>
      <c r="CA77" s="861">
        <f>SUM(L77:O77)</f>
        <v>119</v>
      </c>
      <c r="CB77" s="861">
        <f>SUM(P77:S77)</f>
        <v>109.3</v>
      </c>
      <c r="CC77" s="861">
        <f>SUM(T77:W77)</f>
        <v>114.3</v>
      </c>
      <c r="CD77" s="861">
        <f>SUM(X77:AA77)</f>
        <v>98.200000000000017</v>
      </c>
      <c r="CE77" s="861">
        <f>SUM(AB77:AE77)</f>
        <v>93.3</v>
      </c>
      <c r="CF77" s="860">
        <f>SUM(AF77:AI77)</f>
        <v>86.4</v>
      </c>
      <c r="CG77" s="860">
        <f>SUM(AJ77:AM77)</f>
        <v>92.699999999999989</v>
      </c>
      <c r="CH77" s="861">
        <f>SUM(AN77:AQ77)</f>
        <v>86.4</v>
      </c>
      <c r="CI77" s="861">
        <f>SUM(AR77:AU77)</f>
        <v>88.3</v>
      </c>
      <c r="CJ77" s="861">
        <f>SUM(AV77:AY77)</f>
        <v>89.7</v>
      </c>
      <c r="CK77" s="861">
        <f>SUM(AZ77:BC77)</f>
        <v>89.7</v>
      </c>
      <c r="CL77" s="861">
        <f>SUM(BD77:BG77)</f>
        <v>89.7</v>
      </c>
      <c r="CM77" s="861">
        <f>SUM(BH77:BK77)</f>
        <v>89.7</v>
      </c>
      <c r="CN77" s="861">
        <f>SUM(BL77:BO77)</f>
        <v>122.9</v>
      </c>
      <c r="CO77" s="861">
        <f>SUM(BP77:BS77)</f>
        <v>128</v>
      </c>
      <c r="CP77" s="861">
        <f>SUM(BT77:BW77)</f>
        <v>128</v>
      </c>
      <c r="CQ77" s="859"/>
      <c r="CR77" s="863"/>
      <c r="CS77" s="861"/>
      <c r="CT77" s="861"/>
      <c r="CU77" s="861"/>
      <c r="CV77" s="861"/>
      <c r="CW77" s="861"/>
      <c r="CX77" s="861"/>
      <c r="CY77" s="860"/>
      <c r="CZ77" s="860"/>
      <c r="DA77" s="861"/>
      <c r="DB77" s="861"/>
      <c r="DC77" s="860"/>
      <c r="DD77" s="860"/>
      <c r="DE77" s="860"/>
      <c r="DF77" s="860"/>
      <c r="DG77" s="860"/>
      <c r="DH77" s="862"/>
      <c r="DI77" s="864"/>
    </row>
    <row r="78" spans="1:113" ht="14.25" customHeight="1">
      <c r="A78" s="865"/>
      <c r="B78" s="1078" t="s">
        <v>133</v>
      </c>
      <c r="C78" s="866"/>
      <c r="D78" s="867">
        <f t="shared" ref="D78:O78" si="553">+D79-D77</f>
        <v>2.8000000000002245E-2</v>
      </c>
      <c r="E78" s="868">
        <f t="shared" si="553"/>
        <v>-5.8000000000003382E-2</v>
      </c>
      <c r="F78" s="868">
        <f t="shared" si="553"/>
        <v>2.4999999999995026E-2</v>
      </c>
      <c r="G78" s="866">
        <f t="shared" si="553"/>
        <v>1.4810000000000123</v>
      </c>
      <c r="H78" s="867">
        <f t="shared" si="553"/>
        <v>2.2999999999999687E-2</v>
      </c>
      <c r="I78" s="868">
        <f t="shared" si="553"/>
        <v>-3.2000000000000028E-2</v>
      </c>
      <c r="J78" s="868">
        <f t="shared" si="553"/>
        <v>-3.4999999999993037E-2</v>
      </c>
      <c r="K78" s="866">
        <f t="shared" si="553"/>
        <v>1.8709999999999987</v>
      </c>
      <c r="L78" s="867">
        <f t="shared" si="553"/>
        <v>0.35300000000000153</v>
      </c>
      <c r="M78" s="868">
        <f t="shared" si="553"/>
        <v>0.38799999999999812</v>
      </c>
      <c r="N78" s="868">
        <f t="shared" si="553"/>
        <v>0.32400000000000517</v>
      </c>
      <c r="O78" s="866">
        <f t="shared" si="553"/>
        <v>0.40099999999998914</v>
      </c>
      <c r="P78" s="867">
        <f t="shared" ref="P78:AI78" si="554">+P79-P77</f>
        <v>0.20700000000000074</v>
      </c>
      <c r="Q78" s="868">
        <f t="shared" si="554"/>
        <v>0.31400000000000006</v>
      </c>
      <c r="R78" s="868">
        <f t="shared" si="554"/>
        <v>0.38499999999999091</v>
      </c>
      <c r="S78" s="866">
        <f t="shared" si="554"/>
        <v>0.4760000000000133</v>
      </c>
      <c r="T78" s="867">
        <f t="shared" si="554"/>
        <v>0.41899999999999693</v>
      </c>
      <c r="U78" s="868">
        <f t="shared" si="554"/>
        <v>0.49100000000000676</v>
      </c>
      <c r="V78" s="868">
        <f t="shared" si="554"/>
        <v>0.48199999999999221</v>
      </c>
      <c r="W78" s="866">
        <f t="shared" si="554"/>
        <v>0.47900000000000631</v>
      </c>
      <c r="X78" s="867">
        <f t="shared" si="554"/>
        <v>0.49800000000000111</v>
      </c>
      <c r="Y78" s="868">
        <f t="shared" si="554"/>
        <v>0.39299999999999713</v>
      </c>
      <c r="Z78" s="868">
        <f t="shared" si="554"/>
        <v>0.51399999999999935</v>
      </c>
      <c r="AA78" s="866">
        <f t="shared" si="554"/>
        <v>0.47099999999997877</v>
      </c>
      <c r="AB78" s="867">
        <f t="shared" si="554"/>
        <v>0.56599999999999895</v>
      </c>
      <c r="AC78" s="868">
        <f t="shared" si="554"/>
        <v>0.41499999999999559</v>
      </c>
      <c r="AD78" s="868">
        <f t="shared" si="554"/>
        <v>0.82899999999998997</v>
      </c>
      <c r="AE78" s="866">
        <f t="shared" si="554"/>
        <v>0.93600000000001771</v>
      </c>
      <c r="AF78" s="867">
        <f t="shared" si="554"/>
        <v>0.95899999999999963</v>
      </c>
      <c r="AG78" s="868">
        <f t="shared" si="554"/>
        <v>0.83900000000000219</v>
      </c>
      <c r="AH78" s="868">
        <f t="shared" si="554"/>
        <v>0.6369999999999969</v>
      </c>
      <c r="AI78" s="866">
        <f t="shared" si="554"/>
        <v>1.2219999999999906</v>
      </c>
      <c r="AJ78" s="867">
        <f t="shared" ref="AJ78:AX78" si="555">+AJ79-AJ77</f>
        <v>2.9390000000000001</v>
      </c>
      <c r="AK78" s="868">
        <f t="shared" si="555"/>
        <v>3.6370000000000005</v>
      </c>
      <c r="AL78" s="868">
        <f t="shared" si="555"/>
        <v>3.5770000000000053</v>
      </c>
      <c r="AM78" s="866">
        <f t="shared" si="555"/>
        <v>3.7589999999999932</v>
      </c>
      <c r="AN78" s="868">
        <f t="shared" si="555"/>
        <v>3.3509999999999991</v>
      </c>
      <c r="AO78" s="868">
        <f t="shared" si="555"/>
        <v>3.1769999999999996</v>
      </c>
      <c r="AP78" s="868">
        <f t="shared" si="555"/>
        <v>3.142000000000003</v>
      </c>
      <c r="AQ78" s="866">
        <f t="shared" si="555"/>
        <v>3.3540000000000063</v>
      </c>
      <c r="AR78" s="868">
        <f>+AR79-AR77</f>
        <v>4.5450000000000017</v>
      </c>
      <c r="AS78" s="868">
        <f t="shared" si="555"/>
        <v>28.811</v>
      </c>
      <c r="AT78" s="868">
        <f t="shared" si="555"/>
        <v>41.011999999999986</v>
      </c>
      <c r="AU78" s="866">
        <f t="shared" si="555"/>
        <v>41.42900000000003</v>
      </c>
      <c r="AV78" s="868">
        <f>+AV79-AV77</f>
        <v>29.709999999999997</v>
      </c>
      <c r="AW78" s="868">
        <f t="shared" si="555"/>
        <v>25.052000000000007</v>
      </c>
      <c r="AX78" s="868">
        <f t="shared" si="555"/>
        <v>23.042000000000005</v>
      </c>
      <c r="AY78" s="866">
        <f t="shared" ref="AY78:BF78" si="556">+AY79-AY77</f>
        <v>21.634999999999987</v>
      </c>
      <c r="AZ78" s="868">
        <f t="shared" si="556"/>
        <v>37.688000000000002</v>
      </c>
      <c r="BA78" s="868">
        <f t="shared" si="556"/>
        <v>46.521000000000001</v>
      </c>
      <c r="BB78" s="868">
        <f t="shared" si="556"/>
        <v>48.602999999999994</v>
      </c>
      <c r="BC78" s="866">
        <f t="shared" si="556"/>
        <v>55.786000000000001</v>
      </c>
      <c r="BD78" s="868">
        <f t="shared" si="556"/>
        <v>35.674999999999997</v>
      </c>
      <c r="BE78" s="868">
        <f t="shared" si="556"/>
        <v>46.809000000000012</v>
      </c>
      <c r="BF78" s="868">
        <f t="shared" si="556"/>
        <v>51.477999999999994</v>
      </c>
      <c r="BG78" s="866">
        <f>+BG79-BG77</f>
        <v>59.508999999999986</v>
      </c>
      <c r="BH78" s="868">
        <f t="shared" ref="BH78:BJ78" si="557">+BH79-BH77</f>
        <v>88.441000000000003</v>
      </c>
      <c r="BI78" s="868">
        <f t="shared" si="557"/>
        <v>88.515999999999991</v>
      </c>
      <c r="BJ78" s="868">
        <f t="shared" si="557"/>
        <v>90.268000000000029</v>
      </c>
      <c r="BK78" s="866">
        <f>+BK79-BK77</f>
        <v>112.28300000000002</v>
      </c>
      <c r="BL78" s="868">
        <f t="shared" ref="BL78:BM78" si="558">+BL79-BL77</f>
        <v>122.80099999999999</v>
      </c>
      <c r="BM78" s="868">
        <f t="shared" si="558"/>
        <v>122.655</v>
      </c>
      <c r="BN78" s="868">
        <f t="shared" ref="BN78" si="559">+BN79-BN77</f>
        <v>122.67599999999999</v>
      </c>
      <c r="BO78" s="866">
        <v>0</v>
      </c>
      <c r="BP78" s="868">
        <f t="shared" si="548"/>
        <v>0</v>
      </c>
      <c r="BQ78" s="868">
        <f t="shared" si="548"/>
        <v>0</v>
      </c>
      <c r="BR78" s="868">
        <v>11.259</v>
      </c>
      <c r="BS78" s="866">
        <v>0</v>
      </c>
      <c r="BT78" s="868">
        <f t="shared" si="549"/>
        <v>0</v>
      </c>
      <c r="BU78" s="868">
        <f t="shared" si="550"/>
        <v>0</v>
      </c>
      <c r="BV78" s="868">
        <v>11.259</v>
      </c>
      <c r="BW78" s="866">
        <v>0</v>
      </c>
      <c r="BX78" s="869"/>
      <c r="BY78" s="854">
        <f>SUM(D78:G78)</f>
        <v>1.4760000000000062</v>
      </c>
      <c r="BZ78" s="854">
        <f>SUM(H78:K78)</f>
        <v>1.8270000000000053</v>
      </c>
      <c r="CA78" s="854">
        <f>SUM(L78:O78)</f>
        <v>1.465999999999994</v>
      </c>
      <c r="CB78" s="854">
        <f>SUM(P78:S78)</f>
        <v>1.382000000000005</v>
      </c>
      <c r="CC78" s="854">
        <f>SUM(T78:W78)</f>
        <v>1.8710000000000022</v>
      </c>
      <c r="CD78" s="854">
        <f>SUM(X78:AA78)</f>
        <v>1.8759999999999764</v>
      </c>
      <c r="CE78" s="854">
        <f>SUM(AB78:AE78)</f>
        <v>2.7460000000000022</v>
      </c>
      <c r="CF78" s="854">
        <f>SUM(AF78:AI78)</f>
        <v>3.6569999999999894</v>
      </c>
      <c r="CG78" s="854">
        <f>SUM(AJ78:AM78)</f>
        <v>13.911999999999999</v>
      </c>
      <c r="CH78" s="854">
        <f>SUM(AN78:AQ78)</f>
        <v>13.024000000000008</v>
      </c>
      <c r="CI78" s="854">
        <f>SUM(AR78:AU78)</f>
        <v>115.79700000000003</v>
      </c>
      <c r="CJ78" s="854">
        <f>SUM(AV78:AY78)</f>
        <v>99.438999999999993</v>
      </c>
      <c r="CK78" s="854">
        <f>SUM(AZ78:BC78)</f>
        <v>188.59800000000001</v>
      </c>
      <c r="CL78" s="854">
        <f>SUM(BD78:BG78)</f>
        <v>193.47099999999998</v>
      </c>
      <c r="CM78" s="854">
        <f>SUM(BH78:BK78)</f>
        <v>379.50800000000004</v>
      </c>
      <c r="CN78" s="854">
        <f>SUM(BL78:BO78)</f>
        <v>368.13199999999995</v>
      </c>
      <c r="CO78" s="854">
        <f>SUM(BP78:BS78)</f>
        <v>11.259</v>
      </c>
      <c r="CP78" s="854">
        <f>SUM(BT78:BW78)</f>
        <v>11.259</v>
      </c>
      <c r="CQ78" s="722"/>
      <c r="CR78" s="855"/>
      <c r="CS78" s="854"/>
      <c r="CT78" s="854"/>
      <c r="CU78" s="854"/>
      <c r="CV78" s="854"/>
      <c r="CW78" s="854"/>
      <c r="CX78" s="854"/>
      <c r="CY78" s="854"/>
      <c r="CZ78" s="854"/>
      <c r="DA78" s="854"/>
      <c r="DB78" s="854"/>
      <c r="DC78" s="1171"/>
      <c r="DD78" s="1171"/>
      <c r="DE78" s="1171"/>
      <c r="DF78" s="1171"/>
      <c r="DG78" s="1171"/>
      <c r="DH78" s="889"/>
      <c r="DI78" s="855"/>
    </row>
    <row r="79" spans="1:113" ht="14.25" customHeight="1">
      <c r="A79" s="8"/>
      <c r="B79" s="259" t="s">
        <v>86</v>
      </c>
      <c r="C79" s="796"/>
      <c r="D79" s="248">
        <f t="shared" ref="D79:O79" si="560">D11</f>
        <v>27.228000000000002</v>
      </c>
      <c r="E79" s="247">
        <f t="shared" si="560"/>
        <v>27.841999999999999</v>
      </c>
      <c r="F79" s="247">
        <f t="shared" si="560"/>
        <v>27.824999999999996</v>
      </c>
      <c r="G79" s="228">
        <f t="shared" si="560"/>
        <v>28.181000000000004</v>
      </c>
      <c r="H79" s="248">
        <f t="shared" si="560"/>
        <v>28.222999999999999</v>
      </c>
      <c r="I79" s="247">
        <f t="shared" si="560"/>
        <v>26.868000000000002</v>
      </c>
      <c r="J79" s="247">
        <f t="shared" si="560"/>
        <v>27.865000000000002</v>
      </c>
      <c r="K79" s="228">
        <f t="shared" si="560"/>
        <v>28.670999999999999</v>
      </c>
      <c r="L79" s="248">
        <f t="shared" si="560"/>
        <v>29.553000000000001</v>
      </c>
      <c r="M79" s="247">
        <f t="shared" si="560"/>
        <v>31.288</v>
      </c>
      <c r="N79" s="247">
        <f t="shared" si="560"/>
        <v>30.523999999999997</v>
      </c>
      <c r="O79" s="228">
        <f t="shared" si="560"/>
        <v>29.100999999999996</v>
      </c>
      <c r="P79" s="350">
        <f t="shared" ref="P79:AN79" si="561">P11</f>
        <v>28.106999999999999</v>
      </c>
      <c r="Q79" s="247">
        <f t="shared" si="561"/>
        <v>27.914000000000001</v>
      </c>
      <c r="R79" s="247">
        <f t="shared" si="561"/>
        <v>27.084999999999994</v>
      </c>
      <c r="S79" s="230">
        <f t="shared" si="561"/>
        <v>27.576000000000008</v>
      </c>
      <c r="T79" s="350">
        <f t="shared" si="561"/>
        <v>28.518999999999998</v>
      </c>
      <c r="U79" s="247">
        <f t="shared" si="561"/>
        <v>29.691000000000003</v>
      </c>
      <c r="V79" s="247">
        <f t="shared" si="561"/>
        <v>29.582000000000001</v>
      </c>
      <c r="W79" s="230">
        <f t="shared" si="561"/>
        <v>28.378999999999998</v>
      </c>
      <c r="X79" s="350">
        <f t="shared" si="561"/>
        <v>26.898</v>
      </c>
      <c r="Y79" s="247">
        <f t="shared" si="561"/>
        <v>25.892999999999997</v>
      </c>
      <c r="Z79" s="247">
        <f t="shared" si="561"/>
        <v>23.814000000000004</v>
      </c>
      <c r="AA79" s="230">
        <f t="shared" si="561"/>
        <v>23.470999999999986</v>
      </c>
      <c r="AB79" s="350">
        <f t="shared" si="561"/>
        <v>23.765999999999998</v>
      </c>
      <c r="AC79" s="247">
        <f t="shared" si="561"/>
        <v>24.414999999999999</v>
      </c>
      <c r="AD79" s="247">
        <f t="shared" si="561"/>
        <v>24.028999999999996</v>
      </c>
      <c r="AE79" s="230">
        <f t="shared" si="561"/>
        <v>23.836000000000013</v>
      </c>
      <c r="AF79" s="350">
        <f t="shared" si="561"/>
        <v>22.658999999999999</v>
      </c>
      <c r="AG79" s="247">
        <f t="shared" si="561"/>
        <v>22.639000000000003</v>
      </c>
      <c r="AH79" s="247">
        <f t="shared" si="561"/>
        <v>22.436999999999998</v>
      </c>
      <c r="AI79" s="230">
        <f t="shared" si="561"/>
        <v>22.322000000000003</v>
      </c>
      <c r="AJ79" s="350">
        <f t="shared" si="561"/>
        <v>25.439</v>
      </c>
      <c r="AK79" s="247">
        <f t="shared" si="561"/>
        <v>27.536999999999999</v>
      </c>
      <c r="AL79" s="247">
        <f t="shared" si="561"/>
        <v>27.177000000000007</v>
      </c>
      <c r="AM79" s="230">
        <f t="shared" si="561"/>
        <v>26.458999999999989</v>
      </c>
      <c r="AN79" s="229">
        <f t="shared" si="561"/>
        <v>25.350999999999999</v>
      </c>
      <c r="AO79" s="247">
        <f t="shared" ref="AO79:AT79" si="562">AO11</f>
        <v>25.177</v>
      </c>
      <c r="AP79" s="247">
        <f t="shared" si="562"/>
        <v>24.642000000000003</v>
      </c>
      <c r="AQ79" s="230">
        <f t="shared" si="562"/>
        <v>24.254000000000012</v>
      </c>
      <c r="AR79" s="229">
        <f t="shared" si="562"/>
        <v>25.245000000000001</v>
      </c>
      <c r="AS79" s="247">
        <f t="shared" si="562"/>
        <v>51.210999999999999</v>
      </c>
      <c r="AT79" s="247">
        <f t="shared" si="562"/>
        <v>64.011999999999986</v>
      </c>
      <c r="AU79" s="230">
        <f t="shared" ref="AU79:AZ79" si="563">AU11</f>
        <v>63.629000000000033</v>
      </c>
      <c r="AV79" s="229">
        <f t="shared" si="563"/>
        <v>50.41</v>
      </c>
      <c r="AW79" s="247">
        <f t="shared" si="563"/>
        <v>48.052000000000007</v>
      </c>
      <c r="AX79" s="247">
        <f t="shared" si="563"/>
        <v>45.242000000000004</v>
      </c>
      <c r="AY79" s="230">
        <f t="shared" si="563"/>
        <v>45.434999999999988</v>
      </c>
      <c r="AZ79" s="229">
        <f t="shared" si="563"/>
        <v>60.988</v>
      </c>
      <c r="BA79" s="247">
        <f t="shared" ref="BA79:BF79" si="564">BA11</f>
        <v>70.820999999999998</v>
      </c>
      <c r="BB79" s="247">
        <f t="shared" si="564"/>
        <v>73.302999999999997</v>
      </c>
      <c r="BC79" s="230">
        <f>BC11</f>
        <v>73.186000000000007</v>
      </c>
      <c r="BD79" s="229">
        <f t="shared" si="564"/>
        <v>60.375</v>
      </c>
      <c r="BE79" s="247">
        <f t="shared" si="564"/>
        <v>71.109000000000009</v>
      </c>
      <c r="BF79" s="247">
        <f t="shared" si="564"/>
        <v>76.177999999999997</v>
      </c>
      <c r="BG79" s="230">
        <f>BG11</f>
        <v>75.508999999999986</v>
      </c>
      <c r="BH79" s="229">
        <f t="shared" ref="BH79:BJ79" si="565">BH11</f>
        <v>113.14100000000001</v>
      </c>
      <c r="BI79" s="247">
        <f t="shared" si="565"/>
        <v>112.81599999999999</v>
      </c>
      <c r="BJ79" s="1391">
        <f t="shared" si="565"/>
        <v>114.96800000000003</v>
      </c>
      <c r="BK79" s="1386">
        <f>BK11</f>
        <v>128.28300000000002</v>
      </c>
      <c r="BL79" s="229">
        <f t="shared" ref="BL79:BM79" si="566">BL11</f>
        <v>151.80099999999999</v>
      </c>
      <c r="BM79" s="1391">
        <f t="shared" si="566"/>
        <v>152.55500000000001</v>
      </c>
      <c r="BN79" s="229">
        <f t="shared" ref="BN79" si="567">BN11</f>
        <v>154.67599999999999</v>
      </c>
      <c r="BO79" s="230">
        <f t="shared" ref="BO79" si="568">+SUM(BO77:BO78)</f>
        <v>32</v>
      </c>
      <c r="BP79" s="229">
        <f t="shared" ref="BP79:BW79" si="569">+SUM(BP77:BP78)</f>
        <v>32</v>
      </c>
      <c r="BQ79" s="229">
        <f t="shared" si="569"/>
        <v>32</v>
      </c>
      <c r="BR79" s="229">
        <f t="shared" si="569"/>
        <v>43.259</v>
      </c>
      <c r="BS79" s="230">
        <f t="shared" si="569"/>
        <v>32</v>
      </c>
      <c r="BT79" s="1385">
        <f t="shared" si="569"/>
        <v>32</v>
      </c>
      <c r="BU79" s="1385">
        <f t="shared" si="569"/>
        <v>32</v>
      </c>
      <c r="BV79" s="1385">
        <f t="shared" si="569"/>
        <v>43.259</v>
      </c>
      <c r="BW79" s="1386">
        <f t="shared" si="569"/>
        <v>32</v>
      </c>
      <c r="BX79" s="20"/>
      <c r="BY79" s="247">
        <f>SUM(D79:G79)</f>
        <v>111.07599999999999</v>
      </c>
      <c r="BZ79" s="247">
        <f>SUM(H79:K79)</f>
        <v>111.62700000000001</v>
      </c>
      <c r="CA79" s="247">
        <f>SUM(L79:O79)</f>
        <v>120.46599999999999</v>
      </c>
      <c r="CB79" s="247">
        <f>SUM(P79:S79)</f>
        <v>110.682</v>
      </c>
      <c r="CC79" s="247">
        <f>SUM(T79:W79)</f>
        <v>116.17099999999999</v>
      </c>
      <c r="CD79" s="247">
        <f>SUM(X79:AA79)</f>
        <v>100.07599999999999</v>
      </c>
      <c r="CE79" s="247">
        <f>SUM(AB79:AE79)</f>
        <v>96.046000000000006</v>
      </c>
      <c r="CF79" s="247">
        <f>SUM(AF79:AI79)</f>
        <v>90.057000000000002</v>
      </c>
      <c r="CG79" s="247">
        <f>SUM(AJ79:AM79)</f>
        <v>106.61199999999999</v>
      </c>
      <c r="CH79" s="247">
        <f>SUM(AN79:AQ79)</f>
        <v>99.424000000000007</v>
      </c>
      <c r="CI79" s="247">
        <f>SUM(AR79:AU79)</f>
        <v>204.09700000000004</v>
      </c>
      <c r="CJ79" s="247">
        <f>SUM(AV79:AY79)</f>
        <v>189.13900000000001</v>
      </c>
      <c r="CK79" s="247">
        <f>SUM(AZ79:BC79)</f>
        <v>278.298</v>
      </c>
      <c r="CL79" s="247">
        <f>SUM(BD79:BG79)</f>
        <v>283.17099999999999</v>
      </c>
      <c r="CM79" s="247">
        <f>SUM(BH79:BK79)</f>
        <v>469.20800000000003</v>
      </c>
      <c r="CN79" s="247">
        <f>SUM(BL79:BO79)</f>
        <v>491.03199999999998</v>
      </c>
      <c r="CO79" s="247">
        <f>SUM(BP79:BS79)</f>
        <v>139.25900000000001</v>
      </c>
      <c r="CP79" s="1391">
        <f>SUM(BT79:BW79)</f>
        <v>139.25900000000001</v>
      </c>
      <c r="CQ79" s="20"/>
      <c r="CR79" s="248">
        <f>CR66*CR80</f>
        <v>111.137</v>
      </c>
      <c r="CS79" s="247">
        <f>CS66*CS80</f>
        <v>120.036</v>
      </c>
      <c r="CT79" s="247">
        <f>CT66*CT80</f>
        <v>112.20699999999999</v>
      </c>
      <c r="CU79" s="247">
        <f t="shared" ref="CU79:DA79" si="570">CU66*CU80</f>
        <v>115.36799999999998</v>
      </c>
      <c r="CV79" s="247">
        <f t="shared" si="570"/>
        <v>104.98400000000001</v>
      </c>
      <c r="CW79" s="247">
        <f t="shared" si="570"/>
        <v>95.680999999999983</v>
      </c>
      <c r="CX79" s="247">
        <f t="shared" si="570"/>
        <v>91.571000000000012</v>
      </c>
      <c r="CY79" s="247">
        <f t="shared" si="570"/>
        <v>102.47500000000001</v>
      </c>
      <c r="CZ79" s="247">
        <f t="shared" si="570"/>
        <v>101.62899999999999</v>
      </c>
      <c r="DA79" s="247">
        <f t="shared" si="570"/>
        <v>164.72199999999998</v>
      </c>
      <c r="DB79" s="247">
        <f t="shared" ref="DB79:DG79" si="571">DB66*DB80</f>
        <v>207.33300000000003</v>
      </c>
      <c r="DC79" s="247">
        <f t="shared" si="571"/>
        <v>250.54699999999997</v>
      </c>
      <c r="DD79" s="247">
        <f t="shared" si="571"/>
        <v>280.84800000000001</v>
      </c>
      <c r="DE79" s="247">
        <f t="shared" si="571"/>
        <v>416.43399999999997</v>
      </c>
      <c r="DF79" s="247">
        <f t="shared" si="571"/>
        <v>587.31500000000005</v>
      </c>
      <c r="DG79" s="1391">
        <f t="shared" si="571"/>
        <v>139.25900000000001</v>
      </c>
      <c r="DH79" s="1391">
        <f t="shared" ref="DH79" si="572">DH66*DH80</f>
        <v>139.25900000000001</v>
      </c>
      <c r="DI79" s="22"/>
    </row>
    <row r="80" spans="1:113" ht="14.25" customHeight="1">
      <c r="A80" s="11"/>
      <c r="B80" s="328" t="s">
        <v>87</v>
      </c>
      <c r="C80" s="575"/>
      <c r="D80" s="351">
        <f t="shared" ref="D80:O80" si="573">D79/D66</f>
        <v>2.3210693217853857E-2</v>
      </c>
      <c r="E80" s="241">
        <f t="shared" si="573"/>
        <v>2.2035231677802202E-2</v>
      </c>
      <c r="F80" s="241">
        <f t="shared" si="573"/>
        <v>2.1707991817666906E-2</v>
      </c>
      <c r="G80" s="242">
        <f t="shared" si="573"/>
        <v>2.1755325349458569E-2</v>
      </c>
      <c r="H80" s="351">
        <f t="shared" si="573"/>
        <v>2.1698649936956051E-2</v>
      </c>
      <c r="I80" s="241">
        <f t="shared" si="573"/>
        <v>2.0569181749559417E-2</v>
      </c>
      <c r="J80" s="241">
        <f t="shared" si="573"/>
        <v>2.110973653927593E-2</v>
      </c>
      <c r="K80" s="242">
        <f t="shared" si="573"/>
        <v>2.1656780329954127E-2</v>
      </c>
      <c r="L80" s="351">
        <f t="shared" si="573"/>
        <v>2.2159703127612687E-2</v>
      </c>
      <c r="M80" s="241">
        <f t="shared" si="573"/>
        <v>2.3290141960591065E-2</v>
      </c>
      <c r="N80" s="241">
        <f t="shared" si="573"/>
        <v>2.237718354216945E-2</v>
      </c>
      <c r="O80" s="242">
        <f t="shared" si="573"/>
        <v>2.0422026679653971E-2</v>
      </c>
      <c r="P80" s="351">
        <f t="shared" ref="P80:AX80" si="574">P79/P66</f>
        <v>1.9341506582732131E-2</v>
      </c>
      <c r="Q80" s="241">
        <f t="shared" si="574"/>
        <v>1.9114203152604117E-2</v>
      </c>
      <c r="R80" s="241">
        <f t="shared" si="574"/>
        <v>1.8372813797959416E-2</v>
      </c>
      <c r="S80" s="242">
        <f t="shared" si="574"/>
        <v>1.8481830489390512E-2</v>
      </c>
      <c r="T80" s="351">
        <f t="shared" si="574"/>
        <v>1.8890558099113993E-2</v>
      </c>
      <c r="U80" s="241">
        <f t="shared" si="574"/>
        <v>1.9436701593507091E-2</v>
      </c>
      <c r="V80" s="241">
        <f t="shared" si="574"/>
        <v>1.9190660398227935E-2</v>
      </c>
      <c r="W80" s="242">
        <f t="shared" si="574"/>
        <v>1.8333090003268805E-2</v>
      </c>
      <c r="X80" s="351">
        <f t="shared" si="574"/>
        <v>1.7119333811097974E-2</v>
      </c>
      <c r="Y80" s="241">
        <f t="shared" si="574"/>
        <v>1.7034341701276341E-2</v>
      </c>
      <c r="Z80" s="241">
        <f t="shared" si="574"/>
        <v>1.5547075701736923E-2</v>
      </c>
      <c r="AA80" s="242">
        <f t="shared" si="574"/>
        <v>1.5151231509603862E-2</v>
      </c>
      <c r="AB80" s="351">
        <f t="shared" si="574"/>
        <v>1.5157651437795653E-2</v>
      </c>
      <c r="AC80" s="241">
        <f t="shared" si="574"/>
        <v>1.519983913010726E-2</v>
      </c>
      <c r="AD80" s="241">
        <f t="shared" si="574"/>
        <v>1.475738959594514E-2</v>
      </c>
      <c r="AE80" s="242">
        <f t="shared" si="574"/>
        <v>1.4556744800159279E-2</v>
      </c>
      <c r="AF80" s="351">
        <f t="shared" si="574"/>
        <v>1.3848086025711149E-2</v>
      </c>
      <c r="AG80" s="241">
        <f t="shared" si="574"/>
        <v>1.3785959865495702E-2</v>
      </c>
      <c r="AH80" s="241">
        <f t="shared" si="574"/>
        <v>1.3602716056867439E-2</v>
      </c>
      <c r="AI80" s="242">
        <f t="shared" si="574"/>
        <v>1.3411141424998366E-2</v>
      </c>
      <c r="AJ80" s="351">
        <f t="shared" si="574"/>
        <v>1.4672268956030488E-2</v>
      </c>
      <c r="AK80" s="241">
        <f t="shared" si="574"/>
        <v>1.553513189658139E-2</v>
      </c>
      <c r="AL80" s="241">
        <f t="shared" si="574"/>
        <v>1.5134184534920504E-2</v>
      </c>
      <c r="AM80" s="242">
        <f t="shared" si="574"/>
        <v>1.4461022355311888E-2</v>
      </c>
      <c r="AN80" s="241">
        <f t="shared" si="574"/>
        <v>1.3677005571473966E-2</v>
      </c>
      <c r="AO80" s="241">
        <f t="shared" si="574"/>
        <v>1.3407561210573319E-2</v>
      </c>
      <c r="AP80" s="241">
        <f t="shared" si="574"/>
        <v>1.3570616272954318E-2</v>
      </c>
      <c r="AQ80" s="242">
        <f t="shared" si="574"/>
        <v>1.3336999257650332E-2</v>
      </c>
      <c r="AR80" s="241">
        <f t="shared" si="574"/>
        <v>1.382063882063882E-2</v>
      </c>
      <c r="AS80" s="241">
        <f t="shared" si="574"/>
        <v>2.7272998394860141E-2</v>
      </c>
      <c r="AT80" s="241">
        <f t="shared" si="574"/>
        <v>3.3951470167821414E-2</v>
      </c>
      <c r="AU80" s="242">
        <f t="shared" si="574"/>
        <v>3.3529800783586333E-2</v>
      </c>
      <c r="AV80" s="241">
        <f t="shared" si="574"/>
        <v>2.628941195367723E-2</v>
      </c>
      <c r="AW80" s="241">
        <f t="shared" si="574"/>
        <v>2.4730904984781223E-2</v>
      </c>
      <c r="AX80" s="241">
        <f t="shared" si="574"/>
        <v>2.2994581467816889E-2</v>
      </c>
      <c r="AY80" s="242">
        <f t="shared" ref="AY80:BB80" si="575">AY79/AY66</f>
        <v>2.2705931327988385E-2</v>
      </c>
      <c r="AZ80" s="241">
        <f t="shared" si="575"/>
        <v>2.9581800799641848E-2</v>
      </c>
      <c r="BA80" s="241">
        <f t="shared" si="575"/>
        <v>3.3711764201867875E-2</v>
      </c>
      <c r="BB80" s="241">
        <f t="shared" si="575"/>
        <v>3.470592078662272E-2</v>
      </c>
      <c r="BC80" s="242">
        <f t="shared" ref="BC80:BH80" si="576">BC79/BC66</f>
        <v>3.4160499174763444E-2</v>
      </c>
      <c r="BD80" s="241">
        <f t="shared" si="576"/>
        <v>2.7721034790070841E-2</v>
      </c>
      <c r="BE80" s="241">
        <f t="shared" si="576"/>
        <v>3.1744720820204769E-2</v>
      </c>
      <c r="BF80" s="241">
        <f t="shared" si="576"/>
        <v>3.3759272078159777E-2</v>
      </c>
      <c r="BG80" s="242">
        <f t="shared" si="576"/>
        <v>3.3303885328321722E-2</v>
      </c>
      <c r="BH80" s="241">
        <f t="shared" si="576"/>
        <v>4.6734944078833232E-2</v>
      </c>
      <c r="BI80" s="241">
        <f t="shared" ref="BI80:BL80" si="577">BI79/BI66</f>
        <v>4.637669720599473E-2</v>
      </c>
      <c r="BJ80" s="241">
        <f t="shared" si="577"/>
        <v>4.7157691632471258E-2</v>
      </c>
      <c r="BK80" s="242">
        <f t="shared" si="577"/>
        <v>5.2310169049888007E-2</v>
      </c>
      <c r="BL80" s="241">
        <f t="shared" si="577"/>
        <v>6.0960046133359459E-2</v>
      </c>
      <c r="BM80" s="241">
        <f t="shared" ref="BM80:BN80" si="578">BM79/BM66</f>
        <v>5.993902175493189E-2</v>
      </c>
      <c r="BN80" s="241">
        <f t="shared" si="578"/>
        <v>5.9360860271175764E-2</v>
      </c>
      <c r="BO80" s="242">
        <f t="shared" ref="BO80:BS80" si="579">BO79/BO66</f>
        <v>1.2017195710452677E-2</v>
      </c>
      <c r="BP80" s="241">
        <f t="shared" si="579"/>
        <v>1.1834254141987945E-2</v>
      </c>
      <c r="BQ80" s="241">
        <f t="shared" si="579"/>
        <v>1.1651328170980116E-2</v>
      </c>
      <c r="BR80" s="241">
        <f t="shared" si="579"/>
        <v>1.551582061051803E-2</v>
      </c>
      <c r="BS80" s="242">
        <f t="shared" si="579"/>
        <v>1.1310330041871729E-2</v>
      </c>
      <c r="BT80" s="241">
        <f t="shared" ref="BT80:BW80" si="580">BT79/BT66</f>
        <v>1.1141563262133062E-2</v>
      </c>
      <c r="BU80" s="241">
        <f t="shared" si="580"/>
        <v>1.0973612403061375E-2</v>
      </c>
      <c r="BV80" s="241">
        <f t="shared" si="580"/>
        <v>1.4617456945750402E-2</v>
      </c>
      <c r="BW80" s="242">
        <f t="shared" si="580"/>
        <v>1.0658368620233508E-2</v>
      </c>
      <c r="BX80" s="160"/>
      <c r="BY80" s="241">
        <f>BY82/BY66</f>
        <v>8.5749069178398904E-2</v>
      </c>
      <c r="BZ80" s="241">
        <f>BZ82/BZ66</f>
        <v>8.4318001391363723E-2</v>
      </c>
      <c r="CA80" s="241">
        <f>CA82/CA66</f>
        <v>8.4538671041929678E-2</v>
      </c>
      <c r="CB80" s="241">
        <f t="shared" ref="CB80:CH80" si="581">CB82/CB66</f>
        <v>7.4180662976019732E-2</v>
      </c>
      <c r="CC80" s="241">
        <f t="shared" si="581"/>
        <v>7.5047513963484982E-2</v>
      </c>
      <c r="CD80" s="241">
        <f t="shared" si="581"/>
        <v>6.4602046975208424E-2</v>
      </c>
      <c r="CE80" s="241">
        <f t="shared" si="581"/>
        <v>5.8655693533986301E-2</v>
      </c>
      <c r="CF80" s="241">
        <f t="shared" si="581"/>
        <v>5.4106583787791311E-2</v>
      </c>
      <c r="CG80" s="241">
        <f t="shared" si="581"/>
        <v>5.8268207995181662E-2</v>
      </c>
      <c r="CH80" s="241">
        <f t="shared" si="581"/>
        <v>5.467212889389899E-2</v>
      </c>
      <c r="CI80" s="241">
        <f t="shared" ref="CI80:CN80" si="582">CI82/CI66</f>
        <v>0.10755051549651289</v>
      </c>
      <c r="CJ80" s="241">
        <f t="shared" si="582"/>
        <v>9.4521341376568646E-2</v>
      </c>
      <c r="CK80" s="241">
        <f t="shared" si="582"/>
        <v>0.1298991419033465</v>
      </c>
      <c r="CL80" s="241">
        <f t="shared" si="582"/>
        <v>0.12489497294767767</v>
      </c>
      <c r="CM80" s="241">
        <f t="shared" si="582"/>
        <v>0.19132971476781688</v>
      </c>
      <c r="CN80" s="241">
        <f t="shared" si="582"/>
        <v>0.1844008638779687</v>
      </c>
      <c r="CO80" s="241">
        <f>CO82/CO66</f>
        <v>4.9220789103156727E-2</v>
      </c>
      <c r="CP80" s="241">
        <f>CP82/CP66</f>
        <v>4.638355486515932E-2</v>
      </c>
      <c r="CQ80" s="160"/>
      <c r="CR80" s="351">
        <f>CR82/CR66</f>
        <v>8.4194250485035302E-2</v>
      </c>
      <c r="CS80" s="241">
        <f>CS82/CS66</f>
        <v>8.7998545527055841E-2</v>
      </c>
      <c r="CT80" s="241">
        <f>CT82/CT66</f>
        <v>7.6114392387950244E-2</v>
      </c>
      <c r="CU80" s="241">
        <f t="shared" ref="CU80:DA80" si="583">CU82/CU66</f>
        <v>7.4842407843376382E-2</v>
      </c>
      <c r="CV80" s="241">
        <f t="shared" si="583"/>
        <v>6.8539270826872806E-2</v>
      </c>
      <c r="CW80" s="241">
        <f t="shared" si="583"/>
        <v>5.8762403509493813E-2</v>
      </c>
      <c r="CX80" s="241">
        <f t="shared" si="583"/>
        <v>5.551608111794841E-2</v>
      </c>
      <c r="CY80" s="241">
        <f t="shared" si="583"/>
        <v>5.7065737948117097E-2</v>
      </c>
      <c r="CZ80" s="241">
        <f t="shared" si="583"/>
        <v>5.5968190942458973E-2</v>
      </c>
      <c r="DA80" s="241">
        <f t="shared" si="583"/>
        <v>8.7367275963629934E-2</v>
      </c>
      <c r="DB80" s="241">
        <f t="shared" ref="DB80:DG80" si="584">DB82/DB66</f>
        <v>0.10537853232542503</v>
      </c>
      <c r="DC80" s="241">
        <f t="shared" si="584"/>
        <v>0.118623580690094</v>
      </c>
      <c r="DD80" s="241">
        <f t="shared" si="584"/>
        <v>0.12446144614727372</v>
      </c>
      <c r="DE80" s="241">
        <f t="shared" si="584"/>
        <v>0.17081332333585458</v>
      </c>
      <c r="DF80" s="241">
        <f t="shared" si="584"/>
        <v>0.22539711170553675</v>
      </c>
      <c r="DG80" s="241">
        <f t="shared" si="584"/>
        <v>4.9948395996211897E-2</v>
      </c>
      <c r="DH80" s="241">
        <f t="shared" ref="DH80" si="585">DH82/DH66</f>
        <v>4.7056391428564125E-2</v>
      </c>
      <c r="DI80" s="23"/>
    </row>
    <row r="81" spans="1:113" ht="14.25" customHeight="1">
      <c r="A81" s="8"/>
      <c r="B81" s="14"/>
      <c r="C81" s="14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29"/>
      <c r="P81" s="229"/>
      <c r="Q81" s="229"/>
      <c r="R81" s="229"/>
      <c r="S81" s="229"/>
      <c r="T81" s="229"/>
      <c r="U81" s="229"/>
      <c r="V81" s="229"/>
      <c r="W81" s="229"/>
      <c r="X81" s="229"/>
      <c r="Y81" s="229"/>
      <c r="Z81" s="229"/>
      <c r="AA81" s="229"/>
      <c r="AB81" s="229"/>
      <c r="AC81" s="229"/>
      <c r="AD81" s="229"/>
      <c r="AE81" s="229"/>
      <c r="AF81" s="229"/>
      <c r="AG81" s="229"/>
      <c r="AH81" s="229"/>
      <c r="AI81" s="229"/>
      <c r="AJ81" s="229"/>
      <c r="AK81" s="229"/>
      <c r="AL81" s="229"/>
      <c r="AM81" s="229"/>
      <c r="AN81" s="229"/>
      <c r="AO81" s="229"/>
      <c r="AP81" s="229"/>
      <c r="AQ81" s="229"/>
      <c r="AR81" s="229"/>
      <c r="AS81" s="229"/>
      <c r="AT81" s="229"/>
      <c r="AU81" s="229"/>
      <c r="AV81" s="229"/>
      <c r="AW81" s="229"/>
      <c r="AX81" s="229"/>
      <c r="AY81" s="229"/>
      <c r="AZ81" s="229"/>
      <c r="BA81" s="229"/>
      <c r="BB81" s="229"/>
      <c r="BC81" s="229"/>
      <c r="BD81" s="229"/>
      <c r="BE81" s="229"/>
      <c r="BF81" s="229"/>
      <c r="BG81" s="229"/>
      <c r="BH81" s="229"/>
      <c r="BI81" s="229"/>
      <c r="BJ81" s="1385"/>
      <c r="BK81" s="1385"/>
      <c r="BL81" s="229"/>
      <c r="BM81" s="1385"/>
      <c r="BN81" s="229"/>
      <c r="BO81" s="229"/>
      <c r="BP81" s="229"/>
      <c r="BQ81" s="229"/>
      <c r="BR81" s="229"/>
      <c r="BS81" s="229"/>
      <c r="BT81" s="1385"/>
      <c r="BU81" s="1385"/>
      <c r="BV81" s="1385"/>
      <c r="BW81" s="1385"/>
      <c r="BX81" s="8"/>
      <c r="BY81" s="229"/>
      <c r="BZ81" s="229"/>
      <c r="CA81" s="229"/>
      <c r="CB81" s="229"/>
      <c r="CC81" s="229"/>
      <c r="CD81" s="229"/>
      <c r="CE81" s="229"/>
      <c r="CF81" s="229"/>
      <c r="CG81" s="229"/>
      <c r="CH81" s="229"/>
      <c r="CI81" s="229"/>
      <c r="CJ81" s="229"/>
      <c r="CK81" s="229"/>
      <c r="CL81" s="229"/>
      <c r="CM81" s="229"/>
      <c r="CN81" s="229"/>
      <c r="CO81" s="229"/>
      <c r="CP81" s="1385"/>
      <c r="CQ81" s="8"/>
      <c r="CR81" s="229"/>
      <c r="CS81" s="229"/>
      <c r="CT81" s="229"/>
      <c r="CU81" s="229"/>
      <c r="CV81" s="229"/>
      <c r="CW81" s="229"/>
      <c r="CX81" s="229"/>
      <c r="CY81" s="229"/>
      <c r="CZ81" s="229"/>
      <c r="DA81" s="229"/>
      <c r="DB81" s="229"/>
      <c r="DC81" s="229"/>
      <c r="DD81" s="229"/>
      <c r="DE81" s="229"/>
      <c r="DF81" s="229"/>
      <c r="DG81" s="1385"/>
      <c r="DH81" s="1385"/>
      <c r="DI81" s="8"/>
    </row>
    <row r="82" spans="1:113" ht="14.25" customHeight="1">
      <c r="A82" s="8"/>
      <c r="B82" s="73" t="s">
        <v>88</v>
      </c>
      <c r="C82" s="217"/>
      <c r="D82" s="158">
        <f t="shared" ref="D82:O82" si="586">D11</f>
        <v>27.228000000000002</v>
      </c>
      <c r="E82" s="156">
        <f t="shared" si="586"/>
        <v>27.841999999999999</v>
      </c>
      <c r="F82" s="156">
        <f t="shared" si="586"/>
        <v>27.824999999999996</v>
      </c>
      <c r="G82" s="159">
        <f t="shared" si="586"/>
        <v>28.181000000000004</v>
      </c>
      <c r="H82" s="158">
        <f t="shared" si="586"/>
        <v>28.222999999999999</v>
      </c>
      <c r="I82" s="156">
        <f t="shared" si="586"/>
        <v>26.868000000000002</v>
      </c>
      <c r="J82" s="156">
        <f t="shared" si="586"/>
        <v>27.865000000000002</v>
      </c>
      <c r="K82" s="159">
        <f t="shared" si="586"/>
        <v>28.670999999999999</v>
      </c>
      <c r="L82" s="158">
        <f t="shared" si="586"/>
        <v>29.553000000000001</v>
      </c>
      <c r="M82" s="156">
        <f t="shared" si="586"/>
        <v>31.288</v>
      </c>
      <c r="N82" s="156">
        <f t="shared" si="586"/>
        <v>30.523999999999997</v>
      </c>
      <c r="O82" s="159">
        <f t="shared" si="586"/>
        <v>29.100999999999996</v>
      </c>
      <c r="P82" s="158">
        <f t="shared" ref="P82:AP82" si="587">P11</f>
        <v>28.106999999999999</v>
      </c>
      <c r="Q82" s="156">
        <f t="shared" si="587"/>
        <v>27.914000000000001</v>
      </c>
      <c r="R82" s="156">
        <f t="shared" si="587"/>
        <v>27.084999999999994</v>
      </c>
      <c r="S82" s="159">
        <f t="shared" si="587"/>
        <v>27.576000000000008</v>
      </c>
      <c r="T82" s="158">
        <f t="shared" si="587"/>
        <v>28.518999999999998</v>
      </c>
      <c r="U82" s="156">
        <f t="shared" si="587"/>
        <v>29.691000000000003</v>
      </c>
      <c r="V82" s="156">
        <f t="shared" si="587"/>
        <v>29.582000000000001</v>
      </c>
      <c r="W82" s="159">
        <f t="shared" si="587"/>
        <v>28.378999999999998</v>
      </c>
      <c r="X82" s="158">
        <f t="shared" si="587"/>
        <v>26.898</v>
      </c>
      <c r="Y82" s="156">
        <f t="shared" si="587"/>
        <v>25.892999999999997</v>
      </c>
      <c r="Z82" s="156">
        <f t="shared" si="587"/>
        <v>23.814000000000004</v>
      </c>
      <c r="AA82" s="159">
        <f t="shared" si="587"/>
        <v>23.470999999999986</v>
      </c>
      <c r="AB82" s="158">
        <f t="shared" si="587"/>
        <v>23.765999999999998</v>
      </c>
      <c r="AC82" s="156">
        <f t="shared" si="587"/>
        <v>24.414999999999999</v>
      </c>
      <c r="AD82" s="156">
        <f t="shared" si="587"/>
        <v>24.028999999999996</v>
      </c>
      <c r="AE82" s="159">
        <f t="shared" si="587"/>
        <v>23.836000000000013</v>
      </c>
      <c r="AF82" s="158">
        <f t="shared" si="587"/>
        <v>22.658999999999999</v>
      </c>
      <c r="AG82" s="156">
        <f t="shared" si="587"/>
        <v>22.639000000000003</v>
      </c>
      <c r="AH82" s="156">
        <f t="shared" si="587"/>
        <v>22.436999999999998</v>
      </c>
      <c r="AI82" s="159">
        <f t="shared" si="587"/>
        <v>22.322000000000003</v>
      </c>
      <c r="AJ82" s="158">
        <f t="shared" si="587"/>
        <v>25.439</v>
      </c>
      <c r="AK82" s="156">
        <f t="shared" si="587"/>
        <v>27.536999999999999</v>
      </c>
      <c r="AL82" s="156">
        <f t="shared" si="587"/>
        <v>27.177000000000007</v>
      </c>
      <c r="AM82" s="159">
        <f t="shared" si="587"/>
        <v>26.458999999999989</v>
      </c>
      <c r="AN82" s="156">
        <f t="shared" si="587"/>
        <v>25.350999999999999</v>
      </c>
      <c r="AO82" s="156">
        <f>AO11</f>
        <v>25.177</v>
      </c>
      <c r="AP82" s="156">
        <f t="shared" si="587"/>
        <v>24.642000000000003</v>
      </c>
      <c r="AQ82" s="159">
        <f t="shared" ref="AQ82:AV82" si="588">AQ11</f>
        <v>24.254000000000012</v>
      </c>
      <c r="AR82" s="156">
        <f t="shared" si="588"/>
        <v>25.245000000000001</v>
      </c>
      <c r="AS82" s="156">
        <f t="shared" si="588"/>
        <v>51.210999999999999</v>
      </c>
      <c r="AT82" s="156">
        <f t="shared" si="588"/>
        <v>64.011999999999986</v>
      </c>
      <c r="AU82" s="159">
        <f t="shared" si="588"/>
        <v>63.629000000000033</v>
      </c>
      <c r="AV82" s="156">
        <f t="shared" si="588"/>
        <v>50.41</v>
      </c>
      <c r="AW82" s="156">
        <f t="shared" ref="AW82:BB82" si="589">AW11</f>
        <v>48.052000000000007</v>
      </c>
      <c r="AX82" s="156">
        <f t="shared" si="589"/>
        <v>45.242000000000004</v>
      </c>
      <c r="AY82" s="159">
        <f t="shared" si="589"/>
        <v>45.434999999999988</v>
      </c>
      <c r="AZ82" s="156">
        <f t="shared" si="589"/>
        <v>60.988</v>
      </c>
      <c r="BA82" s="156">
        <f t="shared" si="589"/>
        <v>70.820999999999998</v>
      </c>
      <c r="BB82" s="156">
        <f t="shared" si="589"/>
        <v>73.302999999999997</v>
      </c>
      <c r="BC82" s="159">
        <f>BC11</f>
        <v>73.186000000000007</v>
      </c>
      <c r="BD82" s="156">
        <f t="shared" ref="BD82:BF82" si="590">BD11</f>
        <v>60.375</v>
      </c>
      <c r="BE82" s="156">
        <f t="shared" si="590"/>
        <v>71.109000000000009</v>
      </c>
      <c r="BF82" s="156">
        <f t="shared" si="590"/>
        <v>76.177999999999997</v>
      </c>
      <c r="BG82" s="159">
        <f>BG11</f>
        <v>75.508999999999986</v>
      </c>
      <c r="BH82" s="156">
        <f t="shared" ref="BH82:BJ82" si="591">BH11</f>
        <v>113.14100000000001</v>
      </c>
      <c r="BI82" s="156">
        <f t="shared" si="591"/>
        <v>112.81599999999999</v>
      </c>
      <c r="BJ82" s="156">
        <f t="shared" si="591"/>
        <v>114.96800000000003</v>
      </c>
      <c r="BK82" s="159">
        <f>BK11</f>
        <v>128.28300000000002</v>
      </c>
      <c r="BL82" s="156">
        <f t="shared" ref="BL82:BM82" si="592">BL11</f>
        <v>151.80099999999999</v>
      </c>
      <c r="BM82" s="156">
        <f t="shared" si="592"/>
        <v>152.55500000000001</v>
      </c>
      <c r="BN82" s="156">
        <f t="shared" ref="BN82" si="593">BN11</f>
        <v>154.67599999999999</v>
      </c>
      <c r="BO82" s="157">
        <f t="shared" ref="BO82:BS82" si="594">BO11</f>
        <v>32</v>
      </c>
      <c r="BP82" s="156">
        <f t="shared" si="594"/>
        <v>32</v>
      </c>
      <c r="BQ82" s="156">
        <f t="shared" si="594"/>
        <v>32</v>
      </c>
      <c r="BR82" s="156">
        <f t="shared" si="594"/>
        <v>43.259</v>
      </c>
      <c r="BS82" s="157">
        <f t="shared" si="594"/>
        <v>32</v>
      </c>
      <c r="BT82" s="156">
        <f t="shared" ref="BT82:BW82" si="595">BT11</f>
        <v>32</v>
      </c>
      <c r="BU82" s="156">
        <f t="shared" si="595"/>
        <v>32</v>
      </c>
      <c r="BV82" s="156">
        <f t="shared" si="595"/>
        <v>43.259</v>
      </c>
      <c r="BW82" s="157">
        <f t="shared" si="595"/>
        <v>32</v>
      </c>
      <c r="BX82" s="160"/>
      <c r="BY82" s="156">
        <f>BY11</f>
        <v>111.07599999999999</v>
      </c>
      <c r="BZ82" s="156">
        <f>BZ11</f>
        <v>111.62700000000001</v>
      </c>
      <c r="CA82" s="156">
        <f>CA11</f>
        <v>120.46599999999999</v>
      </c>
      <c r="CB82" s="156">
        <f t="shared" ref="CB82:CK82" si="596">CB11</f>
        <v>110.682</v>
      </c>
      <c r="CC82" s="156">
        <f t="shared" si="596"/>
        <v>116.17099999999999</v>
      </c>
      <c r="CD82" s="156">
        <f t="shared" si="596"/>
        <v>100.07599999999999</v>
      </c>
      <c r="CE82" s="156">
        <f t="shared" si="596"/>
        <v>96.046000000000006</v>
      </c>
      <c r="CF82" s="156">
        <f t="shared" si="596"/>
        <v>90.057000000000002</v>
      </c>
      <c r="CG82" s="156">
        <f t="shared" si="596"/>
        <v>106.61199999999999</v>
      </c>
      <c r="CH82" s="156">
        <f t="shared" si="596"/>
        <v>99.424000000000007</v>
      </c>
      <c r="CI82" s="156">
        <f t="shared" si="596"/>
        <v>204.09700000000004</v>
      </c>
      <c r="CJ82" s="156">
        <f t="shared" si="596"/>
        <v>189.13900000000001</v>
      </c>
      <c r="CK82" s="156">
        <f t="shared" si="596"/>
        <v>278.298</v>
      </c>
      <c r="CL82" s="156">
        <f>CL11</f>
        <v>283.17099999999999</v>
      </c>
      <c r="CM82" s="156">
        <f>CM11</f>
        <v>469.20800000000003</v>
      </c>
      <c r="CN82" s="156">
        <f>CN11</f>
        <v>491.03199999999998</v>
      </c>
      <c r="CO82" s="156">
        <f>CO11</f>
        <v>139.25900000000001</v>
      </c>
      <c r="CP82" s="156">
        <f>CP11</f>
        <v>139.25900000000001</v>
      </c>
      <c r="CQ82" s="20"/>
      <c r="CR82" s="158">
        <f>CR11</f>
        <v>111.137</v>
      </c>
      <c r="CS82" s="156">
        <f>CS11</f>
        <v>120.036</v>
      </c>
      <c r="CT82" s="156">
        <f>CT11</f>
        <v>112.20699999999999</v>
      </c>
      <c r="CU82" s="156">
        <f t="shared" ref="CU82:DC82" si="597">CU11</f>
        <v>115.36799999999999</v>
      </c>
      <c r="CV82" s="156">
        <f t="shared" si="597"/>
        <v>104.98400000000001</v>
      </c>
      <c r="CW82" s="156">
        <f t="shared" si="597"/>
        <v>95.680999999999983</v>
      </c>
      <c r="CX82" s="156">
        <f t="shared" si="597"/>
        <v>91.571000000000012</v>
      </c>
      <c r="CY82" s="156">
        <f t="shared" si="597"/>
        <v>102.47500000000001</v>
      </c>
      <c r="CZ82" s="156">
        <f t="shared" si="597"/>
        <v>101.62899999999999</v>
      </c>
      <c r="DA82" s="156">
        <f t="shared" si="597"/>
        <v>164.72199999999998</v>
      </c>
      <c r="DB82" s="156">
        <f t="shared" si="597"/>
        <v>207.33300000000003</v>
      </c>
      <c r="DC82" s="156">
        <f t="shared" si="597"/>
        <v>250.54699999999997</v>
      </c>
      <c r="DD82" s="156">
        <f>DD11</f>
        <v>280.84800000000001</v>
      </c>
      <c r="DE82" s="156">
        <f>DE11</f>
        <v>416.43399999999997</v>
      </c>
      <c r="DF82" s="156">
        <f>DF11</f>
        <v>587.31500000000005</v>
      </c>
      <c r="DG82" s="156">
        <f>DG11</f>
        <v>139.25900000000001</v>
      </c>
      <c r="DH82" s="156">
        <f>DH11</f>
        <v>139.25900000000001</v>
      </c>
      <c r="DI82" s="22"/>
    </row>
    <row r="83" spans="1:113" ht="14.25" customHeight="1">
      <c r="A83" s="8"/>
      <c r="B83" s="131" t="s">
        <v>38</v>
      </c>
      <c r="C83" s="132"/>
      <c r="D83" s="135">
        <f t="shared" ref="D83:O83" si="598">IF(ROUND(D82,4)=ROUND(D79,4),0,(D82-D79))</f>
        <v>0</v>
      </c>
      <c r="E83" s="133">
        <f t="shared" si="598"/>
        <v>0</v>
      </c>
      <c r="F83" s="133">
        <f t="shared" si="598"/>
        <v>0</v>
      </c>
      <c r="G83" s="134">
        <f t="shared" si="598"/>
        <v>0</v>
      </c>
      <c r="H83" s="135">
        <f t="shared" si="598"/>
        <v>0</v>
      </c>
      <c r="I83" s="133">
        <f t="shared" si="598"/>
        <v>0</v>
      </c>
      <c r="J83" s="133">
        <f t="shared" si="598"/>
        <v>0</v>
      </c>
      <c r="K83" s="134">
        <f t="shared" si="598"/>
        <v>0</v>
      </c>
      <c r="L83" s="135">
        <f t="shared" si="598"/>
        <v>0</v>
      </c>
      <c r="M83" s="133">
        <f t="shared" si="598"/>
        <v>0</v>
      </c>
      <c r="N83" s="133">
        <f t="shared" si="598"/>
        <v>0</v>
      </c>
      <c r="O83" s="134">
        <f t="shared" si="598"/>
        <v>0</v>
      </c>
      <c r="P83" s="135">
        <f t="shared" ref="P83:AW83" si="599">IF(ROUND(P82,4)=ROUND(P79,4),0,(P82-P79))</f>
        <v>0</v>
      </c>
      <c r="Q83" s="133">
        <f t="shared" si="599"/>
        <v>0</v>
      </c>
      <c r="R83" s="133">
        <f t="shared" si="599"/>
        <v>0</v>
      </c>
      <c r="S83" s="134">
        <f t="shared" si="599"/>
        <v>0</v>
      </c>
      <c r="T83" s="135">
        <f t="shared" si="599"/>
        <v>0</v>
      </c>
      <c r="U83" s="133">
        <f t="shared" si="599"/>
        <v>0</v>
      </c>
      <c r="V83" s="133">
        <f t="shared" si="599"/>
        <v>0</v>
      </c>
      <c r="W83" s="134">
        <f t="shared" si="599"/>
        <v>0</v>
      </c>
      <c r="X83" s="135">
        <f t="shared" si="599"/>
        <v>0</v>
      </c>
      <c r="Y83" s="133">
        <f t="shared" si="599"/>
        <v>0</v>
      </c>
      <c r="Z83" s="133">
        <f t="shared" si="599"/>
        <v>0</v>
      </c>
      <c r="AA83" s="134">
        <f t="shared" si="599"/>
        <v>0</v>
      </c>
      <c r="AB83" s="135">
        <f t="shared" si="599"/>
        <v>0</v>
      </c>
      <c r="AC83" s="133">
        <f t="shared" si="599"/>
        <v>0</v>
      </c>
      <c r="AD83" s="133">
        <f t="shared" si="599"/>
        <v>0</v>
      </c>
      <c r="AE83" s="134">
        <f t="shared" si="599"/>
        <v>0</v>
      </c>
      <c r="AF83" s="135">
        <f t="shared" si="599"/>
        <v>0</v>
      </c>
      <c r="AG83" s="133">
        <f t="shared" si="599"/>
        <v>0</v>
      </c>
      <c r="AH83" s="133">
        <f t="shared" si="599"/>
        <v>0</v>
      </c>
      <c r="AI83" s="134">
        <f t="shared" si="599"/>
        <v>0</v>
      </c>
      <c r="AJ83" s="135">
        <f t="shared" si="599"/>
        <v>0</v>
      </c>
      <c r="AK83" s="133">
        <f t="shared" si="599"/>
        <v>0</v>
      </c>
      <c r="AL83" s="133">
        <f t="shared" si="599"/>
        <v>0</v>
      </c>
      <c r="AM83" s="134">
        <f t="shared" si="599"/>
        <v>0</v>
      </c>
      <c r="AN83" s="135">
        <f>IF(ROUND(AN82,4)=ROUND(AN79,4),0,(AN82-AN79))</f>
        <v>0</v>
      </c>
      <c r="AO83" s="133">
        <f t="shared" si="599"/>
        <v>0</v>
      </c>
      <c r="AP83" s="133">
        <f>IF(ROUND(AP82,4)=ROUND(AP79,4),0,(AP82-AP79))</f>
        <v>0</v>
      </c>
      <c r="AQ83" s="134">
        <f t="shared" si="599"/>
        <v>0</v>
      </c>
      <c r="AR83" s="135">
        <f>IF(ROUND(AR82,4)=ROUND(AR79,4),0,(AR82-AR79))</f>
        <v>0</v>
      </c>
      <c r="AS83" s="133">
        <f t="shared" si="599"/>
        <v>0</v>
      </c>
      <c r="AT83" s="133">
        <f>IF(ROUND(AT82,4)=ROUND(AT79,4),0,(AT82-AT79))</f>
        <v>0</v>
      </c>
      <c r="AU83" s="134">
        <f t="shared" si="599"/>
        <v>0</v>
      </c>
      <c r="AV83" s="135">
        <f>IF(ROUND(AV82,4)=ROUND(AV79,4),0,(AV82-AV79))</f>
        <v>0</v>
      </c>
      <c r="AW83" s="133">
        <f t="shared" si="599"/>
        <v>0</v>
      </c>
      <c r="AX83" s="133">
        <f t="shared" ref="AX83:BC83" si="600">IF(ROUND(AX82,4)=ROUND(AX79,4),0,(AX82-AX79))</f>
        <v>0</v>
      </c>
      <c r="AY83" s="134">
        <f t="shared" si="600"/>
        <v>0</v>
      </c>
      <c r="AZ83" s="135">
        <f t="shared" si="600"/>
        <v>0</v>
      </c>
      <c r="BA83" s="133">
        <f t="shared" si="600"/>
        <v>0</v>
      </c>
      <c r="BB83" s="133">
        <f t="shared" si="600"/>
        <v>0</v>
      </c>
      <c r="BC83" s="134">
        <f t="shared" si="600"/>
        <v>0</v>
      </c>
      <c r="BD83" s="135">
        <f t="shared" ref="BD83:BG83" si="601">IF(ROUND(BD82,4)=ROUND(BD79,4),0,(BD82-BD79))</f>
        <v>0</v>
      </c>
      <c r="BE83" s="133">
        <f t="shared" si="601"/>
        <v>0</v>
      </c>
      <c r="BF83" s="133">
        <f t="shared" si="601"/>
        <v>0</v>
      </c>
      <c r="BG83" s="134">
        <f t="shared" si="601"/>
        <v>0</v>
      </c>
      <c r="BH83" s="135">
        <f t="shared" ref="BH83:BK83" si="602">IF(ROUND(BH82,4)=ROUND(BH79,4),0,(BH82-BH79))</f>
        <v>0</v>
      </c>
      <c r="BI83" s="133">
        <f t="shared" si="602"/>
        <v>0</v>
      </c>
      <c r="BJ83" s="133">
        <f t="shared" si="602"/>
        <v>0</v>
      </c>
      <c r="BK83" s="134">
        <f t="shared" si="602"/>
        <v>0</v>
      </c>
      <c r="BL83" s="135">
        <f t="shared" ref="BL83:BS83" si="603">IF(ROUND(BL82,4)=ROUND(BL79,4),0,(BL82-BL79))</f>
        <v>0</v>
      </c>
      <c r="BM83" s="133">
        <f t="shared" si="603"/>
        <v>0</v>
      </c>
      <c r="BN83" s="133">
        <f t="shared" si="603"/>
        <v>0</v>
      </c>
      <c r="BO83" s="134">
        <f t="shared" si="603"/>
        <v>0</v>
      </c>
      <c r="BP83" s="135">
        <f t="shared" si="603"/>
        <v>0</v>
      </c>
      <c r="BQ83" s="133">
        <f t="shared" si="603"/>
        <v>0</v>
      </c>
      <c r="BR83" s="133">
        <f t="shared" si="603"/>
        <v>0</v>
      </c>
      <c r="BS83" s="134">
        <f t="shared" si="603"/>
        <v>0</v>
      </c>
      <c r="BT83" s="135">
        <f t="shared" ref="BT83:BW83" si="604">IF(ROUND(BT82,4)=ROUND(BT79,4),0,(BT82-BT79))</f>
        <v>0</v>
      </c>
      <c r="BU83" s="133">
        <f t="shared" si="604"/>
        <v>0</v>
      </c>
      <c r="BV83" s="133">
        <f t="shared" si="604"/>
        <v>0</v>
      </c>
      <c r="BW83" s="134">
        <f t="shared" si="604"/>
        <v>0</v>
      </c>
      <c r="BX83" s="160"/>
      <c r="BY83" s="133">
        <f>IF(ROUND(BY82,4)=ROUND(BY79,4),0,(BY82-BY79))</f>
        <v>0</v>
      </c>
      <c r="BZ83" s="133">
        <f>IF(ROUND(BZ82,4)=ROUND(BZ79,4),0,(BZ82-BZ79))</f>
        <v>0</v>
      </c>
      <c r="CA83" s="133">
        <f>IF(ROUND(CA82,4)=ROUND(CA79,4),0,(CA82-CA79))</f>
        <v>0</v>
      </c>
      <c r="CB83" s="133">
        <f t="shared" ref="CB83:CH83" si="605">IF(ROUND(CB82,4)=ROUND(CB79,4),0,(CB82-CB79))</f>
        <v>0</v>
      </c>
      <c r="CC83" s="133">
        <f t="shared" si="605"/>
        <v>0</v>
      </c>
      <c r="CD83" s="133">
        <f t="shared" si="605"/>
        <v>0</v>
      </c>
      <c r="CE83" s="133">
        <f t="shared" si="605"/>
        <v>0</v>
      </c>
      <c r="CF83" s="133">
        <f t="shared" si="605"/>
        <v>0</v>
      </c>
      <c r="CG83" s="133">
        <f t="shared" si="605"/>
        <v>0</v>
      </c>
      <c r="CH83" s="133">
        <f t="shared" si="605"/>
        <v>0</v>
      </c>
      <c r="CI83" s="133">
        <f t="shared" ref="CI83:CN83" si="606">IF(ROUND(CI82,4)=ROUND(CI79,4),0,(CI82-CI79))</f>
        <v>0</v>
      </c>
      <c r="CJ83" s="133">
        <f t="shared" si="606"/>
        <v>0</v>
      </c>
      <c r="CK83" s="133">
        <f t="shared" si="606"/>
        <v>0</v>
      </c>
      <c r="CL83" s="133">
        <f t="shared" si="606"/>
        <v>0</v>
      </c>
      <c r="CM83" s="133">
        <f t="shared" si="606"/>
        <v>0</v>
      </c>
      <c r="CN83" s="133">
        <f t="shared" si="606"/>
        <v>0</v>
      </c>
      <c r="CO83" s="133">
        <f>IF(ROUND(CO82,4)=ROUND(CO79,4),0,(CO82-CO79))</f>
        <v>0</v>
      </c>
      <c r="CP83" s="133">
        <f>IF(ROUND(CP82,4)=ROUND(CP79,4),0,(CP82-CP79))</f>
        <v>0</v>
      </c>
      <c r="CQ83" s="20"/>
      <c r="CR83" s="135">
        <f>IF(ROUND(CR82,4)=ROUND(CR79,4),0,(CR82-CR79))</f>
        <v>0</v>
      </c>
      <c r="CS83" s="133">
        <f>IF(ROUND(CS82,4)=ROUND(CS79,4),0,(CS82-CS79))</f>
        <v>0</v>
      </c>
      <c r="CT83" s="133">
        <f>IF(ROUND(CT82,4)=ROUND(CT79,4),0,(CT82-CT79))</f>
        <v>0</v>
      </c>
      <c r="CU83" s="133">
        <f t="shared" ref="CU83:DA83" si="607">IF(ROUND(CU82,4)=ROUND(CU79,4),0,(CU82-CU79))</f>
        <v>0</v>
      </c>
      <c r="CV83" s="133">
        <f t="shared" si="607"/>
        <v>0</v>
      </c>
      <c r="CW83" s="133">
        <f t="shared" si="607"/>
        <v>0</v>
      </c>
      <c r="CX83" s="133">
        <f t="shared" si="607"/>
        <v>0</v>
      </c>
      <c r="CY83" s="133">
        <f t="shared" si="607"/>
        <v>0</v>
      </c>
      <c r="CZ83" s="133">
        <f t="shared" si="607"/>
        <v>0</v>
      </c>
      <c r="DA83" s="133">
        <f t="shared" si="607"/>
        <v>0</v>
      </c>
      <c r="DB83" s="133">
        <f t="shared" ref="DB83:DG83" si="608">IF(ROUND(DB82,4)=ROUND(DB79,4),0,(DB82-DB79))</f>
        <v>0</v>
      </c>
      <c r="DC83" s="133">
        <f t="shared" si="608"/>
        <v>0</v>
      </c>
      <c r="DD83" s="133">
        <f t="shared" si="608"/>
        <v>0</v>
      </c>
      <c r="DE83" s="133">
        <f t="shared" si="608"/>
        <v>0</v>
      </c>
      <c r="DF83" s="133">
        <f t="shared" si="608"/>
        <v>0</v>
      </c>
      <c r="DG83" s="133">
        <f t="shared" si="608"/>
        <v>0</v>
      </c>
      <c r="DH83" s="133">
        <f t="shared" ref="DH83" si="609">IF(ROUND(DH82,4)=ROUND(DH79,4),0,(DH82-DH79))</f>
        <v>0</v>
      </c>
      <c r="DI83" s="22"/>
    </row>
    <row r="84" spans="1:113" ht="14.25" customHeight="1">
      <c r="A84" s="8"/>
      <c r="B84" s="14"/>
      <c r="C84" s="14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14"/>
      <c r="CF84" s="8"/>
      <c r="CG84" s="8"/>
      <c r="CH84" s="8"/>
      <c r="CI84" s="8"/>
      <c r="CJ84" s="8"/>
      <c r="CK84" s="8"/>
      <c r="CL84" s="8"/>
      <c r="CM84" s="14"/>
      <c r="CN84" s="14"/>
      <c r="CO84" s="14"/>
      <c r="CP84" s="14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14"/>
      <c r="DG84" s="14"/>
      <c r="DH84" s="8"/>
      <c r="DI84" s="8"/>
    </row>
    <row r="85" spans="1:113" ht="14.25" customHeight="1">
      <c r="A85" s="8"/>
      <c r="B85" s="14"/>
      <c r="C85" s="14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14"/>
      <c r="CF85" s="8"/>
      <c r="CG85" s="8"/>
      <c r="CH85" s="8"/>
      <c r="CI85" s="8"/>
      <c r="CJ85" s="8"/>
      <c r="CK85" s="8"/>
      <c r="CL85" s="8"/>
      <c r="CM85" s="8"/>
      <c r="CN85" s="14"/>
      <c r="CO85" s="14"/>
      <c r="CP85" s="14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14"/>
      <c r="DG85" s="14"/>
      <c r="DH85" s="8"/>
      <c r="DI85" s="8"/>
    </row>
    <row r="86" spans="1:113" ht="14.25" customHeight="1">
      <c r="A86" s="8"/>
      <c r="B86" s="141" t="s">
        <v>89</v>
      </c>
      <c r="C86" s="142"/>
      <c r="D86" s="258" t="str">
        <f t="shared" ref="D86:O86" si="610">D76</f>
        <v>F1Q03A</v>
      </c>
      <c r="E86" s="224" t="str">
        <f t="shared" si="610"/>
        <v>F2Q03A</v>
      </c>
      <c r="F86" s="224" t="str">
        <f t="shared" si="610"/>
        <v>F3Q03A</v>
      </c>
      <c r="G86" s="225" t="str">
        <f t="shared" si="610"/>
        <v>F4Q03A</v>
      </c>
      <c r="H86" s="258" t="str">
        <f t="shared" si="610"/>
        <v>F1Q04A</v>
      </c>
      <c r="I86" s="224" t="str">
        <f t="shared" si="610"/>
        <v>F2Q04A</v>
      </c>
      <c r="J86" s="224" t="str">
        <f t="shared" si="610"/>
        <v>F3Q04A</v>
      </c>
      <c r="K86" s="225" t="str">
        <f t="shared" si="610"/>
        <v>F4Q04A</v>
      </c>
      <c r="L86" s="258" t="str">
        <f t="shared" si="610"/>
        <v>F1Q05A</v>
      </c>
      <c r="M86" s="224" t="str">
        <f t="shared" si="610"/>
        <v>F2Q05A</v>
      </c>
      <c r="N86" s="224" t="str">
        <f t="shared" si="610"/>
        <v>F3Q05A</v>
      </c>
      <c r="O86" s="225" t="str">
        <f t="shared" si="610"/>
        <v>F4Q05A</v>
      </c>
      <c r="P86" s="258" t="str">
        <f t="shared" ref="P86:AI86" si="611">P76</f>
        <v>F1Q06A</v>
      </c>
      <c r="Q86" s="224" t="str">
        <f t="shared" si="611"/>
        <v>F2Q06A</v>
      </c>
      <c r="R86" s="224" t="str">
        <f t="shared" si="611"/>
        <v>F3Q06A</v>
      </c>
      <c r="S86" s="225" t="str">
        <f t="shared" si="611"/>
        <v>F4Q06A</v>
      </c>
      <c r="T86" s="258" t="str">
        <f t="shared" si="611"/>
        <v>F1Q07A</v>
      </c>
      <c r="U86" s="224" t="str">
        <f t="shared" si="611"/>
        <v>F2Q07A</v>
      </c>
      <c r="V86" s="224" t="str">
        <f t="shared" si="611"/>
        <v>F3Q07A</v>
      </c>
      <c r="W86" s="225" t="str">
        <f t="shared" si="611"/>
        <v>F4Q07A</v>
      </c>
      <c r="X86" s="258" t="str">
        <f t="shared" si="611"/>
        <v>F1Q08A</v>
      </c>
      <c r="Y86" s="224" t="str">
        <f t="shared" si="611"/>
        <v>F2Q08A</v>
      </c>
      <c r="Z86" s="224" t="str">
        <f t="shared" si="611"/>
        <v>F3Q08A</v>
      </c>
      <c r="AA86" s="225" t="str">
        <f t="shared" si="611"/>
        <v>F4Q08A</v>
      </c>
      <c r="AB86" s="258" t="str">
        <f t="shared" si="611"/>
        <v>F1Q09A</v>
      </c>
      <c r="AC86" s="224" t="str">
        <f t="shared" si="611"/>
        <v>F2Q09A</v>
      </c>
      <c r="AD86" s="224" t="str">
        <f t="shared" si="611"/>
        <v>F3Q09A</v>
      </c>
      <c r="AE86" s="225" t="str">
        <f t="shared" si="611"/>
        <v>F4Q09A</v>
      </c>
      <c r="AF86" s="258" t="str">
        <f t="shared" si="611"/>
        <v>F1Q10A</v>
      </c>
      <c r="AG86" s="224" t="str">
        <f t="shared" si="611"/>
        <v>F2Q10A</v>
      </c>
      <c r="AH86" s="224" t="str">
        <f t="shared" si="611"/>
        <v>F3Q10A</v>
      </c>
      <c r="AI86" s="225" t="str">
        <f t="shared" si="611"/>
        <v>F4Q10A</v>
      </c>
      <c r="AJ86" s="258" t="str">
        <f t="shared" ref="AJ86:BC86" si="612">AJ76</f>
        <v>F1Q11A</v>
      </c>
      <c r="AK86" s="224" t="str">
        <f t="shared" si="612"/>
        <v>F2Q11A</v>
      </c>
      <c r="AL86" s="224" t="str">
        <f t="shared" si="612"/>
        <v>F3Q11A</v>
      </c>
      <c r="AM86" s="225" t="str">
        <f t="shared" si="612"/>
        <v>F4Q11A</v>
      </c>
      <c r="AN86" s="258" t="str">
        <f t="shared" ref="AN86:AS86" si="613">AN76</f>
        <v>F1Q12A</v>
      </c>
      <c r="AO86" s="224" t="str">
        <f t="shared" si="613"/>
        <v>F2Q12A</v>
      </c>
      <c r="AP86" s="224" t="str">
        <f t="shared" si="613"/>
        <v>F3Q12A</v>
      </c>
      <c r="AQ86" s="225" t="str">
        <f t="shared" si="613"/>
        <v>F4Q12A</v>
      </c>
      <c r="AR86" s="258" t="str">
        <f t="shared" si="613"/>
        <v>F1Q13A</v>
      </c>
      <c r="AS86" s="224" t="str">
        <f t="shared" si="613"/>
        <v>F2Q13A</v>
      </c>
      <c r="AT86" s="224" t="str">
        <f>AT76</f>
        <v>F3Q13A</v>
      </c>
      <c r="AU86" s="225" t="str">
        <f t="shared" si="612"/>
        <v>F4Q13A</v>
      </c>
      <c r="AV86" s="258" t="str">
        <f t="shared" si="612"/>
        <v>F1Q14A</v>
      </c>
      <c r="AW86" s="224" t="str">
        <f t="shared" si="612"/>
        <v>F2Q14A</v>
      </c>
      <c r="AX86" s="224" t="str">
        <f t="shared" si="612"/>
        <v>F3Q14A</v>
      </c>
      <c r="AY86" s="225" t="str">
        <f t="shared" si="612"/>
        <v>F4Q14A</v>
      </c>
      <c r="AZ86" s="258" t="str">
        <f t="shared" si="612"/>
        <v>F1Q15A</v>
      </c>
      <c r="BA86" s="224" t="str">
        <f t="shared" si="612"/>
        <v>F2Q15A</v>
      </c>
      <c r="BB86" s="224" t="str">
        <f t="shared" si="612"/>
        <v>F3Q15A</v>
      </c>
      <c r="BC86" s="225" t="str">
        <f t="shared" si="612"/>
        <v>F4Q15A</v>
      </c>
      <c r="BD86" s="258" t="str">
        <f t="shared" ref="BD86:BK86" si="614">BD76</f>
        <v>F1Q16A</v>
      </c>
      <c r="BE86" s="224" t="str">
        <f>BE76</f>
        <v>F2Q16A</v>
      </c>
      <c r="BF86" s="224" t="str">
        <f>BF76</f>
        <v>F3Q16A</v>
      </c>
      <c r="BG86" s="225" t="str">
        <f>BG76</f>
        <v>F4Q16A</v>
      </c>
      <c r="BH86" s="258" t="str">
        <f t="shared" ref="BH86" si="615">BH76</f>
        <v>F1Q17A</v>
      </c>
      <c r="BI86" s="224" t="str">
        <f>BI76</f>
        <v>F2Q17A</v>
      </c>
      <c r="BJ86" s="1382" t="str">
        <f>BJ76</f>
        <v>F3Q17A</v>
      </c>
      <c r="BK86" s="1383" t="str">
        <f t="shared" si="614"/>
        <v>F4Q17A</v>
      </c>
      <c r="BL86" s="258" t="str">
        <f t="shared" ref="BL86:BS86" si="616">BL76</f>
        <v>F1Q18A</v>
      </c>
      <c r="BM86" s="224" t="str">
        <f t="shared" si="616"/>
        <v>F2Q18A</v>
      </c>
      <c r="BN86" s="224" t="str">
        <f t="shared" si="616"/>
        <v>F3Q18A</v>
      </c>
      <c r="BO86" s="225" t="str">
        <f t="shared" si="616"/>
        <v>F4Q18E</v>
      </c>
      <c r="BP86" s="258" t="str">
        <f t="shared" si="616"/>
        <v>F1Q19E</v>
      </c>
      <c r="BQ86" s="224" t="str">
        <f t="shared" si="616"/>
        <v>F2Q19E</v>
      </c>
      <c r="BR86" s="224" t="str">
        <f t="shared" si="616"/>
        <v>F3Q19E</v>
      </c>
      <c r="BS86" s="225" t="str">
        <f t="shared" si="616"/>
        <v>F4Q19E</v>
      </c>
      <c r="BT86" s="1395" t="str">
        <f t="shared" ref="BT86:BW86" si="617">BT76</f>
        <v>F1Q20E</v>
      </c>
      <c r="BU86" s="1382" t="str">
        <f t="shared" si="617"/>
        <v>F2Q20E</v>
      </c>
      <c r="BV86" s="1382" t="str">
        <f t="shared" si="617"/>
        <v>F3Q20E</v>
      </c>
      <c r="BW86" s="1383" t="str">
        <f t="shared" si="617"/>
        <v>F4Q20E</v>
      </c>
      <c r="BX86" s="20"/>
      <c r="BY86" s="17" t="str">
        <f>BY76</f>
        <v>FY2003A</v>
      </c>
      <c r="BZ86" s="18" t="str">
        <f>BZ76</f>
        <v>FY2004A</v>
      </c>
      <c r="CA86" s="18" t="str">
        <f>CA76</f>
        <v>FY2005A</v>
      </c>
      <c r="CB86" s="18" t="str">
        <f t="shared" ref="CB86:CH86" si="618">CB76</f>
        <v>FY2006A</v>
      </c>
      <c r="CC86" s="18" t="str">
        <f t="shared" si="618"/>
        <v>FY2007A</v>
      </c>
      <c r="CD86" s="18" t="str">
        <f t="shared" si="618"/>
        <v>FY2008A</v>
      </c>
      <c r="CE86" s="18" t="str">
        <f t="shared" si="618"/>
        <v>FY2009A</v>
      </c>
      <c r="CF86" s="18" t="str">
        <f t="shared" si="618"/>
        <v>FY2010A</v>
      </c>
      <c r="CG86" s="18" t="str">
        <f t="shared" si="618"/>
        <v>FY2011A</v>
      </c>
      <c r="CH86" s="18" t="str">
        <f t="shared" si="618"/>
        <v>FY2012A</v>
      </c>
      <c r="CI86" s="18" t="str">
        <f t="shared" ref="CI86:CN86" si="619">CI76</f>
        <v>FY2013A</v>
      </c>
      <c r="CJ86" s="18" t="str">
        <f t="shared" si="619"/>
        <v>FY2014A</v>
      </c>
      <c r="CK86" s="18" t="str">
        <f t="shared" si="619"/>
        <v>FY2015A</v>
      </c>
      <c r="CL86" s="18" t="str">
        <f t="shared" si="619"/>
        <v>FY2016A</v>
      </c>
      <c r="CM86" s="18" t="str">
        <f t="shared" si="619"/>
        <v>FY2017A</v>
      </c>
      <c r="CN86" s="18" t="str">
        <f t="shared" si="619"/>
        <v>FY2018E</v>
      </c>
      <c r="CO86" s="18" t="str">
        <f>CO76</f>
        <v>FY2019E</v>
      </c>
      <c r="CP86" s="1374" t="str">
        <f>CP76</f>
        <v>FY2020E</v>
      </c>
      <c r="CQ86" s="20"/>
      <c r="CR86" s="17" t="str">
        <f>CR76</f>
        <v>CY2003</v>
      </c>
      <c r="CS86" s="18" t="str">
        <f>CS76</f>
        <v>CY2004</v>
      </c>
      <c r="CT86" s="18" t="str">
        <f>CT76</f>
        <v>CY2005</v>
      </c>
      <c r="CU86" s="18" t="str">
        <f t="shared" ref="CU86:DA86" si="620">CU76</f>
        <v>CY2006</v>
      </c>
      <c r="CV86" s="18" t="str">
        <f t="shared" si="620"/>
        <v>CY2007</v>
      </c>
      <c r="CW86" s="18" t="str">
        <f t="shared" si="620"/>
        <v>CY2008</v>
      </c>
      <c r="CX86" s="18" t="str">
        <f t="shared" si="620"/>
        <v>CY2009</v>
      </c>
      <c r="CY86" s="18" t="str">
        <f t="shared" si="620"/>
        <v>CY2010</v>
      </c>
      <c r="CZ86" s="18" t="str">
        <f t="shared" si="620"/>
        <v>CY2011</v>
      </c>
      <c r="DA86" s="18" t="str">
        <f t="shared" si="620"/>
        <v>CY2012</v>
      </c>
      <c r="DB86" s="18" t="str">
        <f t="shared" ref="DB86:DG86" si="621">DB76</f>
        <v>CY2013</v>
      </c>
      <c r="DC86" s="18" t="str">
        <f t="shared" si="621"/>
        <v>CY2014</v>
      </c>
      <c r="DD86" s="18" t="str">
        <f t="shared" si="621"/>
        <v>CY2015</v>
      </c>
      <c r="DE86" s="18" t="str">
        <f t="shared" si="621"/>
        <v>CY2016</v>
      </c>
      <c r="DF86" s="18" t="str">
        <f t="shared" si="621"/>
        <v>CY2017</v>
      </c>
      <c r="DG86" s="1439" t="str">
        <f t="shared" si="621"/>
        <v>CY2018</v>
      </c>
      <c r="DH86" s="1440" t="str">
        <f t="shared" ref="DH86" si="622">DH76</f>
        <v>CY2019</v>
      </c>
      <c r="DI86" s="22"/>
    </row>
    <row r="87" spans="1:113" ht="14.25" customHeight="1">
      <c r="A87" s="68"/>
      <c r="B87" s="1142"/>
      <c r="C87" s="215"/>
      <c r="D87" s="1130"/>
      <c r="E87" s="1130"/>
      <c r="F87" s="1130"/>
      <c r="G87" s="1143"/>
      <c r="H87" s="1130"/>
      <c r="I87" s="1130"/>
      <c r="J87" s="1130"/>
      <c r="K87" s="1143"/>
      <c r="L87" s="1130"/>
      <c r="M87" s="1130"/>
      <c r="N87" s="1130"/>
      <c r="O87" s="1143"/>
      <c r="P87" s="1130"/>
      <c r="Q87" s="1130"/>
      <c r="R87" s="1130"/>
      <c r="S87" s="1143"/>
      <c r="T87" s="1130"/>
      <c r="U87" s="1130"/>
      <c r="V87" s="1130"/>
      <c r="W87" s="1143"/>
      <c r="X87" s="1130"/>
      <c r="Y87" s="1130"/>
      <c r="Z87" s="1130"/>
      <c r="AA87" s="1143"/>
      <c r="AB87" s="1130"/>
      <c r="AC87" s="1130"/>
      <c r="AD87" s="1130"/>
      <c r="AE87" s="1143"/>
      <c r="AF87" s="1130"/>
      <c r="AG87" s="1130"/>
      <c r="AH87" s="1130"/>
      <c r="AI87" s="1143"/>
      <c r="AJ87" s="1130"/>
      <c r="AK87" s="1130"/>
      <c r="AL87" s="1130"/>
      <c r="AM87" s="1143"/>
      <c r="AN87" s="1130"/>
      <c r="AO87" s="1130"/>
      <c r="AP87" s="1130"/>
      <c r="AQ87" s="1143"/>
      <c r="AR87" s="1130"/>
      <c r="AS87" s="1130"/>
      <c r="AT87" s="1130"/>
      <c r="AU87" s="1143"/>
      <c r="AV87" s="1130"/>
      <c r="AW87" s="1130"/>
      <c r="AX87" s="1130"/>
      <c r="AY87" s="1143"/>
      <c r="AZ87" s="1130"/>
      <c r="BA87" s="1130"/>
      <c r="BB87" s="1130"/>
      <c r="BC87" s="1143"/>
      <c r="BD87" s="1130"/>
      <c r="BE87" s="1130"/>
      <c r="BF87" s="1130"/>
      <c r="BG87" s="1143"/>
      <c r="BH87" s="1130"/>
      <c r="BI87" s="1130"/>
      <c r="BJ87" s="1130"/>
      <c r="BK87" s="1143"/>
      <c r="BL87" s="1130"/>
      <c r="BM87" s="1130"/>
      <c r="BN87" s="1130"/>
      <c r="BO87" s="1143"/>
      <c r="BP87" s="1130"/>
      <c r="BQ87" s="1130"/>
      <c r="BR87" s="1130"/>
      <c r="BS87" s="1143"/>
      <c r="BT87" s="1130"/>
      <c r="BU87" s="1130"/>
      <c r="BV87" s="1130"/>
      <c r="BW87" s="1143"/>
      <c r="BX87" s="160"/>
      <c r="BY87" s="1145"/>
      <c r="BZ87" s="559"/>
      <c r="CA87" s="559"/>
      <c r="CB87" s="559"/>
      <c r="CC87" s="559"/>
      <c r="CD87" s="559"/>
      <c r="CE87" s="559"/>
      <c r="CF87" s="559"/>
      <c r="CG87" s="559"/>
      <c r="CH87" s="559"/>
      <c r="CI87" s="559"/>
      <c r="CJ87" s="559"/>
      <c r="CK87" s="559"/>
      <c r="CL87" s="559"/>
      <c r="CM87" s="1192"/>
      <c r="CN87" s="1192"/>
      <c r="CO87" s="1192"/>
      <c r="CP87" s="1192"/>
      <c r="CQ87" s="160"/>
      <c r="CR87" s="1145"/>
      <c r="CS87" s="559"/>
      <c r="CT87" s="559"/>
      <c r="CU87" s="559"/>
      <c r="CV87" s="559"/>
      <c r="CW87" s="559"/>
      <c r="CX87" s="559"/>
      <c r="CY87" s="559"/>
      <c r="CZ87" s="559"/>
      <c r="DA87" s="559"/>
      <c r="DB87" s="559"/>
      <c r="DC87" s="1192"/>
      <c r="DD87" s="1192"/>
      <c r="DE87" s="1192"/>
      <c r="DF87" s="1192"/>
      <c r="DG87" s="1192"/>
      <c r="DH87" s="1146"/>
      <c r="DI87" s="68"/>
    </row>
    <row r="88" spans="1:113" ht="14.25" customHeight="1">
      <c r="A88" s="1133"/>
      <c r="B88" s="1131" t="s">
        <v>460</v>
      </c>
      <c r="C88" s="1134"/>
      <c r="D88" s="732">
        <f>+IS!D174</f>
        <v>66.094000000000008</v>
      </c>
      <c r="E88" s="732">
        <f>+IS!E174</f>
        <v>72.677999999999997</v>
      </c>
      <c r="F88" s="732">
        <f>+IS!F174</f>
        <v>75.96599999999998</v>
      </c>
      <c r="G88" s="733">
        <f>+IS!G174</f>
        <v>71.255000000000052</v>
      </c>
      <c r="H88" s="732">
        <f>+IS!H174</f>
        <v>72.101999999999975</v>
      </c>
      <c r="I88" s="732">
        <f>+IS!I174</f>
        <v>74.461999999999989</v>
      </c>
      <c r="J88" s="732">
        <f>+IS!J174</f>
        <v>80.970000000000027</v>
      </c>
      <c r="K88" s="733">
        <f>+IS!K174</f>
        <v>88.007000000000019</v>
      </c>
      <c r="L88" s="732">
        <f>+IS!L174</f>
        <v>100.50700000000001</v>
      </c>
      <c r="M88" s="732">
        <f>+IS!M174</f>
        <v>106.33899999999998</v>
      </c>
      <c r="N88" s="732">
        <f>+IS!N174</f>
        <v>96.145999999999987</v>
      </c>
      <c r="O88" s="733">
        <f>+IS!O174</f>
        <v>97.221000000000032</v>
      </c>
      <c r="P88" s="732">
        <f>+IS!P174</f>
        <v>101.13599999999998</v>
      </c>
      <c r="Q88" s="732">
        <f>+IS!Q174</f>
        <v>107.20899999999999</v>
      </c>
      <c r="R88" s="732">
        <f>+IS!R174</f>
        <v>111.67299999999997</v>
      </c>
      <c r="S88" s="733">
        <f>+IS!S174</f>
        <v>117.02800000000001</v>
      </c>
      <c r="T88" s="732">
        <f>+IS!T174</f>
        <v>118.20000000000005</v>
      </c>
      <c r="U88" s="732">
        <f>+IS!U174</f>
        <v>121.05000000000001</v>
      </c>
      <c r="V88" s="732">
        <f>+IS!V174</f>
        <v>111.06399999999996</v>
      </c>
      <c r="W88" s="733">
        <f>+IS!W174</f>
        <v>113.66800000000001</v>
      </c>
      <c r="X88" s="732">
        <f>+IS!X174</f>
        <v>111.91700000000002</v>
      </c>
      <c r="Y88" s="732">
        <f>+IS!Y174</f>
        <v>108.32999999999998</v>
      </c>
      <c r="Z88" s="732">
        <f>+IS!Z174</f>
        <v>103.054</v>
      </c>
      <c r="AA88" s="733">
        <f>+IS!AA174</f>
        <v>105.203</v>
      </c>
      <c r="AB88" s="732">
        <f>+IS!AB174</f>
        <v>110.39800000000002</v>
      </c>
      <c r="AC88" s="732">
        <f>+IS!AC174</f>
        <v>111.59600000000003</v>
      </c>
      <c r="AD88" s="732">
        <f>+IS!AD174</f>
        <v>65.438999999999993</v>
      </c>
      <c r="AE88" s="733">
        <f>+IS!AE174</f>
        <v>49.205999999999996</v>
      </c>
      <c r="AF88" s="732">
        <f>+IS!AF174</f>
        <v>56.350000000000016</v>
      </c>
      <c r="AG88" s="732">
        <f>+IS!AG174</f>
        <v>76.200000000000017</v>
      </c>
      <c r="AH88" s="732">
        <f>+IS!AH174</f>
        <v>95.623000000000005</v>
      </c>
      <c r="AI88" s="733">
        <f>+IS!AI174</f>
        <v>112.48400000000007</v>
      </c>
      <c r="AJ88" s="732">
        <f>+IS!AJ174</f>
        <v>143.71</v>
      </c>
      <c r="AK88" s="732">
        <f>+IS!AK174</f>
        <v>156.81800000000001</v>
      </c>
      <c r="AL88" s="732">
        <f>+IS!AL174</f>
        <v>148.88400000000001</v>
      </c>
      <c r="AM88" s="733">
        <f>+IS!AM174</f>
        <v>154.72799999999984</v>
      </c>
      <c r="AN88" s="732">
        <f>+IS!AN174</f>
        <v>145.47000000000003</v>
      </c>
      <c r="AO88" s="732">
        <f>+IS!AO174</f>
        <v>122.93999999999997</v>
      </c>
      <c r="AP88" s="732">
        <f>+IS!AP174</f>
        <v>112.35</v>
      </c>
      <c r="AQ88" s="733">
        <f>+IS!AQ174</f>
        <v>127.797</v>
      </c>
      <c r="AR88" s="732">
        <f>+IS!AR174</f>
        <v>130.44200000000001</v>
      </c>
      <c r="AS88" s="732">
        <f>+IS!AS174</f>
        <v>121.935</v>
      </c>
      <c r="AT88" s="732">
        <f>+IS!AT174</f>
        <v>115.82700000000001</v>
      </c>
      <c r="AU88" s="733">
        <f>+IS!AU174</f>
        <v>129.8950000000001</v>
      </c>
      <c r="AV88" s="732">
        <f>+IS!AV174</f>
        <v>151.39999999999998</v>
      </c>
      <c r="AW88" s="732">
        <f>+IS!AW174</f>
        <v>165.93199999999993</v>
      </c>
      <c r="AX88" s="732">
        <f>+IS!AX174</f>
        <v>163.50600000000006</v>
      </c>
      <c r="AY88" s="733">
        <f>+IS!AY174</f>
        <v>173.20500000000007</v>
      </c>
      <c r="AZ88" s="732">
        <f>+IS!AZ174</f>
        <v>187.34700000000001</v>
      </c>
      <c r="BA88" s="732">
        <f>+IS!BA174</f>
        <v>187.40500000000006</v>
      </c>
      <c r="BB88" s="732">
        <f>+IS!BB174</f>
        <v>180.23200000000006</v>
      </c>
      <c r="BC88" s="733">
        <f>+IS!BC174</f>
        <v>188.33499999999998</v>
      </c>
      <c r="BD88" s="732">
        <f>+IS!BD174</f>
        <v>185.96799999999999</v>
      </c>
      <c r="BE88" s="732">
        <f>+IS!BE174</f>
        <v>174.31999999999996</v>
      </c>
      <c r="BF88" s="732">
        <f>+IS!BF174</f>
        <v>173.50600000000003</v>
      </c>
      <c r="BG88" s="733">
        <f>+IS!BG174</f>
        <v>188.434</v>
      </c>
      <c r="BH88" s="732">
        <f>+IS!BH174</f>
        <v>204.52099999999996</v>
      </c>
      <c r="BI88" s="732">
        <f>+IS!BI174</f>
        <v>274.37400000000002</v>
      </c>
      <c r="BJ88" s="732">
        <f>+IS!BJ174</f>
        <v>299.14600000000002</v>
      </c>
      <c r="BK88" s="733">
        <f>+IS!BK174</f>
        <v>333.07799999999997</v>
      </c>
      <c r="BL88" s="732">
        <f>+IS!BL174</f>
        <v>372.84299999999996</v>
      </c>
      <c r="BM88" s="732">
        <f>+IS!BM174</f>
        <v>398.54300000000012</v>
      </c>
      <c r="BN88" s="732">
        <f>+IS!BN174</f>
        <v>401.33899999999988</v>
      </c>
      <c r="BO88" s="733">
        <f>+IS!BO174</f>
        <v>396.7876601535657</v>
      </c>
      <c r="BP88" s="732">
        <f>+IS!BP174</f>
        <v>419.28805588282819</v>
      </c>
      <c r="BQ88" s="732">
        <f>+IS!BQ174</f>
        <v>436.22830740371433</v>
      </c>
      <c r="BR88" s="732">
        <f>+IS!BR174</f>
        <v>436.49360021920796</v>
      </c>
      <c r="BS88" s="733">
        <f>+IS!BS174</f>
        <v>421.4363438721158</v>
      </c>
      <c r="BT88" s="732">
        <f>+IS!BT174</f>
        <v>442.00841088618711</v>
      </c>
      <c r="BU88" s="732">
        <f>+IS!BU174</f>
        <v>456.47231236467638</v>
      </c>
      <c r="BV88" s="732">
        <f>+IS!BV174</f>
        <v>458.34374716626974</v>
      </c>
      <c r="BW88" s="733">
        <f>+IS!BW174</f>
        <v>443.63644748163483</v>
      </c>
      <c r="BX88" s="859"/>
      <c r="BY88" s="1148">
        <f>SUM(D88:G88)</f>
        <v>285.99300000000005</v>
      </c>
      <c r="BZ88" s="858">
        <f>SUM(H88:K88)</f>
        <v>315.541</v>
      </c>
      <c r="CA88" s="858">
        <f>SUM(L88:O88)</f>
        <v>400.21299999999997</v>
      </c>
      <c r="CB88" s="858">
        <f>SUM(P88:S88)</f>
        <v>437.04599999999994</v>
      </c>
      <c r="CC88" s="858">
        <f>SUM(T88:W88)</f>
        <v>463.98200000000003</v>
      </c>
      <c r="CD88" s="858">
        <f>SUM(X88:AA88)</f>
        <v>428.50400000000002</v>
      </c>
      <c r="CE88" s="858">
        <f>SUM(AB88:AE88)</f>
        <v>336.63900000000007</v>
      </c>
      <c r="CF88" s="858">
        <f>SUM(AF88:AI88)</f>
        <v>340.65700000000015</v>
      </c>
      <c r="CG88" s="858">
        <f>SUM(AJ88:AM88)</f>
        <v>604.13999999999987</v>
      </c>
      <c r="CH88" s="858">
        <f>SUM(AN88:AQ88)</f>
        <v>508.55700000000002</v>
      </c>
      <c r="CI88" s="858">
        <f>SUM(AR88:AU88)</f>
        <v>498.0990000000001</v>
      </c>
      <c r="CJ88" s="858">
        <f>SUM(AV88:AY88)</f>
        <v>654.04300000000001</v>
      </c>
      <c r="CK88" s="858">
        <f>SUM(AZ88:BC88)</f>
        <v>743.31900000000019</v>
      </c>
      <c r="CL88" s="858">
        <f>SUM(BD88:BG88)</f>
        <v>722.22799999999995</v>
      </c>
      <c r="CM88" s="858">
        <f>SUM(BH88:BK88)</f>
        <v>1111.1189999999999</v>
      </c>
      <c r="CN88" s="858">
        <f>SUM(BL88:BO88)</f>
        <v>1569.5126601535655</v>
      </c>
      <c r="CO88" s="858">
        <f>SUM(BP88:BS88)</f>
        <v>1713.4463073778661</v>
      </c>
      <c r="CP88" s="858">
        <f>SUM(BT88:BW88)</f>
        <v>1800.4609178987682</v>
      </c>
      <c r="CQ88" s="859"/>
      <c r="CR88" s="1148">
        <f>SUM(G88:J88)</f>
        <v>298.78900000000004</v>
      </c>
      <c r="CS88" s="858">
        <f>SUM(K88:N88)</f>
        <v>390.99900000000002</v>
      </c>
      <c r="CT88" s="858">
        <f>SUM(O88:R88)</f>
        <v>417.23900000000003</v>
      </c>
      <c r="CU88" s="858">
        <f>SUM(S88:V88)</f>
        <v>467.34200000000004</v>
      </c>
      <c r="CV88" s="858">
        <f>SUM(W88:Z88)</f>
        <v>436.96900000000005</v>
      </c>
      <c r="CW88" s="858">
        <f>SUM(AA88:AD88)</f>
        <v>392.63600000000008</v>
      </c>
      <c r="CX88" s="858">
        <f>SUM(AE88:AH88)</f>
        <v>277.37900000000002</v>
      </c>
      <c r="CY88" s="858">
        <f>SUM(AI88:AL88)</f>
        <v>561.89600000000007</v>
      </c>
      <c r="CZ88" s="858">
        <f>SUM(AM88:AP88)</f>
        <v>535.48799999999983</v>
      </c>
      <c r="DA88" s="858">
        <f>SUM(AQ88:AT88)</f>
        <v>496.00100000000003</v>
      </c>
      <c r="DB88" s="858">
        <f>SUM(AU88:AX88)</f>
        <v>610.73300000000006</v>
      </c>
      <c r="DC88" s="858">
        <f>SUM(AY88:BB88)</f>
        <v>728.18900000000019</v>
      </c>
      <c r="DD88" s="858">
        <f>SUM(BC88:BF88)</f>
        <v>722.12899999999991</v>
      </c>
      <c r="DE88" s="858">
        <f>SUM(BG88:BJ88)</f>
        <v>966.47499999999991</v>
      </c>
      <c r="DF88" s="858">
        <f>SUM(BK88:BN88)</f>
        <v>1505.8029999999999</v>
      </c>
      <c r="DG88" s="858">
        <f>SUM(BO88:BR88)</f>
        <v>1688.7976236593163</v>
      </c>
      <c r="DH88" s="1147">
        <f>SUM(BS88:BV88)</f>
        <v>1778.2608142892491</v>
      </c>
      <c r="DI88" s="1133"/>
    </row>
    <row r="89" spans="1:113" ht="14.25" customHeight="1">
      <c r="A89" s="1133"/>
      <c r="B89" s="1131" t="s">
        <v>462</v>
      </c>
      <c r="C89" s="1134"/>
      <c r="D89" s="858">
        <f>+D29</f>
        <v>-25.263999999999999</v>
      </c>
      <c r="E89" s="858">
        <f t="shared" ref="E89:BD89" si="623">+E29</f>
        <v>-16.852999999999998</v>
      </c>
      <c r="F89" s="858">
        <f t="shared" si="623"/>
        <v>-20.800999999999998</v>
      </c>
      <c r="G89" s="1147">
        <f t="shared" si="623"/>
        <v>-17.469000000000005</v>
      </c>
      <c r="H89" s="858">
        <f t="shared" si="623"/>
        <v>-10.33</v>
      </c>
      <c r="I89" s="858">
        <f t="shared" si="623"/>
        <v>-10.854999999999999</v>
      </c>
      <c r="J89" s="858">
        <f t="shared" si="623"/>
        <v>-18.453000000000003</v>
      </c>
      <c r="K89" s="1147">
        <f t="shared" si="623"/>
        <v>-23.869</v>
      </c>
      <c r="L89" s="858">
        <f t="shared" si="623"/>
        <v>-13.548</v>
      </c>
      <c r="M89" s="858">
        <f t="shared" si="623"/>
        <v>-20.512</v>
      </c>
      <c r="N89" s="858">
        <f t="shared" si="623"/>
        <v>-21.265999999999998</v>
      </c>
      <c r="O89" s="1147">
        <f t="shared" si="623"/>
        <v>-7.8849999999999998</v>
      </c>
      <c r="P89" s="858">
        <f t="shared" si="623"/>
        <v>-14.794</v>
      </c>
      <c r="Q89" s="858">
        <f t="shared" si="623"/>
        <v>-10.372</v>
      </c>
      <c r="R89" s="858">
        <f t="shared" si="623"/>
        <v>-17.651</v>
      </c>
      <c r="S89" s="1147">
        <f t="shared" si="623"/>
        <v>-33.477000000000004</v>
      </c>
      <c r="T89" s="858">
        <f t="shared" si="623"/>
        <v>-16.645</v>
      </c>
      <c r="U89" s="858">
        <f t="shared" si="623"/>
        <v>-19.269000000000002</v>
      </c>
      <c r="V89" s="858">
        <f t="shared" si="623"/>
        <v>-15.501999999999992</v>
      </c>
      <c r="W89" s="1147">
        <f t="shared" si="623"/>
        <v>-8.6230000000000047</v>
      </c>
      <c r="X89" s="858">
        <f t="shared" si="623"/>
        <v>-25.47</v>
      </c>
      <c r="Y89" s="858">
        <f t="shared" si="623"/>
        <v>-11.774999999999999</v>
      </c>
      <c r="Z89" s="858">
        <f t="shared" si="623"/>
        <v>-11.808</v>
      </c>
      <c r="AA89" s="1147">
        <f t="shared" si="623"/>
        <v>-20.774000000000001</v>
      </c>
      <c r="AB89" s="858">
        <f t="shared" si="623"/>
        <v>-21.747</v>
      </c>
      <c r="AC89" s="858">
        <f t="shared" si="623"/>
        <v>-46.269000000000005</v>
      </c>
      <c r="AD89" s="858">
        <f t="shared" si="623"/>
        <v>-23.804999999999993</v>
      </c>
      <c r="AE89" s="1147">
        <f t="shared" si="623"/>
        <v>-10.549000000000007</v>
      </c>
      <c r="AF89" s="858">
        <f t="shared" si="623"/>
        <v>-3.7559999999999998</v>
      </c>
      <c r="AG89" s="858">
        <f t="shared" si="623"/>
        <v>-5.9770000000000003</v>
      </c>
      <c r="AH89" s="858">
        <f t="shared" si="623"/>
        <v>-18.683</v>
      </c>
      <c r="AI89" s="1147">
        <f t="shared" si="623"/>
        <v>-19.187999999999999</v>
      </c>
      <c r="AJ89" s="858">
        <f t="shared" si="623"/>
        <v>-34.103000000000002</v>
      </c>
      <c r="AK89" s="858">
        <f t="shared" si="623"/>
        <v>-31.833999999999996</v>
      </c>
      <c r="AL89" s="858">
        <f t="shared" si="623"/>
        <v>-34.177</v>
      </c>
      <c r="AM89" s="1147">
        <f t="shared" si="623"/>
        <v>-24.339999999999989</v>
      </c>
      <c r="AN89" s="858">
        <f t="shared" si="623"/>
        <v>-27.219000000000001</v>
      </c>
      <c r="AO89" s="858">
        <f t="shared" si="623"/>
        <v>-25.229999999999997</v>
      </c>
      <c r="AP89" s="858">
        <f t="shared" si="623"/>
        <v>-6.1330000000000027</v>
      </c>
      <c r="AQ89" s="1147">
        <f t="shared" si="623"/>
        <v>-3.7879999999999967</v>
      </c>
      <c r="AR89" s="858">
        <f t="shared" si="623"/>
        <v>-10.304</v>
      </c>
      <c r="AS89" s="858">
        <f t="shared" si="623"/>
        <v>-15.907999999999999</v>
      </c>
      <c r="AT89" s="858">
        <f t="shared" si="623"/>
        <v>-9.863999999999999</v>
      </c>
      <c r="AU89" s="1147">
        <f t="shared" si="623"/>
        <v>-14.741999999999999</v>
      </c>
      <c r="AV89" s="858">
        <f t="shared" si="623"/>
        <v>-27.757000000000001</v>
      </c>
      <c r="AW89" s="858">
        <f t="shared" si="623"/>
        <v>-27.449000000000002</v>
      </c>
      <c r="AX89" s="858">
        <f t="shared" si="623"/>
        <v>-24.330000000000002</v>
      </c>
      <c r="AY89" s="1147">
        <f t="shared" si="623"/>
        <v>-33.536000000000001</v>
      </c>
      <c r="AZ89" s="858">
        <f t="shared" si="623"/>
        <v>-44.637</v>
      </c>
      <c r="BA89" s="858">
        <f t="shared" si="623"/>
        <v>-38.734999999999999</v>
      </c>
      <c r="BB89" s="858">
        <f t="shared" si="623"/>
        <v>-36.641999999999996</v>
      </c>
      <c r="BC89" s="1147">
        <f t="shared" si="623"/>
        <v>-29.458000000000013</v>
      </c>
      <c r="BD89" s="858">
        <f t="shared" si="623"/>
        <v>-33.610999999999997</v>
      </c>
      <c r="BE89" s="858">
        <f>+BE29</f>
        <v>-29.943000000000005</v>
      </c>
      <c r="BF89" s="858">
        <f>+BF29</f>
        <v>-17.869</v>
      </c>
      <c r="BG89" s="1147">
        <f>+BG29</f>
        <v>-16.471999999999994</v>
      </c>
      <c r="BH89" s="858">
        <f t="shared" ref="BH89" si="624">+BH29</f>
        <v>-18.494</v>
      </c>
      <c r="BI89" s="858">
        <f>+BI29</f>
        <v>-18.152000000000001</v>
      </c>
      <c r="BJ89" s="858">
        <f>+BJ29</f>
        <v>-15.692</v>
      </c>
      <c r="BK89" s="1147">
        <f t="shared" ref="BK89:BO89" si="625">+BK29</f>
        <v>-22.972000000000001</v>
      </c>
      <c r="BL89" s="858">
        <f t="shared" si="625"/>
        <v>-22.13</v>
      </c>
      <c r="BM89" s="858">
        <f t="shared" si="625"/>
        <v>-59.89500000000001</v>
      </c>
      <c r="BN89" s="858">
        <f t="shared" si="625"/>
        <v>-66.387</v>
      </c>
      <c r="BO89" s="1147">
        <f t="shared" si="625"/>
        <v>-57.160865628000003</v>
      </c>
      <c r="BP89" s="858">
        <f t="shared" ref="BP89:BW89" si="626">+BP29</f>
        <v>-41.164074060000004</v>
      </c>
      <c r="BQ89" s="858">
        <f t="shared" si="626"/>
        <v>-42.453062106180006</v>
      </c>
      <c r="BR89" s="858">
        <f t="shared" si="626"/>
        <v>-41.58949680019834</v>
      </c>
      <c r="BS89" s="1147">
        <f t="shared" si="626"/>
        <v>-41.214492720949409</v>
      </c>
      <c r="BT89" s="858">
        <f t="shared" si="626"/>
        <v>-42.856384848787982</v>
      </c>
      <c r="BU89" s="858">
        <f t="shared" si="626"/>
        <v>-43.957851837956653</v>
      </c>
      <c r="BV89" s="858">
        <f t="shared" si="626"/>
        <v>-43.320470478150682</v>
      </c>
      <c r="BW89" s="1147">
        <f t="shared" si="626"/>
        <v>-42.928944073199311</v>
      </c>
      <c r="BX89" s="859"/>
      <c r="BY89" s="1148">
        <f>SUM(D89:G89)</f>
        <v>-80.387</v>
      </c>
      <c r="BZ89" s="858">
        <f>SUM(H89:K89)</f>
        <v>-63.507000000000005</v>
      </c>
      <c r="CA89" s="858">
        <f>SUM(L89:O89)</f>
        <v>-63.210999999999999</v>
      </c>
      <c r="CB89" s="858">
        <f>SUM(P89:S89)</f>
        <v>-76.294000000000011</v>
      </c>
      <c r="CC89" s="858">
        <f>SUM(T89:W89)</f>
        <v>-60.039000000000001</v>
      </c>
      <c r="CD89" s="858">
        <f>SUM(X89:AA89)</f>
        <v>-69.826999999999998</v>
      </c>
      <c r="CE89" s="858">
        <f>SUM(AB89:AE89)</f>
        <v>-102.37</v>
      </c>
      <c r="CF89" s="858">
        <f>SUM(AF89:AI89)</f>
        <v>-47.603999999999999</v>
      </c>
      <c r="CG89" s="858">
        <f>SUM(AJ89:AM89)</f>
        <v>-124.45399999999999</v>
      </c>
      <c r="CH89" s="858">
        <f>SUM(AN89:AQ89)</f>
        <v>-62.37</v>
      </c>
      <c r="CI89" s="858">
        <f>SUM(AR89:AU89)</f>
        <v>-50.817999999999998</v>
      </c>
      <c r="CJ89" s="858">
        <f>SUM(AV89:AY89)</f>
        <v>-113.072</v>
      </c>
      <c r="CK89" s="858">
        <f>SUM(AZ89:BC89)</f>
        <v>-149.47200000000001</v>
      </c>
      <c r="CL89" s="858">
        <f>SUM(BD89:BG89)</f>
        <v>-97.894999999999996</v>
      </c>
      <c r="CM89" s="858">
        <f>SUM(BH89:BK89)</f>
        <v>-75.31</v>
      </c>
      <c r="CN89" s="858">
        <f>SUM(BL89:BO89)</f>
        <v>-205.57286562800002</v>
      </c>
      <c r="CO89" s="858">
        <f>SUM(BP89:BS89)</f>
        <v>-166.42112568732776</v>
      </c>
      <c r="CP89" s="858">
        <f>SUM(BT89:BW89)</f>
        <v>-173.06365123809462</v>
      </c>
      <c r="CQ89" s="859"/>
      <c r="CR89" s="1148">
        <f>SUM(G89:J89)</f>
        <v>-57.107000000000006</v>
      </c>
      <c r="CS89" s="858">
        <f>SUM(K89:N89)</f>
        <v>-79.194999999999993</v>
      </c>
      <c r="CT89" s="858">
        <f>SUM(O89:R89)</f>
        <v>-50.701999999999998</v>
      </c>
      <c r="CU89" s="858">
        <f>SUM(S89:V89)</f>
        <v>-84.893000000000001</v>
      </c>
      <c r="CV89" s="858">
        <f>SUM(W89:Z89)</f>
        <v>-57.676000000000002</v>
      </c>
      <c r="CW89" s="858">
        <f>SUM(AA89:AD89)</f>
        <v>-112.595</v>
      </c>
      <c r="CX89" s="858">
        <f>SUM(AE89:AH89)</f>
        <v>-38.965000000000003</v>
      </c>
      <c r="CY89" s="858">
        <f>SUM(AI89:AL89)</f>
        <v>-119.30199999999999</v>
      </c>
      <c r="CZ89" s="858">
        <f>SUM(AM89:AP89)</f>
        <v>-82.921999999999997</v>
      </c>
      <c r="DA89" s="858">
        <f>SUM(AQ89:AT89)</f>
        <v>-39.863999999999997</v>
      </c>
      <c r="DB89" s="858">
        <f>SUM(AU89:AX89)</f>
        <v>-94.278000000000006</v>
      </c>
      <c r="DC89" s="858">
        <f>SUM(AY89:BB89)</f>
        <v>-153.55000000000001</v>
      </c>
      <c r="DD89" s="858">
        <f>SUM(BC89:BF89)</f>
        <v>-110.88100000000001</v>
      </c>
      <c r="DE89" s="858">
        <f>SUM(BG89:BJ89)</f>
        <v>-68.81</v>
      </c>
      <c r="DF89" s="858">
        <f>SUM(BK89:BN89)</f>
        <v>-171.38400000000001</v>
      </c>
      <c r="DG89" s="858">
        <f>SUM(BO89:BR89)</f>
        <v>-182.36749859437833</v>
      </c>
      <c r="DH89" s="1147">
        <f t="shared" ref="DH89:DH91" si="627">SUM(BS89:BV89)</f>
        <v>-171.34919988584471</v>
      </c>
      <c r="DI89" s="1133"/>
    </row>
    <row r="90" spans="1:113" ht="14.25" customHeight="1">
      <c r="A90" s="1133"/>
      <c r="B90" s="1131" t="s">
        <v>461</v>
      </c>
      <c r="C90" s="1134"/>
      <c r="D90" s="732">
        <f>-IS!D81</f>
        <v>-21.5</v>
      </c>
      <c r="E90" s="732">
        <f>-IS!E81</f>
        <v>-11.593000000000002</v>
      </c>
      <c r="F90" s="732">
        <f>-IS!F81</f>
        <v>-12.298999999999999</v>
      </c>
      <c r="G90" s="733">
        <f>-IS!G81</f>
        <v>-11.308</v>
      </c>
      <c r="H90" s="732">
        <f>-IS!H81</f>
        <v>-11.462999999999999</v>
      </c>
      <c r="I90" s="732">
        <f>-IS!I81</f>
        <v>-12.356999999999999</v>
      </c>
      <c r="J90" s="732">
        <f>-IS!J81</f>
        <v>-13.827</v>
      </c>
      <c r="K90" s="733">
        <f>-IS!K81</f>
        <v>-16.035000000000004</v>
      </c>
      <c r="L90" s="732">
        <f>-IS!L81</f>
        <v>-17.928000000000001</v>
      </c>
      <c r="M90" s="732">
        <f>-IS!M81</f>
        <v>-19.087</v>
      </c>
      <c r="N90" s="732">
        <f>-IS!N81</f>
        <v>-16.780999999999999</v>
      </c>
      <c r="O90" s="733">
        <f>-IS!O81</f>
        <v>-17.811</v>
      </c>
      <c r="P90" s="732">
        <f>-IS!P81</f>
        <v>-19.273</v>
      </c>
      <c r="Q90" s="732">
        <f>-IS!Q81</f>
        <v>-20.731999999999999</v>
      </c>
      <c r="R90" s="732">
        <f>-IS!R81</f>
        <v>-52.947000000000003</v>
      </c>
      <c r="S90" s="733">
        <f>-IS!S81</f>
        <v>-23.864000000000001</v>
      </c>
      <c r="T90" s="732">
        <f>-IS!T81</f>
        <v>-24.311</v>
      </c>
      <c r="U90" s="732">
        <f>-IS!U81</f>
        <v>-25.100999999999999</v>
      </c>
      <c r="V90" s="732">
        <f>-IS!V81</f>
        <v>-23.004999999999999</v>
      </c>
      <c r="W90" s="733">
        <f>-IS!W81</f>
        <v>-23.844000000000001</v>
      </c>
      <c r="X90" s="732">
        <f>-IS!X81</f>
        <v>-20.45</v>
      </c>
      <c r="Y90" s="732">
        <f>-IS!Y81</f>
        <v>-19.769000000000002</v>
      </c>
      <c r="Z90" s="732">
        <f>-IS!Z81</f>
        <v>-16.885999999999999</v>
      </c>
      <c r="AA90" s="733">
        <f>-IS!AA81</f>
        <v>-16.124000000000002</v>
      </c>
      <c r="AB90" s="732">
        <f>-IS!AB81</f>
        <v>-16.865000000000002</v>
      </c>
      <c r="AC90" s="732">
        <f>-IS!AC81</f>
        <v>-16.91</v>
      </c>
      <c r="AD90" s="732">
        <f>-IS!AD81</f>
        <v>-7.4660000000000082</v>
      </c>
      <c r="AE90" s="733">
        <f>-IS!AE81</f>
        <v>-2.6070000000000007</v>
      </c>
      <c r="AF90" s="732">
        <f>-IS!AF81</f>
        <v>-4.0600000000000005</v>
      </c>
      <c r="AG90" s="732">
        <f>-IS!AG81</f>
        <v>-6.7089999999999996</v>
      </c>
      <c r="AH90" s="732">
        <f>-IS!AH81</f>
        <v>-9.625</v>
      </c>
      <c r="AI90" s="733">
        <f>-IS!AI81</f>
        <v>-9.0350000000000001</v>
      </c>
      <c r="AJ90" s="732">
        <f>-IS!AJ81</f>
        <v>-14.317</v>
      </c>
      <c r="AK90" s="732">
        <f>-IS!AK81</f>
        <v>-17.068000000000001</v>
      </c>
      <c r="AL90" s="732">
        <f>-IS!AL81</f>
        <v>-14.875</v>
      </c>
      <c r="AM90" s="733">
        <f>-IS!AM81</f>
        <v>-14.639999999999999</v>
      </c>
      <c r="AN90" s="732">
        <f>-IS!AN81</f>
        <v>-15.394</v>
      </c>
      <c r="AO90" s="732">
        <f>-IS!AO81</f>
        <v>-12.524000000000001</v>
      </c>
      <c r="AP90" s="732">
        <f>-IS!AP81</f>
        <v>-11.122</v>
      </c>
      <c r="AQ90" s="733">
        <f>-IS!AQ81</f>
        <v>-12.347999999999999</v>
      </c>
      <c r="AR90" s="732">
        <f>-IS!AR81</f>
        <v>-13.481</v>
      </c>
      <c r="AS90" s="732">
        <f>-IS!AS81</f>
        <v>-14.034000000000002</v>
      </c>
      <c r="AT90" s="732">
        <f>-IS!AT81</f>
        <v>-12.731000000000002</v>
      </c>
      <c r="AU90" s="733">
        <f>-IS!AU81</f>
        <v>-3.5699999999999985</v>
      </c>
      <c r="AV90" s="732">
        <f>-IS!AV81</f>
        <v>-13.625999999999999</v>
      </c>
      <c r="AW90" s="732">
        <f>-IS!AW81</f>
        <v>-14.585000000000001</v>
      </c>
      <c r="AX90" s="732">
        <f>-IS!AX81</f>
        <v>-14.907</v>
      </c>
      <c r="AY90" s="733">
        <f>-IS!AY81</f>
        <v>-14.192000000000002</v>
      </c>
      <c r="AZ90" s="732">
        <f>-IS!AZ81</f>
        <v>-16.68</v>
      </c>
      <c r="BA90" s="732">
        <f>-IS!BA81</f>
        <v>-16.562999999999999</v>
      </c>
      <c r="BB90" s="732">
        <f>-IS!BB81</f>
        <v>-12.839000000000002</v>
      </c>
      <c r="BC90" s="733">
        <f>-IS!BC81</f>
        <v>-16.569000000000003</v>
      </c>
      <c r="BD90" s="732">
        <f>-IS!BD81</f>
        <v>-15.669</v>
      </c>
      <c r="BE90" s="732">
        <f>-IS!BE81</f>
        <v>-10.065999999999995</v>
      </c>
      <c r="BF90" s="732">
        <f>-IS!BF81</f>
        <v>-9.9610000000000056</v>
      </c>
      <c r="BG90" s="733">
        <f>-IS!BG81</f>
        <v>-13.533999999999999</v>
      </c>
      <c r="BH90" s="732">
        <f>-IS!BH81</f>
        <v>3.3120000000000047</v>
      </c>
      <c r="BI90" s="732">
        <f>-IS!BI81</f>
        <v>-13.599</v>
      </c>
      <c r="BJ90" s="732">
        <f>-IS!BJ81</f>
        <v>-13.512000000000004</v>
      </c>
      <c r="BK90" s="733">
        <f>-IS!BK81</f>
        <v>-17.904000000000011</v>
      </c>
      <c r="BL90" s="732">
        <f>-IS!BL81</f>
        <v>-23.082999999999998</v>
      </c>
      <c r="BM90" s="732">
        <f>-IS!BM81</f>
        <v>-26.631999999999998</v>
      </c>
      <c r="BN90" s="732">
        <f>-IS!BN81</f>
        <v>-25.257000000000005</v>
      </c>
      <c r="BO90" s="733">
        <f>-IS!BO81</f>
        <v>-29.667691113053088</v>
      </c>
      <c r="BP90" s="732">
        <f>-IS!BP81</f>
        <v>-31.601474750040399</v>
      </c>
      <c r="BQ90" s="732">
        <f>-IS!BQ81</f>
        <v>-33.062646129315723</v>
      </c>
      <c r="BR90" s="732">
        <f>-IS!BR81</f>
        <v>-32.149431018632683</v>
      </c>
      <c r="BS90" s="733">
        <f>-IS!BS81</f>
        <v>-31.847829229129847</v>
      </c>
      <c r="BT90" s="732">
        <f>-IS!BT81</f>
        <v>-33.61770492532591</v>
      </c>
      <c r="BU90" s="732">
        <f>-IS!BU81</f>
        <v>-34.868386550997499</v>
      </c>
      <c r="BV90" s="732">
        <f>-IS!BV81</f>
        <v>-34.091693509132931</v>
      </c>
      <c r="BW90" s="733">
        <f>-IS!BW81</f>
        <v>-33.819838035938965</v>
      </c>
      <c r="BX90" s="859"/>
      <c r="BY90" s="1148">
        <f>SUM(D90:G90)</f>
        <v>-56.7</v>
      </c>
      <c r="BZ90" s="858">
        <f>SUM(H90:K90)</f>
        <v>-53.682000000000002</v>
      </c>
      <c r="CA90" s="858">
        <f>SUM(L90:O90)</f>
        <v>-71.606999999999999</v>
      </c>
      <c r="CB90" s="858">
        <f>SUM(P90:S90)</f>
        <v>-116.816</v>
      </c>
      <c r="CC90" s="858">
        <f>SUM(T90:W90)</f>
        <v>-96.260999999999996</v>
      </c>
      <c r="CD90" s="858">
        <f>SUM(X90:AA90)</f>
        <v>-73.229000000000013</v>
      </c>
      <c r="CE90" s="858">
        <f>SUM(AB90:AE90)</f>
        <v>-43.848000000000013</v>
      </c>
      <c r="CF90" s="858">
        <f>SUM(AF90:AI90)</f>
        <v>-29.428999999999998</v>
      </c>
      <c r="CG90" s="858">
        <f>SUM(AJ90:AM90)</f>
        <v>-60.900000000000006</v>
      </c>
      <c r="CH90" s="858">
        <f>SUM(AN90:AQ90)</f>
        <v>-51.387999999999998</v>
      </c>
      <c r="CI90" s="858">
        <f>SUM(AR90:AU90)</f>
        <v>-43.816000000000003</v>
      </c>
      <c r="CJ90" s="858">
        <f>SUM(AV90:AY90)</f>
        <v>-57.309999999999995</v>
      </c>
      <c r="CK90" s="858">
        <f>SUM(AZ90:BC90)</f>
        <v>-62.650999999999996</v>
      </c>
      <c r="CL90" s="858">
        <f>SUM(BD90:BG90)</f>
        <v>-49.23</v>
      </c>
      <c r="CM90" s="858">
        <f>SUM(BH90:BK90)</f>
        <v>-41.70300000000001</v>
      </c>
      <c r="CN90" s="858">
        <f>SUM(BL90:BO90)</f>
        <v>-104.63969111305309</v>
      </c>
      <c r="CO90" s="858">
        <f>SUM(BP90:BS90)</f>
        <v>-128.66138112711866</v>
      </c>
      <c r="CP90" s="858">
        <f>SUM(BT90:BW90)</f>
        <v>-136.3976230213953</v>
      </c>
      <c r="CQ90" s="859"/>
      <c r="CR90" s="1148">
        <f>SUM(G90:J90)</f>
        <v>-48.954999999999998</v>
      </c>
      <c r="CS90" s="858">
        <f>SUM(K90:N90)</f>
        <v>-69.831000000000017</v>
      </c>
      <c r="CT90" s="858">
        <f>SUM(O90:R90)</f>
        <v>-110.76300000000001</v>
      </c>
      <c r="CU90" s="858">
        <f>SUM(S90:V90)</f>
        <v>-96.280999999999992</v>
      </c>
      <c r="CV90" s="858">
        <f>SUM(W90:Z90)</f>
        <v>-80.948999999999998</v>
      </c>
      <c r="CW90" s="858">
        <f>SUM(AA90:AD90)</f>
        <v>-57.365000000000009</v>
      </c>
      <c r="CX90" s="858">
        <f>SUM(AE90:AH90)</f>
        <v>-23.001000000000001</v>
      </c>
      <c r="CY90" s="858">
        <f>SUM(AI90:AL90)</f>
        <v>-55.295000000000002</v>
      </c>
      <c r="CZ90" s="858">
        <f>SUM(AM90:AP90)</f>
        <v>-53.68</v>
      </c>
      <c r="DA90" s="858">
        <f>SUM(AQ90:AT90)</f>
        <v>-52.594000000000001</v>
      </c>
      <c r="DB90" s="858">
        <f>SUM(AU90:AX90)</f>
        <v>-46.688000000000002</v>
      </c>
      <c r="DC90" s="858">
        <f>SUM(AY90:BB90)</f>
        <v>-60.274000000000001</v>
      </c>
      <c r="DD90" s="858">
        <f>SUM(BC90:BF90)</f>
        <v>-52.265000000000001</v>
      </c>
      <c r="DE90" s="858">
        <f>SUM(BG90:BJ90)</f>
        <v>-37.332999999999998</v>
      </c>
      <c r="DF90" s="858">
        <f>SUM(BK90:BN90)</f>
        <v>-92.876000000000005</v>
      </c>
      <c r="DG90" s="858">
        <f>SUM(BO90:BR90)</f>
        <v>-126.4812430110419</v>
      </c>
      <c r="DH90" s="1147">
        <f t="shared" si="627"/>
        <v>-134.42561421458618</v>
      </c>
      <c r="DI90" s="1133"/>
    </row>
    <row r="91" spans="1:113" ht="14.25" customHeight="1">
      <c r="A91" s="1135"/>
      <c r="B91" s="1132" t="s">
        <v>463</v>
      </c>
      <c r="C91" s="1136"/>
      <c r="D91" s="868">
        <f>+SUM(IS!D68:D69)</f>
        <v>1.266</v>
      </c>
      <c r="E91" s="868">
        <f>+SUM(IS!E68:E69)</f>
        <v>0.95000000000000007</v>
      </c>
      <c r="F91" s="868">
        <f>+SUM(IS!F68:F69)</f>
        <v>0.56700000000000006</v>
      </c>
      <c r="G91" s="866">
        <f>+SUM(IS!G68:G69)</f>
        <v>0.56100000000000017</v>
      </c>
      <c r="H91" s="868">
        <f>+SUM(IS!H68:H69)</f>
        <v>0.73699999999999999</v>
      </c>
      <c r="I91" s="868">
        <f>+SUM(IS!I68:I69)</f>
        <v>0.83099999999999996</v>
      </c>
      <c r="J91" s="868">
        <f>+SUM(IS!J68:J69)</f>
        <v>1.133</v>
      </c>
      <c r="K91" s="866">
        <f>+SUM(IS!K68:K69)</f>
        <v>1.9379999999999997</v>
      </c>
      <c r="L91" s="868">
        <f>+SUM(IS!L68:L69)</f>
        <v>2.7839999999999998</v>
      </c>
      <c r="M91" s="868">
        <f>+SUM(IS!M68:M69)</f>
        <v>4.0579999999999998</v>
      </c>
      <c r="N91" s="868">
        <f>+SUM(IS!N68:N69)</f>
        <v>4.641</v>
      </c>
      <c r="O91" s="866">
        <f>+SUM(IS!O68:O69)</f>
        <v>5.3809999999999993</v>
      </c>
      <c r="P91" s="868">
        <f>+SUM(IS!P68:P69)</f>
        <v>6.1470000000000002</v>
      </c>
      <c r="Q91" s="868">
        <f>+SUM(IS!Q68:Q69)</f>
        <v>7.0129999999999999</v>
      </c>
      <c r="R91" s="868">
        <f>+SUM(IS!R68:R69)</f>
        <v>8.109</v>
      </c>
      <c r="S91" s="866">
        <f>+SUM(IS!S68:S69)</f>
        <v>9.5169999999999995</v>
      </c>
      <c r="T91" s="868">
        <f>+SUM(IS!T68:T69)</f>
        <v>11.437999999999999</v>
      </c>
      <c r="U91" s="868">
        <f>+SUM(IS!U68:U69)</f>
        <v>13.23</v>
      </c>
      <c r="V91" s="868">
        <f>+SUM(IS!V68:V69)</f>
        <v>14.372</v>
      </c>
      <c r="W91" s="866">
        <f>+SUM(IS!W68:W69)</f>
        <v>14.063000000000001</v>
      </c>
      <c r="X91" s="868">
        <f>+SUM(IS!X68:X69)</f>
        <v>14.901999999999999</v>
      </c>
      <c r="Y91" s="868">
        <f>+SUM(IS!Y68:Y69)</f>
        <v>14.417999999999999</v>
      </c>
      <c r="Z91" s="868">
        <f>+SUM(IS!Z68:Z69)</f>
        <v>11.832000000000001</v>
      </c>
      <c r="AA91" s="866">
        <f>+SUM(IS!AA68:AA69)</f>
        <v>4.2040000000000024</v>
      </c>
      <c r="AB91" s="868">
        <f>+SUM(IS!AB68:AB69)</f>
        <v>2.5569999999999995</v>
      </c>
      <c r="AC91" s="868">
        <f>+SUM(IS!AC68:AC69)</f>
        <v>3.2819999999999991</v>
      </c>
      <c r="AD91" s="868">
        <f>+SUM(IS!AD68:AD69)</f>
        <v>0.31400000000000006</v>
      </c>
      <c r="AE91" s="866">
        <f>+SUM(IS!AE68:AE69)</f>
        <v>-3.0479999999999974</v>
      </c>
      <c r="AF91" s="868">
        <f>+SUM(IS!AF68:AF69)</f>
        <v>-4.2170000000000005</v>
      </c>
      <c r="AG91" s="868">
        <f>+SUM(IS!AG68:AG69)</f>
        <v>-3.5509999999999993</v>
      </c>
      <c r="AH91" s="868">
        <f>+SUM(IS!AH68:AH69)</f>
        <v>-2.8170000000000002</v>
      </c>
      <c r="AI91" s="866">
        <f>+SUM(IS!AI68:AI69)</f>
        <v>-5.240000000000002</v>
      </c>
      <c r="AJ91" s="868">
        <f>+SUM(IS!AJ68:AJ69)</f>
        <v>-3.3929999999999998</v>
      </c>
      <c r="AK91" s="868">
        <f>+SUM(IS!AK68:AK69)</f>
        <v>-3.9749999999999996</v>
      </c>
      <c r="AL91" s="868">
        <f>+SUM(IS!AL68:AL69)</f>
        <v>-3.7169999999999996</v>
      </c>
      <c r="AM91" s="866">
        <f>+SUM(IS!AM68:AM69)</f>
        <v>-4.4340000000000028</v>
      </c>
      <c r="AN91" s="868">
        <f>+SUM(IS!AN68:AN69)</f>
        <v>-4.0090000000000003</v>
      </c>
      <c r="AO91" s="868">
        <f>+SUM(IS!AO68:AO69)</f>
        <v>-4.883</v>
      </c>
      <c r="AP91" s="868">
        <f>+SUM(IS!AP68:AP69)</f>
        <v>-4.62</v>
      </c>
      <c r="AQ91" s="866">
        <f>+SUM(IS!AQ68:AQ69)</f>
        <v>-2.7619999999999933</v>
      </c>
      <c r="AR91" s="868">
        <f>+SUM(IS!AR68:AR69)</f>
        <v>-4.8159999999999998</v>
      </c>
      <c r="AS91" s="868">
        <f>+SUM(IS!AS68:AS69)</f>
        <v>-7.0139999999999993</v>
      </c>
      <c r="AT91" s="868">
        <f>+SUM(IS!AT68:AT69)</f>
        <v>-7.2639999999999993</v>
      </c>
      <c r="AU91" s="866">
        <f>+SUM(IS!AU68:AU69)</f>
        <v>-6.2609999999999992</v>
      </c>
      <c r="AV91" s="868">
        <f>+SUM(IS!AV68:AV69)</f>
        <v>-7.931</v>
      </c>
      <c r="AW91" s="868">
        <f>+SUM(IS!AW68:AW69)</f>
        <v>-8.3439999999999994</v>
      </c>
      <c r="AX91" s="868">
        <f>+SUM(IS!AX68:AX69)</f>
        <v>-8.3040000000000003</v>
      </c>
      <c r="AY91" s="866">
        <f>+SUM(IS!AY68:AY69)</f>
        <v>-7.8470000000000013</v>
      </c>
      <c r="AZ91" s="868">
        <f>+SUM(IS!AZ68:AZ69)</f>
        <v>0</v>
      </c>
      <c r="BA91" s="868">
        <f>+SUM(IS!BA68:BA69)</f>
        <v>0</v>
      </c>
      <c r="BB91" s="868">
        <f>+SUM(IS!BB68:BB69)</f>
        <v>-11.756</v>
      </c>
      <c r="BC91" s="866">
        <f>+SUM(IS!BC68:BC69)</f>
        <v>0</v>
      </c>
      <c r="BD91" s="868">
        <f>+SUM(IS!BD68:BD69)</f>
        <v>0</v>
      </c>
      <c r="BE91" s="868">
        <f>+SUM(IS!BE68:BE69)</f>
        <v>0</v>
      </c>
      <c r="BF91" s="868">
        <f>+SUM(IS!BF68:BF69)</f>
        <v>0</v>
      </c>
      <c r="BG91" s="866">
        <f>+SUM(IS!BG68:BG69)</f>
        <v>0</v>
      </c>
      <c r="BH91" s="868">
        <f>+SUM(IS!BH68:BH69)</f>
        <v>0</v>
      </c>
      <c r="BI91" s="868">
        <f>+SUM(IS!BI68:BI69)</f>
        <v>0</v>
      </c>
      <c r="BJ91" s="868">
        <f>+SUM(IS!BJ68:BJ69)</f>
        <v>0</v>
      </c>
      <c r="BK91" s="866">
        <f>+SUM(IS!BK68:BK69)</f>
        <v>0</v>
      </c>
      <c r="BL91" s="868">
        <f>+SUM(IS!BL68:BL69)</f>
        <v>0</v>
      </c>
      <c r="BM91" s="868">
        <f>+SUM(IS!BM68:BM69)</f>
        <v>0</v>
      </c>
      <c r="BN91" s="868">
        <f>+SUM(IS!BN68:BN69)</f>
        <v>0</v>
      </c>
      <c r="BO91" s="866">
        <f>+SUM(IS!BO68:BO69)</f>
        <v>0</v>
      </c>
      <c r="BP91" s="868">
        <f>+SUM(IS!BP68:BP69)</f>
        <v>0</v>
      </c>
      <c r="BQ91" s="868">
        <f>+SUM(IS!BQ68:BQ69)</f>
        <v>0</v>
      </c>
      <c r="BR91" s="868">
        <f>+SUM(IS!BR68:BR69)</f>
        <v>0</v>
      </c>
      <c r="BS91" s="866">
        <f>+SUM(IS!BS68:BS69)</f>
        <v>0</v>
      </c>
      <c r="BT91" s="868">
        <f>+SUM(IS!BT68:BT69)</f>
        <v>0</v>
      </c>
      <c r="BU91" s="868">
        <f>+SUM(IS!BU68:BU69)</f>
        <v>0</v>
      </c>
      <c r="BV91" s="868">
        <f>+SUM(IS!BV68:BV69)</f>
        <v>0</v>
      </c>
      <c r="BW91" s="866">
        <f>+SUM(IS!BW68:BW69)</f>
        <v>0</v>
      </c>
      <c r="BX91" s="869"/>
      <c r="BY91" s="867">
        <f>SUM(D91:G91)</f>
        <v>3.3440000000000003</v>
      </c>
      <c r="BZ91" s="868">
        <f>SUM(H91:K91)</f>
        <v>4.6389999999999993</v>
      </c>
      <c r="CA91" s="868">
        <f>SUM(L91:O91)</f>
        <v>16.864000000000001</v>
      </c>
      <c r="CB91" s="868">
        <f>SUM(P91:S91)</f>
        <v>30.785999999999998</v>
      </c>
      <c r="CC91" s="868">
        <f>SUM(T91:W91)</f>
        <v>53.103000000000002</v>
      </c>
      <c r="CD91" s="868">
        <f>SUM(X91:AA91)</f>
        <v>45.356000000000002</v>
      </c>
      <c r="CE91" s="868">
        <f>SUM(AB91:AE91)</f>
        <v>3.1050000000000013</v>
      </c>
      <c r="CF91" s="868">
        <f>SUM(AF91:AI91)</f>
        <v>-15.825000000000003</v>
      </c>
      <c r="CG91" s="868">
        <f>SUM(AJ91:AM91)</f>
        <v>-15.519000000000002</v>
      </c>
      <c r="CH91" s="868">
        <f>SUM(AN91:AQ91)</f>
        <v>-16.273999999999994</v>
      </c>
      <c r="CI91" s="868">
        <f>SUM(AR91:AU91)</f>
        <v>-25.354999999999997</v>
      </c>
      <c r="CJ91" s="868">
        <f>SUM(AV91:AY91)</f>
        <v>-32.426000000000002</v>
      </c>
      <c r="CK91" s="868">
        <f>SUM(AZ91:BC91)</f>
        <v>-11.756</v>
      </c>
      <c r="CL91" s="868">
        <f>SUM(BD91:BG91)</f>
        <v>0</v>
      </c>
      <c r="CM91" s="868">
        <f>SUM(BH91:BK91)</f>
        <v>0</v>
      </c>
      <c r="CN91" s="868">
        <f>SUM(BL91:BO91)</f>
        <v>0</v>
      </c>
      <c r="CO91" s="868">
        <f>SUM(BP91:BS91)</f>
        <v>0</v>
      </c>
      <c r="CP91" s="868">
        <f>SUM(BT91:BW91)</f>
        <v>0</v>
      </c>
      <c r="CQ91" s="869"/>
      <c r="CR91" s="867">
        <f>SUM(G91:J91)</f>
        <v>3.262</v>
      </c>
      <c r="CS91" s="868">
        <f>SUM(K91:N91)</f>
        <v>13.420999999999999</v>
      </c>
      <c r="CT91" s="868">
        <f>SUM(O91:R91)</f>
        <v>26.65</v>
      </c>
      <c r="CU91" s="868">
        <f>SUM(S91:V91)</f>
        <v>48.557000000000002</v>
      </c>
      <c r="CV91" s="868">
        <f>SUM(W91:Z91)</f>
        <v>55.214999999999996</v>
      </c>
      <c r="CW91" s="868">
        <f>SUM(AA91:AD91)</f>
        <v>10.357000000000001</v>
      </c>
      <c r="CX91" s="868">
        <f>SUM(AE91:AH91)</f>
        <v>-13.632999999999997</v>
      </c>
      <c r="CY91" s="868">
        <f>SUM(AI91:AL91)</f>
        <v>-16.325000000000003</v>
      </c>
      <c r="CZ91" s="868">
        <f>SUM(AM91:AP91)</f>
        <v>-17.946000000000005</v>
      </c>
      <c r="DA91" s="868">
        <f>SUM(AQ91:AT91)</f>
        <v>-21.855999999999991</v>
      </c>
      <c r="DB91" s="868">
        <f>SUM(AU91:AX91)</f>
        <v>-30.840000000000003</v>
      </c>
      <c r="DC91" s="868">
        <f>SUM(AY91:BB91)</f>
        <v>-19.603000000000002</v>
      </c>
      <c r="DD91" s="868">
        <f>SUM(BC91:BF91)</f>
        <v>0</v>
      </c>
      <c r="DE91" s="868">
        <f>SUM(BG91:BJ91)</f>
        <v>0</v>
      </c>
      <c r="DF91" s="868">
        <f>SUM(BK91:BN91)</f>
        <v>0</v>
      </c>
      <c r="DG91" s="868">
        <f>SUM(BO91:BR91)</f>
        <v>0</v>
      </c>
      <c r="DH91" s="866">
        <f t="shared" si="627"/>
        <v>0</v>
      </c>
      <c r="DI91" s="1135"/>
    </row>
    <row r="92" spans="1:113" ht="14.25" customHeight="1">
      <c r="A92" s="950"/>
      <c r="B92" s="535" t="s">
        <v>90</v>
      </c>
      <c r="C92" s="1137"/>
      <c r="D92" s="1149">
        <f>+SUM(D88:D91)</f>
        <v>20.596000000000011</v>
      </c>
      <c r="E92" s="1149">
        <f t="shared" ref="E92:BD92" si="628">+SUM(E88:E91)</f>
        <v>45.182000000000002</v>
      </c>
      <c r="F92" s="1149">
        <f t="shared" si="628"/>
        <v>43.432999999999979</v>
      </c>
      <c r="G92" s="1150">
        <f t="shared" si="628"/>
        <v>43.039000000000044</v>
      </c>
      <c r="H92" s="1149">
        <f t="shared" si="628"/>
        <v>51.045999999999978</v>
      </c>
      <c r="I92" s="1149">
        <f t="shared" si="628"/>
        <v>52.080999999999996</v>
      </c>
      <c r="J92" s="1149">
        <f t="shared" si="628"/>
        <v>49.823000000000029</v>
      </c>
      <c r="K92" s="1150">
        <f t="shared" si="628"/>
        <v>50.041000000000018</v>
      </c>
      <c r="L92" s="1149">
        <f t="shared" si="628"/>
        <v>71.815000000000012</v>
      </c>
      <c r="M92" s="1149">
        <f t="shared" si="628"/>
        <v>70.797999999999973</v>
      </c>
      <c r="N92" s="1149">
        <f t="shared" si="628"/>
        <v>62.739999999999995</v>
      </c>
      <c r="O92" s="1150">
        <f t="shared" si="628"/>
        <v>76.906000000000034</v>
      </c>
      <c r="P92" s="1149">
        <f t="shared" si="628"/>
        <v>73.215999999999994</v>
      </c>
      <c r="Q92" s="1149">
        <f t="shared" si="628"/>
        <v>83.117999999999995</v>
      </c>
      <c r="R92" s="1149">
        <f t="shared" si="628"/>
        <v>49.183999999999976</v>
      </c>
      <c r="S92" s="1150">
        <f t="shared" si="628"/>
        <v>69.203999999999994</v>
      </c>
      <c r="T92" s="1149">
        <f t="shared" si="628"/>
        <v>88.682000000000059</v>
      </c>
      <c r="U92" s="1149">
        <f t="shared" si="628"/>
        <v>89.910000000000011</v>
      </c>
      <c r="V92" s="1149">
        <f t="shared" si="628"/>
        <v>86.928999999999974</v>
      </c>
      <c r="W92" s="1150">
        <f t="shared" si="628"/>
        <v>95.263999999999996</v>
      </c>
      <c r="X92" s="1149">
        <f t="shared" si="628"/>
        <v>80.899000000000015</v>
      </c>
      <c r="Y92" s="1149">
        <f t="shared" si="628"/>
        <v>91.203999999999979</v>
      </c>
      <c r="Z92" s="1149">
        <f t="shared" si="628"/>
        <v>86.192000000000007</v>
      </c>
      <c r="AA92" s="1150">
        <f t="shared" si="628"/>
        <v>72.509000000000015</v>
      </c>
      <c r="AB92" s="1149">
        <f t="shared" si="628"/>
        <v>74.343000000000032</v>
      </c>
      <c r="AC92" s="1149">
        <f t="shared" si="628"/>
        <v>51.699000000000026</v>
      </c>
      <c r="AD92" s="1149">
        <f t="shared" si="628"/>
        <v>34.481999999999992</v>
      </c>
      <c r="AE92" s="1150">
        <f t="shared" si="628"/>
        <v>33.001999999999995</v>
      </c>
      <c r="AF92" s="1149">
        <f t="shared" si="628"/>
        <v>44.317000000000014</v>
      </c>
      <c r="AG92" s="1149">
        <f t="shared" si="628"/>
        <v>59.963000000000008</v>
      </c>
      <c r="AH92" s="1149">
        <f t="shared" si="628"/>
        <v>64.49799999999999</v>
      </c>
      <c r="AI92" s="1150">
        <f t="shared" si="628"/>
        <v>79.021000000000072</v>
      </c>
      <c r="AJ92" s="1149">
        <f t="shared" si="628"/>
        <v>91.896999999999991</v>
      </c>
      <c r="AK92" s="1149">
        <f t="shared" si="628"/>
        <v>103.94100000000002</v>
      </c>
      <c r="AL92" s="1149">
        <f t="shared" si="628"/>
        <v>96.115000000000023</v>
      </c>
      <c r="AM92" s="1150">
        <f t="shared" si="628"/>
        <v>111.31399999999987</v>
      </c>
      <c r="AN92" s="1149">
        <f t="shared" si="628"/>
        <v>98.848000000000027</v>
      </c>
      <c r="AO92" s="1149">
        <f t="shared" si="628"/>
        <v>80.302999999999983</v>
      </c>
      <c r="AP92" s="1149">
        <f t="shared" si="628"/>
        <v>90.47499999999998</v>
      </c>
      <c r="AQ92" s="1150">
        <f t="shared" si="628"/>
        <v>108.899</v>
      </c>
      <c r="AR92" s="1149">
        <f t="shared" si="628"/>
        <v>101.84100000000001</v>
      </c>
      <c r="AS92" s="1149">
        <f t="shared" si="628"/>
        <v>84.978999999999999</v>
      </c>
      <c r="AT92" s="1149">
        <f t="shared" si="628"/>
        <v>85.968000000000004</v>
      </c>
      <c r="AU92" s="1150">
        <f t="shared" si="628"/>
        <v>105.3220000000001</v>
      </c>
      <c r="AV92" s="1149">
        <f t="shared" si="628"/>
        <v>102.08599999999997</v>
      </c>
      <c r="AW92" s="1149">
        <f t="shared" si="628"/>
        <v>115.55399999999992</v>
      </c>
      <c r="AX92" s="1149">
        <f t="shared" si="628"/>
        <v>115.96500000000005</v>
      </c>
      <c r="AY92" s="1150">
        <f t="shared" si="628"/>
        <v>117.63000000000005</v>
      </c>
      <c r="AZ92" s="1149">
        <f t="shared" si="628"/>
        <v>126.03</v>
      </c>
      <c r="BA92" s="1149">
        <f t="shared" si="628"/>
        <v>132.10700000000008</v>
      </c>
      <c r="BB92" s="1149">
        <f t="shared" si="628"/>
        <v>118.99500000000006</v>
      </c>
      <c r="BC92" s="1150">
        <f t="shared" si="628"/>
        <v>142.30799999999994</v>
      </c>
      <c r="BD92" s="1149">
        <f t="shared" si="628"/>
        <v>136.68799999999999</v>
      </c>
      <c r="BE92" s="1149">
        <f>+SUM(BE88:BE91)</f>
        <v>134.31099999999995</v>
      </c>
      <c r="BF92" s="1149">
        <f>+SUM(BF88:BF91)</f>
        <v>145.67600000000002</v>
      </c>
      <c r="BG92" s="1150">
        <f>+SUM(BG88:BG91)</f>
        <v>158.428</v>
      </c>
      <c r="BH92" s="1149">
        <f t="shared" ref="BH92" si="629">+SUM(BH88:BH91)</f>
        <v>189.33899999999997</v>
      </c>
      <c r="BI92" s="1149">
        <f>+SUM(BI88:BI91)</f>
        <v>242.62300000000005</v>
      </c>
      <c r="BJ92" s="1149">
        <f>+SUM(BJ88:BJ91)</f>
        <v>269.94200000000001</v>
      </c>
      <c r="BK92" s="1150">
        <f t="shared" ref="BK92:BO92" si="630">+SUM(BK88:BK91)</f>
        <v>292.202</v>
      </c>
      <c r="BL92" s="1149">
        <f t="shared" si="630"/>
        <v>327.63</v>
      </c>
      <c r="BM92" s="1149">
        <f t="shared" si="630"/>
        <v>312.01600000000013</v>
      </c>
      <c r="BN92" s="1149">
        <f t="shared" si="630"/>
        <v>309.69499999999988</v>
      </c>
      <c r="BO92" s="1150">
        <f t="shared" si="630"/>
        <v>309.9591034125126</v>
      </c>
      <c r="BP92" s="1149">
        <f t="shared" ref="BP92:BW92" si="631">+SUM(BP88:BP91)</f>
        <v>346.52250707278779</v>
      </c>
      <c r="BQ92" s="1149">
        <f t="shared" si="631"/>
        <v>360.71259916821856</v>
      </c>
      <c r="BR92" s="1149">
        <f t="shared" si="631"/>
        <v>362.75467240037693</v>
      </c>
      <c r="BS92" s="1150">
        <f t="shared" si="631"/>
        <v>348.37402192203655</v>
      </c>
      <c r="BT92" s="1149">
        <f t="shared" si="631"/>
        <v>365.53432111207326</v>
      </c>
      <c r="BU92" s="1149">
        <f t="shared" si="631"/>
        <v>377.64607397572223</v>
      </c>
      <c r="BV92" s="1149">
        <f t="shared" si="631"/>
        <v>380.9315831789861</v>
      </c>
      <c r="BW92" s="1150">
        <f t="shared" si="631"/>
        <v>366.88766537249654</v>
      </c>
      <c r="BX92" s="1154"/>
      <c r="BY92" s="1151">
        <f>SUM(BY88:BY91)</f>
        <v>152.25000000000006</v>
      </c>
      <c r="BZ92" s="1152">
        <f t="shared" ref="BZ92:CL92" si="632">SUM(BZ88:BZ91)</f>
        <v>202.99099999999999</v>
      </c>
      <c r="CA92" s="1152">
        <f t="shared" si="632"/>
        <v>282.25899999999996</v>
      </c>
      <c r="CB92" s="1152">
        <f t="shared" si="632"/>
        <v>274.72199999999992</v>
      </c>
      <c r="CC92" s="1152">
        <f t="shared" si="632"/>
        <v>360.78500000000003</v>
      </c>
      <c r="CD92" s="1152">
        <f t="shared" si="632"/>
        <v>330.80399999999997</v>
      </c>
      <c r="CE92" s="1152">
        <f t="shared" si="632"/>
        <v>193.52600000000004</v>
      </c>
      <c r="CF92" s="1152">
        <f t="shared" si="632"/>
        <v>247.79900000000021</v>
      </c>
      <c r="CG92" s="1152">
        <f t="shared" si="632"/>
        <v>403.26699999999983</v>
      </c>
      <c r="CH92" s="1152">
        <f t="shared" si="632"/>
        <v>378.52500000000003</v>
      </c>
      <c r="CI92" s="1152">
        <f t="shared" si="632"/>
        <v>378.11000000000013</v>
      </c>
      <c r="CJ92" s="1152">
        <f t="shared" si="632"/>
        <v>451.23500000000001</v>
      </c>
      <c r="CK92" s="1152">
        <f t="shared" si="632"/>
        <v>519.44000000000028</v>
      </c>
      <c r="CL92" s="1152">
        <f t="shared" si="632"/>
        <v>575.10299999999995</v>
      </c>
      <c r="CM92" s="1152">
        <f>SUM(CM88:CM91)</f>
        <v>994.10599999999999</v>
      </c>
      <c r="CN92" s="1152">
        <f>SUM(CN88:CN91)</f>
        <v>1259.3001034125125</v>
      </c>
      <c r="CO92" s="1152">
        <f>SUM(CO88:CO91)</f>
        <v>1418.3638005634198</v>
      </c>
      <c r="CP92" s="1152">
        <f>SUM(CP88:CP91)</f>
        <v>1490.9996436392785</v>
      </c>
      <c r="CQ92" s="1154"/>
      <c r="CR92" s="1151">
        <f>SUM(CR88:CR91)</f>
        <v>195.98900000000003</v>
      </c>
      <c r="CS92" s="1152">
        <f t="shared" ref="CS92:DD92" si="633">SUM(CS88:CS91)</f>
        <v>255.39400000000001</v>
      </c>
      <c r="CT92" s="1152">
        <f t="shared" si="633"/>
        <v>282.42400000000004</v>
      </c>
      <c r="CU92" s="1152">
        <f t="shared" si="633"/>
        <v>334.72500000000008</v>
      </c>
      <c r="CV92" s="1152">
        <f t="shared" si="633"/>
        <v>353.55900000000003</v>
      </c>
      <c r="CW92" s="1152">
        <f t="shared" si="633"/>
        <v>233.03300000000004</v>
      </c>
      <c r="CX92" s="1152">
        <f t="shared" si="633"/>
        <v>201.78</v>
      </c>
      <c r="CY92" s="1152">
        <f t="shared" si="633"/>
        <v>370.97400000000005</v>
      </c>
      <c r="CZ92" s="1152">
        <f t="shared" si="633"/>
        <v>380.93999999999977</v>
      </c>
      <c r="DA92" s="1152">
        <f t="shared" si="633"/>
        <v>381.68700000000007</v>
      </c>
      <c r="DB92" s="1152">
        <f t="shared" si="633"/>
        <v>438.92700000000002</v>
      </c>
      <c r="DC92" s="1152">
        <f t="shared" si="633"/>
        <v>494.76200000000011</v>
      </c>
      <c r="DD92" s="1152">
        <f t="shared" si="633"/>
        <v>558.98299999999995</v>
      </c>
      <c r="DE92" s="1152">
        <f>SUM(DE88:DE91)</f>
        <v>860.33199999999999</v>
      </c>
      <c r="DF92" s="1152">
        <f>SUM(DF88:DF91)</f>
        <v>1241.5429999999999</v>
      </c>
      <c r="DG92" s="1152">
        <f>SUM(DG88:DG91)</f>
        <v>1379.9488820538961</v>
      </c>
      <c r="DH92" s="1153">
        <f>SUM(DH88:DH91)</f>
        <v>1472.4860001888183</v>
      </c>
      <c r="DI92" s="950"/>
    </row>
    <row r="93" spans="1:113" ht="14.25" customHeight="1">
      <c r="A93" s="68"/>
      <c r="B93" s="202"/>
      <c r="C93" s="215"/>
      <c r="D93" s="1130"/>
      <c r="E93" s="1130"/>
      <c r="F93" s="1130"/>
      <c r="G93" s="1144"/>
      <c r="H93" s="1130"/>
      <c r="I93" s="1130"/>
      <c r="J93" s="1130"/>
      <c r="K93" s="1144"/>
      <c r="L93" s="1130"/>
      <c r="M93" s="1130"/>
      <c r="N93" s="1130"/>
      <c r="O93" s="1144"/>
      <c r="P93" s="1130"/>
      <c r="Q93" s="1130"/>
      <c r="R93" s="1130"/>
      <c r="S93" s="1144"/>
      <c r="T93" s="1130"/>
      <c r="U93" s="1130"/>
      <c r="V93" s="1130"/>
      <c r="W93" s="1144"/>
      <c r="X93" s="1130"/>
      <c r="Y93" s="1130"/>
      <c r="Z93" s="1130"/>
      <c r="AA93" s="1144"/>
      <c r="AB93" s="1130"/>
      <c r="AC93" s="1130"/>
      <c r="AD93" s="1130"/>
      <c r="AE93" s="1144"/>
      <c r="AF93" s="1130"/>
      <c r="AG93" s="1130"/>
      <c r="AH93" s="1130"/>
      <c r="AI93" s="1144"/>
      <c r="AJ93" s="1130"/>
      <c r="AK93" s="1130"/>
      <c r="AL93" s="1130"/>
      <c r="AM93" s="1144"/>
      <c r="AN93" s="1130"/>
      <c r="AO93" s="1130"/>
      <c r="AP93" s="1130"/>
      <c r="AQ93" s="1144"/>
      <c r="AR93" s="1130"/>
      <c r="AS93" s="1130"/>
      <c r="AT93" s="1130"/>
      <c r="AU93" s="1144"/>
      <c r="AV93" s="1130"/>
      <c r="AW93" s="1130"/>
      <c r="AX93" s="1130"/>
      <c r="AY93" s="1144"/>
      <c r="AZ93" s="1130"/>
      <c r="BA93" s="1130"/>
      <c r="BB93" s="1130"/>
      <c r="BC93" s="1144"/>
      <c r="BD93" s="1130"/>
      <c r="BE93" s="1130"/>
      <c r="BF93" s="1130"/>
      <c r="BG93" s="1144"/>
      <c r="BH93" s="1130"/>
      <c r="BI93" s="1130"/>
      <c r="BJ93" s="1130"/>
      <c r="BK93" s="1144"/>
      <c r="BL93" s="1130"/>
      <c r="BM93" s="1130"/>
      <c r="BN93" s="1130"/>
      <c r="BO93" s="1144"/>
      <c r="BP93" s="1130"/>
      <c r="BQ93" s="1130"/>
      <c r="BR93" s="1130"/>
      <c r="BS93" s="1144"/>
      <c r="BT93" s="1130"/>
      <c r="BU93" s="1130"/>
      <c r="BV93" s="1130"/>
      <c r="BW93" s="1144"/>
      <c r="BX93" s="160"/>
      <c r="BY93" s="566"/>
      <c r="BZ93" s="559"/>
      <c r="CA93" s="559"/>
      <c r="CB93" s="559"/>
      <c r="CC93" s="559"/>
      <c r="CD93" s="559"/>
      <c r="CE93" s="559"/>
      <c r="CF93" s="559"/>
      <c r="CG93" s="559"/>
      <c r="CH93" s="559"/>
      <c r="CI93" s="559"/>
      <c r="CJ93" s="559"/>
      <c r="CK93" s="559"/>
      <c r="CL93" s="559"/>
      <c r="CM93" s="559"/>
      <c r="CN93" s="559"/>
      <c r="CO93" s="559"/>
      <c r="CP93" s="559"/>
      <c r="CQ93" s="160"/>
      <c r="CR93" s="566"/>
      <c r="CS93" s="559"/>
      <c r="CT93" s="559"/>
      <c r="CU93" s="559"/>
      <c r="CV93" s="559"/>
      <c r="CW93" s="559"/>
      <c r="CX93" s="559"/>
      <c r="CY93" s="559"/>
      <c r="CZ93" s="559"/>
      <c r="DA93" s="559"/>
      <c r="DB93" s="559"/>
      <c r="DC93" s="559"/>
      <c r="DD93" s="559"/>
      <c r="DE93" s="559"/>
      <c r="DF93" s="559"/>
      <c r="DG93" s="559"/>
      <c r="DH93" s="590"/>
      <c r="DI93" s="68"/>
    </row>
    <row r="94" spans="1:113" ht="14.25" customHeight="1">
      <c r="A94" s="68"/>
      <c r="B94" s="202"/>
      <c r="C94" s="215"/>
      <c r="D94" s="1130"/>
      <c r="E94" s="1130"/>
      <c r="F94" s="1130"/>
      <c r="G94" s="1144"/>
      <c r="H94" s="1130"/>
      <c r="I94" s="1130"/>
      <c r="J94" s="1130"/>
      <c r="K94" s="1144"/>
      <c r="L94" s="1130"/>
      <c r="M94" s="1130"/>
      <c r="N94" s="1130"/>
      <c r="O94" s="1144"/>
      <c r="P94" s="1130"/>
      <c r="Q94" s="1130"/>
      <c r="R94" s="1130"/>
      <c r="S94" s="1144"/>
      <c r="T94" s="1130"/>
      <c r="U94" s="1130"/>
      <c r="V94" s="1130"/>
      <c r="W94" s="1144"/>
      <c r="X94" s="1130"/>
      <c r="Y94" s="1130"/>
      <c r="Z94" s="1130"/>
      <c r="AA94" s="1144"/>
      <c r="AB94" s="1130"/>
      <c r="AC94" s="1130"/>
      <c r="AD94" s="1130"/>
      <c r="AE94" s="1144"/>
      <c r="AF94" s="1130"/>
      <c r="AG94" s="1130"/>
      <c r="AH94" s="1130"/>
      <c r="AI94" s="1144"/>
      <c r="AJ94" s="1130"/>
      <c r="AK94" s="1130"/>
      <c r="AL94" s="1130"/>
      <c r="AM94" s="1144"/>
      <c r="AN94" s="1130"/>
      <c r="AO94" s="1130"/>
      <c r="AP94" s="1130"/>
      <c r="AQ94" s="1144"/>
      <c r="AR94" s="1130"/>
      <c r="AS94" s="1130"/>
      <c r="AT94" s="1130"/>
      <c r="AU94" s="1144"/>
      <c r="AV94" s="1130"/>
      <c r="AW94" s="1130"/>
      <c r="AX94" s="1130"/>
      <c r="AY94" s="1144"/>
      <c r="AZ94" s="1130"/>
      <c r="BA94" s="1130"/>
      <c r="BB94" s="1130"/>
      <c r="BC94" s="1144"/>
      <c r="BD94" s="1130"/>
      <c r="BE94" s="1130"/>
      <c r="BF94" s="1130"/>
      <c r="BG94" s="1144"/>
      <c r="BH94" s="1130"/>
      <c r="BI94" s="1130"/>
      <c r="BJ94" s="1130"/>
      <c r="BK94" s="1144"/>
      <c r="BL94" s="1130"/>
      <c r="BM94" s="1130"/>
      <c r="BN94" s="1130"/>
      <c r="BO94" s="1144"/>
      <c r="BP94" s="1130"/>
      <c r="BQ94" s="1130"/>
      <c r="BR94" s="1130"/>
      <c r="BS94" s="1144"/>
      <c r="BT94" s="1130"/>
      <c r="BU94" s="1130"/>
      <c r="BV94" s="1130"/>
      <c r="BW94" s="1144"/>
      <c r="BX94" s="160"/>
      <c r="BY94" s="566"/>
      <c r="BZ94" s="559"/>
      <c r="CA94" s="559"/>
      <c r="CB94" s="559"/>
      <c r="CC94" s="559"/>
      <c r="CD94" s="559"/>
      <c r="CE94" s="559"/>
      <c r="CF94" s="559"/>
      <c r="CG94" s="559"/>
      <c r="CH94" s="559"/>
      <c r="CI94" s="559"/>
      <c r="CJ94" s="559"/>
      <c r="CK94" s="559"/>
      <c r="CL94" s="559"/>
      <c r="CM94" s="559"/>
      <c r="CN94" s="559"/>
      <c r="CO94" s="559"/>
      <c r="CP94" s="559"/>
      <c r="CQ94" s="160"/>
      <c r="CR94" s="566"/>
      <c r="CS94" s="559"/>
      <c r="CT94" s="559"/>
      <c r="CU94" s="559"/>
      <c r="CV94" s="559"/>
      <c r="CW94" s="559"/>
      <c r="CX94" s="559"/>
      <c r="CY94" s="559"/>
      <c r="CZ94" s="559"/>
      <c r="DA94" s="559"/>
      <c r="DB94" s="559"/>
      <c r="DC94" s="559"/>
      <c r="DD94" s="559"/>
      <c r="DE94" s="559"/>
      <c r="DF94" s="559"/>
      <c r="DG94" s="559"/>
      <c r="DH94" s="590"/>
      <c r="DI94" s="68"/>
    </row>
    <row r="95" spans="1:113" ht="14.25" customHeight="1">
      <c r="A95" s="8"/>
      <c r="B95" s="22" t="s">
        <v>464</v>
      </c>
      <c r="C95" s="232"/>
      <c r="D95" s="348">
        <f t="shared" ref="D95:O95" si="634">D26+D29</f>
        <v>45.998000000000005</v>
      </c>
      <c r="E95" s="349">
        <f t="shared" si="634"/>
        <v>40.403999999999996</v>
      </c>
      <c r="F95" s="349">
        <f t="shared" si="634"/>
        <v>54.179000000000002</v>
      </c>
      <c r="G95" s="888">
        <f t="shared" si="634"/>
        <v>39.219000000000051</v>
      </c>
      <c r="H95" s="349">
        <f t="shared" si="634"/>
        <v>57.47499999999998</v>
      </c>
      <c r="I95" s="349">
        <f t="shared" si="634"/>
        <v>66.439999999999984</v>
      </c>
      <c r="J95" s="349">
        <f t="shared" si="634"/>
        <v>84.411000000000016</v>
      </c>
      <c r="K95" s="888">
        <f t="shared" si="634"/>
        <v>71.247000000000014</v>
      </c>
      <c r="L95" s="348">
        <f t="shared" si="634"/>
        <v>90.927000000000007</v>
      </c>
      <c r="M95" s="349">
        <f t="shared" si="634"/>
        <v>59.97799999999998</v>
      </c>
      <c r="N95" s="349">
        <f t="shared" si="634"/>
        <v>89.216999999999985</v>
      </c>
      <c r="O95" s="888">
        <f t="shared" si="634"/>
        <v>49.377000000000017</v>
      </c>
      <c r="P95" s="348">
        <f t="shared" ref="P95:AP95" si="635">P26+P29</f>
        <v>79.202999999999989</v>
      </c>
      <c r="Q95" s="349">
        <f t="shared" si="635"/>
        <v>98.692000000000007</v>
      </c>
      <c r="R95" s="349">
        <f t="shared" si="635"/>
        <v>102.34699999999998</v>
      </c>
      <c r="S95" s="888">
        <f t="shared" si="635"/>
        <v>80.786999999999992</v>
      </c>
      <c r="T95" s="348">
        <f t="shared" si="635"/>
        <v>113.15800000000003</v>
      </c>
      <c r="U95" s="349">
        <f t="shared" si="635"/>
        <v>101.66300000000001</v>
      </c>
      <c r="V95" s="349">
        <f t="shared" si="635"/>
        <v>91.58799999999998</v>
      </c>
      <c r="W95" s="888">
        <f t="shared" si="635"/>
        <v>63.320999999999998</v>
      </c>
      <c r="X95" s="348">
        <f t="shared" si="635"/>
        <v>97.160000000000025</v>
      </c>
      <c r="Y95" s="349">
        <f t="shared" si="635"/>
        <v>93.631999999999977</v>
      </c>
      <c r="Z95" s="349">
        <f t="shared" si="635"/>
        <v>120.29000000000002</v>
      </c>
      <c r="AA95" s="888">
        <f t="shared" si="635"/>
        <v>66.397999999999996</v>
      </c>
      <c r="AB95" s="348">
        <f t="shared" si="635"/>
        <v>101.34600000000002</v>
      </c>
      <c r="AC95" s="349">
        <f t="shared" si="635"/>
        <v>98.125000000000028</v>
      </c>
      <c r="AD95" s="349">
        <f t="shared" si="635"/>
        <v>-26.724000000000011</v>
      </c>
      <c r="AE95" s="888">
        <f t="shared" si="635"/>
        <v>33.535999999999994</v>
      </c>
      <c r="AF95" s="348">
        <f t="shared" si="635"/>
        <v>111.31100000000001</v>
      </c>
      <c r="AG95" s="349">
        <f t="shared" si="635"/>
        <v>122.048</v>
      </c>
      <c r="AH95" s="349">
        <f t="shared" si="635"/>
        <v>82.244</v>
      </c>
      <c r="AI95" s="888">
        <f t="shared" si="635"/>
        <v>88.840000000000032</v>
      </c>
      <c r="AJ95" s="348">
        <f t="shared" si="635"/>
        <v>99.215000000000003</v>
      </c>
      <c r="AK95" s="349">
        <f t="shared" si="635"/>
        <v>126.29500000000002</v>
      </c>
      <c r="AL95" s="349">
        <f t="shared" si="635"/>
        <v>104.50000000000003</v>
      </c>
      <c r="AM95" s="888">
        <f t="shared" si="635"/>
        <v>128.19699999999989</v>
      </c>
      <c r="AN95" s="263">
        <f t="shared" si="635"/>
        <v>56.086000000000006</v>
      </c>
      <c r="AO95" s="349">
        <f>AO26+AO29</f>
        <v>129.52399999999997</v>
      </c>
      <c r="AP95" s="263">
        <f t="shared" si="635"/>
        <v>49.805999999999983</v>
      </c>
      <c r="AQ95" s="888">
        <f>AQ26+AQ29</f>
        <v>98.672000000000011</v>
      </c>
      <c r="AR95" s="263">
        <f>AR26+AR29</f>
        <v>118.667</v>
      </c>
      <c r="AS95" s="349">
        <f>AS26+AS29</f>
        <v>47.391999999999996</v>
      </c>
      <c r="AT95" s="263">
        <f>AT26+AT29</f>
        <v>119.04300000000003</v>
      </c>
      <c r="AU95" s="888">
        <f t="shared" ref="AU95:BC95" si="636">AU26+AU29</f>
        <v>110.25900000000009</v>
      </c>
      <c r="AV95" s="263">
        <f t="shared" si="636"/>
        <v>136.67399999999995</v>
      </c>
      <c r="AW95" s="263">
        <f t="shared" si="636"/>
        <v>127.47499999999992</v>
      </c>
      <c r="AX95" s="263">
        <f t="shared" si="636"/>
        <v>129.53800000000004</v>
      </c>
      <c r="AY95" s="888">
        <f t="shared" si="636"/>
        <v>169.80500000000006</v>
      </c>
      <c r="AZ95" s="263">
        <f t="shared" si="636"/>
        <v>121.15099999999998</v>
      </c>
      <c r="BA95" s="263">
        <f t="shared" si="636"/>
        <v>153.31100000000004</v>
      </c>
      <c r="BB95" s="263">
        <f t="shared" si="636"/>
        <v>148.19600000000003</v>
      </c>
      <c r="BC95" s="888">
        <f t="shared" si="636"/>
        <v>149.05199999999996</v>
      </c>
      <c r="BD95" s="263">
        <f t="shared" ref="BD95:BK95" si="637">BD26+BD29</f>
        <v>147.917</v>
      </c>
      <c r="BE95" s="263">
        <f>BE26+BE29</f>
        <v>119.9429999999999</v>
      </c>
      <c r="BF95" s="263">
        <f>BF26+BF29</f>
        <v>192.52500000000006</v>
      </c>
      <c r="BG95" s="888">
        <f>BG26+BG29</f>
        <v>186.07300000000004</v>
      </c>
      <c r="BH95" s="263">
        <f t="shared" ref="BH95" si="638">BH26+BH29</f>
        <v>205.47299999999993</v>
      </c>
      <c r="BI95" s="263">
        <f>BI26+BI29</f>
        <v>203.97100000000006</v>
      </c>
      <c r="BJ95" s="263">
        <f>BJ26+BJ29</f>
        <v>275.11</v>
      </c>
      <c r="BK95" s="888">
        <f t="shared" si="637"/>
        <v>299.58800000000008</v>
      </c>
      <c r="BL95" s="263">
        <f t="shared" ref="BL95:BS95" si="639">BL26+BL29</f>
        <v>322.86200000000002</v>
      </c>
      <c r="BM95" s="263">
        <f t="shared" si="639"/>
        <v>290.23599999999999</v>
      </c>
      <c r="BN95" s="263">
        <f t="shared" si="639"/>
        <v>298.572</v>
      </c>
      <c r="BO95" s="888">
        <f t="shared" si="639"/>
        <v>319.31588899740154</v>
      </c>
      <c r="BP95" s="263">
        <f t="shared" si="639"/>
        <v>338.91650684442101</v>
      </c>
      <c r="BQ95" s="263">
        <f t="shared" si="639"/>
        <v>341.21517274139086</v>
      </c>
      <c r="BR95" s="263">
        <f t="shared" si="639"/>
        <v>368.16356499803402</v>
      </c>
      <c r="BS95" s="888">
        <f t="shared" si="639"/>
        <v>366.30572423647487</v>
      </c>
      <c r="BT95" s="263">
        <f t="shared" ref="BT95:BW95" si="640">BT26+BT29</f>
        <v>361.83657734530306</v>
      </c>
      <c r="BU95" s="263">
        <f t="shared" si="640"/>
        <v>363.67683069109029</v>
      </c>
      <c r="BV95" s="263">
        <f t="shared" si="640"/>
        <v>404.17270127979953</v>
      </c>
      <c r="BW95" s="888">
        <f t="shared" si="640"/>
        <v>386.97921659625217</v>
      </c>
      <c r="BX95" s="20"/>
      <c r="BY95" s="348">
        <f>BY26+BY29</f>
        <v>179.8</v>
      </c>
      <c r="BZ95" s="349">
        <f>BZ26+BZ29</f>
        <v>279.57299999999998</v>
      </c>
      <c r="CA95" s="349">
        <f>CA26+CA29</f>
        <v>289.49899999999997</v>
      </c>
      <c r="CB95" s="349">
        <f t="shared" ref="CB95:CH95" si="641">CB26+CB29</f>
        <v>361.029</v>
      </c>
      <c r="CC95" s="349">
        <f t="shared" si="641"/>
        <v>369.72999999999996</v>
      </c>
      <c r="CD95" s="349">
        <f t="shared" si="641"/>
        <v>377.47999999999996</v>
      </c>
      <c r="CE95" s="349">
        <f t="shared" si="641"/>
        <v>206.28300000000007</v>
      </c>
      <c r="CF95" s="349">
        <f t="shared" si="641"/>
        <v>404.44300000000004</v>
      </c>
      <c r="CG95" s="349">
        <f t="shared" si="641"/>
        <v>458.20699999999982</v>
      </c>
      <c r="CH95" s="349">
        <f t="shared" si="641"/>
        <v>334.08799999999997</v>
      </c>
      <c r="CI95" s="349">
        <f t="shared" ref="CI95:CN95" si="642">CI26+CI29</f>
        <v>395.36100000000016</v>
      </c>
      <c r="CJ95" s="349">
        <f t="shared" si="642"/>
        <v>563.49199999999996</v>
      </c>
      <c r="CK95" s="349">
        <f t="shared" si="642"/>
        <v>571.71000000000015</v>
      </c>
      <c r="CL95" s="349">
        <f t="shared" si="642"/>
        <v>646.45800000000008</v>
      </c>
      <c r="CM95" s="349">
        <f t="shared" si="642"/>
        <v>984.14200000000005</v>
      </c>
      <c r="CN95" s="349">
        <f t="shared" si="642"/>
        <v>1230.9858889974014</v>
      </c>
      <c r="CO95" s="349">
        <f>CO26+CO29</f>
        <v>1414.6009688203208</v>
      </c>
      <c r="CP95" s="349">
        <f>CP26+CP29</f>
        <v>1516.665325912445</v>
      </c>
      <c r="CQ95" s="20"/>
      <c r="CR95" s="348">
        <f>CR26+CR29</f>
        <v>247.54499999999999</v>
      </c>
      <c r="CS95" s="349">
        <f>CS26+CS29</f>
        <v>311.36900000000003</v>
      </c>
      <c r="CT95" s="349">
        <f>CT26+CT29</f>
        <v>329.61899999999997</v>
      </c>
      <c r="CU95" s="349">
        <f t="shared" ref="CU95:DA95" si="643">CU26+CU29</f>
        <v>387.19599999999991</v>
      </c>
      <c r="CV95" s="349">
        <f t="shared" si="643"/>
        <v>374.40300000000002</v>
      </c>
      <c r="CW95" s="349">
        <f t="shared" si="643"/>
        <v>239.14500000000001</v>
      </c>
      <c r="CX95" s="349">
        <f t="shared" si="643"/>
        <v>349.13900000000001</v>
      </c>
      <c r="CY95" s="349">
        <f t="shared" si="643"/>
        <v>418.85</v>
      </c>
      <c r="CZ95" s="349">
        <f t="shared" si="643"/>
        <v>363.61299999999983</v>
      </c>
      <c r="DA95" s="349">
        <f t="shared" si="643"/>
        <v>383.77400000000006</v>
      </c>
      <c r="DB95" s="349">
        <f t="shared" ref="DB95:DG95" si="644">DB26+DB29</f>
        <v>503.94600000000014</v>
      </c>
      <c r="DC95" s="349">
        <f t="shared" si="644"/>
        <v>592.46300000000019</v>
      </c>
      <c r="DD95" s="349">
        <f t="shared" si="644"/>
        <v>609.43700000000001</v>
      </c>
      <c r="DE95" s="349">
        <f t="shared" si="644"/>
        <v>870.62699999999995</v>
      </c>
      <c r="DF95" s="349">
        <f t="shared" si="644"/>
        <v>1211.258</v>
      </c>
      <c r="DG95" s="349">
        <f t="shared" si="644"/>
        <v>1367.6111335812475</v>
      </c>
      <c r="DH95" s="349">
        <f t="shared" ref="DH95" si="645">DH26+DH29</f>
        <v>1495.9918335526679</v>
      </c>
      <c r="DI95" s="22"/>
    </row>
    <row r="96" spans="1:113" ht="14.25" customHeight="1">
      <c r="A96" s="8"/>
      <c r="B96" s="15" t="s">
        <v>465</v>
      </c>
      <c r="C96" s="16"/>
      <c r="D96" s="266">
        <f t="shared" ref="D96:O96" si="646">D95-D13</f>
        <v>45.998000000000005</v>
      </c>
      <c r="E96" s="264">
        <f t="shared" si="646"/>
        <v>40.403999999999996</v>
      </c>
      <c r="F96" s="264">
        <f t="shared" si="646"/>
        <v>54.179000000000002</v>
      </c>
      <c r="G96" s="265">
        <f t="shared" si="646"/>
        <v>39.219000000000051</v>
      </c>
      <c r="H96" s="264">
        <f t="shared" si="646"/>
        <v>57.47499999999998</v>
      </c>
      <c r="I96" s="264">
        <f t="shared" si="646"/>
        <v>66.439999999999984</v>
      </c>
      <c r="J96" s="264">
        <f t="shared" si="646"/>
        <v>84.411000000000016</v>
      </c>
      <c r="K96" s="265">
        <f t="shared" si="646"/>
        <v>71.247000000000014</v>
      </c>
      <c r="L96" s="266">
        <f t="shared" si="646"/>
        <v>90.927000000000007</v>
      </c>
      <c r="M96" s="264">
        <f t="shared" si="646"/>
        <v>59.97799999999998</v>
      </c>
      <c r="N96" s="264">
        <f t="shared" si="646"/>
        <v>89.216999999999985</v>
      </c>
      <c r="O96" s="265">
        <f t="shared" si="646"/>
        <v>49.377000000000017</v>
      </c>
      <c r="P96" s="266">
        <f t="shared" ref="P96:BD96" si="647">P95-P13</f>
        <v>79.164999999999992</v>
      </c>
      <c r="Q96" s="264">
        <f t="shared" si="647"/>
        <v>98.64500000000001</v>
      </c>
      <c r="R96" s="264">
        <f t="shared" si="647"/>
        <v>102.15599999999998</v>
      </c>
      <c r="S96" s="265">
        <f t="shared" si="647"/>
        <v>80.484999999999985</v>
      </c>
      <c r="T96" s="266">
        <f t="shared" si="647"/>
        <v>107.35300000000004</v>
      </c>
      <c r="U96" s="264">
        <f t="shared" si="647"/>
        <v>95.495000000000005</v>
      </c>
      <c r="V96" s="264">
        <f t="shared" si="647"/>
        <v>83.84699999999998</v>
      </c>
      <c r="W96" s="265">
        <f t="shared" si="647"/>
        <v>55.655999999999992</v>
      </c>
      <c r="X96" s="266">
        <f t="shared" si="647"/>
        <v>89.127000000000024</v>
      </c>
      <c r="Y96" s="264">
        <f t="shared" si="647"/>
        <v>85.860999999999976</v>
      </c>
      <c r="Z96" s="264">
        <f t="shared" si="647"/>
        <v>111.93300000000002</v>
      </c>
      <c r="AA96" s="265">
        <f t="shared" si="647"/>
        <v>57.713000000000001</v>
      </c>
      <c r="AB96" s="266">
        <f t="shared" si="647"/>
        <v>93.64700000000002</v>
      </c>
      <c r="AC96" s="264">
        <f t="shared" si="647"/>
        <v>89.632000000000033</v>
      </c>
      <c r="AD96" s="264">
        <f t="shared" si="647"/>
        <v>-34.88900000000001</v>
      </c>
      <c r="AE96" s="265">
        <f t="shared" si="647"/>
        <v>25.411999999999992</v>
      </c>
      <c r="AF96" s="266">
        <f t="shared" si="647"/>
        <v>102.313</v>
      </c>
      <c r="AG96" s="264">
        <f t="shared" si="647"/>
        <v>112.548</v>
      </c>
      <c r="AH96" s="264">
        <f t="shared" si="647"/>
        <v>73.406999999999996</v>
      </c>
      <c r="AI96" s="265">
        <f t="shared" si="647"/>
        <v>79.397000000000034</v>
      </c>
      <c r="AJ96" s="266">
        <f t="shared" si="647"/>
        <v>89.76400000000001</v>
      </c>
      <c r="AK96" s="264">
        <f t="shared" si="647"/>
        <v>117.37000000000002</v>
      </c>
      <c r="AL96" s="264">
        <f t="shared" si="647"/>
        <v>95.091000000000037</v>
      </c>
      <c r="AM96" s="265">
        <f t="shared" si="647"/>
        <v>119.16999999999989</v>
      </c>
      <c r="AN96" s="264">
        <f t="shared" si="647"/>
        <v>47.062000000000005</v>
      </c>
      <c r="AO96" s="264">
        <f t="shared" si="647"/>
        <v>120.03999999999998</v>
      </c>
      <c r="AP96" s="264">
        <f t="shared" si="647"/>
        <v>39.843999999999987</v>
      </c>
      <c r="AQ96" s="265">
        <f t="shared" si="647"/>
        <v>88.853000000000009</v>
      </c>
      <c r="AR96" s="264">
        <f t="shared" si="647"/>
        <v>108.681</v>
      </c>
      <c r="AS96" s="264">
        <f t="shared" si="647"/>
        <v>32.784999999999997</v>
      </c>
      <c r="AT96" s="264">
        <f t="shared" si="647"/>
        <v>104.92300000000003</v>
      </c>
      <c r="AU96" s="265">
        <f t="shared" si="647"/>
        <v>96.903000000000091</v>
      </c>
      <c r="AV96" s="264">
        <f t="shared" si="647"/>
        <v>124.01799999999994</v>
      </c>
      <c r="AW96" s="264">
        <f t="shared" si="647"/>
        <v>112.47499999999992</v>
      </c>
      <c r="AX96" s="264">
        <f t="shared" si="647"/>
        <v>115.81900000000005</v>
      </c>
      <c r="AY96" s="265">
        <f t="shared" si="647"/>
        <v>157.39300000000006</v>
      </c>
      <c r="AZ96" s="264">
        <f t="shared" si="647"/>
        <v>107.82999999999998</v>
      </c>
      <c r="BA96" s="264">
        <f t="shared" si="647"/>
        <v>138.03800000000004</v>
      </c>
      <c r="BB96" s="264">
        <f t="shared" si="647"/>
        <v>133.37700000000004</v>
      </c>
      <c r="BC96" s="265">
        <f t="shared" si="647"/>
        <v>133.86899999999997</v>
      </c>
      <c r="BD96" s="264">
        <f t="shared" si="647"/>
        <v>134.06800000000001</v>
      </c>
      <c r="BE96" s="264">
        <f>BE95-BE13</f>
        <v>96.653999999999897</v>
      </c>
      <c r="BF96" s="264">
        <f>BF95-BF13</f>
        <v>175.56000000000006</v>
      </c>
      <c r="BG96" s="265">
        <f>BG95-BG13</f>
        <v>168.75600000000003</v>
      </c>
      <c r="BH96" s="264">
        <f t="shared" ref="BH96" si="648">BH95-BH13</f>
        <v>145.89399999999992</v>
      </c>
      <c r="BI96" s="264">
        <f>BI95-BI13</f>
        <v>179.58100000000007</v>
      </c>
      <c r="BJ96" s="264">
        <f>BJ95-BJ13</f>
        <v>252.99</v>
      </c>
      <c r="BK96" s="265">
        <f t="shared" ref="BK96:BO96" si="649">BK95-BK13</f>
        <v>277.52200000000005</v>
      </c>
      <c r="BL96" s="264">
        <f t="shared" si="649"/>
        <v>300.45400000000001</v>
      </c>
      <c r="BM96" s="264">
        <f t="shared" si="649"/>
        <v>266.62599999999998</v>
      </c>
      <c r="BN96" s="264">
        <f t="shared" si="649"/>
        <v>274.56900000000002</v>
      </c>
      <c r="BO96" s="265">
        <f t="shared" si="649"/>
        <v>295.31288899740156</v>
      </c>
      <c r="BP96" s="264">
        <f t="shared" ref="BP96:BW96" si="650">BP95-BP13</f>
        <v>314.91350684442102</v>
      </c>
      <c r="BQ96" s="264">
        <f t="shared" si="650"/>
        <v>317.21217274139087</v>
      </c>
      <c r="BR96" s="264">
        <f t="shared" si="650"/>
        <v>344.16056499803403</v>
      </c>
      <c r="BS96" s="265">
        <f t="shared" si="650"/>
        <v>342.30272423647489</v>
      </c>
      <c r="BT96" s="264">
        <f t="shared" si="650"/>
        <v>337.83357734530307</v>
      </c>
      <c r="BU96" s="264">
        <f t="shared" si="650"/>
        <v>339.6738306910903</v>
      </c>
      <c r="BV96" s="264">
        <f t="shared" si="650"/>
        <v>380.16970127979954</v>
      </c>
      <c r="BW96" s="265">
        <f t="shared" si="650"/>
        <v>362.97621659625219</v>
      </c>
      <c r="BX96" s="20"/>
      <c r="BY96" s="266">
        <f>BY95-BY13</f>
        <v>179.8</v>
      </c>
      <c r="BZ96" s="264">
        <f>BZ95-BZ13</f>
        <v>279.57299999999998</v>
      </c>
      <c r="CA96" s="264">
        <f>CA95-CA13</f>
        <v>289.49899999999997</v>
      </c>
      <c r="CB96" s="264">
        <f t="shared" ref="CB96:CL96" si="651">CB95-CB13</f>
        <v>360.45100000000002</v>
      </c>
      <c r="CC96" s="264">
        <f t="shared" si="651"/>
        <v>342.35099999999994</v>
      </c>
      <c r="CD96" s="264">
        <f t="shared" si="651"/>
        <v>344.63399999999996</v>
      </c>
      <c r="CE96" s="264">
        <f t="shared" si="651"/>
        <v>173.80200000000008</v>
      </c>
      <c r="CF96" s="264">
        <f t="shared" si="651"/>
        <v>367.66500000000002</v>
      </c>
      <c r="CG96" s="264">
        <f t="shared" si="651"/>
        <v>421.39499999999981</v>
      </c>
      <c r="CH96" s="264">
        <f t="shared" si="651"/>
        <v>295.79899999999998</v>
      </c>
      <c r="CI96" s="264">
        <f t="shared" si="651"/>
        <v>343.29200000000014</v>
      </c>
      <c r="CJ96" s="264">
        <f t="shared" si="651"/>
        <v>509.70499999999998</v>
      </c>
      <c r="CK96" s="264">
        <f t="shared" si="651"/>
        <v>513.11400000000015</v>
      </c>
      <c r="CL96" s="264">
        <f t="shared" si="651"/>
        <v>575.03800000000012</v>
      </c>
      <c r="CM96" s="264">
        <f>CM95-CM13</f>
        <v>855.98700000000008</v>
      </c>
      <c r="CN96" s="264">
        <f>CN95-CN13</f>
        <v>1136.9618889974013</v>
      </c>
      <c r="CO96" s="264">
        <f>CO95-CO13</f>
        <v>1318.5889688203208</v>
      </c>
      <c r="CP96" s="264">
        <f>CP95-CP13</f>
        <v>1420.6533259124451</v>
      </c>
      <c r="CQ96" s="20"/>
      <c r="CR96" s="266">
        <f>CR95-CR13</f>
        <v>247.54499999999999</v>
      </c>
      <c r="CS96" s="264">
        <f>CS95-CS13</f>
        <v>311.36900000000003</v>
      </c>
      <c r="CT96" s="264">
        <f>CT95-CT13</f>
        <v>329.34299999999996</v>
      </c>
      <c r="CU96" s="264">
        <f t="shared" ref="CU96:DD96" si="652">CU95-CU13</f>
        <v>367.17999999999989</v>
      </c>
      <c r="CV96" s="264">
        <f t="shared" si="652"/>
        <v>342.577</v>
      </c>
      <c r="CW96" s="264">
        <f t="shared" si="652"/>
        <v>206.10300000000001</v>
      </c>
      <c r="CX96" s="264">
        <f t="shared" si="652"/>
        <v>313.68</v>
      </c>
      <c r="CY96" s="264">
        <f t="shared" si="652"/>
        <v>381.62200000000001</v>
      </c>
      <c r="CZ96" s="264">
        <f t="shared" si="652"/>
        <v>326.11599999999981</v>
      </c>
      <c r="DA96" s="267">
        <f t="shared" si="652"/>
        <v>335.24200000000008</v>
      </c>
      <c r="DB96" s="264">
        <f t="shared" si="652"/>
        <v>449.21500000000015</v>
      </c>
      <c r="DC96" s="264">
        <f t="shared" si="652"/>
        <v>536.63800000000015</v>
      </c>
      <c r="DD96" s="264">
        <f t="shared" si="652"/>
        <v>540.15100000000007</v>
      </c>
      <c r="DE96" s="264">
        <f>DE95-DE13</f>
        <v>747.221</v>
      </c>
      <c r="DF96" s="264">
        <f>DF95-DF13</f>
        <v>1119.171</v>
      </c>
      <c r="DG96" s="264">
        <f>DG95-DG13</f>
        <v>1271.5991335812475</v>
      </c>
      <c r="DH96" s="264">
        <f>DH95-DH13</f>
        <v>1399.979833552668</v>
      </c>
      <c r="DI96" s="22"/>
    </row>
    <row r="97" spans="1:113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268"/>
      <c r="BZ97" s="268"/>
      <c r="CA97" s="268"/>
      <c r="CB97" s="268"/>
      <c r="CC97" s="268"/>
      <c r="CD97" s="268"/>
      <c r="CE97" s="269"/>
      <c r="CF97" s="268"/>
      <c r="CG97" s="269"/>
      <c r="CH97" s="268"/>
      <c r="CI97" s="268"/>
      <c r="CJ97" s="268"/>
      <c r="CK97" s="268"/>
      <c r="CL97" s="268"/>
      <c r="CM97" s="268"/>
      <c r="CN97" s="269"/>
      <c r="CO97" s="269"/>
      <c r="CP97" s="269"/>
      <c r="CQ97" s="1"/>
      <c r="CR97" s="268"/>
      <c r="CS97" s="268"/>
      <c r="CT97" s="268"/>
      <c r="CU97" s="268"/>
      <c r="CV97" s="268"/>
      <c r="CW97" s="268"/>
      <c r="CX97" s="268"/>
      <c r="CY97" s="268"/>
      <c r="CZ97" s="268"/>
      <c r="DA97" s="269"/>
      <c r="DB97" s="268"/>
      <c r="DC97" s="268"/>
      <c r="DD97" s="268"/>
      <c r="DE97" s="268"/>
      <c r="DF97" s="268"/>
      <c r="DG97" s="268"/>
      <c r="DH97" s="268"/>
      <c r="DI97" s="1"/>
    </row>
    <row r="98" spans="1:113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268"/>
      <c r="BZ98" s="268"/>
      <c r="CA98" s="268"/>
      <c r="CB98" s="268"/>
      <c r="CC98" s="268"/>
      <c r="CD98" s="268"/>
      <c r="CE98" s="269"/>
      <c r="CF98" s="268"/>
      <c r="CG98" s="268"/>
      <c r="CH98" s="268"/>
      <c r="CI98" s="268"/>
      <c r="CJ98" s="268"/>
      <c r="CK98" s="268"/>
      <c r="CL98" s="268"/>
      <c r="CM98" s="268"/>
      <c r="CN98" s="269"/>
      <c r="CO98" s="269"/>
      <c r="CP98" s="269"/>
      <c r="CQ98" s="1"/>
      <c r="CR98" s="268"/>
      <c r="CS98" s="268"/>
      <c r="CT98" s="268"/>
      <c r="CU98" s="268"/>
      <c r="CV98" s="268"/>
      <c r="CW98" s="268"/>
      <c r="CX98" s="268"/>
      <c r="CY98" s="268"/>
      <c r="CZ98" s="268"/>
      <c r="DA98" s="268"/>
      <c r="DB98" s="268"/>
      <c r="DC98" s="268"/>
      <c r="DD98" s="268"/>
      <c r="DE98" s="268"/>
      <c r="DF98" s="268"/>
      <c r="DG98" s="268"/>
      <c r="DH98" s="268"/>
      <c r="DI98" s="1"/>
    </row>
    <row r="99" spans="1:113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268"/>
      <c r="BZ99" s="268"/>
      <c r="CA99" s="268"/>
      <c r="CB99" s="268"/>
      <c r="CC99" s="268"/>
      <c r="CD99" s="269"/>
      <c r="CE99" s="269"/>
      <c r="CF99" s="269"/>
      <c r="CG99" s="269"/>
      <c r="CH99" s="268"/>
      <c r="CI99" s="268"/>
      <c r="CJ99" s="268"/>
      <c r="CK99" s="268"/>
      <c r="CL99" s="268"/>
      <c r="CM99" s="268"/>
      <c r="CN99" s="269"/>
      <c r="CO99" s="269"/>
      <c r="CP99" s="269"/>
      <c r="CQ99" s="1"/>
      <c r="CR99" s="268"/>
      <c r="CS99" s="268"/>
      <c r="CT99" s="268"/>
      <c r="CU99" s="268"/>
      <c r="CV99" s="268"/>
      <c r="CW99" s="268"/>
      <c r="CX99" s="268"/>
      <c r="CY99" s="268"/>
      <c r="CZ99" s="268"/>
      <c r="DA99" s="268"/>
      <c r="DB99" s="268"/>
      <c r="DC99" s="268"/>
      <c r="DD99" s="268"/>
      <c r="DE99" s="268"/>
      <c r="DF99" s="268"/>
      <c r="DG99" s="268"/>
      <c r="DH99" s="268"/>
      <c r="DI99" s="1"/>
    </row>
    <row r="100" spans="1:113" ht="14.25" customHeight="1" outlineLevel="1">
      <c r="A100" s="8"/>
      <c r="B100" s="9" t="s">
        <v>352</v>
      </c>
      <c r="C100" s="10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416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4"/>
      <c r="BY100" s="887"/>
      <c r="BZ100" s="887"/>
      <c r="CA100" s="887"/>
      <c r="CB100" s="887"/>
      <c r="CC100" s="887"/>
      <c r="CD100" s="887"/>
      <c r="CE100" s="887"/>
      <c r="CF100" s="887"/>
      <c r="CG100" s="887"/>
      <c r="CH100" s="887"/>
      <c r="CI100" s="887"/>
      <c r="CJ100" s="887"/>
      <c r="CK100" s="887"/>
      <c r="CL100" s="887"/>
      <c r="CM100" s="887"/>
      <c r="CN100" s="887"/>
      <c r="CO100" s="887"/>
      <c r="CP100" s="887"/>
      <c r="CQ100" s="8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8"/>
    </row>
    <row r="101" spans="1:113" ht="14.25" customHeight="1" outlineLevel="1">
      <c r="A101" s="14"/>
      <c r="B101" s="12" t="s">
        <v>354</v>
      </c>
      <c r="C101" s="13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68"/>
      <c r="BY101" s="103"/>
      <c r="BZ101" s="103"/>
      <c r="CA101" s="103"/>
      <c r="CB101" s="103"/>
      <c r="CC101" s="103"/>
      <c r="CD101" s="103"/>
      <c r="CE101" s="103"/>
      <c r="CF101" s="103"/>
      <c r="CG101" s="103"/>
      <c r="CH101" s="103"/>
      <c r="CI101" s="103"/>
      <c r="CJ101" s="103"/>
      <c r="CK101" s="103"/>
      <c r="CL101" s="103"/>
      <c r="CM101" s="103"/>
      <c r="CN101" s="103"/>
      <c r="CO101" s="103"/>
      <c r="CP101" s="103"/>
      <c r="CQ101" s="8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8"/>
    </row>
    <row r="102" spans="1:113" ht="14.25" customHeight="1" outlineLevel="1">
      <c r="A102" s="14"/>
      <c r="B102" s="304"/>
      <c r="C102" s="180"/>
      <c r="D102" s="17" t="str">
        <f t="shared" ref="D102:O102" si="653">D7</f>
        <v>F1Q03A</v>
      </c>
      <c r="E102" s="18" t="str">
        <f t="shared" si="653"/>
        <v>F2Q03A</v>
      </c>
      <c r="F102" s="18" t="str">
        <f t="shared" si="653"/>
        <v>F3Q03A</v>
      </c>
      <c r="G102" s="19" t="str">
        <f t="shared" si="653"/>
        <v>F4Q03A</v>
      </c>
      <c r="H102" s="17" t="str">
        <f t="shared" si="653"/>
        <v>F1Q04A</v>
      </c>
      <c r="I102" s="18" t="str">
        <f t="shared" si="653"/>
        <v>F2Q04A</v>
      </c>
      <c r="J102" s="18" t="str">
        <f t="shared" si="653"/>
        <v>F3Q04A</v>
      </c>
      <c r="K102" s="19" t="str">
        <f t="shared" si="653"/>
        <v>F4Q04A</v>
      </c>
      <c r="L102" s="17" t="str">
        <f t="shared" si="653"/>
        <v>F1Q05A</v>
      </c>
      <c r="M102" s="18" t="str">
        <f t="shared" si="653"/>
        <v>F2Q05A</v>
      </c>
      <c r="N102" s="18" t="str">
        <f t="shared" si="653"/>
        <v>F3Q05A</v>
      </c>
      <c r="O102" s="19" t="str">
        <f t="shared" si="653"/>
        <v>F4Q05A</v>
      </c>
      <c r="P102" s="17" t="str">
        <f t="shared" ref="P102:AI102" si="654">P7</f>
        <v>F1Q06A</v>
      </c>
      <c r="Q102" s="18" t="str">
        <f t="shared" si="654"/>
        <v>F2Q06A</v>
      </c>
      <c r="R102" s="18" t="str">
        <f t="shared" si="654"/>
        <v>F3Q06A</v>
      </c>
      <c r="S102" s="19" t="str">
        <f t="shared" si="654"/>
        <v>F4Q06A</v>
      </c>
      <c r="T102" s="17" t="str">
        <f t="shared" si="654"/>
        <v>F1Q07A</v>
      </c>
      <c r="U102" s="18" t="str">
        <f t="shared" si="654"/>
        <v>F2Q07A</v>
      </c>
      <c r="V102" s="18" t="str">
        <f t="shared" si="654"/>
        <v>F3Q07A</v>
      </c>
      <c r="W102" s="19" t="str">
        <f t="shared" si="654"/>
        <v>F4Q07A</v>
      </c>
      <c r="X102" s="17" t="str">
        <f t="shared" si="654"/>
        <v>F1Q08A</v>
      </c>
      <c r="Y102" s="18" t="str">
        <f t="shared" si="654"/>
        <v>F2Q08A</v>
      </c>
      <c r="Z102" s="18" t="str">
        <f t="shared" si="654"/>
        <v>F3Q08A</v>
      </c>
      <c r="AA102" s="19" t="str">
        <f t="shared" si="654"/>
        <v>F4Q08A</v>
      </c>
      <c r="AB102" s="17" t="str">
        <f t="shared" si="654"/>
        <v>F1Q09A</v>
      </c>
      <c r="AC102" s="18" t="str">
        <f t="shared" si="654"/>
        <v>F2Q09A</v>
      </c>
      <c r="AD102" s="18" t="str">
        <f t="shared" si="654"/>
        <v>F3Q09A</v>
      </c>
      <c r="AE102" s="19" t="str">
        <f t="shared" si="654"/>
        <v>F4Q09A</v>
      </c>
      <c r="AF102" s="17" t="str">
        <f t="shared" si="654"/>
        <v>F1Q10A</v>
      </c>
      <c r="AG102" s="18" t="str">
        <f t="shared" si="654"/>
        <v>F2Q10A</v>
      </c>
      <c r="AH102" s="18" t="str">
        <f t="shared" si="654"/>
        <v>F3Q10A</v>
      </c>
      <c r="AI102" s="19" t="str">
        <f t="shared" si="654"/>
        <v>F4Q10A</v>
      </c>
      <c r="AJ102" s="17" t="str">
        <f t="shared" ref="AJ102:BC102" si="655">AJ7</f>
        <v>F1Q11A</v>
      </c>
      <c r="AK102" s="18" t="str">
        <f t="shared" si="655"/>
        <v>F2Q11A</v>
      </c>
      <c r="AL102" s="18" t="str">
        <f t="shared" si="655"/>
        <v>F3Q11A</v>
      </c>
      <c r="AM102" s="19" t="str">
        <f t="shared" si="655"/>
        <v>F4Q11A</v>
      </c>
      <c r="AN102" s="17" t="str">
        <f t="shared" ref="AN102:AS102" si="656">AN7</f>
        <v>F1Q12A</v>
      </c>
      <c r="AO102" s="18" t="str">
        <f t="shared" si="656"/>
        <v>F2Q12A</v>
      </c>
      <c r="AP102" s="18" t="str">
        <f t="shared" si="656"/>
        <v>F3Q12A</v>
      </c>
      <c r="AQ102" s="19" t="str">
        <f t="shared" si="656"/>
        <v>F4Q12A</v>
      </c>
      <c r="AR102" s="17" t="str">
        <f t="shared" si="656"/>
        <v>F1Q13A</v>
      </c>
      <c r="AS102" s="18" t="str">
        <f t="shared" si="656"/>
        <v>F2Q13A</v>
      </c>
      <c r="AT102" s="18" t="str">
        <f>AT7</f>
        <v>F3Q13A</v>
      </c>
      <c r="AU102" s="19" t="str">
        <f t="shared" si="655"/>
        <v>F4Q13A</v>
      </c>
      <c r="AV102" s="17" t="str">
        <f t="shared" si="655"/>
        <v>F1Q14A</v>
      </c>
      <c r="AW102" s="18" t="str">
        <f t="shared" si="655"/>
        <v>F2Q14A</v>
      </c>
      <c r="AX102" s="18" t="str">
        <f t="shared" si="655"/>
        <v>F3Q14A</v>
      </c>
      <c r="AY102" s="19" t="str">
        <f t="shared" si="655"/>
        <v>F4Q14A</v>
      </c>
      <c r="AZ102" s="17" t="str">
        <f t="shared" si="655"/>
        <v>F1Q15A</v>
      </c>
      <c r="BA102" s="18" t="str">
        <f t="shared" si="655"/>
        <v>F2Q15A</v>
      </c>
      <c r="BB102" s="18" t="str">
        <f t="shared" si="655"/>
        <v>F3Q15A</v>
      </c>
      <c r="BC102" s="19" t="str">
        <f t="shared" si="655"/>
        <v>F4Q15A</v>
      </c>
      <c r="BD102" s="17" t="str">
        <f t="shared" ref="BD102:BK102" si="657">BD7</f>
        <v>F1Q16A</v>
      </c>
      <c r="BE102" s="18" t="str">
        <f>BE7</f>
        <v>F2Q16A</v>
      </c>
      <c r="BF102" s="18" t="str">
        <f>BF7</f>
        <v>F3Q16A</v>
      </c>
      <c r="BG102" s="19" t="str">
        <f>BG7</f>
        <v>F4Q16A</v>
      </c>
      <c r="BH102" s="1310" t="str">
        <f t="shared" ref="BH102" si="658">BH7</f>
        <v>F1Q17A</v>
      </c>
      <c r="BI102" s="1327" t="str">
        <f>BI7</f>
        <v>F2Q17A</v>
      </c>
      <c r="BJ102" s="1374" t="str">
        <f>BJ7</f>
        <v>F3Q17A</v>
      </c>
      <c r="BK102" s="1375" t="str">
        <f t="shared" si="657"/>
        <v>F4Q17A</v>
      </c>
      <c r="BL102" s="17" t="str">
        <f t="shared" ref="BL102:BS102" si="659">BL7</f>
        <v>F1Q18A</v>
      </c>
      <c r="BM102" s="18" t="str">
        <f t="shared" si="659"/>
        <v>F2Q18A</v>
      </c>
      <c r="BN102" s="18" t="str">
        <f t="shared" si="659"/>
        <v>F3Q18A</v>
      </c>
      <c r="BO102" s="19" t="str">
        <f t="shared" si="659"/>
        <v>F4Q18E</v>
      </c>
      <c r="BP102" s="17" t="str">
        <f t="shared" si="659"/>
        <v>F1Q19E</v>
      </c>
      <c r="BQ102" s="18" t="str">
        <f t="shared" si="659"/>
        <v>F2Q19E</v>
      </c>
      <c r="BR102" s="18" t="str">
        <f t="shared" si="659"/>
        <v>F3Q19E</v>
      </c>
      <c r="BS102" s="19" t="str">
        <f t="shared" si="659"/>
        <v>F4Q19E</v>
      </c>
      <c r="BT102" s="1373" t="str">
        <f t="shared" ref="BT102:BW102" si="660">BT7</f>
        <v>F1Q20E</v>
      </c>
      <c r="BU102" s="1374" t="str">
        <f t="shared" si="660"/>
        <v>F2Q20E</v>
      </c>
      <c r="BV102" s="1374" t="str">
        <f t="shared" si="660"/>
        <v>F3Q20E</v>
      </c>
      <c r="BW102" s="1375" t="str">
        <f t="shared" si="660"/>
        <v>F4Q20E</v>
      </c>
      <c r="BX102" s="160"/>
      <c r="BY102" s="17" t="str">
        <f>BY7</f>
        <v>FY2003A</v>
      </c>
      <c r="BZ102" s="18" t="str">
        <f>BZ7</f>
        <v>FY2004A</v>
      </c>
      <c r="CA102" s="18" t="str">
        <f>CA7</f>
        <v>FY2005A</v>
      </c>
      <c r="CB102" s="18" t="str">
        <f t="shared" ref="CB102:CH102" si="661">CB7</f>
        <v>FY2006A</v>
      </c>
      <c r="CC102" s="18" t="str">
        <f t="shared" si="661"/>
        <v>FY2007A</v>
      </c>
      <c r="CD102" s="18" t="str">
        <f t="shared" si="661"/>
        <v>FY2008A</v>
      </c>
      <c r="CE102" s="18" t="str">
        <f t="shared" si="661"/>
        <v>FY2009A</v>
      </c>
      <c r="CF102" s="18" t="str">
        <f t="shared" si="661"/>
        <v>FY2010A</v>
      </c>
      <c r="CG102" s="18" t="str">
        <f t="shared" si="661"/>
        <v>FY2011A</v>
      </c>
      <c r="CH102" s="18" t="str">
        <f t="shared" si="661"/>
        <v>FY2012A</v>
      </c>
      <c r="CI102" s="18" t="str">
        <f t="shared" ref="CI102:CN102" si="662">CI7</f>
        <v>FY2013A</v>
      </c>
      <c r="CJ102" s="18" t="str">
        <f t="shared" si="662"/>
        <v>FY2014A</v>
      </c>
      <c r="CK102" s="18" t="str">
        <f t="shared" si="662"/>
        <v>FY2015A</v>
      </c>
      <c r="CL102" s="18" t="str">
        <f t="shared" si="662"/>
        <v>FY2016A</v>
      </c>
      <c r="CM102" s="18" t="str">
        <f t="shared" si="662"/>
        <v>FY2017A</v>
      </c>
      <c r="CN102" s="18" t="str">
        <f t="shared" si="662"/>
        <v>FY2018E</v>
      </c>
      <c r="CO102" s="18" t="str">
        <f>CO7</f>
        <v>FY2019E</v>
      </c>
      <c r="CP102" s="1374" t="str">
        <f>CP7</f>
        <v>FY2020E</v>
      </c>
      <c r="CQ102" s="20"/>
      <c r="CR102" s="17" t="str">
        <f>CR86</f>
        <v>CY2003</v>
      </c>
      <c r="CS102" s="18" t="str">
        <f>CS86</f>
        <v>CY2004</v>
      </c>
      <c r="CT102" s="18" t="str">
        <f>CT86</f>
        <v>CY2005</v>
      </c>
      <c r="CU102" s="18" t="str">
        <f t="shared" ref="CU102:DA102" si="663">CU86</f>
        <v>CY2006</v>
      </c>
      <c r="CV102" s="18" t="str">
        <f t="shared" si="663"/>
        <v>CY2007</v>
      </c>
      <c r="CW102" s="18" t="str">
        <f t="shared" si="663"/>
        <v>CY2008</v>
      </c>
      <c r="CX102" s="18" t="str">
        <f t="shared" si="663"/>
        <v>CY2009</v>
      </c>
      <c r="CY102" s="18" t="str">
        <f t="shared" si="663"/>
        <v>CY2010</v>
      </c>
      <c r="CZ102" s="18" t="str">
        <f t="shared" si="663"/>
        <v>CY2011</v>
      </c>
      <c r="DA102" s="18" t="str">
        <f t="shared" si="663"/>
        <v>CY2012</v>
      </c>
      <c r="DB102" s="18" t="str">
        <f t="shared" ref="DB102:DG102" si="664">DB86</f>
        <v>CY2013</v>
      </c>
      <c r="DC102" s="18" t="str">
        <f t="shared" si="664"/>
        <v>CY2014</v>
      </c>
      <c r="DD102" s="18" t="str">
        <f t="shared" si="664"/>
        <v>CY2015</v>
      </c>
      <c r="DE102" s="18" t="str">
        <f t="shared" si="664"/>
        <v>CY2016</v>
      </c>
      <c r="DF102" s="18" t="str">
        <f t="shared" si="664"/>
        <v>CY2017</v>
      </c>
      <c r="DG102" s="1439" t="str">
        <f t="shared" si="664"/>
        <v>CY2018</v>
      </c>
      <c r="DH102" s="1440" t="str">
        <f t="shared" ref="DH102" si="665">DH86</f>
        <v>CY2019</v>
      </c>
      <c r="DI102" s="22"/>
    </row>
    <row r="103" spans="1:113" ht="14.25" customHeight="1" outlineLevel="1">
      <c r="A103" s="8"/>
      <c r="B103" s="181" t="s">
        <v>61</v>
      </c>
      <c r="C103" s="45"/>
      <c r="D103" s="184"/>
      <c r="E103" s="182"/>
      <c r="F103" s="182"/>
      <c r="G103" s="183"/>
      <c r="H103" s="184"/>
      <c r="I103" s="182"/>
      <c r="J103" s="182"/>
      <c r="K103" s="183"/>
      <c r="L103" s="184"/>
      <c r="M103" s="182"/>
      <c r="N103" s="182"/>
      <c r="O103" s="183"/>
      <c r="P103" s="184"/>
      <c r="Q103" s="182"/>
      <c r="R103" s="182"/>
      <c r="S103" s="183"/>
      <c r="T103" s="184"/>
      <c r="U103" s="182"/>
      <c r="V103" s="182"/>
      <c r="W103" s="183"/>
      <c r="X103" s="184"/>
      <c r="Y103" s="182"/>
      <c r="Z103" s="182"/>
      <c r="AA103" s="183"/>
      <c r="AB103" s="184"/>
      <c r="AC103" s="182"/>
      <c r="AD103" s="182"/>
      <c r="AE103" s="183"/>
      <c r="AF103" s="184"/>
      <c r="AG103" s="182"/>
      <c r="AH103" s="182"/>
      <c r="AI103" s="183"/>
      <c r="AJ103" s="184"/>
      <c r="AK103" s="182"/>
      <c r="AL103" s="182"/>
      <c r="AM103" s="183"/>
      <c r="AN103" s="184"/>
      <c r="AO103" s="182"/>
      <c r="AP103" s="182"/>
      <c r="AQ103" s="183"/>
      <c r="AR103" s="184"/>
      <c r="AS103" s="182"/>
      <c r="AT103" s="182"/>
      <c r="AU103" s="183"/>
      <c r="AV103" s="184"/>
      <c r="AW103" s="182"/>
      <c r="AX103" s="182"/>
      <c r="AY103" s="183"/>
      <c r="AZ103" s="184"/>
      <c r="BA103" s="182"/>
      <c r="BB103" s="182"/>
      <c r="BC103" s="183"/>
      <c r="BD103" s="184"/>
      <c r="BE103" s="182"/>
      <c r="BF103" s="182"/>
      <c r="BG103" s="183"/>
      <c r="BH103" s="184"/>
      <c r="BI103" s="182"/>
      <c r="BJ103" s="182"/>
      <c r="BK103" s="183"/>
      <c r="BL103" s="184"/>
      <c r="BM103" s="182"/>
      <c r="BN103" s="182"/>
      <c r="BO103" s="183"/>
      <c r="BP103" s="184"/>
      <c r="BQ103" s="182"/>
      <c r="BR103" s="182"/>
      <c r="BS103" s="183"/>
      <c r="BT103" s="184"/>
      <c r="BU103" s="182"/>
      <c r="BV103" s="182"/>
      <c r="BW103" s="183"/>
      <c r="BX103" s="160"/>
      <c r="BY103" s="182"/>
      <c r="BZ103" s="182"/>
      <c r="CA103" s="182"/>
      <c r="CB103" s="182"/>
      <c r="CC103" s="182"/>
      <c r="CD103" s="182"/>
      <c r="CE103" s="182"/>
      <c r="CF103" s="182"/>
      <c r="CG103" s="182"/>
      <c r="CH103" s="182"/>
      <c r="CI103" s="182"/>
      <c r="CJ103" s="182"/>
      <c r="CK103" s="182"/>
      <c r="CL103" s="182"/>
      <c r="CM103" s="182"/>
      <c r="CN103" s="182"/>
      <c r="CO103" s="182"/>
      <c r="CP103" s="182"/>
      <c r="CQ103" s="20"/>
      <c r="CR103" s="184"/>
      <c r="CS103" s="182"/>
      <c r="CT103" s="182"/>
      <c r="CU103" s="182"/>
      <c r="CV103" s="182"/>
      <c r="CW103" s="182"/>
      <c r="CX103" s="182"/>
      <c r="CY103" s="182"/>
      <c r="CZ103" s="182"/>
      <c r="DA103" s="182"/>
      <c r="DB103" s="182"/>
      <c r="DC103" s="182"/>
      <c r="DD103" s="182"/>
      <c r="DE103" s="182"/>
      <c r="DF103" s="182"/>
      <c r="DG103" s="182"/>
      <c r="DH103" s="182"/>
      <c r="DI103" s="22"/>
    </row>
    <row r="104" spans="1:113" ht="14.25" customHeight="1" outlineLevel="1">
      <c r="A104" s="8"/>
      <c r="B104" s="23" t="s">
        <v>62</v>
      </c>
      <c r="C104" s="24"/>
      <c r="D104" s="95">
        <f>D9</f>
        <v>9.3160000000000025</v>
      </c>
      <c r="E104" s="96">
        <f>D104+E9</f>
        <v>18.812000000000001</v>
      </c>
      <c r="F104" s="96">
        <f>E104+F9</f>
        <v>55.193999999999988</v>
      </c>
      <c r="G104" s="97">
        <f>F104+G9</f>
        <v>88.232000000000028</v>
      </c>
      <c r="H104" s="95">
        <f>H9</f>
        <v>13.469999999999986</v>
      </c>
      <c r="I104" s="96">
        <f>H104+I9</f>
        <v>49.57399999999997</v>
      </c>
      <c r="J104" s="96">
        <f>I104+J9</f>
        <v>90.416999999999987</v>
      </c>
      <c r="K104" s="97">
        <f>J104+K9</f>
        <v>137.262</v>
      </c>
      <c r="L104" s="95">
        <f>L9</f>
        <v>43.799000000000014</v>
      </c>
      <c r="M104" s="96">
        <f>L104+M9</f>
        <v>104.24199999999999</v>
      </c>
      <c r="N104" s="96">
        <f>M104+N9</f>
        <v>157.38199999999998</v>
      </c>
      <c r="O104" s="97">
        <f>N104+O9</f>
        <v>213.785</v>
      </c>
      <c r="P104" s="95">
        <f>P9</f>
        <v>61.023999999999987</v>
      </c>
      <c r="Q104" s="96">
        <f>P104+Q9</f>
        <v>126.67699999999998</v>
      </c>
      <c r="R104" s="96">
        <f>Q104+R9</f>
        <v>166.80099999999996</v>
      </c>
      <c r="S104" s="97">
        <f>R104+S9</f>
        <v>242.36899999999997</v>
      </c>
      <c r="T104" s="95">
        <f>T9</f>
        <v>76.984000000000037</v>
      </c>
      <c r="U104" s="96">
        <f>T104+U9</f>
        <v>156.47200000000004</v>
      </c>
      <c r="V104" s="96">
        <f>U104+V9</f>
        <v>229.32100000000003</v>
      </c>
      <c r="W104" s="97">
        <f>V104+W9</f>
        <v>357.029</v>
      </c>
      <c r="X104" s="95">
        <f>X9</f>
        <v>80.293000000000021</v>
      </c>
      <c r="Y104" s="96">
        <f>X104+Y9</f>
        <v>140.97199999999998</v>
      </c>
      <c r="Z104" s="96">
        <f>Y104+Z9</f>
        <v>221.09599999999998</v>
      </c>
      <c r="AA104" s="97">
        <f>Z104+AA9</f>
        <v>296.79300000000001</v>
      </c>
      <c r="AB104" s="95">
        <f>AB9</f>
        <v>75.547000000000025</v>
      </c>
      <c r="AC104" s="96">
        <f>AB104+AC9</f>
        <v>151.26700000000005</v>
      </c>
      <c r="AD104" s="96">
        <f>AC104+AD9</f>
        <v>223.62300000000005</v>
      </c>
      <c r="AE104" s="97">
        <f>AD104+AE9</f>
        <v>245.58700000000005</v>
      </c>
      <c r="AF104" s="95">
        <f>AF9</f>
        <v>27.368000000000009</v>
      </c>
      <c r="AG104" s="96">
        <f>AF104+AG9</f>
        <v>71.853000000000009</v>
      </c>
      <c r="AH104" s="96">
        <f>AG104+AH9</f>
        <v>141.256</v>
      </c>
      <c r="AI104" s="97">
        <f>AH104+AI9</f>
        <v>217.00500000000005</v>
      </c>
      <c r="AJ104" s="95">
        <f>AJ9</f>
        <v>89.566000000000003</v>
      </c>
      <c r="AK104" s="96">
        <f>AJ104+AK9</f>
        <v>192.64600000000002</v>
      </c>
      <c r="AL104" s="96">
        <f>AK104+AL9</f>
        <v>293.42200000000003</v>
      </c>
      <c r="AM104" s="97">
        <f>AL104+AM9</f>
        <v>418.94999999999993</v>
      </c>
      <c r="AN104" s="95">
        <f>AN9</f>
        <v>99.293000000000006</v>
      </c>
      <c r="AO104" s="96">
        <f>AN104+AO9</f>
        <v>178.57999999999998</v>
      </c>
      <c r="AP104" s="96">
        <f>AO104+AP9</f>
        <v>256.06899999999996</v>
      </c>
      <c r="AQ104" s="97">
        <f>AP104+AQ9</f>
        <v>336.70499999999993</v>
      </c>
      <c r="AR104" s="95">
        <f>AR9</f>
        <v>78.710000000000008</v>
      </c>
      <c r="AS104" s="96">
        <f>AR104+AS9</f>
        <v>57.526000000000003</v>
      </c>
      <c r="AT104" s="96">
        <f>AS104+AT9</f>
        <v>67.699000000000041</v>
      </c>
      <c r="AU104" s="97">
        <f>AT104+AU9</f>
        <v>127.3890000000001</v>
      </c>
      <c r="AV104" s="95">
        <f>AV9</f>
        <v>78.578999999999951</v>
      </c>
      <c r="AW104" s="96">
        <f>AV104+AW9</f>
        <v>178.38499999999988</v>
      </c>
      <c r="AX104" s="96">
        <f>AW104+AX9</f>
        <v>283.78599999999994</v>
      </c>
      <c r="AY104" s="97">
        <f>AX104+AY9</f>
        <v>395.28100000000001</v>
      </c>
      <c r="AZ104" s="95">
        <f>AZ9</f>
        <v>89.908999999999992</v>
      </c>
      <c r="BA104" s="96">
        <f>AZ104+BA9</f>
        <v>181.94700000000006</v>
      </c>
      <c r="BB104" s="96">
        <f>BA104+BB9</f>
        <v>266.74500000000012</v>
      </c>
      <c r="BC104" s="97">
        <f>BB104+BC9</f>
        <v>365.32500000000016</v>
      </c>
      <c r="BD104" s="95">
        <f>BD9</f>
        <v>130.45999999999998</v>
      </c>
      <c r="BE104" s="96">
        <f>BD104+BE9</f>
        <v>195.3589999999999</v>
      </c>
      <c r="BF104" s="96">
        <f>BE104+BF9</f>
        <v>256.48699999999997</v>
      </c>
      <c r="BG104" s="97">
        <f>BF104+BG9</f>
        <v>323.79499999999996</v>
      </c>
      <c r="BH104" s="95">
        <f>BH9</f>
        <v>-113.3630000000001</v>
      </c>
      <c r="BI104" s="96">
        <f>BH104+BI9</f>
        <v>-79.444000000000045</v>
      </c>
      <c r="BJ104" s="96">
        <f>BI104+BJ9</f>
        <v>27.730999999999923</v>
      </c>
      <c r="BK104" s="97">
        <f>BJ104+BK9</f>
        <v>164.63899999999995</v>
      </c>
      <c r="BL104" s="95">
        <f>BL9</f>
        <v>170.58699999999996</v>
      </c>
      <c r="BM104" s="96">
        <f>BL104+BM9</f>
        <v>359.74299999999994</v>
      </c>
      <c r="BN104" s="96">
        <f>BM104+BN9</f>
        <v>108.65699999999993</v>
      </c>
      <c r="BO104" s="97">
        <f>BN104+BO9</f>
        <v>428.02096904051257</v>
      </c>
      <c r="BP104" s="95">
        <f>BP9</f>
        <v>340.18058113278784</v>
      </c>
      <c r="BQ104" s="96">
        <f>BP104+BQ9</f>
        <v>696.09024240718645</v>
      </c>
      <c r="BR104" s="96">
        <f>BQ104+BR9</f>
        <v>1042.1694116077617</v>
      </c>
      <c r="BS104" s="97">
        <f>BR104+BS9</f>
        <v>1385.0019262507476</v>
      </c>
      <c r="BT104" s="95">
        <f>BT9</f>
        <v>361.8847059608612</v>
      </c>
      <c r="BU104" s="96">
        <f>BT104+BU9</f>
        <v>737.2326317745401</v>
      </c>
      <c r="BV104" s="96">
        <f>BU104+BV9</f>
        <v>1104.2196854316769</v>
      </c>
      <c r="BW104" s="97">
        <f>BV104+BW9</f>
        <v>1468.2802948773729</v>
      </c>
      <c r="BX104" s="160"/>
      <c r="BY104" s="96">
        <f>BY9</f>
        <v>88.232000000000028</v>
      </c>
      <c r="BZ104" s="96">
        <f>BZ9</f>
        <v>137.262</v>
      </c>
      <c r="CA104" s="96">
        <f>CA9</f>
        <v>213.785</v>
      </c>
      <c r="CB104" s="96">
        <f>CB9</f>
        <v>242.36899999999997</v>
      </c>
      <c r="CC104" s="96">
        <f t="shared" ref="CC104:DC104" si="666">CC9</f>
        <v>357.029</v>
      </c>
      <c r="CD104" s="96">
        <f t="shared" si="666"/>
        <v>296.79300000000001</v>
      </c>
      <c r="CE104" s="96">
        <f t="shared" si="666"/>
        <v>245.58700000000005</v>
      </c>
      <c r="CF104" s="96">
        <f t="shared" si="666"/>
        <v>217.00500000000005</v>
      </c>
      <c r="CG104" s="96">
        <f t="shared" si="666"/>
        <v>418.94999999999993</v>
      </c>
      <c r="CH104" s="96">
        <f t="shared" si="666"/>
        <v>336.70499999999993</v>
      </c>
      <c r="CI104" s="96">
        <f t="shared" si="666"/>
        <v>127.3890000000001</v>
      </c>
      <c r="CJ104" s="96">
        <f t="shared" si="666"/>
        <v>395.28100000000001</v>
      </c>
      <c r="CK104" s="96">
        <f t="shared" si="666"/>
        <v>365.32500000000016</v>
      </c>
      <c r="CL104" s="96">
        <f>CL9</f>
        <v>323.79499999999996</v>
      </c>
      <c r="CM104" s="96">
        <f>CM9</f>
        <v>164.63899999999995</v>
      </c>
      <c r="CN104" s="96">
        <f>CN9</f>
        <v>428.02096904051257</v>
      </c>
      <c r="CO104" s="96">
        <f>CO9</f>
        <v>1385.0019262507476</v>
      </c>
      <c r="CP104" s="96">
        <f>CP9</f>
        <v>1468.2802948773729</v>
      </c>
      <c r="CQ104" s="20"/>
      <c r="CR104" s="95">
        <f>CR9</f>
        <v>123.45500000000004</v>
      </c>
      <c r="CS104" s="96">
        <f>CS9</f>
        <v>204.227</v>
      </c>
      <c r="CT104" s="96">
        <f>CT9</f>
        <v>223.20400000000001</v>
      </c>
      <c r="CU104" s="96">
        <f t="shared" si="666"/>
        <v>304.88900000000001</v>
      </c>
      <c r="CV104" s="96">
        <f t="shared" si="666"/>
        <v>348.80399999999997</v>
      </c>
      <c r="CW104" s="96">
        <f t="shared" si="666"/>
        <v>299.32000000000005</v>
      </c>
      <c r="CX104" s="96">
        <f t="shared" si="666"/>
        <v>163.21999999999997</v>
      </c>
      <c r="CY104" s="96">
        <f t="shared" si="666"/>
        <v>369.17100000000011</v>
      </c>
      <c r="CZ104" s="96">
        <f t="shared" si="666"/>
        <v>381.59699999999981</v>
      </c>
      <c r="DA104" s="96">
        <f t="shared" si="666"/>
        <v>148.33500000000004</v>
      </c>
      <c r="DB104" s="96">
        <f t="shared" si="666"/>
        <v>343.476</v>
      </c>
      <c r="DC104" s="96">
        <f t="shared" si="666"/>
        <v>378.24000000000018</v>
      </c>
      <c r="DD104" s="96">
        <f>DD9</f>
        <v>355.06699999999995</v>
      </c>
      <c r="DE104" s="96">
        <f>DE9</f>
        <v>95.03899999999993</v>
      </c>
      <c r="DF104" s="96">
        <f>DF9</f>
        <v>245.56499999999994</v>
      </c>
      <c r="DG104" s="96">
        <f>DG9</f>
        <v>1361.5333806482743</v>
      </c>
      <c r="DH104" s="96">
        <f>DH9</f>
        <v>1447.052200074663</v>
      </c>
      <c r="DI104" s="22"/>
    </row>
    <row r="105" spans="1:113" ht="14.25" customHeight="1" outlineLevel="1">
      <c r="A105" s="8"/>
      <c r="B105" s="186" t="s">
        <v>129</v>
      </c>
      <c r="C105" s="187"/>
      <c r="D105" s="190"/>
      <c r="E105" s="188"/>
      <c r="F105" s="188"/>
      <c r="G105" s="189"/>
      <c r="H105" s="190"/>
      <c r="I105" s="188"/>
      <c r="J105" s="188"/>
      <c r="K105" s="189"/>
      <c r="L105" s="190"/>
      <c r="M105" s="188"/>
      <c r="N105" s="188"/>
      <c r="O105" s="189"/>
      <c r="P105" s="190"/>
      <c r="Q105" s="188"/>
      <c r="R105" s="188"/>
      <c r="S105" s="189"/>
      <c r="T105" s="190"/>
      <c r="U105" s="188"/>
      <c r="V105" s="188"/>
      <c r="W105" s="189"/>
      <c r="X105" s="190"/>
      <c r="Y105" s="188"/>
      <c r="Z105" s="188"/>
      <c r="AA105" s="189"/>
      <c r="AB105" s="190"/>
      <c r="AC105" s="188"/>
      <c r="AD105" s="188"/>
      <c r="AE105" s="189"/>
      <c r="AF105" s="190"/>
      <c r="AG105" s="188"/>
      <c r="AH105" s="188"/>
      <c r="AI105" s="189"/>
      <c r="AJ105" s="190"/>
      <c r="AK105" s="188"/>
      <c r="AL105" s="188"/>
      <c r="AM105" s="189"/>
      <c r="AN105" s="341"/>
      <c r="AO105" s="188"/>
      <c r="AP105" s="188"/>
      <c r="AQ105" s="189"/>
      <c r="AR105" s="341"/>
      <c r="AS105" s="188"/>
      <c r="AT105" s="188"/>
      <c r="AU105" s="189"/>
      <c r="AV105" s="341"/>
      <c r="AW105" s="188"/>
      <c r="AX105" s="188"/>
      <c r="AY105" s="189"/>
      <c r="AZ105" s="341"/>
      <c r="BA105" s="188"/>
      <c r="BB105" s="188"/>
      <c r="BC105" s="189"/>
      <c r="BD105" s="341"/>
      <c r="BE105" s="188"/>
      <c r="BF105" s="188"/>
      <c r="BG105" s="189"/>
      <c r="BH105" s="341"/>
      <c r="BI105" s="188"/>
      <c r="BJ105" s="188"/>
      <c r="BK105" s="189"/>
      <c r="BL105" s="190"/>
      <c r="BM105" s="188"/>
      <c r="BN105" s="188"/>
      <c r="BO105" s="189"/>
      <c r="BP105" s="190"/>
      <c r="BQ105" s="188"/>
      <c r="BR105" s="188"/>
      <c r="BS105" s="189"/>
      <c r="BT105" s="190"/>
      <c r="BU105" s="188"/>
      <c r="BV105" s="188"/>
      <c r="BW105" s="189"/>
      <c r="BX105" s="160"/>
      <c r="BY105" s="188"/>
      <c r="BZ105" s="188"/>
      <c r="CA105" s="188"/>
      <c r="CB105" s="188"/>
      <c r="CC105" s="188"/>
      <c r="CD105" s="188"/>
      <c r="CE105" s="188"/>
      <c r="CF105" s="188"/>
      <c r="CG105" s="188"/>
      <c r="CH105" s="188"/>
      <c r="CI105" s="188"/>
      <c r="CJ105" s="188"/>
      <c r="CK105" s="188"/>
      <c r="CL105" s="188"/>
      <c r="CM105" s="188"/>
      <c r="CN105" s="188"/>
      <c r="CO105" s="188"/>
      <c r="CP105" s="188"/>
      <c r="CQ105" s="20"/>
      <c r="CR105" s="190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22"/>
    </row>
    <row r="106" spans="1:113" ht="14.25" customHeight="1" outlineLevel="1">
      <c r="A106" s="8"/>
      <c r="B106" s="49" t="s">
        <v>168</v>
      </c>
      <c r="C106" s="50"/>
      <c r="D106" s="196">
        <v>27.228000000000002</v>
      </c>
      <c r="E106" s="194">
        <v>55.07</v>
      </c>
      <c r="F106" s="194">
        <v>82.894999999999996</v>
      </c>
      <c r="G106" s="195">
        <v>111.07599999999999</v>
      </c>
      <c r="H106" s="196">
        <v>28.222999999999999</v>
      </c>
      <c r="I106" s="194">
        <v>55.091000000000001</v>
      </c>
      <c r="J106" s="194">
        <v>82.956000000000003</v>
      </c>
      <c r="K106" s="195">
        <v>111.627</v>
      </c>
      <c r="L106" s="196">
        <v>29.553000000000001</v>
      </c>
      <c r="M106" s="194">
        <v>60.841000000000001</v>
      </c>
      <c r="N106" s="194">
        <v>91.364999999999995</v>
      </c>
      <c r="O106" s="195">
        <v>120.46599999999999</v>
      </c>
      <c r="P106" s="196">
        <v>28.106999999999999</v>
      </c>
      <c r="Q106" s="194">
        <v>56.021000000000001</v>
      </c>
      <c r="R106" s="194">
        <v>83.105999999999995</v>
      </c>
      <c r="S106" s="195">
        <v>110.682</v>
      </c>
      <c r="T106" s="196">
        <v>28.518999999999998</v>
      </c>
      <c r="U106" s="194">
        <v>58.21</v>
      </c>
      <c r="V106" s="194">
        <v>87.792000000000002</v>
      </c>
      <c r="W106" s="195">
        <v>116.17100000000001</v>
      </c>
      <c r="X106" s="196">
        <v>26.898</v>
      </c>
      <c r="Y106" s="194">
        <v>52.790999999999997</v>
      </c>
      <c r="Z106" s="194">
        <v>76.605000000000004</v>
      </c>
      <c r="AA106" s="195">
        <v>100.07599999999999</v>
      </c>
      <c r="AB106" s="196">
        <v>23.765999999999998</v>
      </c>
      <c r="AC106" s="194">
        <v>48.180999999999997</v>
      </c>
      <c r="AD106" s="194">
        <v>72.209999999999994</v>
      </c>
      <c r="AE106" s="195">
        <v>96.046000000000006</v>
      </c>
      <c r="AF106" s="196">
        <v>22.658999999999999</v>
      </c>
      <c r="AG106" s="194">
        <v>45.298000000000002</v>
      </c>
      <c r="AH106" s="194">
        <v>67.734999999999999</v>
      </c>
      <c r="AI106" s="195">
        <v>90.057000000000002</v>
      </c>
      <c r="AJ106" s="196">
        <v>25.439</v>
      </c>
      <c r="AK106" s="194">
        <v>52.975999999999999</v>
      </c>
      <c r="AL106" s="194">
        <v>80.153000000000006</v>
      </c>
      <c r="AM106" s="195">
        <v>106.61199999999999</v>
      </c>
      <c r="AN106" s="196">
        <v>25.350999999999999</v>
      </c>
      <c r="AO106" s="194">
        <v>50.527999999999999</v>
      </c>
      <c r="AP106" s="194">
        <v>75.17</v>
      </c>
      <c r="AQ106" s="195">
        <v>99.424000000000007</v>
      </c>
      <c r="AR106" s="196">
        <v>25.245000000000001</v>
      </c>
      <c r="AS106" s="194">
        <v>76.456000000000003</v>
      </c>
      <c r="AT106" s="194">
        <v>140.46799999999999</v>
      </c>
      <c r="AU106" s="195">
        <v>204.09700000000001</v>
      </c>
      <c r="AV106" s="196">
        <v>50.41</v>
      </c>
      <c r="AW106" s="194">
        <v>98.462000000000003</v>
      </c>
      <c r="AX106" s="194">
        <v>143.70400000000001</v>
      </c>
      <c r="AY106" s="195">
        <v>189.13900000000001</v>
      </c>
      <c r="AZ106" s="196">
        <v>60.988</v>
      </c>
      <c r="BA106" s="194">
        <v>131.809</v>
      </c>
      <c r="BB106" s="194">
        <v>205.11199999999999</v>
      </c>
      <c r="BC106" s="195">
        <v>278.298</v>
      </c>
      <c r="BD106" s="196">
        <v>60.375</v>
      </c>
      <c r="BE106" s="194">
        <v>131.48400000000001</v>
      </c>
      <c r="BF106" s="194">
        <v>207.66200000000001</v>
      </c>
      <c r="BG106" s="195">
        <v>283.17099999999999</v>
      </c>
      <c r="BH106" s="196">
        <v>113.14100000000001</v>
      </c>
      <c r="BI106" s="194">
        <v>225.95699999999999</v>
      </c>
      <c r="BJ106" s="194">
        <v>340.92500000000001</v>
      </c>
      <c r="BK106" s="195">
        <v>469.20800000000003</v>
      </c>
      <c r="BL106" s="196">
        <v>151.80099999999999</v>
      </c>
      <c r="BM106" s="194">
        <v>304.35599999999999</v>
      </c>
      <c r="BN106" s="194">
        <v>459.03199999999998</v>
      </c>
      <c r="BO106" s="192">
        <f t="shared" ref="BO106:BO113" si="667">BN106+BO11</f>
        <v>491.03199999999998</v>
      </c>
      <c r="BP106" s="193">
        <f t="shared" ref="BP106:BP113" si="668">BP11</f>
        <v>32</v>
      </c>
      <c r="BQ106" s="191">
        <f t="shared" ref="BQ106:BQ113" si="669">BP106+BQ11</f>
        <v>64</v>
      </c>
      <c r="BR106" s="191">
        <f t="shared" ref="BR106:BR113" si="670">BQ106+BR11</f>
        <v>107.259</v>
      </c>
      <c r="BS106" s="192">
        <f t="shared" ref="BS106:BS113" si="671">BR106+BS11</f>
        <v>139.25900000000001</v>
      </c>
      <c r="BT106" s="193">
        <f t="shared" ref="BT106:BT113" si="672">BT11</f>
        <v>32</v>
      </c>
      <c r="BU106" s="191">
        <f t="shared" ref="BU106:BU113" si="673">BT106+BU11</f>
        <v>64</v>
      </c>
      <c r="BV106" s="191">
        <f t="shared" ref="BV106:BV113" si="674">BU106+BV11</f>
        <v>107.259</v>
      </c>
      <c r="BW106" s="192">
        <f t="shared" ref="BW106:BW113" si="675">BV106+BW11</f>
        <v>139.25900000000001</v>
      </c>
      <c r="BX106" s="160"/>
      <c r="BY106" s="191">
        <f t="shared" ref="BY106:CA113" si="676">BY11</f>
        <v>111.07599999999999</v>
      </c>
      <c r="BZ106" s="191">
        <f t="shared" si="676"/>
        <v>111.62700000000001</v>
      </c>
      <c r="CA106" s="191">
        <f t="shared" si="676"/>
        <v>120.46599999999999</v>
      </c>
      <c r="CB106" s="191">
        <f t="shared" ref="CB106:CK106" si="677">CB11</f>
        <v>110.682</v>
      </c>
      <c r="CC106" s="191">
        <f t="shared" si="677"/>
        <v>116.17099999999999</v>
      </c>
      <c r="CD106" s="191">
        <f t="shared" si="677"/>
        <v>100.07599999999999</v>
      </c>
      <c r="CE106" s="191">
        <f t="shared" si="677"/>
        <v>96.046000000000006</v>
      </c>
      <c r="CF106" s="191">
        <f t="shared" si="677"/>
        <v>90.057000000000002</v>
      </c>
      <c r="CG106" s="191">
        <f t="shared" si="677"/>
        <v>106.61199999999999</v>
      </c>
      <c r="CH106" s="191">
        <f t="shared" si="677"/>
        <v>99.424000000000007</v>
      </c>
      <c r="CI106" s="191">
        <f t="shared" si="677"/>
        <v>204.09700000000004</v>
      </c>
      <c r="CJ106" s="191">
        <f t="shared" si="677"/>
        <v>189.13900000000001</v>
      </c>
      <c r="CK106" s="191">
        <f t="shared" si="677"/>
        <v>278.298</v>
      </c>
      <c r="CL106" s="191">
        <f t="shared" ref="CL106:CL113" si="678">CL11</f>
        <v>283.17099999999999</v>
      </c>
      <c r="CM106" s="191">
        <f t="shared" ref="CM106:CM113" si="679">CM11</f>
        <v>469.20800000000003</v>
      </c>
      <c r="CN106" s="191">
        <f t="shared" ref="CN106:CN113" si="680">CN11</f>
        <v>491.03199999999998</v>
      </c>
      <c r="CO106" s="191">
        <f t="shared" ref="CO106:CP113" si="681">CO11</f>
        <v>139.25900000000001</v>
      </c>
      <c r="CP106" s="191">
        <f t="shared" si="681"/>
        <v>139.25900000000001</v>
      </c>
      <c r="CQ106" s="20"/>
      <c r="CR106" s="193">
        <f t="shared" ref="CR106:CT113" si="682">CR11</f>
        <v>111.137</v>
      </c>
      <c r="CS106" s="191">
        <f t="shared" si="682"/>
        <v>120.036</v>
      </c>
      <c r="CT106" s="191">
        <f t="shared" si="682"/>
        <v>112.20699999999999</v>
      </c>
      <c r="CU106" s="191">
        <f t="shared" ref="CU106:DC106" si="683">CU11</f>
        <v>115.36799999999999</v>
      </c>
      <c r="CV106" s="191">
        <f t="shared" si="683"/>
        <v>104.98400000000001</v>
      </c>
      <c r="CW106" s="191">
        <f t="shared" si="683"/>
        <v>95.680999999999983</v>
      </c>
      <c r="CX106" s="191">
        <f t="shared" si="683"/>
        <v>91.571000000000012</v>
      </c>
      <c r="CY106" s="191">
        <f t="shared" si="683"/>
        <v>102.47500000000001</v>
      </c>
      <c r="CZ106" s="191">
        <f t="shared" si="683"/>
        <v>101.62899999999999</v>
      </c>
      <c r="DA106" s="191">
        <f t="shared" si="683"/>
        <v>164.72199999999998</v>
      </c>
      <c r="DB106" s="191">
        <f t="shared" si="683"/>
        <v>207.33300000000003</v>
      </c>
      <c r="DC106" s="191">
        <f t="shared" si="683"/>
        <v>250.54699999999997</v>
      </c>
      <c r="DD106" s="191">
        <f t="shared" ref="DD106:DE113" si="684">DD11</f>
        <v>280.84800000000001</v>
      </c>
      <c r="DE106" s="191">
        <f t="shared" si="684"/>
        <v>416.43399999999997</v>
      </c>
      <c r="DF106" s="191">
        <f t="shared" ref="DF106:DG113" si="685">DF11</f>
        <v>587.31500000000005</v>
      </c>
      <c r="DG106" s="191">
        <f t="shared" si="685"/>
        <v>139.25900000000001</v>
      </c>
      <c r="DH106" s="191">
        <f t="shared" ref="DH106" si="686">DH11</f>
        <v>139.25900000000001</v>
      </c>
      <c r="DI106" s="22"/>
    </row>
    <row r="107" spans="1:113" ht="14.25" customHeight="1" outlineLevel="1">
      <c r="A107" s="8"/>
      <c r="B107" s="49" t="s">
        <v>378</v>
      </c>
      <c r="C107" s="50"/>
      <c r="D107" s="196">
        <v>-9.2550000000000008</v>
      </c>
      <c r="E107" s="194">
        <v>-22.306000000000001</v>
      </c>
      <c r="F107" s="194">
        <v>-25.56</v>
      </c>
      <c r="G107" s="195">
        <v>-17.100999999999999</v>
      </c>
      <c r="H107" s="196">
        <v>-5.6390000000000002</v>
      </c>
      <c r="I107" s="194">
        <v>-6.8470000000000004</v>
      </c>
      <c r="J107" s="194">
        <v>-12.247999999999999</v>
      </c>
      <c r="K107" s="195">
        <v>-12.188000000000001</v>
      </c>
      <c r="L107" s="196">
        <v>22.298999999999999</v>
      </c>
      <c r="M107" s="194">
        <v>31.462</v>
      </c>
      <c r="N107" s="194">
        <v>34.530999999999999</v>
      </c>
      <c r="O107" s="195">
        <v>16.869</v>
      </c>
      <c r="P107" s="196">
        <v>4.7720000000000002</v>
      </c>
      <c r="Q107" s="194">
        <v>7.1219999999999999</v>
      </c>
      <c r="R107" s="194">
        <v>37.139000000000003</v>
      </c>
      <c r="S107" s="195">
        <v>17.515999999999998</v>
      </c>
      <c r="T107" s="196">
        <v>-1.41</v>
      </c>
      <c r="U107" s="194">
        <v>8.6419999999999995</v>
      </c>
      <c r="V107" s="194">
        <v>7.5629999999999997</v>
      </c>
      <c r="W107" s="195">
        <v>9.0229999999999997</v>
      </c>
      <c r="X107" s="196">
        <v>-3.0870000000000002</v>
      </c>
      <c r="Y107" s="194">
        <v>-4.875</v>
      </c>
      <c r="Z107" s="194">
        <v>-1.5580000000000001</v>
      </c>
      <c r="AA107" s="195">
        <v>8.9870000000000001</v>
      </c>
      <c r="AB107" s="196">
        <v>3.41</v>
      </c>
      <c r="AC107" s="194">
        <v>8.5340000000000007</v>
      </c>
      <c r="AD107" s="194">
        <v>4.92</v>
      </c>
      <c r="AE107" s="195">
        <v>28.111000000000001</v>
      </c>
      <c r="AF107" s="196">
        <v>7.1710000000000003</v>
      </c>
      <c r="AG107" s="194">
        <v>6.2610000000000001</v>
      </c>
      <c r="AH107" s="194">
        <v>17.555</v>
      </c>
      <c r="AI107" s="195">
        <v>22.33</v>
      </c>
      <c r="AJ107" s="196">
        <v>9.0730000000000004</v>
      </c>
      <c r="AK107" s="194">
        <v>13.294</v>
      </c>
      <c r="AL107" s="194">
        <v>17.38</v>
      </c>
      <c r="AM107" s="195">
        <v>24.003</v>
      </c>
      <c r="AN107" s="196">
        <v>6.7279999999999998</v>
      </c>
      <c r="AO107" s="194">
        <v>7.0860000000000003</v>
      </c>
      <c r="AP107" s="194">
        <v>7.1849999999999996</v>
      </c>
      <c r="AQ107" s="195">
        <v>21.954000000000001</v>
      </c>
      <c r="AR107" s="196">
        <v>2.927</v>
      </c>
      <c r="AS107" s="194">
        <v>-9.4250000000000007</v>
      </c>
      <c r="AT107" s="194">
        <v>-9.9809999999999999</v>
      </c>
      <c r="AU107" s="195">
        <v>-28.367999999999999</v>
      </c>
      <c r="AV107" s="196">
        <v>5.298</v>
      </c>
      <c r="AW107" s="194">
        <v>11.872</v>
      </c>
      <c r="AX107" s="194">
        <v>24.19</v>
      </c>
      <c r="AY107" s="195">
        <v>5.3209999999999997</v>
      </c>
      <c r="AZ107" s="196">
        <v>-2.319</v>
      </c>
      <c r="BA107" s="194">
        <v>-4.4969999999999999</v>
      </c>
      <c r="BB107" s="194">
        <v>5.7949999999999999</v>
      </c>
      <c r="BC107" s="195">
        <v>-32.811</v>
      </c>
      <c r="BD107" s="196">
        <v>-17.509</v>
      </c>
      <c r="BE107" s="194">
        <v>-35.999000000000002</v>
      </c>
      <c r="BF107" s="194">
        <v>-11.116</v>
      </c>
      <c r="BG107" s="195">
        <v>-60.424999999999997</v>
      </c>
      <c r="BH107" s="196">
        <v>32.905999999999999</v>
      </c>
      <c r="BI107" s="194">
        <v>-17.82</v>
      </c>
      <c r="BJ107" s="194">
        <v>-52.215000000000003</v>
      </c>
      <c r="BK107" s="195">
        <v>-126.88800000000001</v>
      </c>
      <c r="BL107" s="196">
        <v>-21.878</v>
      </c>
      <c r="BM107" s="194">
        <v>-46.939</v>
      </c>
      <c r="BN107" s="194">
        <v>67.555000000000007</v>
      </c>
      <c r="BO107" s="192">
        <f t="shared" si="667"/>
        <v>67.555000000000007</v>
      </c>
      <c r="BP107" s="193">
        <f t="shared" si="668"/>
        <v>0</v>
      </c>
      <c r="BQ107" s="191">
        <f t="shared" si="669"/>
        <v>0</v>
      </c>
      <c r="BR107" s="191">
        <f t="shared" si="670"/>
        <v>0</v>
      </c>
      <c r="BS107" s="192">
        <f t="shared" si="671"/>
        <v>0</v>
      </c>
      <c r="BT107" s="193">
        <f t="shared" si="672"/>
        <v>0</v>
      </c>
      <c r="BU107" s="191">
        <f t="shared" si="673"/>
        <v>0</v>
      </c>
      <c r="BV107" s="191">
        <f t="shared" si="674"/>
        <v>0</v>
      </c>
      <c r="BW107" s="192">
        <f t="shared" si="675"/>
        <v>0</v>
      </c>
      <c r="BX107" s="160"/>
      <c r="BY107" s="191">
        <f t="shared" si="676"/>
        <v>-17.100999999999999</v>
      </c>
      <c r="BZ107" s="191">
        <f t="shared" si="676"/>
        <v>-12.188000000000001</v>
      </c>
      <c r="CA107" s="191">
        <f t="shared" si="676"/>
        <v>16.869</v>
      </c>
      <c r="CB107" s="191">
        <f t="shared" ref="CB107:CK107" si="687">CB12</f>
        <v>17.515999999999998</v>
      </c>
      <c r="CC107" s="191">
        <f t="shared" si="687"/>
        <v>9.0229999999999997</v>
      </c>
      <c r="CD107" s="191">
        <f t="shared" si="687"/>
        <v>8.9870000000000001</v>
      </c>
      <c r="CE107" s="191">
        <f t="shared" si="687"/>
        <v>28.110999999999997</v>
      </c>
      <c r="CF107" s="191">
        <f t="shared" si="687"/>
        <v>22.33</v>
      </c>
      <c r="CG107" s="191">
        <f t="shared" si="687"/>
        <v>24.003</v>
      </c>
      <c r="CH107" s="191">
        <f t="shared" si="687"/>
        <v>21.954000000000001</v>
      </c>
      <c r="CI107" s="191">
        <f t="shared" si="687"/>
        <v>-28.367999999999995</v>
      </c>
      <c r="CJ107" s="191">
        <f t="shared" si="687"/>
        <v>5.320999999999998</v>
      </c>
      <c r="CK107" s="191">
        <f t="shared" si="687"/>
        <v>-32.811</v>
      </c>
      <c r="CL107" s="191">
        <f t="shared" si="678"/>
        <v>-60.424999999999983</v>
      </c>
      <c r="CM107" s="191">
        <f t="shared" si="679"/>
        <v>-126.88800000000001</v>
      </c>
      <c r="CN107" s="191">
        <f t="shared" si="680"/>
        <v>67.555000000000007</v>
      </c>
      <c r="CO107" s="191">
        <f t="shared" si="681"/>
        <v>0</v>
      </c>
      <c r="CP107" s="191">
        <f t="shared" si="681"/>
        <v>0</v>
      </c>
      <c r="CQ107" s="20"/>
      <c r="CR107" s="193">
        <f t="shared" si="682"/>
        <v>-3.7889999999999997</v>
      </c>
      <c r="CS107" s="191">
        <f t="shared" si="682"/>
        <v>34.590999999999994</v>
      </c>
      <c r="CT107" s="191">
        <f t="shared" si="682"/>
        <v>19.477000000000004</v>
      </c>
      <c r="CU107" s="191">
        <f t="shared" ref="CU107:DC107" si="688">CU12</f>
        <v>-12.060000000000006</v>
      </c>
      <c r="CV107" s="191">
        <f t="shared" si="688"/>
        <v>-9.7999999999998977E-2</v>
      </c>
      <c r="CW107" s="191">
        <f t="shared" si="688"/>
        <v>15.465</v>
      </c>
      <c r="CX107" s="191">
        <f t="shared" si="688"/>
        <v>40.745999999999995</v>
      </c>
      <c r="CY107" s="191">
        <f t="shared" si="688"/>
        <v>22.154999999999998</v>
      </c>
      <c r="CZ107" s="191">
        <f t="shared" si="688"/>
        <v>13.808</v>
      </c>
      <c r="DA107" s="191">
        <f t="shared" si="688"/>
        <v>4.788000000000002</v>
      </c>
      <c r="DB107" s="191">
        <f t="shared" si="688"/>
        <v>5.8030000000000026</v>
      </c>
      <c r="DC107" s="191">
        <f t="shared" si="688"/>
        <v>-13.074</v>
      </c>
      <c r="DD107" s="191">
        <f t="shared" si="684"/>
        <v>-49.722000000000001</v>
      </c>
      <c r="DE107" s="191">
        <f t="shared" si="684"/>
        <v>-101.524</v>
      </c>
      <c r="DF107" s="191">
        <f t="shared" si="685"/>
        <v>-7.1179999999999808</v>
      </c>
      <c r="DG107" s="191">
        <f t="shared" si="685"/>
        <v>0</v>
      </c>
      <c r="DH107" s="191">
        <f t="shared" ref="DH107" si="689">DH12</f>
        <v>0</v>
      </c>
      <c r="DI107" s="22"/>
    </row>
    <row r="108" spans="1:113" ht="14.25" customHeight="1" outlineLevel="1">
      <c r="A108" s="8"/>
      <c r="B108" s="49" t="s">
        <v>379</v>
      </c>
      <c r="C108" s="50"/>
      <c r="D108" s="196">
        <v>0</v>
      </c>
      <c r="E108" s="194">
        <v>0</v>
      </c>
      <c r="F108" s="194">
        <v>0</v>
      </c>
      <c r="G108" s="195">
        <v>0</v>
      </c>
      <c r="H108" s="196">
        <v>0</v>
      </c>
      <c r="I108" s="194">
        <v>0</v>
      </c>
      <c r="J108" s="194">
        <v>0</v>
      </c>
      <c r="K108" s="195">
        <v>0</v>
      </c>
      <c r="L108" s="196">
        <v>0</v>
      </c>
      <c r="M108" s="194">
        <v>0</v>
      </c>
      <c r="N108" s="194">
        <v>0</v>
      </c>
      <c r="O108" s="195">
        <v>0</v>
      </c>
      <c r="P108" s="196">
        <v>3.7999999999999999E-2</v>
      </c>
      <c r="Q108" s="194">
        <v>8.5000000000000006E-2</v>
      </c>
      <c r="R108" s="194">
        <v>0.27600000000000002</v>
      </c>
      <c r="S108" s="195">
        <v>0.57799999999999996</v>
      </c>
      <c r="T108" s="196">
        <v>5.8049999999999997</v>
      </c>
      <c r="U108" s="194">
        <v>11.973000000000001</v>
      </c>
      <c r="V108" s="194">
        <v>19.713999999999999</v>
      </c>
      <c r="W108" s="195">
        <v>27.379000000000001</v>
      </c>
      <c r="X108" s="196">
        <v>8.0329999999999995</v>
      </c>
      <c r="Y108" s="194">
        <v>15.804</v>
      </c>
      <c r="Z108" s="194">
        <v>24.161000000000001</v>
      </c>
      <c r="AA108" s="195">
        <v>32.845999999999997</v>
      </c>
      <c r="AB108" s="196">
        <v>7.6989999999999998</v>
      </c>
      <c r="AC108" s="194">
        <v>16.192</v>
      </c>
      <c r="AD108" s="194">
        <v>24.356999999999999</v>
      </c>
      <c r="AE108" s="195">
        <v>32.481000000000002</v>
      </c>
      <c r="AF108" s="196">
        <v>8.9979999999999993</v>
      </c>
      <c r="AG108" s="194">
        <v>18.498000000000001</v>
      </c>
      <c r="AH108" s="194">
        <v>27.335000000000001</v>
      </c>
      <c r="AI108" s="195">
        <v>36.777999999999999</v>
      </c>
      <c r="AJ108" s="196">
        <v>9.4510000000000005</v>
      </c>
      <c r="AK108" s="194">
        <v>18.376000000000001</v>
      </c>
      <c r="AL108" s="194">
        <v>27.785</v>
      </c>
      <c r="AM108" s="195">
        <v>36.811999999999998</v>
      </c>
      <c r="AN108" s="196">
        <v>9.0239999999999991</v>
      </c>
      <c r="AO108" s="194">
        <v>18.507999999999999</v>
      </c>
      <c r="AP108" s="194">
        <v>28.47</v>
      </c>
      <c r="AQ108" s="195">
        <v>38.289000000000001</v>
      </c>
      <c r="AR108" s="196">
        <v>9.9860000000000007</v>
      </c>
      <c r="AS108" s="194">
        <v>24.593</v>
      </c>
      <c r="AT108" s="194">
        <v>38.713000000000001</v>
      </c>
      <c r="AU108" s="195">
        <v>52.069000000000003</v>
      </c>
      <c r="AV108" s="196">
        <v>12.656000000000001</v>
      </c>
      <c r="AW108" s="194">
        <v>27.655999999999999</v>
      </c>
      <c r="AX108" s="194">
        <v>41.375</v>
      </c>
      <c r="AY108" s="195">
        <v>53.786999999999999</v>
      </c>
      <c r="AZ108" s="196">
        <v>13.321</v>
      </c>
      <c r="BA108" s="194">
        <v>28.594000000000001</v>
      </c>
      <c r="BB108" s="194">
        <v>43.412999999999997</v>
      </c>
      <c r="BC108" s="195">
        <v>58.595999999999997</v>
      </c>
      <c r="BD108" s="196">
        <f>-0.263+14.112</f>
        <v>13.849</v>
      </c>
      <c r="BE108" s="194">
        <v>37.137999999999998</v>
      </c>
      <c r="BF108" s="194">
        <v>54.103000000000002</v>
      </c>
      <c r="BG108" s="195">
        <v>71.42</v>
      </c>
      <c r="BH108" s="196">
        <v>59.579000000000001</v>
      </c>
      <c r="BI108" s="194">
        <v>83.968999999999994</v>
      </c>
      <c r="BJ108" s="194">
        <v>106.089</v>
      </c>
      <c r="BK108" s="195">
        <v>128.155</v>
      </c>
      <c r="BL108" s="196">
        <v>22.408000000000001</v>
      </c>
      <c r="BM108" s="194">
        <v>46.018000000000001</v>
      </c>
      <c r="BN108" s="194">
        <v>70.021000000000001</v>
      </c>
      <c r="BO108" s="192">
        <f t="shared" si="667"/>
        <v>94.024000000000001</v>
      </c>
      <c r="BP108" s="193">
        <f t="shared" si="668"/>
        <v>24.003</v>
      </c>
      <c r="BQ108" s="191">
        <f t="shared" si="669"/>
        <v>48.006</v>
      </c>
      <c r="BR108" s="191">
        <f t="shared" si="670"/>
        <v>72.009</v>
      </c>
      <c r="BS108" s="192">
        <f t="shared" si="671"/>
        <v>96.012</v>
      </c>
      <c r="BT108" s="193">
        <f t="shared" si="672"/>
        <v>24.003</v>
      </c>
      <c r="BU108" s="191">
        <f t="shared" si="673"/>
        <v>48.006</v>
      </c>
      <c r="BV108" s="191">
        <f t="shared" si="674"/>
        <v>72.009</v>
      </c>
      <c r="BW108" s="192">
        <f t="shared" si="675"/>
        <v>96.012</v>
      </c>
      <c r="BX108" s="160"/>
      <c r="BY108" s="191">
        <f t="shared" si="676"/>
        <v>0</v>
      </c>
      <c r="BZ108" s="191">
        <f t="shared" si="676"/>
        <v>0</v>
      </c>
      <c r="CA108" s="191">
        <f t="shared" si="676"/>
        <v>0</v>
      </c>
      <c r="CB108" s="191">
        <f t="shared" ref="CB108:CK108" si="690">CB13</f>
        <v>0.57800000000000007</v>
      </c>
      <c r="CC108" s="191">
        <f t="shared" si="690"/>
        <v>27.379000000000005</v>
      </c>
      <c r="CD108" s="191">
        <f t="shared" si="690"/>
        <v>32.845999999999997</v>
      </c>
      <c r="CE108" s="191">
        <f t="shared" si="690"/>
        <v>32.481000000000002</v>
      </c>
      <c r="CF108" s="191">
        <f t="shared" si="690"/>
        <v>36.777999999999999</v>
      </c>
      <c r="CG108" s="191">
        <f t="shared" si="690"/>
        <v>36.811999999999998</v>
      </c>
      <c r="CH108" s="191">
        <f t="shared" si="690"/>
        <v>38.289000000000001</v>
      </c>
      <c r="CI108" s="191">
        <f t="shared" si="690"/>
        <v>52.069000000000003</v>
      </c>
      <c r="CJ108" s="191">
        <f t="shared" si="690"/>
        <v>53.786999999999999</v>
      </c>
      <c r="CK108" s="191">
        <f t="shared" si="690"/>
        <v>58.595999999999997</v>
      </c>
      <c r="CL108" s="191">
        <f t="shared" si="678"/>
        <v>71.42</v>
      </c>
      <c r="CM108" s="191">
        <f t="shared" si="679"/>
        <v>128.155</v>
      </c>
      <c r="CN108" s="191">
        <f t="shared" si="680"/>
        <v>94.024000000000001</v>
      </c>
      <c r="CO108" s="191">
        <f t="shared" si="681"/>
        <v>96.012</v>
      </c>
      <c r="CP108" s="191">
        <f t="shared" si="681"/>
        <v>96.012</v>
      </c>
      <c r="CQ108" s="20"/>
      <c r="CR108" s="193">
        <f t="shared" si="682"/>
        <v>0</v>
      </c>
      <c r="CS108" s="191">
        <f t="shared" si="682"/>
        <v>0</v>
      </c>
      <c r="CT108" s="191">
        <f t="shared" si="682"/>
        <v>0.27600000000000002</v>
      </c>
      <c r="CU108" s="191">
        <f t="shared" ref="CU108:DC108" si="691">CU13</f>
        <v>20.015999999999998</v>
      </c>
      <c r="CV108" s="191">
        <f t="shared" si="691"/>
        <v>31.826000000000008</v>
      </c>
      <c r="CW108" s="191">
        <f t="shared" si="691"/>
        <v>33.041999999999994</v>
      </c>
      <c r="CX108" s="191">
        <f t="shared" si="691"/>
        <v>35.459000000000003</v>
      </c>
      <c r="CY108" s="191">
        <f t="shared" si="691"/>
        <v>37.227999999999994</v>
      </c>
      <c r="CZ108" s="191">
        <f t="shared" si="691"/>
        <v>37.496999999999993</v>
      </c>
      <c r="DA108" s="191">
        <f t="shared" si="691"/>
        <v>48.532000000000011</v>
      </c>
      <c r="DB108" s="191">
        <f t="shared" si="691"/>
        <v>54.731000000000002</v>
      </c>
      <c r="DC108" s="191">
        <f t="shared" si="691"/>
        <v>55.824999999999996</v>
      </c>
      <c r="DD108" s="191">
        <f t="shared" si="684"/>
        <v>69.286000000000001</v>
      </c>
      <c r="DE108" s="191">
        <f t="shared" si="684"/>
        <v>123.40600000000001</v>
      </c>
      <c r="DF108" s="191">
        <f t="shared" si="685"/>
        <v>92.087000000000003</v>
      </c>
      <c r="DG108" s="191">
        <f t="shared" si="685"/>
        <v>96.012</v>
      </c>
      <c r="DH108" s="191">
        <f t="shared" ref="DH108" si="692">DH13</f>
        <v>96.012</v>
      </c>
      <c r="DI108" s="22"/>
    </row>
    <row r="109" spans="1:113" ht="14.25" customHeight="1" outlineLevel="1">
      <c r="A109" s="8"/>
      <c r="B109" s="49" t="s">
        <v>380</v>
      </c>
      <c r="C109" s="50"/>
      <c r="D109" s="196">
        <v>0</v>
      </c>
      <c r="E109" s="194">
        <v>0</v>
      </c>
      <c r="F109" s="194">
        <v>0</v>
      </c>
      <c r="G109" s="195">
        <v>0</v>
      </c>
      <c r="H109" s="196">
        <v>0</v>
      </c>
      <c r="I109" s="194">
        <v>0</v>
      </c>
      <c r="J109" s="194">
        <v>0</v>
      </c>
      <c r="K109" s="195">
        <v>0</v>
      </c>
      <c r="L109" s="196">
        <v>0</v>
      </c>
      <c r="M109" s="194">
        <v>0</v>
      </c>
      <c r="N109" s="194">
        <v>0</v>
      </c>
      <c r="O109" s="195">
        <v>0</v>
      </c>
      <c r="P109" s="196">
        <v>0</v>
      </c>
      <c r="Q109" s="194">
        <v>0</v>
      </c>
      <c r="R109" s="194">
        <v>0</v>
      </c>
      <c r="S109" s="195">
        <v>0</v>
      </c>
      <c r="T109" s="196">
        <v>-7.1139999999999999</v>
      </c>
      <c r="U109" s="194">
        <v>-11.25</v>
      </c>
      <c r="V109" s="194">
        <v>-14.648</v>
      </c>
      <c r="W109" s="195">
        <v>-22.788</v>
      </c>
      <c r="X109" s="196">
        <v>-8.6739999999999995</v>
      </c>
      <c r="Y109" s="194">
        <v>-13.737</v>
      </c>
      <c r="Z109" s="194">
        <v>-16.811</v>
      </c>
      <c r="AA109" s="195">
        <v>-21.184000000000001</v>
      </c>
      <c r="AB109" s="196">
        <v>-5.1779999999999999</v>
      </c>
      <c r="AC109" s="194">
        <v>-8.5549999999999997</v>
      </c>
      <c r="AD109" s="194">
        <v>-10.452999999999999</v>
      </c>
      <c r="AE109" s="195">
        <v>-6.798</v>
      </c>
      <c r="AF109" s="196">
        <v>0</v>
      </c>
      <c r="AG109" s="194">
        <v>-0.70899999999999996</v>
      </c>
      <c r="AH109" s="194">
        <v>-2.0499999999999998</v>
      </c>
      <c r="AI109" s="195">
        <v>-2.0939999999999999</v>
      </c>
      <c r="AJ109" s="196">
        <v>0</v>
      </c>
      <c r="AK109" s="194">
        <v>0</v>
      </c>
      <c r="AL109" s="194">
        <v>-1.24</v>
      </c>
      <c r="AM109" s="195">
        <v>-1.8540000000000001</v>
      </c>
      <c r="AN109" s="196">
        <v>-0.38500000000000001</v>
      </c>
      <c r="AO109" s="194">
        <v>-0.40200000000000002</v>
      </c>
      <c r="AP109" s="194">
        <v>-0.441</v>
      </c>
      <c r="AQ109" s="195">
        <v>-0.57599999999999996</v>
      </c>
      <c r="AR109" s="196">
        <v>-0.02</v>
      </c>
      <c r="AS109" s="194">
        <v>-0.112</v>
      </c>
      <c r="AT109" s="194">
        <v>-0.154</v>
      </c>
      <c r="AU109" s="195">
        <v>-0.29699999999999999</v>
      </c>
      <c r="AV109" s="196">
        <v>0</v>
      </c>
      <c r="AW109" s="194">
        <v>0</v>
      </c>
      <c r="AX109" s="194">
        <v>0</v>
      </c>
      <c r="AY109" s="195">
        <v>-1.411</v>
      </c>
      <c r="AZ109" s="196">
        <v>0</v>
      </c>
      <c r="BA109" s="194">
        <v>-0.98199999999999998</v>
      </c>
      <c r="BB109" s="194">
        <v>-1.1000000000000001</v>
      </c>
      <c r="BC109" s="195">
        <v>-1.216</v>
      </c>
      <c r="BD109" s="196">
        <v>0</v>
      </c>
      <c r="BE109" s="194">
        <v>-0.40699999999999997</v>
      </c>
      <c r="BF109" s="194">
        <v>-0.73499999999999999</v>
      </c>
      <c r="BG109" s="195">
        <v>-0.75800000000000001</v>
      </c>
      <c r="BH109" s="196">
        <v>0</v>
      </c>
      <c r="BI109" s="194">
        <v>0</v>
      </c>
      <c r="BJ109" s="194">
        <v>0</v>
      </c>
      <c r="BK109" s="195">
        <v>0</v>
      </c>
      <c r="BL109" s="196">
        <v>0</v>
      </c>
      <c r="BM109" s="194">
        <v>0</v>
      </c>
      <c r="BN109" s="194">
        <v>0</v>
      </c>
      <c r="BO109" s="192">
        <f t="shared" si="667"/>
        <v>0</v>
      </c>
      <c r="BP109" s="193">
        <f t="shared" si="668"/>
        <v>0</v>
      </c>
      <c r="BQ109" s="191">
        <f t="shared" si="669"/>
        <v>0</v>
      </c>
      <c r="BR109" s="191">
        <f t="shared" si="670"/>
        <v>0</v>
      </c>
      <c r="BS109" s="192">
        <f t="shared" si="671"/>
        <v>0</v>
      </c>
      <c r="BT109" s="193">
        <f t="shared" si="672"/>
        <v>0</v>
      </c>
      <c r="BU109" s="191">
        <f t="shared" si="673"/>
        <v>0</v>
      </c>
      <c r="BV109" s="191">
        <f t="shared" si="674"/>
        <v>0</v>
      </c>
      <c r="BW109" s="192">
        <f t="shared" si="675"/>
        <v>0</v>
      </c>
      <c r="BX109" s="160"/>
      <c r="BY109" s="191">
        <f t="shared" si="676"/>
        <v>0</v>
      </c>
      <c r="BZ109" s="191">
        <f t="shared" si="676"/>
        <v>0</v>
      </c>
      <c r="CA109" s="191">
        <f t="shared" si="676"/>
        <v>0</v>
      </c>
      <c r="CB109" s="191">
        <f t="shared" ref="CB109:CK109" si="693">CB14</f>
        <v>0</v>
      </c>
      <c r="CC109" s="191">
        <f t="shared" si="693"/>
        <v>-22.788</v>
      </c>
      <c r="CD109" s="191">
        <f t="shared" si="693"/>
        <v>-21.183999999999997</v>
      </c>
      <c r="CE109" s="191">
        <f t="shared" si="693"/>
        <v>-6.798</v>
      </c>
      <c r="CF109" s="191">
        <f t="shared" si="693"/>
        <v>-2.0939999999999999</v>
      </c>
      <c r="CG109" s="191">
        <f t="shared" si="693"/>
        <v>-1.8540000000000001</v>
      </c>
      <c r="CH109" s="191">
        <f t="shared" si="693"/>
        <v>-0.57599999999999985</v>
      </c>
      <c r="CI109" s="191">
        <f t="shared" si="693"/>
        <v>-0.29700000000000004</v>
      </c>
      <c r="CJ109" s="191">
        <f t="shared" si="693"/>
        <v>-1.411</v>
      </c>
      <c r="CK109" s="191">
        <f t="shared" si="693"/>
        <v>-1.216</v>
      </c>
      <c r="CL109" s="191">
        <f t="shared" si="678"/>
        <v>-0.75800000000000001</v>
      </c>
      <c r="CM109" s="191">
        <f t="shared" si="679"/>
        <v>0</v>
      </c>
      <c r="CN109" s="191">
        <f t="shared" si="680"/>
        <v>0</v>
      </c>
      <c r="CO109" s="191">
        <f t="shared" si="681"/>
        <v>0</v>
      </c>
      <c r="CP109" s="191">
        <f t="shared" si="681"/>
        <v>0</v>
      </c>
      <c r="CQ109" s="20"/>
      <c r="CR109" s="193">
        <f t="shared" si="682"/>
        <v>0</v>
      </c>
      <c r="CS109" s="191">
        <f t="shared" si="682"/>
        <v>0</v>
      </c>
      <c r="CT109" s="191">
        <f t="shared" si="682"/>
        <v>0</v>
      </c>
      <c r="CU109" s="191">
        <f t="shared" ref="CU109:DC109" si="694">CU14</f>
        <v>-14.648</v>
      </c>
      <c r="CV109" s="191">
        <f t="shared" si="694"/>
        <v>-24.951000000000001</v>
      </c>
      <c r="CW109" s="191">
        <f t="shared" si="694"/>
        <v>-14.825999999999997</v>
      </c>
      <c r="CX109" s="191">
        <f t="shared" si="694"/>
        <v>1.6049999999999995</v>
      </c>
      <c r="CY109" s="191">
        <f t="shared" si="694"/>
        <v>-1.2840000000000003</v>
      </c>
      <c r="CZ109" s="191">
        <f t="shared" si="694"/>
        <v>-1.0549999999999999</v>
      </c>
      <c r="DA109" s="191">
        <f t="shared" si="694"/>
        <v>-0.28899999999999987</v>
      </c>
      <c r="DB109" s="191">
        <f t="shared" si="694"/>
        <v>-0.14300000000000002</v>
      </c>
      <c r="DC109" s="191">
        <f t="shared" si="694"/>
        <v>-2.5110000000000001</v>
      </c>
      <c r="DD109" s="191">
        <f t="shared" si="684"/>
        <v>-0.85099999999999998</v>
      </c>
      <c r="DE109" s="191">
        <f t="shared" si="684"/>
        <v>-2.300000000000002E-2</v>
      </c>
      <c r="DF109" s="191">
        <f t="shared" si="685"/>
        <v>0</v>
      </c>
      <c r="DG109" s="191">
        <f t="shared" si="685"/>
        <v>0</v>
      </c>
      <c r="DH109" s="191">
        <f t="shared" ref="DH109" si="695">DH14</f>
        <v>0</v>
      </c>
      <c r="DI109" s="22"/>
    </row>
    <row r="110" spans="1:113" ht="14.25" customHeight="1" outlineLevel="1">
      <c r="A110" s="8"/>
      <c r="B110" s="49" t="s">
        <v>381</v>
      </c>
      <c r="C110" s="50"/>
      <c r="D110" s="196">
        <v>0</v>
      </c>
      <c r="E110" s="194">
        <v>0</v>
      </c>
      <c r="F110" s="194">
        <v>0</v>
      </c>
      <c r="G110" s="195">
        <v>0</v>
      </c>
      <c r="H110" s="196">
        <v>0</v>
      </c>
      <c r="I110" s="194">
        <v>0</v>
      </c>
      <c r="J110" s="194">
        <v>0</v>
      </c>
      <c r="K110" s="195">
        <v>0</v>
      </c>
      <c r="L110" s="196">
        <v>0</v>
      </c>
      <c r="M110" s="194">
        <v>0</v>
      </c>
      <c r="N110" s="194">
        <v>0</v>
      </c>
      <c r="O110" s="195">
        <v>0</v>
      </c>
      <c r="P110" s="196">
        <v>0</v>
      </c>
      <c r="Q110" s="194">
        <v>0</v>
      </c>
      <c r="R110" s="194">
        <v>0</v>
      </c>
      <c r="S110" s="195">
        <v>0</v>
      </c>
      <c r="T110" s="196">
        <v>0</v>
      </c>
      <c r="U110" s="194">
        <v>0</v>
      </c>
      <c r="V110" s="194">
        <v>0</v>
      </c>
      <c r="W110" s="195">
        <v>0</v>
      </c>
      <c r="X110" s="196">
        <v>0</v>
      </c>
      <c r="Y110" s="194">
        <v>0</v>
      </c>
      <c r="Z110" s="194">
        <v>0</v>
      </c>
      <c r="AA110" s="195">
        <f>0.128+0.068</f>
        <v>0.19600000000000001</v>
      </c>
      <c r="AB110" s="196">
        <f>0.099+0.192</f>
        <v>0.29100000000000004</v>
      </c>
      <c r="AC110" s="194">
        <f>-0.624+0.383</f>
        <v>-0.24099999999999999</v>
      </c>
      <c r="AD110" s="194">
        <f>-1.153+0.575</f>
        <v>-0.57800000000000007</v>
      </c>
      <c r="AE110" s="195">
        <f>-0.944+0.215+5.171</f>
        <v>4.4420000000000002</v>
      </c>
      <c r="AF110" s="196">
        <v>1.508</v>
      </c>
      <c r="AG110" s="194">
        <f>0.152+0.247+3.067</f>
        <v>3.4660000000000002</v>
      </c>
      <c r="AH110" s="194">
        <f>0.154+0.302+4.662</f>
        <v>5.1180000000000003</v>
      </c>
      <c r="AI110" s="195">
        <f>6.258+0.23+0.215</f>
        <v>6.7030000000000003</v>
      </c>
      <c r="AJ110" s="196">
        <f>1.65-0.099+0.055</f>
        <v>1.6059999999999999</v>
      </c>
      <c r="AK110" s="194">
        <f>0.057+0.11+3.356</f>
        <v>3.5229999999999997</v>
      </c>
      <c r="AL110" s="194">
        <f>-0.192+0.165+5.101</f>
        <v>5.0739999999999998</v>
      </c>
      <c r="AM110" s="195">
        <f>-0.185+0.219+6.847</f>
        <v>6.8810000000000002</v>
      </c>
      <c r="AN110" s="196">
        <f>-0.03+0.055+1.805</f>
        <v>1.8299999999999998</v>
      </c>
      <c r="AO110" s="194">
        <f>0.366+0.11+3.671</f>
        <v>4.1470000000000002</v>
      </c>
      <c r="AP110" s="194">
        <f>0.427+0.165+5.58</f>
        <v>6.1719999999999997</v>
      </c>
      <c r="AQ110" s="195">
        <f>0.204+0.219+7.512</f>
        <v>7.9349999999999996</v>
      </c>
      <c r="AR110" s="196">
        <f>0.33+0.054+1.975</f>
        <v>2.359</v>
      </c>
      <c r="AS110" s="194">
        <f>0.589+0.109+4.017</f>
        <v>4.7149999999999999</v>
      </c>
      <c r="AT110" s="194">
        <f>0.253+0.164+6.106</f>
        <v>6.5229999999999997</v>
      </c>
      <c r="AU110" s="195">
        <f>0.138+0.217+8.197</f>
        <v>8.5519999999999996</v>
      </c>
      <c r="AV110" s="196">
        <f>0.016+0.327+2.161</f>
        <v>2.504</v>
      </c>
      <c r="AW110" s="194">
        <f>-0.248+4.396+0.872</f>
        <v>5.0199999999999996</v>
      </c>
      <c r="AX110" s="194">
        <f>-0.449+6.682+1.416</f>
        <v>7.6490000000000009</v>
      </c>
      <c r="AY110" s="195">
        <f>8.97+1.959-0.482</f>
        <v>10.447000000000001</v>
      </c>
      <c r="AZ110" s="196">
        <f>-0.011+2.365+0.544</f>
        <v>2.8980000000000001</v>
      </c>
      <c r="BA110" s="194">
        <f>0.046+4.81+1.088</f>
        <v>5.944</v>
      </c>
      <c r="BB110" s="194">
        <f>0.079+7.311+1.632</f>
        <v>9.0220000000000002</v>
      </c>
      <c r="BC110" s="195">
        <f>14.791+2.463+0.026+50.631</f>
        <v>67.911000000000001</v>
      </c>
      <c r="BD110" s="196">
        <f>11.772+0.958</f>
        <v>12.73</v>
      </c>
      <c r="BE110" s="194">
        <f>23.746+1.92</f>
        <v>25.665999999999997</v>
      </c>
      <c r="BF110" s="194">
        <f>35.909+2.916+7.23</f>
        <v>46.054999999999993</v>
      </c>
      <c r="BG110" s="195">
        <f>48.022+3.968+9.044</f>
        <v>61.033999999999992</v>
      </c>
      <c r="BH110" s="196">
        <f>12.106+1.057</f>
        <v>13.163</v>
      </c>
      <c r="BI110" s="194">
        <v>24.413</v>
      </c>
      <c r="BJ110" s="194">
        <f>36.907+3.182</f>
        <v>40.088999999999999</v>
      </c>
      <c r="BK110" s="195">
        <f>56.075+4.524+0.018</f>
        <v>60.617000000000004</v>
      </c>
      <c r="BL110" s="196">
        <f>25.953+1.621</f>
        <v>27.573999999999998</v>
      </c>
      <c r="BM110" s="194">
        <v>52.305999999999997</v>
      </c>
      <c r="BN110" s="194">
        <f>79.017+4.952</f>
        <v>83.968999999999994</v>
      </c>
      <c r="BO110" s="192">
        <f t="shared" si="667"/>
        <v>83.968999999999994</v>
      </c>
      <c r="BP110" s="193">
        <f t="shared" si="668"/>
        <v>0</v>
      </c>
      <c r="BQ110" s="191">
        <f t="shared" si="669"/>
        <v>0</v>
      </c>
      <c r="BR110" s="191">
        <f t="shared" si="670"/>
        <v>0</v>
      </c>
      <c r="BS110" s="192">
        <f t="shared" si="671"/>
        <v>0</v>
      </c>
      <c r="BT110" s="193">
        <f t="shared" si="672"/>
        <v>0</v>
      </c>
      <c r="BU110" s="191">
        <f t="shared" si="673"/>
        <v>0</v>
      </c>
      <c r="BV110" s="191">
        <f t="shared" si="674"/>
        <v>0</v>
      </c>
      <c r="BW110" s="192">
        <f t="shared" si="675"/>
        <v>0</v>
      </c>
      <c r="BX110" s="160"/>
      <c r="BY110" s="191">
        <f t="shared" si="676"/>
        <v>0</v>
      </c>
      <c r="BZ110" s="191">
        <f t="shared" si="676"/>
        <v>0</v>
      </c>
      <c r="CA110" s="191">
        <f t="shared" si="676"/>
        <v>0</v>
      </c>
      <c r="CB110" s="191">
        <f t="shared" ref="CB110:CK110" si="696">CB15</f>
        <v>0</v>
      </c>
      <c r="CC110" s="191">
        <f t="shared" si="696"/>
        <v>0</v>
      </c>
      <c r="CD110" s="191">
        <f t="shared" si="696"/>
        <v>0.19600000000000001</v>
      </c>
      <c r="CE110" s="191">
        <f t="shared" si="696"/>
        <v>4.4419999999999993</v>
      </c>
      <c r="CF110" s="191">
        <f t="shared" si="696"/>
        <v>6.7030000000000003</v>
      </c>
      <c r="CG110" s="191">
        <f t="shared" si="696"/>
        <v>6.8810000000000002</v>
      </c>
      <c r="CH110" s="191">
        <f t="shared" si="696"/>
        <v>7.9349999999999996</v>
      </c>
      <c r="CI110" s="191">
        <f t="shared" si="696"/>
        <v>8.5519999999999996</v>
      </c>
      <c r="CJ110" s="191">
        <f t="shared" si="696"/>
        <v>10.447000000000001</v>
      </c>
      <c r="CK110" s="191">
        <f t="shared" si="696"/>
        <v>67.911000000000001</v>
      </c>
      <c r="CL110" s="191">
        <f t="shared" si="678"/>
        <v>61.033999999999992</v>
      </c>
      <c r="CM110" s="191">
        <f t="shared" si="679"/>
        <v>60.617000000000004</v>
      </c>
      <c r="CN110" s="191">
        <f t="shared" si="680"/>
        <v>83.968999999999994</v>
      </c>
      <c r="CO110" s="191">
        <f t="shared" si="681"/>
        <v>0</v>
      </c>
      <c r="CP110" s="191">
        <f t="shared" si="681"/>
        <v>0</v>
      </c>
      <c r="CQ110" s="20"/>
      <c r="CR110" s="193">
        <f t="shared" si="682"/>
        <v>0</v>
      </c>
      <c r="CS110" s="191">
        <f t="shared" si="682"/>
        <v>0</v>
      </c>
      <c r="CT110" s="191">
        <f t="shared" si="682"/>
        <v>0</v>
      </c>
      <c r="CU110" s="191">
        <f t="shared" ref="CU110:DC110" si="697">CU15</f>
        <v>0</v>
      </c>
      <c r="CV110" s="191">
        <f t="shared" si="697"/>
        <v>0</v>
      </c>
      <c r="CW110" s="191">
        <f t="shared" si="697"/>
        <v>-0.38200000000000006</v>
      </c>
      <c r="CX110" s="191">
        <f t="shared" si="697"/>
        <v>10.138000000000002</v>
      </c>
      <c r="CY110" s="191">
        <f t="shared" si="697"/>
        <v>6.6589999999999998</v>
      </c>
      <c r="CZ110" s="191">
        <f t="shared" si="697"/>
        <v>7.9790000000000001</v>
      </c>
      <c r="DA110" s="191">
        <f t="shared" si="697"/>
        <v>8.2859999999999996</v>
      </c>
      <c r="DB110" s="191">
        <f t="shared" si="697"/>
        <v>9.6780000000000008</v>
      </c>
      <c r="DC110" s="191">
        <f t="shared" si="697"/>
        <v>11.82</v>
      </c>
      <c r="DD110" s="191">
        <f t="shared" si="684"/>
        <v>104.94399999999999</v>
      </c>
      <c r="DE110" s="191">
        <f t="shared" si="684"/>
        <v>55.067999999999998</v>
      </c>
      <c r="DF110" s="191">
        <f t="shared" si="685"/>
        <v>104.497</v>
      </c>
      <c r="DG110" s="191">
        <f t="shared" si="685"/>
        <v>0</v>
      </c>
      <c r="DH110" s="191">
        <f t="shared" ref="DH110" si="698">DH15</f>
        <v>0</v>
      </c>
      <c r="DI110" s="22"/>
    </row>
    <row r="111" spans="1:113" ht="14.25" customHeight="1" outlineLevel="1">
      <c r="A111" s="8"/>
      <c r="B111" s="49" t="s">
        <v>382</v>
      </c>
      <c r="C111" s="50"/>
      <c r="D111" s="196">
        <v>8.8610000000000007</v>
      </c>
      <c r="E111" s="194">
        <v>12.718999999999999</v>
      </c>
      <c r="F111" s="194">
        <v>17.417000000000002</v>
      </c>
      <c r="G111" s="195">
        <v>17.951000000000001</v>
      </c>
      <c r="H111" s="196">
        <v>3.3929999999999998</v>
      </c>
      <c r="I111" s="194">
        <v>11.157999999999999</v>
      </c>
      <c r="J111" s="194">
        <v>26.048999999999999</v>
      </c>
      <c r="K111" s="195">
        <v>37.639000000000003</v>
      </c>
      <c r="L111" s="196">
        <v>6.3849999999999998</v>
      </c>
      <c r="M111" s="194">
        <v>9.0449999999999999</v>
      </c>
      <c r="N111" s="194">
        <v>14.411</v>
      </c>
      <c r="O111" s="195">
        <v>15.295999999999999</v>
      </c>
      <c r="P111" s="196">
        <v>5.3849999999999998</v>
      </c>
      <c r="Q111" s="194">
        <v>9.2870000000000008</v>
      </c>
      <c r="R111" s="194">
        <v>17.651</v>
      </c>
      <c r="S111" s="195">
        <v>29.376999999999999</v>
      </c>
      <c r="T111" s="196">
        <v>7.117</v>
      </c>
      <c r="U111" s="194">
        <v>11.255000000000001</v>
      </c>
      <c r="V111" s="194">
        <v>14.659000000000001</v>
      </c>
      <c r="W111" s="195">
        <v>22.861999999999998</v>
      </c>
      <c r="X111" s="196">
        <v>8.7669999999999995</v>
      </c>
      <c r="Y111" s="194">
        <v>14.26</v>
      </c>
      <c r="Z111" s="194">
        <v>18.047000000000001</v>
      </c>
      <c r="AA111" s="195">
        <v>21.914000000000001</v>
      </c>
      <c r="AB111" s="196">
        <v>5.9279999999999999</v>
      </c>
      <c r="AC111" s="194">
        <v>9.35</v>
      </c>
      <c r="AD111" s="194">
        <v>11.239000000000001</v>
      </c>
      <c r="AE111" s="195">
        <v>0</v>
      </c>
      <c r="AF111" s="196">
        <v>0</v>
      </c>
      <c r="AG111" s="194">
        <v>0</v>
      </c>
      <c r="AH111" s="194">
        <v>0</v>
      </c>
      <c r="AI111" s="195">
        <v>0</v>
      </c>
      <c r="AJ111" s="196">
        <v>5.1999999999999998E-2</v>
      </c>
      <c r="AK111" s="194">
        <v>9.5000000000000001E-2</v>
      </c>
      <c r="AL111" s="194">
        <v>-0.185</v>
      </c>
      <c r="AM111" s="195">
        <v>-0.157</v>
      </c>
      <c r="AN111" s="196">
        <v>6.0999999999999999E-2</v>
      </c>
      <c r="AO111" s="194">
        <v>7.3999999999999996E-2</v>
      </c>
      <c r="AP111" s="194">
        <v>0.06</v>
      </c>
      <c r="AQ111" s="195">
        <v>0.19500000000000001</v>
      </c>
      <c r="AR111" s="196">
        <v>0.121</v>
      </c>
      <c r="AS111" s="194">
        <v>0.153</v>
      </c>
      <c r="AT111" s="194">
        <v>0.38200000000000001</v>
      </c>
      <c r="AU111" s="195">
        <v>0.61699999999999999</v>
      </c>
      <c r="AV111" s="196">
        <v>0.26</v>
      </c>
      <c r="AW111" s="194">
        <v>0.36099999999999999</v>
      </c>
      <c r="AX111" s="194">
        <v>0.21099999999999999</v>
      </c>
      <c r="AY111" s="195">
        <v>0.17699999999999999</v>
      </c>
      <c r="AZ111" s="196">
        <v>3.2000000000000001E-2</v>
      </c>
      <c r="BA111" s="194">
        <v>6.7000000000000004E-2</v>
      </c>
      <c r="BB111" s="194">
        <v>0.129</v>
      </c>
      <c r="BC111" s="195">
        <v>0.317</v>
      </c>
      <c r="BD111" s="196">
        <v>0.17699999999999999</v>
      </c>
      <c r="BE111" s="194">
        <v>0.23300000000000001</v>
      </c>
      <c r="BF111" s="194">
        <v>0.28899999999999998</v>
      </c>
      <c r="BG111" s="195">
        <v>0.34499999999999997</v>
      </c>
      <c r="BH111" s="196">
        <v>5.6000000000000001E-2</v>
      </c>
      <c r="BI111" s="194">
        <v>0.112</v>
      </c>
      <c r="BJ111" s="194">
        <v>0.16700000000000001</v>
      </c>
      <c r="BK111" s="195">
        <v>0.222</v>
      </c>
      <c r="BL111" s="196">
        <v>5.5E-2</v>
      </c>
      <c r="BM111" s="194">
        <v>0.111</v>
      </c>
      <c r="BN111" s="194">
        <v>0.16700000000000001</v>
      </c>
      <c r="BO111" s="192">
        <f t="shared" si="667"/>
        <v>0.16700000000000001</v>
      </c>
      <c r="BP111" s="193">
        <f t="shared" si="668"/>
        <v>0</v>
      </c>
      <c r="BQ111" s="191">
        <f t="shared" si="669"/>
        <v>0</v>
      </c>
      <c r="BR111" s="191">
        <f t="shared" si="670"/>
        <v>0</v>
      </c>
      <c r="BS111" s="192">
        <f t="shared" si="671"/>
        <v>0</v>
      </c>
      <c r="BT111" s="193">
        <f t="shared" si="672"/>
        <v>0</v>
      </c>
      <c r="BU111" s="191">
        <f t="shared" si="673"/>
        <v>0</v>
      </c>
      <c r="BV111" s="191">
        <f t="shared" si="674"/>
        <v>0</v>
      </c>
      <c r="BW111" s="192">
        <f t="shared" si="675"/>
        <v>0</v>
      </c>
      <c r="BX111" s="160"/>
      <c r="BY111" s="191">
        <f t="shared" si="676"/>
        <v>17.951000000000001</v>
      </c>
      <c r="BZ111" s="191">
        <f t="shared" si="676"/>
        <v>37.639000000000003</v>
      </c>
      <c r="CA111" s="191">
        <f t="shared" si="676"/>
        <v>15.295999999999999</v>
      </c>
      <c r="CB111" s="191">
        <f t="shared" ref="CB111:CK111" si="699">CB16</f>
        <v>29.376999999999995</v>
      </c>
      <c r="CC111" s="191">
        <f t="shared" si="699"/>
        <v>22.861999999999998</v>
      </c>
      <c r="CD111" s="191">
        <f t="shared" si="699"/>
        <v>21.914000000000001</v>
      </c>
      <c r="CE111" s="191">
        <f t="shared" si="699"/>
        <v>0</v>
      </c>
      <c r="CF111" s="191">
        <f t="shared" si="699"/>
        <v>0</v>
      </c>
      <c r="CG111" s="191">
        <f t="shared" si="699"/>
        <v>-0.157</v>
      </c>
      <c r="CH111" s="191">
        <f t="shared" si="699"/>
        <v>0.19500000000000001</v>
      </c>
      <c r="CI111" s="191">
        <f t="shared" si="699"/>
        <v>0.61699999999999999</v>
      </c>
      <c r="CJ111" s="191">
        <f t="shared" si="699"/>
        <v>0.17699999999999996</v>
      </c>
      <c r="CK111" s="191">
        <f t="shared" si="699"/>
        <v>0.317</v>
      </c>
      <c r="CL111" s="191">
        <f t="shared" si="678"/>
        <v>0.34499999999999997</v>
      </c>
      <c r="CM111" s="191">
        <f t="shared" si="679"/>
        <v>0.222</v>
      </c>
      <c r="CN111" s="191">
        <f t="shared" si="680"/>
        <v>0.16700000000000001</v>
      </c>
      <c r="CO111" s="191">
        <f t="shared" si="681"/>
        <v>0</v>
      </c>
      <c r="CP111" s="191">
        <f t="shared" si="681"/>
        <v>0</v>
      </c>
      <c r="CQ111" s="20"/>
      <c r="CR111" s="193">
        <f t="shared" si="682"/>
        <v>26.582999999999998</v>
      </c>
      <c r="CS111" s="191">
        <f t="shared" si="682"/>
        <v>26.001000000000001</v>
      </c>
      <c r="CT111" s="191">
        <f t="shared" si="682"/>
        <v>18.536000000000001</v>
      </c>
      <c r="CU111" s="191">
        <f t="shared" ref="CU111:DC111" si="700">CU16</f>
        <v>26.384999999999998</v>
      </c>
      <c r="CV111" s="191">
        <f t="shared" si="700"/>
        <v>26.249999999999993</v>
      </c>
      <c r="CW111" s="191">
        <f t="shared" si="700"/>
        <v>15.106000000000003</v>
      </c>
      <c r="CX111" s="191">
        <f t="shared" si="700"/>
        <v>-11.239000000000001</v>
      </c>
      <c r="CY111" s="191">
        <f t="shared" si="700"/>
        <v>-0.18500000000000003</v>
      </c>
      <c r="CZ111" s="191">
        <f t="shared" si="700"/>
        <v>8.8000000000000023E-2</v>
      </c>
      <c r="DA111" s="191">
        <f t="shared" si="700"/>
        <v>0.51700000000000002</v>
      </c>
      <c r="DB111" s="191">
        <f t="shared" si="700"/>
        <v>0.44599999999999995</v>
      </c>
      <c r="DC111" s="191">
        <f t="shared" si="700"/>
        <v>9.4999999999999973E-2</v>
      </c>
      <c r="DD111" s="191">
        <f t="shared" si="684"/>
        <v>0.47699999999999998</v>
      </c>
      <c r="DE111" s="191">
        <f t="shared" si="684"/>
        <v>0.22300000000000003</v>
      </c>
      <c r="DF111" s="191">
        <f t="shared" si="685"/>
        <v>0.222</v>
      </c>
      <c r="DG111" s="191">
        <f t="shared" si="685"/>
        <v>0</v>
      </c>
      <c r="DH111" s="191">
        <f t="shared" ref="DH111" si="701">DH16</f>
        <v>0</v>
      </c>
      <c r="DI111" s="22"/>
    </row>
    <row r="112" spans="1:113" ht="14.25" customHeight="1" outlineLevel="1">
      <c r="A112" s="8"/>
      <c r="B112" s="49" t="s">
        <v>80</v>
      </c>
      <c r="C112" s="50"/>
      <c r="D112" s="196">
        <v>0</v>
      </c>
      <c r="E112" s="194">
        <v>0</v>
      </c>
      <c r="F112" s="194">
        <v>0</v>
      </c>
      <c r="G112" s="195">
        <v>-0.55500000000000005</v>
      </c>
      <c r="H112" s="196">
        <v>0</v>
      </c>
      <c r="I112" s="194">
        <v>-5.1999999999999998E-2</v>
      </c>
      <c r="J112" s="194">
        <v>2.3E-2</v>
      </c>
      <c r="K112" s="195">
        <v>-1.097</v>
      </c>
      <c r="L112" s="196">
        <v>-0.73499999999999999</v>
      </c>
      <c r="M112" s="194">
        <v>-1.0820000000000001</v>
      </c>
      <c r="N112" s="194">
        <v>-1.0820000000000001</v>
      </c>
      <c r="O112" s="195">
        <v>-1.224</v>
      </c>
      <c r="P112" s="196">
        <v>-0.21099999999999999</v>
      </c>
      <c r="Q112" s="194">
        <v>-0.20100000000000001</v>
      </c>
      <c r="R112" s="194">
        <v>-0.47599999999999998</v>
      </c>
      <c r="S112" s="195">
        <v>-0.998</v>
      </c>
      <c r="T112" s="196">
        <v>-0.29899999999999999</v>
      </c>
      <c r="U112" s="194">
        <v>-0.36399999999999999</v>
      </c>
      <c r="V112" s="194">
        <v>-0.36399999999999999</v>
      </c>
      <c r="W112" s="195">
        <v>-0.36399999999999999</v>
      </c>
      <c r="X112" s="196">
        <v>-0.45</v>
      </c>
      <c r="Y112" s="194">
        <v>-0.45</v>
      </c>
      <c r="Z112" s="194">
        <v>-0.625</v>
      </c>
      <c r="AA112" s="195">
        <v>-0.93700000000000006</v>
      </c>
      <c r="AB112" s="196">
        <v>-9.4E-2</v>
      </c>
      <c r="AC112" s="194">
        <v>-9.8000000000000004E-2</v>
      </c>
      <c r="AD112" s="194">
        <v>-0.1</v>
      </c>
      <c r="AE112" s="195">
        <v>-0.1</v>
      </c>
      <c r="AF112" s="196">
        <v>0</v>
      </c>
      <c r="AG112" s="194">
        <v>0</v>
      </c>
      <c r="AH112" s="194">
        <v>-0.1</v>
      </c>
      <c r="AI112" s="195">
        <v>-0.1</v>
      </c>
      <c r="AJ112" s="196">
        <v>-8.7999999999999995E-2</v>
      </c>
      <c r="AK112" s="194">
        <v>-3.9E-2</v>
      </c>
      <c r="AL112" s="194">
        <v>-8.8999999999999996E-2</v>
      </c>
      <c r="AM112" s="195">
        <v>-8.8999999999999996E-2</v>
      </c>
      <c r="AN112" s="196">
        <v>0</v>
      </c>
      <c r="AO112" s="194">
        <v>-4.8000000000000001E-2</v>
      </c>
      <c r="AP112" s="194">
        <v>-0.21199999999999999</v>
      </c>
      <c r="AQ112" s="195">
        <v>-0.41099999999999998</v>
      </c>
      <c r="AR112" s="196">
        <v>0</v>
      </c>
      <c r="AS112" s="194">
        <v>-1.6E-2</v>
      </c>
      <c r="AT112" s="194">
        <v>-0.25600000000000001</v>
      </c>
      <c r="AU112" s="195">
        <v>-0.25600000000000001</v>
      </c>
      <c r="AV112" s="196">
        <v>0</v>
      </c>
      <c r="AW112" s="194">
        <v>0</v>
      </c>
      <c r="AX112" s="194">
        <v>0</v>
      </c>
      <c r="AY112" s="195">
        <v>0.24399999999999999</v>
      </c>
      <c r="AZ112" s="196">
        <v>0</v>
      </c>
      <c r="BA112" s="194">
        <v>0</v>
      </c>
      <c r="BB112" s="194">
        <v>0</v>
      </c>
      <c r="BC112" s="195">
        <v>0</v>
      </c>
      <c r="BD112" s="196">
        <v>-0.56000000000000005</v>
      </c>
      <c r="BE112" s="194">
        <f>-0.86-13.959</f>
        <v>-14.818999999999999</v>
      </c>
      <c r="BF112" s="194">
        <f>-0.96-14.054-2.225</f>
        <v>-17.239000000000001</v>
      </c>
      <c r="BG112" s="195">
        <v>-0.96</v>
      </c>
      <c r="BH112" s="196">
        <v>-6.0999999999999999E-2</v>
      </c>
      <c r="BI112" s="194">
        <v>-7.4999999999999997E-2</v>
      </c>
      <c r="BJ112" s="194">
        <v>-7.8E-2</v>
      </c>
      <c r="BK112" s="195">
        <v>-7.8E-2</v>
      </c>
      <c r="BL112" s="196">
        <v>-4.5650000000000004</v>
      </c>
      <c r="BM112" s="194">
        <v>-5.3810000000000002</v>
      </c>
      <c r="BN112" s="194">
        <v>-5.4210000000000003</v>
      </c>
      <c r="BO112" s="192">
        <f t="shared" si="667"/>
        <v>-5.4210000000000003</v>
      </c>
      <c r="BP112" s="193">
        <f t="shared" si="668"/>
        <v>0</v>
      </c>
      <c r="BQ112" s="191">
        <f t="shared" si="669"/>
        <v>0</v>
      </c>
      <c r="BR112" s="191">
        <f t="shared" si="670"/>
        <v>0</v>
      </c>
      <c r="BS112" s="192">
        <f t="shared" si="671"/>
        <v>0</v>
      </c>
      <c r="BT112" s="193">
        <f t="shared" si="672"/>
        <v>0</v>
      </c>
      <c r="BU112" s="191">
        <f t="shared" si="673"/>
        <v>0</v>
      </c>
      <c r="BV112" s="191">
        <f t="shared" si="674"/>
        <v>0</v>
      </c>
      <c r="BW112" s="192">
        <f t="shared" si="675"/>
        <v>0</v>
      </c>
      <c r="BX112" s="160"/>
      <c r="BY112" s="191">
        <f t="shared" si="676"/>
        <v>-0.55500000000000005</v>
      </c>
      <c r="BZ112" s="191">
        <f t="shared" si="676"/>
        <v>-1.097</v>
      </c>
      <c r="CA112" s="191">
        <f t="shared" si="676"/>
        <v>-1.224</v>
      </c>
      <c r="CB112" s="191">
        <f t="shared" ref="CB112:CK112" si="702">CB17</f>
        <v>-0.998</v>
      </c>
      <c r="CC112" s="191">
        <f t="shared" si="702"/>
        <v>-0.36399999999999999</v>
      </c>
      <c r="CD112" s="191">
        <f t="shared" si="702"/>
        <v>-0.93700000000000006</v>
      </c>
      <c r="CE112" s="191">
        <f t="shared" si="702"/>
        <v>-0.1</v>
      </c>
      <c r="CF112" s="191">
        <f t="shared" si="702"/>
        <v>-0.1</v>
      </c>
      <c r="CG112" s="191">
        <f t="shared" si="702"/>
        <v>-8.8999999999999996E-2</v>
      </c>
      <c r="CH112" s="191">
        <f t="shared" si="702"/>
        <v>-0.41099999999999998</v>
      </c>
      <c r="CI112" s="191">
        <f t="shared" si="702"/>
        <v>-0.25600000000000001</v>
      </c>
      <c r="CJ112" s="191">
        <f t="shared" si="702"/>
        <v>0.24399999999999999</v>
      </c>
      <c r="CK112" s="191">
        <f t="shared" si="702"/>
        <v>0</v>
      </c>
      <c r="CL112" s="191">
        <f t="shared" si="678"/>
        <v>-0.96000000000000085</v>
      </c>
      <c r="CM112" s="191">
        <f t="shared" si="679"/>
        <v>-7.8E-2</v>
      </c>
      <c r="CN112" s="191">
        <f t="shared" si="680"/>
        <v>-5.4210000000000003</v>
      </c>
      <c r="CO112" s="191">
        <f t="shared" si="681"/>
        <v>0</v>
      </c>
      <c r="CP112" s="191">
        <f t="shared" si="681"/>
        <v>0</v>
      </c>
      <c r="CQ112" s="20"/>
      <c r="CR112" s="193">
        <f t="shared" si="682"/>
        <v>-0.53200000000000014</v>
      </c>
      <c r="CS112" s="191">
        <f t="shared" si="682"/>
        <v>-2.202</v>
      </c>
      <c r="CT112" s="191">
        <f t="shared" si="682"/>
        <v>-0.61799999999999988</v>
      </c>
      <c r="CU112" s="191">
        <f t="shared" ref="CU112:DC112" si="703">CU17</f>
        <v>-0.8859999999999999</v>
      </c>
      <c r="CV112" s="191">
        <f t="shared" si="703"/>
        <v>-0.625</v>
      </c>
      <c r="CW112" s="191">
        <f t="shared" si="703"/>
        <v>-0.41200000000000003</v>
      </c>
      <c r="CX112" s="191">
        <f t="shared" si="703"/>
        <v>-0.1</v>
      </c>
      <c r="CY112" s="191">
        <f t="shared" si="703"/>
        <v>-8.8999999999999996E-2</v>
      </c>
      <c r="CZ112" s="191">
        <f t="shared" si="703"/>
        <v>-0.21199999999999997</v>
      </c>
      <c r="DA112" s="191">
        <f t="shared" si="703"/>
        <v>-0.45500000000000002</v>
      </c>
      <c r="DB112" s="191">
        <f t="shared" si="703"/>
        <v>-1.3877787807814457E-17</v>
      </c>
      <c r="DC112" s="191">
        <f t="shared" si="703"/>
        <v>0.24399999999999999</v>
      </c>
      <c r="DD112" s="191">
        <f t="shared" si="684"/>
        <v>-17.239000000000001</v>
      </c>
      <c r="DE112" s="191">
        <f t="shared" si="684"/>
        <v>16.201000000000001</v>
      </c>
      <c r="DF112" s="191">
        <f t="shared" si="685"/>
        <v>-5.4210000000000003</v>
      </c>
      <c r="DG112" s="191">
        <f t="shared" si="685"/>
        <v>0</v>
      </c>
      <c r="DH112" s="191">
        <f t="shared" ref="DH112" si="704">DH17</f>
        <v>0</v>
      </c>
      <c r="DI112" s="22"/>
    </row>
    <row r="113" spans="1:113" ht="14.25" customHeight="1" outlineLevel="1">
      <c r="A113" s="11"/>
      <c r="B113" s="49" t="s">
        <v>162</v>
      </c>
      <c r="C113" s="50"/>
      <c r="D113" s="196">
        <f>0.015+2.108+0.01+1.208+11.443+9.3</f>
        <v>24.084</v>
      </c>
      <c r="E113" s="194">
        <f>0.03+3.496+0.022+2.146+11.443+9.3+41.5</f>
        <v>67.936999999999998</v>
      </c>
      <c r="F113" s="194">
        <f>0.045+4.75+0.034+2.146+11.443+9.3+41.5</f>
        <v>69.218000000000004</v>
      </c>
      <c r="G113" s="195">
        <f>2.165+11.443+9.3+41.5</f>
        <v>64.408000000000001</v>
      </c>
      <c r="H113" s="196">
        <f>30.608+0.763+1.545</f>
        <v>32.916000000000004</v>
      </c>
      <c r="I113" s="194">
        <f>30.608+0.723+1.545</f>
        <v>32.875999999999998</v>
      </c>
      <c r="J113" s="194">
        <f>30.608+0.598+0.645</f>
        <v>31.850999999999999</v>
      </c>
      <c r="K113" s="195">
        <f>30.608+0.598+0.645</f>
        <v>31.850999999999999</v>
      </c>
      <c r="L113" s="196">
        <v>21.1</v>
      </c>
      <c r="M113" s="194">
        <v>0</v>
      </c>
      <c r="N113" s="194">
        <v>0</v>
      </c>
      <c r="O113" s="195">
        <v>0</v>
      </c>
      <c r="P113" s="196">
        <v>0</v>
      </c>
      <c r="Q113" s="194">
        <v>0</v>
      </c>
      <c r="R113" s="194">
        <v>0</v>
      </c>
      <c r="S113" s="195">
        <v>0</v>
      </c>
      <c r="T113" s="196">
        <v>0</v>
      </c>
      <c r="U113" s="194">
        <v>0</v>
      </c>
      <c r="V113" s="194">
        <v>0</v>
      </c>
      <c r="W113" s="195">
        <v>0</v>
      </c>
      <c r="X113" s="196">
        <v>0</v>
      </c>
      <c r="Y113" s="194">
        <v>26.763000000000002</v>
      </c>
      <c r="Z113" s="194">
        <f>26.763+0.892</f>
        <v>27.655000000000001</v>
      </c>
      <c r="AA113" s="195">
        <f>26.763-12.133+2.439</f>
        <v>17.069000000000003</v>
      </c>
      <c r="AB113" s="196">
        <f>-1.021-1.417+0.894</f>
        <v>-1.5439999999999996</v>
      </c>
      <c r="AC113" s="194">
        <f>-15.945-4.06+1.196</f>
        <v>-18.808999999999997</v>
      </c>
      <c r="AD113" s="194">
        <f>2.548+0.5-79.319+12.166</f>
        <v>-64.105000000000004</v>
      </c>
      <c r="AE113" s="195">
        <f>3.56+0.86-73.51+6.332</f>
        <v>-62.758000000000003</v>
      </c>
      <c r="AF113" s="196">
        <f>-0.153+0.054+1.266+1.238+55.215-5.485</f>
        <v>52.135000000000005</v>
      </c>
      <c r="AG113" s="194">
        <f>1.238+86.97-7.425+1.642</f>
        <v>82.424999999999997</v>
      </c>
      <c r="AH113" s="194">
        <f>2.17+1.238+86.97-7.425</f>
        <v>82.953000000000003</v>
      </c>
      <c r="AI113" s="195">
        <f>4.75+1.238+86.97-7.425</f>
        <v>85.533000000000001</v>
      </c>
      <c r="AJ113" s="196">
        <f>0.453</f>
        <v>0.45300000000000001</v>
      </c>
      <c r="AK113" s="194">
        <v>0.84099999999999997</v>
      </c>
      <c r="AL113" s="194">
        <v>1.2629999999999999</v>
      </c>
      <c r="AM113" s="195">
        <v>4.6589999999999998</v>
      </c>
      <c r="AN113" s="196">
        <v>0.94499999999999995</v>
      </c>
      <c r="AO113" s="194">
        <v>3.0089999999999999</v>
      </c>
      <c r="AP113" s="194">
        <f>3.213-1</f>
        <v>2.2130000000000001</v>
      </c>
      <c r="AQ113" s="195">
        <f>2.158-1</f>
        <v>1.1579999999999999</v>
      </c>
      <c r="AR113" s="196">
        <v>0</v>
      </c>
      <c r="AS113" s="194">
        <v>0.33400000000000002</v>
      </c>
      <c r="AT113" s="194">
        <f>0.4+0.412</f>
        <v>0.81200000000000006</v>
      </c>
      <c r="AU113" s="195">
        <f>0.4+0.413+4.4</f>
        <v>5.2130000000000001</v>
      </c>
      <c r="AV113" s="196">
        <v>1.3919999999999999</v>
      </c>
      <c r="AW113" s="194">
        <f>0.35-0.237</f>
        <v>0.11299999999999999</v>
      </c>
      <c r="AX113" s="194">
        <f>0.35+8.067-0.999-2.438</f>
        <v>4.9800000000000004</v>
      </c>
      <c r="AY113" s="195">
        <f>-0.459-2.438+10.754+0.35</f>
        <v>8.206999999999999</v>
      </c>
      <c r="AZ113" s="196">
        <f>0.406+2.589</f>
        <v>2.9950000000000001</v>
      </c>
      <c r="BA113" s="194">
        <f>5.066+0.556</f>
        <v>5.6219999999999999</v>
      </c>
      <c r="BB113" s="194">
        <f>0.285+1.861+7.561</f>
        <v>9.7070000000000007</v>
      </c>
      <c r="BC113" s="195">
        <f>0.362+1.881-18.469+9.949</f>
        <v>-6.2770000000000028</v>
      </c>
      <c r="BD113" s="196">
        <f>-13.959-2.225+2.396</f>
        <v>-13.788</v>
      </c>
      <c r="BE113" s="194">
        <f>4.732+0.53-2.225+0.511</f>
        <v>3.5480000000000005</v>
      </c>
      <c r="BF113" s="194">
        <f>0.577+3.995+1.351</f>
        <v>5.923</v>
      </c>
      <c r="BG113" s="195">
        <f>0.629-13.727-2.225+3.995-0.819</f>
        <v>-12.146999999999998</v>
      </c>
      <c r="BH113" s="196">
        <f>0.269+1.984+0.082-0.468+0.013</f>
        <v>1.88</v>
      </c>
      <c r="BI113" s="194">
        <f>2.118+0.317+1.984+0.089-0.468</f>
        <v>4.0400000000000009</v>
      </c>
      <c r="BJ113" s="194">
        <f>1.278+10.226+0.089-0.468+1.433+0.005+0.85</f>
        <v>13.413000000000002</v>
      </c>
      <c r="BK113" s="195">
        <f>11.904+0.089-0.468+1.433+43.879+2.571</f>
        <v>59.407999999999994</v>
      </c>
      <c r="BL113" s="196">
        <f>0.048+0.128+0.476+13.826</f>
        <v>14.478</v>
      </c>
      <c r="BM113" s="194">
        <f>3.339+0.053+0.215+0.593+13.826</f>
        <v>18.026</v>
      </c>
      <c r="BN113" s="194">
        <f>0.06+0.252+0.531+15.966</f>
        <v>16.808999999999997</v>
      </c>
      <c r="BO113" s="192">
        <f t="shared" si="667"/>
        <v>16.808999999999997</v>
      </c>
      <c r="BP113" s="193">
        <f t="shared" si="668"/>
        <v>0</v>
      </c>
      <c r="BQ113" s="191">
        <f t="shared" si="669"/>
        <v>0</v>
      </c>
      <c r="BR113" s="191">
        <f t="shared" si="670"/>
        <v>0</v>
      </c>
      <c r="BS113" s="192">
        <f t="shared" si="671"/>
        <v>0</v>
      </c>
      <c r="BT113" s="193">
        <f t="shared" si="672"/>
        <v>0</v>
      </c>
      <c r="BU113" s="191">
        <f t="shared" si="673"/>
        <v>0</v>
      </c>
      <c r="BV113" s="191">
        <f t="shared" si="674"/>
        <v>0</v>
      </c>
      <c r="BW113" s="192">
        <f t="shared" si="675"/>
        <v>0</v>
      </c>
      <c r="BX113" s="160"/>
      <c r="BY113" s="191">
        <f t="shared" si="676"/>
        <v>64.408000000000001</v>
      </c>
      <c r="BZ113" s="191">
        <f t="shared" si="676"/>
        <v>31.850999999999999</v>
      </c>
      <c r="CA113" s="191">
        <f t="shared" si="676"/>
        <v>0</v>
      </c>
      <c r="CB113" s="191">
        <f t="shared" ref="CB113:CK113" si="705">CB18</f>
        <v>0</v>
      </c>
      <c r="CC113" s="191">
        <f t="shared" si="705"/>
        <v>0</v>
      </c>
      <c r="CD113" s="191">
        <f t="shared" si="705"/>
        <v>17.069000000000003</v>
      </c>
      <c r="CE113" s="191">
        <f t="shared" si="705"/>
        <v>-62.758000000000003</v>
      </c>
      <c r="CF113" s="191">
        <f t="shared" si="705"/>
        <v>85.533000000000001</v>
      </c>
      <c r="CG113" s="191">
        <f t="shared" si="705"/>
        <v>4.6590000000000007</v>
      </c>
      <c r="CH113" s="191">
        <f t="shared" si="705"/>
        <v>1.1579999999999999</v>
      </c>
      <c r="CI113" s="191">
        <f t="shared" si="705"/>
        <v>5.213000000000001</v>
      </c>
      <c r="CJ113" s="191">
        <f t="shared" si="705"/>
        <v>8.206999999999999</v>
      </c>
      <c r="CK113" s="191">
        <f t="shared" si="705"/>
        <v>-6.2770000000000046</v>
      </c>
      <c r="CL113" s="191">
        <f t="shared" si="678"/>
        <v>-12.146999999999997</v>
      </c>
      <c r="CM113" s="191">
        <f t="shared" si="679"/>
        <v>59.407999999999994</v>
      </c>
      <c r="CN113" s="191">
        <f t="shared" si="680"/>
        <v>16.808999999999997</v>
      </c>
      <c r="CO113" s="191">
        <f t="shared" si="681"/>
        <v>0</v>
      </c>
      <c r="CP113" s="191">
        <f t="shared" si="681"/>
        <v>0</v>
      </c>
      <c r="CQ113" s="160"/>
      <c r="CR113" s="193">
        <f t="shared" si="682"/>
        <v>27.041</v>
      </c>
      <c r="CS113" s="191">
        <f t="shared" si="682"/>
        <v>0</v>
      </c>
      <c r="CT113" s="191">
        <f t="shared" si="682"/>
        <v>0</v>
      </c>
      <c r="CU113" s="191">
        <f t="shared" ref="CU113:DC113" si="706">CU18</f>
        <v>0</v>
      </c>
      <c r="CV113" s="191">
        <f t="shared" si="706"/>
        <v>27.655000000000001</v>
      </c>
      <c r="CW113" s="191">
        <f t="shared" si="706"/>
        <v>-74.691000000000003</v>
      </c>
      <c r="CX113" s="191">
        <f t="shared" si="706"/>
        <v>84.3</v>
      </c>
      <c r="CY113" s="191">
        <f t="shared" si="706"/>
        <v>3.8429999999999982</v>
      </c>
      <c r="CZ113" s="191">
        <f t="shared" si="706"/>
        <v>5.609</v>
      </c>
      <c r="DA113" s="191">
        <f t="shared" si="706"/>
        <v>-0.24300000000000005</v>
      </c>
      <c r="DB113" s="191">
        <f t="shared" si="706"/>
        <v>9.381000000000002</v>
      </c>
      <c r="DC113" s="191">
        <f t="shared" si="706"/>
        <v>12.933999999999997</v>
      </c>
      <c r="DD113" s="191">
        <f t="shared" si="684"/>
        <v>-10.061000000000005</v>
      </c>
      <c r="DE113" s="191">
        <f t="shared" si="684"/>
        <v>-4.6569999999999965</v>
      </c>
      <c r="DF113" s="191">
        <f t="shared" si="685"/>
        <v>62.803999999999988</v>
      </c>
      <c r="DG113" s="191">
        <f t="shared" si="685"/>
        <v>0</v>
      </c>
      <c r="DH113" s="191">
        <f t="shared" ref="DH113" si="707">DH18</f>
        <v>0</v>
      </c>
      <c r="DI113" s="23"/>
    </row>
    <row r="114" spans="1:113" ht="14.25" customHeight="1" outlineLevel="1">
      <c r="A114" s="8"/>
      <c r="B114" s="27" t="s">
        <v>63</v>
      </c>
      <c r="C114" s="28"/>
      <c r="D114" s="196"/>
      <c r="E114" s="194"/>
      <c r="F114" s="194"/>
      <c r="G114" s="195"/>
      <c r="H114" s="196"/>
      <c r="I114" s="194"/>
      <c r="J114" s="194"/>
      <c r="K114" s="195"/>
      <c r="L114" s="196"/>
      <c r="M114" s="194"/>
      <c r="N114" s="194"/>
      <c r="O114" s="195"/>
      <c r="P114" s="196"/>
      <c r="Q114" s="194"/>
      <c r="R114" s="194"/>
      <c r="S114" s="195"/>
      <c r="T114" s="196"/>
      <c r="U114" s="194"/>
      <c r="V114" s="194"/>
      <c r="W114" s="195"/>
      <c r="X114" s="196"/>
      <c r="Y114" s="194"/>
      <c r="Z114" s="194"/>
      <c r="AA114" s="195">
        <v>0</v>
      </c>
      <c r="AB114" s="196"/>
      <c r="AC114" s="194"/>
      <c r="AD114" s="194"/>
      <c r="AE114" s="195"/>
      <c r="AF114" s="196"/>
      <c r="AG114" s="194"/>
      <c r="AH114" s="194"/>
      <c r="AI114" s="195"/>
      <c r="AJ114" s="196"/>
      <c r="AK114" s="194"/>
      <c r="AL114" s="194"/>
      <c r="AM114" s="195"/>
      <c r="AN114" s="342"/>
      <c r="AO114" s="194"/>
      <c r="AP114" s="194"/>
      <c r="AQ114" s="195"/>
      <c r="AR114" s="342"/>
      <c r="AS114" s="194"/>
      <c r="AT114" s="194"/>
      <c r="AU114" s="195"/>
      <c r="AV114" s="342"/>
      <c r="AW114" s="194"/>
      <c r="AX114" s="194"/>
      <c r="AY114" s="195"/>
      <c r="AZ114" s="342"/>
      <c r="BA114" s="194"/>
      <c r="BB114" s="194"/>
      <c r="BC114" s="195"/>
      <c r="BD114" s="342"/>
      <c r="BE114" s="194"/>
      <c r="BF114" s="194"/>
      <c r="BG114" s="195"/>
      <c r="BH114" s="342"/>
      <c r="BI114" s="194"/>
      <c r="BJ114" s="194"/>
      <c r="BK114" s="195"/>
      <c r="BL114" s="342"/>
      <c r="BM114" s="194"/>
      <c r="BN114" s="194"/>
      <c r="BO114" s="192"/>
      <c r="BP114" s="193"/>
      <c r="BQ114" s="191"/>
      <c r="BR114" s="191"/>
      <c r="BS114" s="192"/>
      <c r="BT114" s="193"/>
      <c r="BU114" s="191"/>
      <c r="BV114" s="191"/>
      <c r="BW114" s="192"/>
      <c r="BX114" s="160"/>
      <c r="BY114" s="191"/>
      <c r="BZ114" s="191"/>
      <c r="CA114" s="191"/>
      <c r="CB114" s="191"/>
      <c r="CC114" s="191"/>
      <c r="CD114" s="191"/>
      <c r="CE114" s="191"/>
      <c r="CF114" s="191"/>
      <c r="CG114" s="191"/>
      <c r="CH114" s="191"/>
      <c r="CI114" s="191"/>
      <c r="CJ114" s="191"/>
      <c r="CK114" s="191"/>
      <c r="CL114" s="191"/>
      <c r="CM114" s="191"/>
      <c r="CN114" s="191"/>
      <c r="CO114" s="191"/>
      <c r="CP114" s="191"/>
      <c r="CQ114" s="20"/>
      <c r="CR114" s="193"/>
      <c r="CS114" s="191"/>
      <c r="CT114" s="191"/>
      <c r="CU114" s="191"/>
      <c r="CV114" s="191"/>
      <c r="CW114" s="191"/>
      <c r="CX114" s="191"/>
      <c r="CY114" s="191"/>
      <c r="CZ114" s="191"/>
      <c r="DA114" s="191"/>
      <c r="DB114" s="191"/>
      <c r="DC114" s="191"/>
      <c r="DD114" s="191"/>
      <c r="DE114" s="191"/>
      <c r="DF114" s="191"/>
      <c r="DG114" s="191"/>
      <c r="DH114" s="191"/>
      <c r="DI114" s="22"/>
    </row>
    <row r="115" spans="1:113" ht="14.25" customHeight="1" outlineLevel="1">
      <c r="A115" s="8"/>
      <c r="B115" s="49" t="s">
        <v>64</v>
      </c>
      <c r="C115" s="50"/>
      <c r="D115" s="196">
        <v>-1.8580000000000001</v>
      </c>
      <c r="E115" s="194">
        <v>-8.0820000000000007</v>
      </c>
      <c r="F115" s="194">
        <v>-11.553000000000001</v>
      </c>
      <c r="G115" s="195">
        <v>-13.52</v>
      </c>
      <c r="H115" s="196">
        <v>7.2190000000000003</v>
      </c>
      <c r="I115" s="194">
        <v>4.6020000000000003</v>
      </c>
      <c r="J115" s="194">
        <v>3.214</v>
      </c>
      <c r="K115" s="195">
        <v>-12.503</v>
      </c>
      <c r="L115" s="196">
        <v>-3.2879999999999998</v>
      </c>
      <c r="M115" s="194">
        <v>-11.471</v>
      </c>
      <c r="N115" s="194">
        <v>3.778</v>
      </c>
      <c r="O115" s="195">
        <v>-5.1980000000000004</v>
      </c>
      <c r="P115" s="196">
        <v>-17.526</v>
      </c>
      <c r="Q115" s="194">
        <v>-7.4119999999999999</v>
      </c>
      <c r="R115" s="194">
        <v>1.113</v>
      </c>
      <c r="S115" s="195">
        <v>-26.273</v>
      </c>
      <c r="T115" s="196">
        <v>2.165</v>
      </c>
      <c r="U115" s="194">
        <v>16.248999999999999</v>
      </c>
      <c r="V115" s="194">
        <v>19.276</v>
      </c>
      <c r="W115" s="195">
        <v>14.802</v>
      </c>
      <c r="X115" s="196">
        <v>-2.7610000000000001</v>
      </c>
      <c r="Y115" s="194">
        <v>-1.353</v>
      </c>
      <c r="Z115" s="194">
        <v>10.163</v>
      </c>
      <c r="AA115" s="195">
        <v>-13.76</v>
      </c>
      <c r="AB115" s="196">
        <v>2.5659999999999998</v>
      </c>
      <c r="AC115" s="194">
        <v>17.431000000000001</v>
      </c>
      <c r="AD115" s="194">
        <v>60.302</v>
      </c>
      <c r="AE115" s="195">
        <v>50.832000000000001</v>
      </c>
      <c r="AF115" s="196">
        <v>-9.5190000000000001</v>
      </c>
      <c r="AG115" s="194">
        <v>-18.126000000000001</v>
      </c>
      <c r="AH115" s="194">
        <v>-25.238</v>
      </c>
      <c r="AI115" s="195">
        <v>-49.078000000000003</v>
      </c>
      <c r="AJ115" s="196">
        <v>-9.2479999999999993</v>
      </c>
      <c r="AK115" s="194">
        <v>-18.503</v>
      </c>
      <c r="AL115" s="194">
        <v>-3.016</v>
      </c>
      <c r="AM115" s="195">
        <v>6.3410000000000002</v>
      </c>
      <c r="AN115" s="196">
        <v>-15.052</v>
      </c>
      <c r="AO115" s="194">
        <v>38.792999999999999</v>
      </c>
      <c r="AP115" s="194">
        <v>31.925000000000001</v>
      </c>
      <c r="AQ115" s="195">
        <v>11.845000000000001</v>
      </c>
      <c r="AR115" s="196">
        <v>-2.8140000000000001</v>
      </c>
      <c r="AS115" s="194">
        <v>-0.11600000000000001</v>
      </c>
      <c r="AT115" s="194">
        <v>52.838999999999999</v>
      </c>
      <c r="AU115" s="195">
        <v>0.38600000000000001</v>
      </c>
      <c r="AV115" s="196">
        <v>-2.4620000000000002</v>
      </c>
      <c r="AW115" s="194">
        <v>-0.69299999999999995</v>
      </c>
      <c r="AX115" s="194">
        <v>5.6239999999999997</v>
      </c>
      <c r="AY115" s="195">
        <v>-12.507999999999999</v>
      </c>
      <c r="AZ115" s="196">
        <v>-37.247</v>
      </c>
      <c r="BA115" s="194">
        <v>-29.428999999999998</v>
      </c>
      <c r="BB115" s="194">
        <v>15.449</v>
      </c>
      <c r="BC115" s="195">
        <v>-15.893000000000001</v>
      </c>
      <c r="BD115" s="196">
        <v>-3.0960000000000001</v>
      </c>
      <c r="BE115" s="194">
        <v>5.17</v>
      </c>
      <c r="BF115" s="194">
        <v>40.027000000000001</v>
      </c>
      <c r="BG115" s="195">
        <v>-2.15</v>
      </c>
      <c r="BH115" s="196">
        <v>-9.9009999999999998</v>
      </c>
      <c r="BI115" s="194">
        <v>-25.431999999999999</v>
      </c>
      <c r="BJ115" s="194">
        <v>-43.551000000000002</v>
      </c>
      <c r="BK115" s="195">
        <v>-46.831000000000003</v>
      </c>
      <c r="BL115" s="196">
        <v>-50.581000000000003</v>
      </c>
      <c r="BM115" s="194">
        <v>-67.043000000000006</v>
      </c>
      <c r="BN115" s="194">
        <v>-74.762</v>
      </c>
      <c r="BO115" s="192">
        <f t="shared" ref="BO115:BO120" si="708">BN115+BO20</f>
        <v>-36.29379780000005</v>
      </c>
      <c r="BP115" s="193">
        <f t="shared" ref="BP115:BP120" si="709">BP20</f>
        <v>0.11587205000000722</v>
      </c>
      <c r="BQ115" s="191">
        <f t="shared" ref="BQ115:BQ120" si="710">BP115+BQ20</f>
        <v>-15.996478527250019</v>
      </c>
      <c r="BR115" s="191">
        <f t="shared" ref="BR115:BR120" si="711">BQ115+BR20</f>
        <v>-5.2019122024792068</v>
      </c>
      <c r="BS115" s="192">
        <f t="shared" ref="BS115:BS120" si="712">BR115+BS20</f>
        <v>-0.51436121186759465</v>
      </c>
      <c r="BT115" s="193">
        <f t="shared" ref="BT115:BT120" si="713">BT20</f>
        <v>3.2854510957889147</v>
      </c>
      <c r="BU115" s="191">
        <f t="shared" ref="BU115:BU120" si="714">BT115+BU20</f>
        <v>-9.8709601637257265</v>
      </c>
      <c r="BV115" s="191">
        <f t="shared" ref="BV115:BV120" si="715">BU115+BV20</f>
        <v>-2.2577939215989318</v>
      </c>
      <c r="BW115" s="192">
        <f t="shared" ref="BW115:BW120" si="716">BV115+BW20</f>
        <v>2.4187714708758676</v>
      </c>
      <c r="BX115" s="160"/>
      <c r="BY115" s="191">
        <f t="shared" ref="BY115:CA120" si="717">BY20</f>
        <v>-13.52</v>
      </c>
      <c r="BZ115" s="191">
        <f t="shared" si="717"/>
        <v>-12.503</v>
      </c>
      <c r="CA115" s="191">
        <f t="shared" si="717"/>
        <v>-5.1980000000000022</v>
      </c>
      <c r="CB115" s="191">
        <f t="shared" ref="CB115:CK115" si="718">CB20</f>
        <v>-26.273000000000007</v>
      </c>
      <c r="CC115" s="191">
        <f t="shared" si="718"/>
        <v>14.802</v>
      </c>
      <c r="CD115" s="191">
        <f t="shared" si="718"/>
        <v>-13.760000000000003</v>
      </c>
      <c r="CE115" s="191">
        <f t="shared" si="718"/>
        <v>50.831999999999994</v>
      </c>
      <c r="CF115" s="191">
        <f t="shared" si="718"/>
        <v>-49.078000000000003</v>
      </c>
      <c r="CG115" s="191">
        <f t="shared" si="718"/>
        <v>6.3409999999999993</v>
      </c>
      <c r="CH115" s="191">
        <f t="shared" si="718"/>
        <v>11.845000000000002</v>
      </c>
      <c r="CI115" s="191">
        <f t="shared" si="718"/>
        <v>0.38600000000000279</v>
      </c>
      <c r="CJ115" s="191">
        <f t="shared" si="718"/>
        <v>-12.508000000000001</v>
      </c>
      <c r="CK115" s="191">
        <f t="shared" si="718"/>
        <v>-15.892999999999997</v>
      </c>
      <c r="CL115" s="191">
        <f t="shared" ref="CL115:CL120" si="719">CL20</f>
        <v>-2.1499999999999915</v>
      </c>
      <c r="CM115" s="191">
        <f t="shared" ref="CM115:CM120" si="720">CM20</f>
        <v>-46.831000000000003</v>
      </c>
      <c r="CN115" s="191">
        <f t="shared" ref="CN115:CN120" si="721">CN20</f>
        <v>-36.29379780000005</v>
      </c>
      <c r="CO115" s="191">
        <f t="shared" ref="CO115:CP120" si="722">CO20</f>
        <v>-0.51436121186759465</v>
      </c>
      <c r="CP115" s="191">
        <f t="shared" si="722"/>
        <v>2.4187714708758676</v>
      </c>
      <c r="CQ115" s="20"/>
      <c r="CR115" s="193">
        <f t="shared" ref="CR115:CT120" si="723">CR20</f>
        <v>1.2469999999999999</v>
      </c>
      <c r="CS115" s="191">
        <f t="shared" si="723"/>
        <v>-11.938999999999998</v>
      </c>
      <c r="CT115" s="191">
        <f t="shared" si="723"/>
        <v>-7.8630000000000031</v>
      </c>
      <c r="CU115" s="191">
        <f t="shared" ref="CU115:DC115" si="724">CU20</f>
        <v>-8.1100000000000065</v>
      </c>
      <c r="CV115" s="191">
        <f t="shared" si="724"/>
        <v>5.6890000000000009</v>
      </c>
      <c r="CW115" s="191">
        <f t="shared" si="724"/>
        <v>36.378999999999991</v>
      </c>
      <c r="CX115" s="191">
        <f t="shared" si="724"/>
        <v>-34.707999999999998</v>
      </c>
      <c r="CY115" s="191">
        <f t="shared" si="724"/>
        <v>-26.856000000000002</v>
      </c>
      <c r="CZ115" s="191">
        <f t="shared" si="724"/>
        <v>41.281999999999996</v>
      </c>
      <c r="DA115" s="191">
        <f t="shared" si="724"/>
        <v>32.759</v>
      </c>
      <c r="DB115" s="191">
        <f t="shared" si="724"/>
        <v>-46.829000000000001</v>
      </c>
      <c r="DC115" s="191">
        <f t="shared" si="724"/>
        <v>-2.6830000000000069</v>
      </c>
      <c r="DD115" s="191">
        <f t="shared" ref="DD115:DE120" si="725">DD20</f>
        <v>8.6849999999999952</v>
      </c>
      <c r="DE115" s="191">
        <f t="shared" si="725"/>
        <v>-85.72799999999998</v>
      </c>
      <c r="DF115" s="191">
        <f t="shared" ref="DF115:DG120" si="726">DF20</f>
        <v>-78.042000000000002</v>
      </c>
      <c r="DG115" s="191">
        <f t="shared" si="726"/>
        <v>33.266289997520744</v>
      </c>
      <c r="DH115" s="191">
        <f t="shared" ref="DH115" si="727">DH20</f>
        <v>2.4297570690126804</v>
      </c>
      <c r="DI115" s="22"/>
    </row>
    <row r="116" spans="1:113" ht="14.25" customHeight="1" outlineLevel="1">
      <c r="A116" s="8"/>
      <c r="B116" s="49" t="s">
        <v>361</v>
      </c>
      <c r="C116" s="50"/>
      <c r="D116" s="196">
        <v>-1.7410000000000001</v>
      </c>
      <c r="E116" s="194">
        <v>-6.524</v>
      </c>
      <c r="F116" s="194">
        <v>-9.5969999999999995</v>
      </c>
      <c r="G116" s="195">
        <v>-13.23</v>
      </c>
      <c r="H116" s="196">
        <v>-6.4160000000000004</v>
      </c>
      <c r="I116" s="194">
        <v>-1.927</v>
      </c>
      <c r="J116" s="194">
        <v>5.6959999999999997</v>
      </c>
      <c r="K116" s="195">
        <v>7.3570000000000002</v>
      </c>
      <c r="L116" s="196">
        <v>3.9390000000000001</v>
      </c>
      <c r="M116" s="194">
        <v>4.5990000000000002</v>
      </c>
      <c r="N116" s="194">
        <v>-3.246</v>
      </c>
      <c r="O116" s="195">
        <v>-9.2140000000000004</v>
      </c>
      <c r="P116" s="196">
        <v>-0.111</v>
      </c>
      <c r="Q116" s="194">
        <v>-6.4980000000000002</v>
      </c>
      <c r="R116" s="194">
        <v>-10.911</v>
      </c>
      <c r="S116" s="195">
        <v>-11.295999999999999</v>
      </c>
      <c r="T116" s="196">
        <v>4.9000000000000002E-2</v>
      </c>
      <c r="U116" s="194">
        <v>0.76800000000000002</v>
      </c>
      <c r="V116" s="194">
        <v>-3.4220000000000002</v>
      </c>
      <c r="W116" s="195">
        <v>-2.6629999999999998</v>
      </c>
      <c r="X116" s="196">
        <v>-2.7090000000000001</v>
      </c>
      <c r="Y116" s="194">
        <v>-3.4209999999999998</v>
      </c>
      <c r="Z116" s="194">
        <v>-3.444</v>
      </c>
      <c r="AA116" s="195">
        <v>-2.9020000000000001</v>
      </c>
      <c r="AB116" s="196">
        <v>-1.5369999999999999</v>
      </c>
      <c r="AC116" s="194">
        <v>-2.9620000000000002</v>
      </c>
      <c r="AD116" s="194">
        <v>-10.965999999999999</v>
      </c>
      <c r="AE116" s="195">
        <v>-4.1100000000000003</v>
      </c>
      <c r="AF116" s="196">
        <v>17.704000000000001</v>
      </c>
      <c r="AG116" s="194">
        <v>23.05</v>
      </c>
      <c r="AH116" s="194">
        <v>19.216000000000001</v>
      </c>
      <c r="AI116" s="195">
        <v>15.239000000000001</v>
      </c>
      <c r="AJ116" s="196">
        <v>-4.319</v>
      </c>
      <c r="AK116" s="194">
        <v>-10.035</v>
      </c>
      <c r="AL116" s="194">
        <v>-20.779</v>
      </c>
      <c r="AM116" s="195">
        <v>-22.068000000000001</v>
      </c>
      <c r="AN116" s="196">
        <v>-21.384</v>
      </c>
      <c r="AO116" s="194">
        <v>-30.074000000000002</v>
      </c>
      <c r="AP116" s="194">
        <v>-36.296999999999997</v>
      </c>
      <c r="AQ116" s="195">
        <v>-35.24</v>
      </c>
      <c r="AR116" s="196">
        <v>0.316</v>
      </c>
      <c r="AS116" s="194">
        <v>22.334</v>
      </c>
      <c r="AT116" s="194">
        <v>47.146000000000001</v>
      </c>
      <c r="AU116" s="195">
        <v>65.867000000000004</v>
      </c>
      <c r="AV116" s="196">
        <v>-13.957000000000001</v>
      </c>
      <c r="AW116" s="194">
        <v>-32.103000000000002</v>
      </c>
      <c r="AX116" s="194">
        <v>-30.588000000000001</v>
      </c>
      <c r="AY116" s="195">
        <v>-18.5</v>
      </c>
      <c r="AZ116" s="196">
        <v>24.991</v>
      </c>
      <c r="BA116" s="194">
        <v>32.052</v>
      </c>
      <c r="BB116" s="194">
        <v>28.684000000000001</v>
      </c>
      <c r="BC116" s="195">
        <v>25.516999999999999</v>
      </c>
      <c r="BD116" s="196">
        <v>-23.893000000000001</v>
      </c>
      <c r="BE116" s="194">
        <v>-4.5970000000000004</v>
      </c>
      <c r="BF116" s="194">
        <v>34.773000000000003</v>
      </c>
      <c r="BG116" s="195">
        <v>48.244999999999997</v>
      </c>
      <c r="BH116" s="196">
        <v>121.102</v>
      </c>
      <c r="BI116" s="194">
        <v>215.95</v>
      </c>
      <c r="BJ116" s="194">
        <v>220.67400000000001</v>
      </c>
      <c r="BK116" s="195">
        <v>223.71100000000001</v>
      </c>
      <c r="BL116" s="196">
        <v>-9.9039999999999999</v>
      </c>
      <c r="BM116" s="194">
        <v>-40.149000000000001</v>
      </c>
      <c r="BN116" s="194">
        <v>-70.183000000000007</v>
      </c>
      <c r="BO116" s="192">
        <f t="shared" si="708"/>
        <v>-71.00148599911104</v>
      </c>
      <c r="BP116" s="193">
        <f t="shared" si="709"/>
        <v>-18.055837887316841</v>
      </c>
      <c r="BQ116" s="191">
        <f t="shared" si="710"/>
        <v>-31.634235698307293</v>
      </c>
      <c r="BR116" s="191">
        <f t="shared" si="711"/>
        <v>-23.025554374236151</v>
      </c>
      <c r="BS116" s="192">
        <f t="shared" si="712"/>
        <v>-18.621607775580287</v>
      </c>
      <c r="BT116" s="193">
        <f t="shared" si="713"/>
        <v>-17.716928334533122</v>
      </c>
      <c r="BU116" s="191">
        <f t="shared" si="714"/>
        <v>-28.84192262287047</v>
      </c>
      <c r="BV116" s="191">
        <f t="shared" si="715"/>
        <v>-23.139750694658574</v>
      </c>
      <c r="BW116" s="192">
        <f t="shared" si="716"/>
        <v>-17.016527216137547</v>
      </c>
      <c r="BX116" s="160"/>
      <c r="BY116" s="191">
        <f t="shared" si="717"/>
        <v>-13.23</v>
      </c>
      <c r="BZ116" s="191">
        <f t="shared" si="717"/>
        <v>7.3570000000000002</v>
      </c>
      <c r="CA116" s="191">
        <f t="shared" si="717"/>
        <v>-9.2140000000000004</v>
      </c>
      <c r="CB116" s="191">
        <f t="shared" ref="CB116:CK116" si="728">CB21</f>
        <v>-11.295999999999999</v>
      </c>
      <c r="CC116" s="191">
        <f t="shared" si="728"/>
        <v>-2.6630000000000003</v>
      </c>
      <c r="CD116" s="191">
        <f t="shared" si="728"/>
        <v>-2.9020000000000001</v>
      </c>
      <c r="CE116" s="191">
        <f t="shared" si="728"/>
        <v>-4.1100000000000003</v>
      </c>
      <c r="CF116" s="191">
        <f t="shared" si="728"/>
        <v>15.239000000000001</v>
      </c>
      <c r="CG116" s="191">
        <f t="shared" si="728"/>
        <v>-22.068000000000001</v>
      </c>
      <c r="CH116" s="191">
        <f t="shared" si="728"/>
        <v>-35.24</v>
      </c>
      <c r="CI116" s="191">
        <f t="shared" si="728"/>
        <v>65.867000000000004</v>
      </c>
      <c r="CJ116" s="191">
        <f t="shared" si="728"/>
        <v>-18.5</v>
      </c>
      <c r="CK116" s="191">
        <f t="shared" si="728"/>
        <v>25.516999999999999</v>
      </c>
      <c r="CL116" s="191">
        <f t="shared" si="719"/>
        <v>48.244999999999997</v>
      </c>
      <c r="CM116" s="191">
        <f t="shared" si="720"/>
        <v>223.71100000000001</v>
      </c>
      <c r="CN116" s="191">
        <f t="shared" si="721"/>
        <v>-71.00148599911104</v>
      </c>
      <c r="CO116" s="191">
        <f t="shared" si="722"/>
        <v>-18.621607775580287</v>
      </c>
      <c r="CP116" s="191">
        <f t="shared" si="722"/>
        <v>-17.016527216137547</v>
      </c>
      <c r="CQ116" s="20"/>
      <c r="CR116" s="193">
        <f t="shared" si="723"/>
        <v>2.0629999999999988</v>
      </c>
      <c r="CS116" s="191">
        <f t="shared" si="723"/>
        <v>-1.585</v>
      </c>
      <c r="CT116" s="191">
        <f t="shared" si="723"/>
        <v>-16.879000000000001</v>
      </c>
      <c r="CU116" s="191">
        <f t="shared" ref="CU116:DC116" si="729">CU21</f>
        <v>-3.8069999999999999</v>
      </c>
      <c r="CV116" s="191">
        <f t="shared" si="729"/>
        <v>-2.6849999999999992</v>
      </c>
      <c r="CW116" s="191">
        <f t="shared" si="729"/>
        <v>-10.423999999999998</v>
      </c>
      <c r="CX116" s="191">
        <f t="shared" si="729"/>
        <v>26.071999999999999</v>
      </c>
      <c r="CY116" s="191">
        <f t="shared" si="729"/>
        <v>-24.756</v>
      </c>
      <c r="CZ116" s="191">
        <f t="shared" si="729"/>
        <v>-37.585999999999999</v>
      </c>
      <c r="DA116" s="191">
        <f t="shared" si="729"/>
        <v>48.202999999999996</v>
      </c>
      <c r="DB116" s="191">
        <f t="shared" si="729"/>
        <v>-11.866999999999994</v>
      </c>
      <c r="DC116" s="191">
        <f t="shared" si="729"/>
        <v>40.772000000000006</v>
      </c>
      <c r="DD116" s="191">
        <f t="shared" si="725"/>
        <v>31.606000000000002</v>
      </c>
      <c r="DE116" s="191">
        <f t="shared" si="725"/>
        <v>234.14600000000002</v>
      </c>
      <c r="DF116" s="191">
        <f t="shared" si="726"/>
        <v>-67.146000000000001</v>
      </c>
      <c r="DG116" s="191">
        <f t="shared" si="726"/>
        <v>-23.844040373347184</v>
      </c>
      <c r="DH116" s="191">
        <f t="shared" ref="DH116" si="730">DH21</f>
        <v>-18.73580409600271</v>
      </c>
      <c r="DI116" s="22"/>
    </row>
    <row r="117" spans="1:113" ht="14.25" customHeight="1" outlineLevel="1">
      <c r="A117" s="8"/>
      <c r="B117" s="49" t="s">
        <v>167</v>
      </c>
      <c r="C117" s="50"/>
      <c r="D117" s="196">
        <v>9.0879999999999992</v>
      </c>
      <c r="E117" s="194">
        <v>8.0860000000000003</v>
      </c>
      <c r="F117" s="194">
        <v>9.2119999999999997</v>
      </c>
      <c r="G117" s="195">
        <v>12.1</v>
      </c>
      <c r="H117" s="196">
        <v>-0.21299999999999999</v>
      </c>
      <c r="I117" s="194">
        <v>-0.317</v>
      </c>
      <c r="J117" s="194">
        <v>5.8639999999999999</v>
      </c>
      <c r="K117" s="195">
        <v>13.827999999999999</v>
      </c>
      <c r="L117" s="196">
        <v>8.8160000000000007</v>
      </c>
      <c r="M117" s="194">
        <v>16.173999999999999</v>
      </c>
      <c r="N117" s="194">
        <v>10.432</v>
      </c>
      <c r="O117" s="195">
        <v>6.9139999999999997</v>
      </c>
      <c r="P117" s="196">
        <v>-1.6679999999999999</v>
      </c>
      <c r="Q117" s="194">
        <v>-2.7669999999999999</v>
      </c>
      <c r="R117" s="194">
        <v>-7.0570000000000004</v>
      </c>
      <c r="S117" s="195">
        <v>7.7510000000000003</v>
      </c>
      <c r="T117" s="196">
        <v>11.43</v>
      </c>
      <c r="U117" s="194">
        <v>-1.274</v>
      </c>
      <c r="V117" s="194">
        <v>-7.3460000000000001</v>
      </c>
      <c r="W117" s="195">
        <v>-8.1180000000000003</v>
      </c>
      <c r="X117" s="196">
        <v>-1.431</v>
      </c>
      <c r="Y117" s="194">
        <v>2.02</v>
      </c>
      <c r="Z117" s="194">
        <v>1.986</v>
      </c>
      <c r="AA117" s="195">
        <v>4.0780000000000003</v>
      </c>
      <c r="AB117" s="196">
        <v>1.6839999999999999</v>
      </c>
      <c r="AC117" s="194">
        <v>8.0660000000000007</v>
      </c>
      <c r="AD117" s="194">
        <v>2.98</v>
      </c>
      <c r="AE117" s="195">
        <v>-11.51</v>
      </c>
      <c r="AF117" s="196">
        <v>-0.5</v>
      </c>
      <c r="AG117" s="194">
        <v>2.33</v>
      </c>
      <c r="AH117" s="194">
        <v>13.651999999999999</v>
      </c>
      <c r="AI117" s="195">
        <v>15.01</v>
      </c>
      <c r="AJ117" s="196">
        <v>6.8070000000000004</v>
      </c>
      <c r="AK117" s="194">
        <v>31.018999999999998</v>
      </c>
      <c r="AL117" s="194">
        <v>41.421999999999997</v>
      </c>
      <c r="AM117" s="195">
        <v>38.780999999999999</v>
      </c>
      <c r="AN117" s="196">
        <v>5.5540000000000003</v>
      </c>
      <c r="AO117" s="194">
        <v>4.141</v>
      </c>
      <c r="AP117" s="194">
        <v>-24.257999999999999</v>
      </c>
      <c r="AQ117" s="195">
        <v>-31.335000000000001</v>
      </c>
      <c r="AR117" s="196">
        <v>2.0840000000000001</v>
      </c>
      <c r="AS117" s="194">
        <v>3.0369999999999999</v>
      </c>
      <c r="AT117" s="194">
        <v>2.5259999999999998</v>
      </c>
      <c r="AU117" s="195">
        <v>18.867000000000001</v>
      </c>
      <c r="AV117" s="196">
        <v>10.865</v>
      </c>
      <c r="AW117" s="194">
        <v>12.097</v>
      </c>
      <c r="AX117" s="194">
        <v>4.3630000000000004</v>
      </c>
      <c r="AY117" s="195">
        <v>8.8460000000000001</v>
      </c>
      <c r="AZ117" s="196">
        <v>-1.2150000000000001</v>
      </c>
      <c r="BA117" s="194">
        <v>11.787000000000001</v>
      </c>
      <c r="BB117" s="194">
        <v>6.4660000000000002</v>
      </c>
      <c r="BC117" s="195">
        <v>18.329999999999998</v>
      </c>
      <c r="BD117" s="196">
        <v>1.401</v>
      </c>
      <c r="BE117" s="194">
        <v>13.492000000000001</v>
      </c>
      <c r="BF117" s="194">
        <v>-2.8879999999999999</v>
      </c>
      <c r="BG117" s="195">
        <v>16.962</v>
      </c>
      <c r="BH117" s="196">
        <v>29.739000000000001</v>
      </c>
      <c r="BI117" s="194">
        <v>39.764000000000003</v>
      </c>
      <c r="BJ117" s="194">
        <v>110.827</v>
      </c>
      <c r="BK117" s="195">
        <v>109.383</v>
      </c>
      <c r="BL117" s="196">
        <v>15.981999999999999</v>
      </c>
      <c r="BM117" s="194">
        <v>31.547999999999998</v>
      </c>
      <c r="BN117" s="194">
        <v>42.89</v>
      </c>
      <c r="BO117" s="192">
        <f t="shared" si="708"/>
        <v>42.89</v>
      </c>
      <c r="BP117" s="193">
        <f t="shared" si="709"/>
        <v>0</v>
      </c>
      <c r="BQ117" s="191">
        <f t="shared" si="710"/>
        <v>0</v>
      </c>
      <c r="BR117" s="191">
        <f t="shared" si="711"/>
        <v>0</v>
      </c>
      <c r="BS117" s="192">
        <f t="shared" si="712"/>
        <v>0</v>
      </c>
      <c r="BT117" s="193">
        <f t="shared" si="713"/>
        <v>0</v>
      </c>
      <c r="BU117" s="191">
        <f t="shared" si="714"/>
        <v>0</v>
      </c>
      <c r="BV117" s="191">
        <f t="shared" si="715"/>
        <v>0</v>
      </c>
      <c r="BW117" s="192">
        <f t="shared" si="716"/>
        <v>0</v>
      </c>
      <c r="BX117" s="160"/>
      <c r="BY117" s="191">
        <f t="shared" si="717"/>
        <v>12.1</v>
      </c>
      <c r="BZ117" s="191">
        <f t="shared" si="717"/>
        <v>13.827999999999999</v>
      </c>
      <c r="CA117" s="191">
        <f t="shared" si="717"/>
        <v>6.9139999999999997</v>
      </c>
      <c r="CB117" s="191">
        <f t="shared" ref="CB117:CK117" si="731">CB22</f>
        <v>7.7509999999999994</v>
      </c>
      <c r="CC117" s="191">
        <f t="shared" si="731"/>
        <v>-8.1180000000000003</v>
      </c>
      <c r="CD117" s="191">
        <f t="shared" si="731"/>
        <v>4.0780000000000003</v>
      </c>
      <c r="CE117" s="191">
        <f t="shared" si="731"/>
        <v>-11.51</v>
      </c>
      <c r="CF117" s="191">
        <f t="shared" si="731"/>
        <v>15.01</v>
      </c>
      <c r="CG117" s="191">
        <f t="shared" si="731"/>
        <v>38.780999999999999</v>
      </c>
      <c r="CH117" s="191">
        <f t="shared" si="731"/>
        <v>-31.335000000000001</v>
      </c>
      <c r="CI117" s="191">
        <f t="shared" si="731"/>
        <v>18.867000000000001</v>
      </c>
      <c r="CJ117" s="191">
        <f t="shared" si="731"/>
        <v>8.8460000000000001</v>
      </c>
      <c r="CK117" s="191">
        <f t="shared" si="731"/>
        <v>18.329999999999998</v>
      </c>
      <c r="CL117" s="191">
        <f t="shared" si="719"/>
        <v>16.961999999999996</v>
      </c>
      <c r="CM117" s="191">
        <f t="shared" si="720"/>
        <v>109.38300000000001</v>
      </c>
      <c r="CN117" s="191">
        <f t="shared" si="721"/>
        <v>42.89</v>
      </c>
      <c r="CO117" s="191">
        <f t="shared" si="722"/>
        <v>0</v>
      </c>
      <c r="CP117" s="191">
        <f t="shared" si="722"/>
        <v>0</v>
      </c>
      <c r="CQ117" s="20"/>
      <c r="CR117" s="193">
        <f t="shared" si="723"/>
        <v>8.7519999999999989</v>
      </c>
      <c r="CS117" s="191">
        <f t="shared" si="723"/>
        <v>18.396000000000001</v>
      </c>
      <c r="CT117" s="191">
        <f t="shared" si="723"/>
        <v>-10.575000000000001</v>
      </c>
      <c r="CU117" s="191">
        <f t="shared" ref="CU117:DC117" si="732">CU22</f>
        <v>7.4619999999999997</v>
      </c>
      <c r="CV117" s="191">
        <f t="shared" si="732"/>
        <v>1.2139999999999997</v>
      </c>
      <c r="CW117" s="191">
        <f t="shared" si="732"/>
        <v>5.072000000000001</v>
      </c>
      <c r="CX117" s="191">
        <f t="shared" si="732"/>
        <v>-0.83800000000000097</v>
      </c>
      <c r="CY117" s="191">
        <f t="shared" si="732"/>
        <v>42.779999999999994</v>
      </c>
      <c r="CZ117" s="191">
        <f t="shared" si="732"/>
        <v>-26.898999999999997</v>
      </c>
      <c r="DA117" s="191">
        <f t="shared" si="732"/>
        <v>-4.551000000000001</v>
      </c>
      <c r="DB117" s="191">
        <f t="shared" si="732"/>
        <v>20.704000000000004</v>
      </c>
      <c r="DC117" s="191">
        <f t="shared" si="732"/>
        <v>10.948999999999998</v>
      </c>
      <c r="DD117" s="191">
        <f t="shared" si="725"/>
        <v>8.9759999999999991</v>
      </c>
      <c r="DE117" s="191">
        <f t="shared" si="725"/>
        <v>130.67699999999999</v>
      </c>
      <c r="DF117" s="191">
        <f t="shared" si="726"/>
        <v>41.446000000000005</v>
      </c>
      <c r="DG117" s="191">
        <f t="shared" si="726"/>
        <v>0</v>
      </c>
      <c r="DH117" s="191">
        <f t="shared" ref="DH117" si="733">DH22</f>
        <v>0</v>
      </c>
      <c r="DI117" s="22"/>
    </row>
    <row r="118" spans="1:113" ht="14.25" customHeight="1" outlineLevel="1">
      <c r="A118" s="8"/>
      <c r="B118" s="49" t="s">
        <v>175</v>
      </c>
      <c r="C118" s="50"/>
      <c r="D118" s="196">
        <v>9.5399999999999991</v>
      </c>
      <c r="E118" s="194">
        <v>7.9009999999999998</v>
      </c>
      <c r="F118" s="194">
        <v>21.82</v>
      </c>
      <c r="G118" s="195">
        <v>13.129</v>
      </c>
      <c r="H118" s="196">
        <v>-6.6689999999999996</v>
      </c>
      <c r="I118" s="194">
        <v>-0.43</v>
      </c>
      <c r="J118" s="194">
        <v>12.425000000000001</v>
      </c>
      <c r="K118" s="195">
        <v>30.901</v>
      </c>
      <c r="L118" s="196">
        <v>-27.661000000000001</v>
      </c>
      <c r="M118" s="194">
        <v>-26.888999999999999</v>
      </c>
      <c r="N118" s="194">
        <v>-9.8629999999999995</v>
      </c>
      <c r="O118" s="195">
        <v>1.1779999999999999</v>
      </c>
      <c r="P118" s="196">
        <v>13.234</v>
      </c>
      <c r="Q118" s="194">
        <v>24.594999999999999</v>
      </c>
      <c r="R118" s="194">
        <v>39.146999999999998</v>
      </c>
      <c r="S118" s="195">
        <v>72.052999999999997</v>
      </c>
      <c r="T118" s="196">
        <v>5.7539999999999996</v>
      </c>
      <c r="U118" s="194">
        <v>6.1660000000000004</v>
      </c>
      <c r="V118" s="194">
        <v>12.702</v>
      </c>
      <c r="W118" s="195">
        <v>-75.977999999999994</v>
      </c>
      <c r="X118" s="196">
        <v>23.148</v>
      </c>
      <c r="Y118" s="194">
        <v>8.9179999999999993</v>
      </c>
      <c r="Z118" s="194">
        <v>-0.105</v>
      </c>
      <c r="AA118" s="195">
        <v>12.08</v>
      </c>
      <c r="AB118" s="196">
        <v>1.756</v>
      </c>
      <c r="AC118" s="194">
        <v>22.332000000000001</v>
      </c>
      <c r="AD118" s="194">
        <v>-18.446000000000002</v>
      </c>
      <c r="AE118" s="195">
        <v>-25.097000000000001</v>
      </c>
      <c r="AF118" s="196">
        <v>-7.1920000000000002</v>
      </c>
      <c r="AG118" s="194">
        <v>11.137</v>
      </c>
      <c r="AH118" s="194">
        <v>14.6</v>
      </c>
      <c r="AI118" s="195">
        <v>29.582999999999998</v>
      </c>
      <c r="AJ118" s="196">
        <v>1.484</v>
      </c>
      <c r="AK118" s="194">
        <v>3.3279999999999998</v>
      </c>
      <c r="AL118" s="194">
        <v>-19.279</v>
      </c>
      <c r="AM118" s="195">
        <v>-0.63800000000000001</v>
      </c>
      <c r="AN118" s="196">
        <v>-17.786999999999999</v>
      </c>
      <c r="AO118" s="194">
        <v>-50.3</v>
      </c>
      <c r="AP118" s="194">
        <v>-67.197999999999993</v>
      </c>
      <c r="AQ118" s="195">
        <v>-61.454999999999998</v>
      </c>
      <c r="AR118" s="196">
        <v>4.766</v>
      </c>
      <c r="AS118" s="194">
        <v>-27.67</v>
      </c>
      <c r="AT118" s="194">
        <v>-58.539000000000001</v>
      </c>
      <c r="AU118" s="195">
        <v>-40.914000000000001</v>
      </c>
      <c r="AV118" s="196">
        <v>3.9089999999999998</v>
      </c>
      <c r="AW118" s="194">
        <v>-2.0059999999999998</v>
      </c>
      <c r="AX118" s="194">
        <v>-21.87</v>
      </c>
      <c r="AY118" s="195">
        <v>-11.632999999999999</v>
      </c>
      <c r="AZ118" s="196">
        <v>-4.415</v>
      </c>
      <c r="BA118" s="194">
        <v>-15.817</v>
      </c>
      <c r="BB118" s="194">
        <v>-39.000999999999998</v>
      </c>
      <c r="BC118" s="195">
        <v>-33.991999999999997</v>
      </c>
      <c r="BD118" s="196">
        <v>16.157</v>
      </c>
      <c r="BE118" s="194">
        <v>-31.443000000000001</v>
      </c>
      <c r="BF118" s="194">
        <v>-44.433999999999997</v>
      </c>
      <c r="BG118" s="195">
        <v>-20.835999999999999</v>
      </c>
      <c r="BH118" s="196">
        <v>-18</v>
      </c>
      <c r="BI118" s="194">
        <v>-22.016999999999999</v>
      </c>
      <c r="BJ118" s="194">
        <v>-22.260999999999999</v>
      </c>
      <c r="BK118" s="195">
        <v>-16.07</v>
      </c>
      <c r="BL118" s="196">
        <v>36.331000000000003</v>
      </c>
      <c r="BM118" s="194">
        <v>25.806000000000001</v>
      </c>
      <c r="BN118" s="194">
        <v>41.781999999999996</v>
      </c>
      <c r="BO118" s="192">
        <f t="shared" si="708"/>
        <v>69.974929304000014</v>
      </c>
      <c r="BP118" s="193">
        <f t="shared" si="709"/>
        <v>7.065327868950078</v>
      </c>
      <c r="BQ118" s="191">
        <f t="shared" si="710"/>
        <v>12.378613968902869</v>
      </c>
      <c r="BR118" s="191">
        <f t="shared" si="711"/>
        <v>-13.203437000227041</v>
      </c>
      <c r="BS118" s="192">
        <f t="shared" si="712"/>
        <v>-14.735244512802979</v>
      </c>
      <c r="BT118" s="193">
        <f t="shared" si="713"/>
        <v>6.1624098554897841</v>
      </c>
      <c r="BU118" s="191">
        <f t="shared" si="714"/>
        <v>10.031973086215828</v>
      </c>
      <c r="BV118" s="191">
        <f t="shared" si="715"/>
        <v>8.0486089372726042</v>
      </c>
      <c r="BW118" s="192">
        <f t="shared" si="716"/>
        <v>5.9187920751783167</v>
      </c>
      <c r="BX118" s="160"/>
      <c r="BY118" s="191">
        <f t="shared" si="717"/>
        <v>13.129</v>
      </c>
      <c r="BZ118" s="191">
        <f t="shared" si="717"/>
        <v>30.901</v>
      </c>
      <c r="CA118" s="191">
        <f t="shared" si="717"/>
        <v>1.1780000000000008</v>
      </c>
      <c r="CB118" s="191">
        <f t="shared" ref="CB118:CK118" si="734">CB23</f>
        <v>72.052999999999997</v>
      </c>
      <c r="CC118" s="191">
        <f t="shared" si="734"/>
        <v>-75.978000000000009</v>
      </c>
      <c r="CD118" s="191">
        <f t="shared" si="734"/>
        <v>12.079999999999998</v>
      </c>
      <c r="CE118" s="191">
        <f t="shared" si="734"/>
        <v>-25.097000000000001</v>
      </c>
      <c r="CF118" s="191">
        <f t="shared" si="734"/>
        <v>29.582999999999998</v>
      </c>
      <c r="CG118" s="191">
        <f t="shared" si="734"/>
        <v>-0.63800000000000168</v>
      </c>
      <c r="CH118" s="191">
        <f t="shared" si="734"/>
        <v>-61.454999999999998</v>
      </c>
      <c r="CI118" s="191">
        <f t="shared" si="734"/>
        <v>-40.914000000000001</v>
      </c>
      <c r="CJ118" s="191">
        <f t="shared" si="734"/>
        <v>-11.632999999999999</v>
      </c>
      <c r="CK118" s="191">
        <f t="shared" si="734"/>
        <v>-33.991999999999997</v>
      </c>
      <c r="CL118" s="191">
        <f t="shared" si="719"/>
        <v>-20.836000000000002</v>
      </c>
      <c r="CM118" s="191">
        <f t="shared" si="720"/>
        <v>-16.07</v>
      </c>
      <c r="CN118" s="191">
        <f t="shared" si="721"/>
        <v>69.974929304000014</v>
      </c>
      <c r="CO118" s="191">
        <f t="shared" si="722"/>
        <v>-14.735244512802979</v>
      </c>
      <c r="CP118" s="191">
        <f t="shared" si="722"/>
        <v>5.9187920751783167</v>
      </c>
      <c r="CQ118" s="20"/>
      <c r="CR118" s="193">
        <f t="shared" si="723"/>
        <v>3.7340000000000018</v>
      </c>
      <c r="CS118" s="191">
        <f t="shared" si="723"/>
        <v>8.6129999999999995</v>
      </c>
      <c r="CT118" s="191">
        <f t="shared" si="723"/>
        <v>50.187999999999995</v>
      </c>
      <c r="CU118" s="191">
        <f t="shared" ref="CU118:DC118" si="735">CU23</f>
        <v>45.607999999999997</v>
      </c>
      <c r="CV118" s="191">
        <f t="shared" si="735"/>
        <v>-88.785000000000011</v>
      </c>
      <c r="CW118" s="191">
        <f t="shared" si="735"/>
        <v>-6.2610000000000099</v>
      </c>
      <c r="CX118" s="191">
        <f t="shared" si="735"/>
        <v>7.9490000000000034</v>
      </c>
      <c r="CY118" s="191">
        <f t="shared" si="735"/>
        <v>-4.2959999999999994</v>
      </c>
      <c r="CZ118" s="191">
        <f t="shared" si="735"/>
        <v>-48.556999999999995</v>
      </c>
      <c r="DA118" s="191">
        <f t="shared" si="735"/>
        <v>-52.796000000000006</v>
      </c>
      <c r="DB118" s="191">
        <f t="shared" si="735"/>
        <v>-4.245000000000001</v>
      </c>
      <c r="DC118" s="191">
        <f t="shared" si="735"/>
        <v>-28.763999999999996</v>
      </c>
      <c r="DD118" s="191">
        <f t="shared" si="725"/>
        <v>-39.424999999999997</v>
      </c>
      <c r="DE118" s="191">
        <f t="shared" si="725"/>
        <v>1.3369999999999962</v>
      </c>
      <c r="DF118" s="191">
        <f t="shared" si="726"/>
        <v>47.972999999999999</v>
      </c>
      <c r="DG118" s="191">
        <f t="shared" si="726"/>
        <v>14.989492303772977</v>
      </c>
      <c r="DH118" s="191">
        <f t="shared" ref="DH118" si="736">DH23</f>
        <v>6.5168014246966663</v>
      </c>
      <c r="DI118" s="22"/>
    </row>
    <row r="119" spans="1:113" ht="14.25" customHeight="1" outlineLevel="1">
      <c r="A119" s="8"/>
      <c r="B119" s="49" t="s">
        <v>135</v>
      </c>
      <c r="C119" s="50"/>
      <c r="D119" s="196">
        <v>0</v>
      </c>
      <c r="E119" s="194">
        <v>0</v>
      </c>
      <c r="F119" s="194">
        <v>0</v>
      </c>
      <c r="G119" s="195">
        <v>0</v>
      </c>
      <c r="H119" s="196">
        <v>0</v>
      </c>
      <c r="I119" s="194">
        <v>0</v>
      </c>
      <c r="J119" s="194">
        <v>0</v>
      </c>
      <c r="K119" s="195">
        <v>0</v>
      </c>
      <c r="L119" s="196">
        <v>0</v>
      </c>
      <c r="M119" s="194">
        <v>0</v>
      </c>
      <c r="N119" s="194">
        <v>0</v>
      </c>
      <c r="O119" s="195">
        <v>0</v>
      </c>
      <c r="P119" s="196">
        <v>0</v>
      </c>
      <c r="Q119" s="194">
        <v>0</v>
      </c>
      <c r="R119" s="194">
        <v>0</v>
      </c>
      <c r="S119" s="195">
        <v>0</v>
      </c>
      <c r="T119" s="196">
        <v>0</v>
      </c>
      <c r="U119" s="194">
        <v>0</v>
      </c>
      <c r="V119" s="194">
        <v>0</v>
      </c>
      <c r="W119" s="195">
        <v>0</v>
      </c>
      <c r="X119" s="196">
        <v>0</v>
      </c>
      <c r="Y119" s="194">
        <v>0</v>
      </c>
      <c r="Z119" s="194">
        <v>0</v>
      </c>
      <c r="AA119" s="195">
        <v>0</v>
      </c>
      <c r="AB119" s="196">
        <v>0</v>
      </c>
      <c r="AC119" s="194">
        <v>0</v>
      </c>
      <c r="AD119" s="194">
        <v>0</v>
      </c>
      <c r="AE119" s="195">
        <v>0</v>
      </c>
      <c r="AF119" s="196">
        <v>0</v>
      </c>
      <c r="AG119" s="194">
        <v>0</v>
      </c>
      <c r="AH119" s="194">
        <v>0</v>
      </c>
      <c r="AI119" s="195">
        <v>0</v>
      </c>
      <c r="AJ119" s="196">
        <v>0</v>
      </c>
      <c r="AK119" s="194">
        <v>0</v>
      </c>
      <c r="AL119" s="194">
        <v>0</v>
      </c>
      <c r="AM119" s="195">
        <v>0</v>
      </c>
      <c r="AN119" s="196">
        <v>0</v>
      </c>
      <c r="AO119" s="194">
        <v>0</v>
      </c>
      <c r="AP119" s="194">
        <v>0</v>
      </c>
      <c r="AQ119" s="195">
        <v>0</v>
      </c>
      <c r="AR119" s="196">
        <v>0</v>
      </c>
      <c r="AS119" s="194">
        <v>0</v>
      </c>
      <c r="AT119" s="194">
        <v>0</v>
      </c>
      <c r="AU119" s="195">
        <v>0</v>
      </c>
      <c r="AV119" s="196">
        <v>0</v>
      </c>
      <c r="AW119" s="194">
        <v>0</v>
      </c>
      <c r="AX119" s="194">
        <v>0</v>
      </c>
      <c r="AY119" s="195">
        <v>0</v>
      </c>
      <c r="AZ119" s="196">
        <v>0</v>
      </c>
      <c r="BA119" s="194">
        <v>0</v>
      </c>
      <c r="BB119" s="194">
        <v>0</v>
      </c>
      <c r="BC119" s="195">
        <v>0</v>
      </c>
      <c r="BD119" s="196">
        <v>0</v>
      </c>
      <c r="BE119" s="194">
        <v>0</v>
      </c>
      <c r="BF119" s="194">
        <v>0</v>
      </c>
      <c r="BG119" s="195">
        <v>0</v>
      </c>
      <c r="BH119" s="196">
        <v>0</v>
      </c>
      <c r="BI119" s="194">
        <v>0</v>
      </c>
      <c r="BJ119" s="194">
        <v>0</v>
      </c>
      <c r="BK119" s="195">
        <v>0</v>
      </c>
      <c r="BL119" s="196">
        <v>0</v>
      </c>
      <c r="BM119" s="194">
        <v>0</v>
      </c>
      <c r="BN119" s="194">
        <v>303.90300000000002</v>
      </c>
      <c r="BO119" s="192">
        <f t="shared" si="708"/>
        <v>303.90300000000002</v>
      </c>
      <c r="BP119" s="193">
        <f t="shared" si="709"/>
        <v>0</v>
      </c>
      <c r="BQ119" s="191">
        <f t="shared" si="710"/>
        <v>0</v>
      </c>
      <c r="BR119" s="191">
        <f t="shared" si="711"/>
        <v>0</v>
      </c>
      <c r="BS119" s="192">
        <f t="shared" si="712"/>
        <v>0</v>
      </c>
      <c r="BT119" s="193">
        <f t="shared" si="713"/>
        <v>0</v>
      </c>
      <c r="BU119" s="191">
        <f t="shared" si="714"/>
        <v>0</v>
      </c>
      <c r="BV119" s="191">
        <f t="shared" si="715"/>
        <v>0</v>
      </c>
      <c r="BW119" s="192">
        <f t="shared" si="716"/>
        <v>0</v>
      </c>
      <c r="BX119" s="160"/>
      <c r="BY119" s="191">
        <f t="shared" si="717"/>
        <v>0</v>
      </c>
      <c r="BZ119" s="191">
        <f t="shared" si="717"/>
        <v>0</v>
      </c>
      <c r="CA119" s="191">
        <f t="shared" si="717"/>
        <v>0</v>
      </c>
      <c r="CB119" s="191">
        <f t="shared" ref="CB119:CK119" si="737">CB24</f>
        <v>0</v>
      </c>
      <c r="CC119" s="191">
        <f t="shared" si="737"/>
        <v>0</v>
      </c>
      <c r="CD119" s="191">
        <f t="shared" si="737"/>
        <v>0</v>
      </c>
      <c r="CE119" s="191">
        <f t="shared" si="737"/>
        <v>0</v>
      </c>
      <c r="CF119" s="191">
        <f t="shared" si="737"/>
        <v>0</v>
      </c>
      <c r="CG119" s="191">
        <f t="shared" si="737"/>
        <v>0</v>
      </c>
      <c r="CH119" s="191">
        <f t="shared" si="737"/>
        <v>0</v>
      </c>
      <c r="CI119" s="191">
        <f t="shared" si="737"/>
        <v>0</v>
      </c>
      <c r="CJ119" s="191">
        <f t="shared" si="737"/>
        <v>0</v>
      </c>
      <c r="CK119" s="191">
        <f t="shared" si="737"/>
        <v>0</v>
      </c>
      <c r="CL119" s="191">
        <f t="shared" si="719"/>
        <v>0</v>
      </c>
      <c r="CM119" s="191">
        <f t="shared" si="720"/>
        <v>0</v>
      </c>
      <c r="CN119" s="191">
        <f t="shared" si="721"/>
        <v>303.90300000000002</v>
      </c>
      <c r="CO119" s="191">
        <f t="shared" si="722"/>
        <v>0</v>
      </c>
      <c r="CP119" s="191">
        <f t="shared" si="722"/>
        <v>0</v>
      </c>
      <c r="CQ119" s="20"/>
      <c r="CR119" s="193">
        <f t="shared" si="723"/>
        <v>0</v>
      </c>
      <c r="CS119" s="191">
        <f t="shared" si="723"/>
        <v>0</v>
      </c>
      <c r="CT119" s="191">
        <f t="shared" si="723"/>
        <v>0</v>
      </c>
      <c r="CU119" s="191">
        <f t="shared" ref="CU119:DC119" si="738">CU24</f>
        <v>0</v>
      </c>
      <c r="CV119" s="191">
        <f t="shared" si="738"/>
        <v>0</v>
      </c>
      <c r="CW119" s="191">
        <f t="shared" si="738"/>
        <v>0</v>
      </c>
      <c r="CX119" s="191">
        <f t="shared" si="738"/>
        <v>0</v>
      </c>
      <c r="CY119" s="191">
        <f t="shared" si="738"/>
        <v>0</v>
      </c>
      <c r="CZ119" s="191">
        <f t="shared" si="738"/>
        <v>0</v>
      </c>
      <c r="DA119" s="191">
        <f t="shared" si="738"/>
        <v>0</v>
      </c>
      <c r="DB119" s="191">
        <f t="shared" si="738"/>
        <v>0</v>
      </c>
      <c r="DC119" s="191">
        <f t="shared" si="738"/>
        <v>0</v>
      </c>
      <c r="DD119" s="191">
        <f t="shared" si="725"/>
        <v>0</v>
      </c>
      <c r="DE119" s="191">
        <f t="shared" si="725"/>
        <v>0</v>
      </c>
      <c r="DF119" s="191">
        <f t="shared" si="726"/>
        <v>303.90300000000002</v>
      </c>
      <c r="DG119" s="191">
        <f t="shared" si="726"/>
        <v>0</v>
      </c>
      <c r="DH119" s="191">
        <f t="shared" ref="DH119" si="739">DH24</f>
        <v>0</v>
      </c>
      <c r="DI119" s="22"/>
    </row>
    <row r="120" spans="1:113" ht="14.25" customHeight="1" outlineLevel="1">
      <c r="A120" s="8"/>
      <c r="B120" s="49" t="s">
        <v>136</v>
      </c>
      <c r="C120" s="50"/>
      <c r="D120" s="196">
        <v>-4.0010000000000003</v>
      </c>
      <c r="E120" s="194">
        <v>-5.0940000000000003</v>
      </c>
      <c r="F120" s="194">
        <v>-5.5469999999999997</v>
      </c>
      <c r="G120" s="195">
        <v>-2.3029999999999999</v>
      </c>
      <c r="H120" s="196">
        <v>1.5209999999999999</v>
      </c>
      <c r="I120" s="194">
        <v>1.3720000000000001</v>
      </c>
      <c r="J120" s="194">
        <v>1.7170000000000001</v>
      </c>
      <c r="K120" s="195">
        <v>-1.597</v>
      </c>
      <c r="L120" s="196">
        <v>0.26800000000000002</v>
      </c>
      <c r="M120" s="194">
        <v>-1.956</v>
      </c>
      <c r="N120" s="194">
        <v>-2.2599999999999998</v>
      </c>
      <c r="O120" s="195">
        <v>-6.1619999999999999</v>
      </c>
      <c r="P120" s="196">
        <v>0.95299999999999996</v>
      </c>
      <c r="Q120" s="194">
        <v>-3.8479999999999999</v>
      </c>
      <c r="R120" s="194">
        <v>-3.73</v>
      </c>
      <c r="S120" s="195">
        <v>-4.4359999999999999</v>
      </c>
      <c r="T120" s="196">
        <v>0.80300000000000005</v>
      </c>
      <c r="U120" s="194">
        <v>-6.1120000000000001</v>
      </c>
      <c r="V120" s="194">
        <v>-7.4219999999999997</v>
      </c>
      <c r="W120" s="195">
        <v>-7.5860000000000003</v>
      </c>
      <c r="X120" s="196">
        <v>-5.3970000000000002</v>
      </c>
      <c r="Y120" s="194">
        <v>-9.6549999999999994</v>
      </c>
      <c r="Z120" s="194">
        <v>2.9649999999999999</v>
      </c>
      <c r="AA120" s="195">
        <v>-7.9489999999999998</v>
      </c>
      <c r="AB120" s="196">
        <v>8.7989999999999995</v>
      </c>
      <c r="AC120" s="194">
        <v>16.798999999999999</v>
      </c>
      <c r="AD120" s="194">
        <v>-30.414999999999999</v>
      </c>
      <c r="AE120" s="195">
        <v>-38.472999999999999</v>
      </c>
      <c r="AF120" s="196">
        <v>-5.2649999999999997</v>
      </c>
      <c r="AG120" s="194">
        <v>-2.391</v>
      </c>
      <c r="AH120" s="194">
        <v>-18.013000000000002</v>
      </c>
      <c r="AI120" s="195">
        <v>-14.919</v>
      </c>
      <c r="AJ120" s="196">
        <v>3.0419999999999998</v>
      </c>
      <c r="AK120" s="194">
        <v>3.9260000000000002</v>
      </c>
      <c r="AL120" s="194">
        <v>8.2129999999999992</v>
      </c>
      <c r="AM120" s="195">
        <v>-35.572000000000003</v>
      </c>
      <c r="AN120" s="194">
        <v>-10.872999999999999</v>
      </c>
      <c r="AO120" s="194">
        <v>14.016999999999999</v>
      </c>
      <c r="AP120" s="194">
        <v>15.14</v>
      </c>
      <c r="AQ120" s="195">
        <v>7.97</v>
      </c>
      <c r="AR120" s="194">
        <v>5.2910000000000004</v>
      </c>
      <c r="AS120" s="194">
        <v>40.462000000000003</v>
      </c>
      <c r="AT120" s="194">
        <v>33</v>
      </c>
      <c r="AU120" s="195">
        <v>32.957000000000001</v>
      </c>
      <c r="AV120" s="194">
        <v>14.977</v>
      </c>
      <c r="AW120" s="194">
        <v>20.190999999999999</v>
      </c>
      <c r="AX120" s="194">
        <v>9.7989999999999995</v>
      </c>
      <c r="AY120" s="195">
        <v>49.167000000000002</v>
      </c>
      <c r="AZ120" s="194">
        <v>15.85</v>
      </c>
      <c r="BA120" s="194">
        <v>10.737</v>
      </c>
      <c r="BB120" s="194">
        <v>-7.7489999999999997</v>
      </c>
      <c r="BC120" s="195">
        <v>-2.923</v>
      </c>
      <c r="BD120" s="194">
        <v>5.2249999999999996</v>
      </c>
      <c r="BE120" s="194">
        <v>6.5890000000000004</v>
      </c>
      <c r="BF120" s="194">
        <v>-27.099</v>
      </c>
      <c r="BG120" s="195">
        <v>36.656999999999996</v>
      </c>
      <c r="BH120" s="194">
        <f>-12.27+5.996</f>
        <v>-6.2739999999999991</v>
      </c>
      <c r="BI120" s="194">
        <f>-13.641+10.314</f>
        <v>-3.327</v>
      </c>
      <c r="BJ120" s="194">
        <f>-14.266+9.348</f>
        <v>-4.9179999999999993</v>
      </c>
      <c r="BK120" s="195">
        <f>24.628+9.348</f>
        <v>33.975999999999999</v>
      </c>
      <c r="BL120" s="194">
        <f>-7.296</f>
        <v>-7.2960000000000003</v>
      </c>
      <c r="BM120" s="194">
        <v>16.721</v>
      </c>
      <c r="BN120" s="194">
        <v>15.663</v>
      </c>
      <c r="BO120" s="192">
        <f t="shared" si="708"/>
        <v>-49.069859919999985</v>
      </c>
      <c r="BP120" s="191">
        <f t="shared" si="709"/>
        <v>-5.2283622600000115</v>
      </c>
      <c r="BQ120" s="191">
        <f t="shared" si="710"/>
        <v>-9.0953263985400241</v>
      </c>
      <c r="BR120" s="191">
        <f t="shared" si="711"/>
        <v>-6.5046304805950257</v>
      </c>
      <c r="BS120" s="192">
        <f t="shared" si="712"/>
        <v>-5.3796182428482382</v>
      </c>
      <c r="BT120" s="191">
        <f t="shared" si="713"/>
        <v>-4.9256763835157358</v>
      </c>
      <c r="BU120" s="191">
        <f t="shared" si="714"/>
        <v>-8.2300773510217198</v>
      </c>
      <c r="BV120" s="191">
        <f t="shared" si="715"/>
        <v>-6.3179332716038061</v>
      </c>
      <c r="BW120" s="192">
        <f t="shared" si="716"/>
        <v>-5.1433540567497005</v>
      </c>
      <c r="BX120" s="160"/>
      <c r="BY120" s="191">
        <f t="shared" si="717"/>
        <v>-2.3029999999999999</v>
      </c>
      <c r="BZ120" s="191">
        <f t="shared" si="717"/>
        <v>-1.597</v>
      </c>
      <c r="CA120" s="191">
        <f t="shared" si="717"/>
        <v>-6.1619999999999999</v>
      </c>
      <c r="CB120" s="191">
        <f t="shared" ref="CB120:CK120" si="740">CB25</f>
        <v>-4.4359999999999999</v>
      </c>
      <c r="CC120" s="191">
        <f t="shared" si="740"/>
        <v>-7.5860000000000003</v>
      </c>
      <c r="CD120" s="191">
        <f t="shared" si="740"/>
        <v>-7.9489999999999998</v>
      </c>
      <c r="CE120" s="191">
        <f t="shared" si="740"/>
        <v>-38.472999999999999</v>
      </c>
      <c r="CF120" s="191">
        <f t="shared" si="740"/>
        <v>-14.918999999999999</v>
      </c>
      <c r="CG120" s="191">
        <f t="shared" si="740"/>
        <v>-35.572000000000003</v>
      </c>
      <c r="CH120" s="191">
        <f t="shared" si="740"/>
        <v>7.9700000000000006</v>
      </c>
      <c r="CI120" s="191">
        <f t="shared" si="740"/>
        <v>32.957000000000008</v>
      </c>
      <c r="CJ120" s="191">
        <f t="shared" si="740"/>
        <v>49.166999999999994</v>
      </c>
      <c r="CK120" s="191">
        <f t="shared" si="740"/>
        <v>-2.9229999999999983</v>
      </c>
      <c r="CL120" s="191">
        <f t="shared" si="719"/>
        <v>36.656999999999989</v>
      </c>
      <c r="CM120" s="191">
        <f t="shared" si="720"/>
        <v>33.976000000000006</v>
      </c>
      <c r="CN120" s="191">
        <f t="shared" si="721"/>
        <v>-49.069859919999985</v>
      </c>
      <c r="CO120" s="191">
        <f t="shared" si="722"/>
        <v>-5.3796182428482382</v>
      </c>
      <c r="CP120" s="191">
        <f t="shared" si="722"/>
        <v>-5.1433540567497005</v>
      </c>
      <c r="CQ120" s="20"/>
      <c r="CR120" s="193">
        <f t="shared" si="723"/>
        <v>4.9609999999999994</v>
      </c>
      <c r="CS120" s="191">
        <f t="shared" si="723"/>
        <v>-5.5739999999999998</v>
      </c>
      <c r="CT120" s="191">
        <f t="shared" si="723"/>
        <v>-7.6319999999999997</v>
      </c>
      <c r="CU120" s="191">
        <f t="shared" ref="CU120:DC120" si="741">CU25</f>
        <v>-8.1280000000000001</v>
      </c>
      <c r="CV120" s="191">
        <f t="shared" si="741"/>
        <v>2.8010000000000002</v>
      </c>
      <c r="CW120" s="191">
        <f t="shared" si="741"/>
        <v>-41.329000000000001</v>
      </c>
      <c r="CX120" s="191">
        <f t="shared" si="741"/>
        <v>-26.071000000000002</v>
      </c>
      <c r="CY120" s="191">
        <f t="shared" si="741"/>
        <v>11.306999999999999</v>
      </c>
      <c r="CZ120" s="191">
        <f t="shared" si="741"/>
        <v>-28.645000000000003</v>
      </c>
      <c r="DA120" s="191">
        <f t="shared" si="741"/>
        <v>25.830000000000002</v>
      </c>
      <c r="DB120" s="191">
        <f t="shared" si="741"/>
        <v>9.7560000000000038</v>
      </c>
      <c r="DC120" s="191">
        <f t="shared" si="741"/>
        <v>31.618999999999996</v>
      </c>
      <c r="DD120" s="191">
        <f t="shared" si="725"/>
        <v>-22.273</v>
      </c>
      <c r="DE120" s="191">
        <f t="shared" si="725"/>
        <v>58.837999999999987</v>
      </c>
      <c r="DF120" s="191">
        <f t="shared" si="726"/>
        <v>54.557000000000009</v>
      </c>
      <c r="DG120" s="191">
        <f t="shared" si="726"/>
        <v>-71.237490400595007</v>
      </c>
      <c r="DH120" s="191">
        <f t="shared" ref="DH120" si="742">DH25</f>
        <v>-5.1929210338570186</v>
      </c>
      <c r="DI120" s="22"/>
    </row>
    <row r="121" spans="1:113" ht="14.25" customHeight="1" outlineLevel="1" thickBot="1">
      <c r="A121" s="8"/>
      <c r="B121" s="197" t="s">
        <v>65</v>
      </c>
      <c r="C121" s="198"/>
      <c r="D121" s="200">
        <f t="shared" ref="D121:N121" si="743">D104+SUM(D106:D113)+SUM(D115:D120)</f>
        <v>71.262</v>
      </c>
      <c r="E121" s="199">
        <f t="shared" si="743"/>
        <v>128.51900000000001</v>
      </c>
      <c r="F121" s="199">
        <f>F104+SUM(F106:F113)+SUM(F115:F120)</f>
        <v>203.499</v>
      </c>
      <c r="G121" s="201">
        <f t="shared" si="743"/>
        <v>260.18700000000001</v>
      </c>
      <c r="H121" s="200">
        <f t="shared" si="743"/>
        <v>67.804999999999978</v>
      </c>
      <c r="I121" s="199">
        <f t="shared" si="743"/>
        <v>145.09999999999997</v>
      </c>
      <c r="J121" s="199">
        <f t="shared" si="743"/>
        <v>247.964</v>
      </c>
      <c r="K121" s="201">
        <f t="shared" si="743"/>
        <v>343.08</v>
      </c>
      <c r="L121" s="200">
        <f t="shared" si="743"/>
        <v>104.47500000000001</v>
      </c>
      <c r="M121" s="199">
        <f t="shared" si="743"/>
        <v>184.96499999999997</v>
      </c>
      <c r="N121" s="199">
        <f t="shared" si="743"/>
        <v>295.44799999999998</v>
      </c>
      <c r="O121" s="201">
        <f>O104+SUM(O106:O113)+SUM(O115:O120)</f>
        <v>352.71</v>
      </c>
      <c r="P121" s="200">
        <f t="shared" ref="P121:BC121" si="744">P104+SUM(P106:P113)+SUM(P115:P120)</f>
        <v>93.996999999999986</v>
      </c>
      <c r="Q121" s="199">
        <f t="shared" si="744"/>
        <v>203.06099999999998</v>
      </c>
      <c r="R121" s="199">
        <f t="shared" si="744"/>
        <v>323.05899999999997</v>
      </c>
      <c r="S121" s="201">
        <f t="shared" si="744"/>
        <v>437.32299999999998</v>
      </c>
      <c r="T121" s="200">
        <f t="shared" si="744"/>
        <v>129.80300000000003</v>
      </c>
      <c r="U121" s="199">
        <f t="shared" si="744"/>
        <v>250.73500000000004</v>
      </c>
      <c r="V121" s="199">
        <f t="shared" si="744"/>
        <v>357.82500000000005</v>
      </c>
      <c r="W121" s="201">
        <f t="shared" si="744"/>
        <v>429.76900000000001</v>
      </c>
      <c r="X121" s="200">
        <f t="shared" si="744"/>
        <v>122.63000000000002</v>
      </c>
      <c r="Y121" s="199">
        <f t="shared" si="744"/>
        <v>228.03699999999998</v>
      </c>
      <c r="Z121" s="199">
        <f t="shared" si="744"/>
        <v>360.13499999999993</v>
      </c>
      <c r="AA121" s="201">
        <f t="shared" si="744"/>
        <v>447.30700000000002</v>
      </c>
      <c r="AB121" s="200">
        <f t="shared" si="744"/>
        <v>123.09300000000002</v>
      </c>
      <c r="AC121" s="199">
        <f t="shared" si="744"/>
        <v>267.48700000000008</v>
      </c>
      <c r="AD121" s="199">
        <f t="shared" si="744"/>
        <v>264.56800000000004</v>
      </c>
      <c r="AE121" s="201">
        <f t="shared" si="744"/>
        <v>308.65300000000008</v>
      </c>
      <c r="AF121" s="200">
        <f t="shared" si="744"/>
        <v>115.06700000000001</v>
      </c>
      <c r="AG121" s="199">
        <f t="shared" si="744"/>
        <v>243.09199999999998</v>
      </c>
      <c r="AH121" s="199">
        <f t="shared" si="744"/>
        <v>344.01900000000001</v>
      </c>
      <c r="AI121" s="201">
        <f t="shared" si="744"/>
        <v>452.04700000000003</v>
      </c>
      <c r="AJ121" s="200">
        <f t="shared" si="744"/>
        <v>133.31800000000001</v>
      </c>
      <c r="AK121" s="199">
        <f t="shared" si="744"/>
        <v>291.447</v>
      </c>
      <c r="AL121" s="199">
        <f t="shared" si="744"/>
        <v>430.12400000000002</v>
      </c>
      <c r="AM121" s="201">
        <f t="shared" si="744"/>
        <v>582.66099999999983</v>
      </c>
      <c r="AN121" s="199">
        <f t="shared" si="744"/>
        <v>83.305000000000007</v>
      </c>
      <c r="AO121" s="199">
        <f t="shared" si="744"/>
        <v>238.05899999999997</v>
      </c>
      <c r="AP121" s="199">
        <f t="shared" si="744"/>
        <v>293.99799999999993</v>
      </c>
      <c r="AQ121" s="201">
        <f t="shared" si="744"/>
        <v>396.45799999999997</v>
      </c>
      <c r="AR121" s="199">
        <f t="shared" si="744"/>
        <v>128.971</v>
      </c>
      <c r="AS121" s="199">
        <f t="shared" si="744"/>
        <v>192.27100000000002</v>
      </c>
      <c r="AT121" s="199">
        <f t="shared" si="744"/>
        <v>321.17800000000005</v>
      </c>
      <c r="AU121" s="201">
        <f t="shared" si="744"/>
        <v>446.17900000000009</v>
      </c>
      <c r="AV121" s="199">
        <f t="shared" si="744"/>
        <v>164.43099999999995</v>
      </c>
      <c r="AW121" s="199">
        <f t="shared" si="744"/>
        <v>319.3549999999999</v>
      </c>
      <c r="AX121" s="199">
        <f t="shared" si="744"/>
        <v>473.22299999999996</v>
      </c>
      <c r="AY121" s="201">
        <f t="shared" si="744"/>
        <v>676.56399999999996</v>
      </c>
      <c r="AZ121" s="199">
        <f>AZ104+SUM(AZ106:AZ113)+SUM(AZ115:AZ120)</f>
        <v>165.78799999999998</v>
      </c>
      <c r="BA121" s="199">
        <f>BA104+SUM(BA106:BA113)+SUM(BA115:BA120)</f>
        <v>357.83400000000006</v>
      </c>
      <c r="BB121" s="199">
        <f>BB104+SUM(BB106:BB113)+SUM(BB115:BB120)</f>
        <v>542.67200000000014</v>
      </c>
      <c r="BC121" s="201">
        <f t="shared" si="744"/>
        <v>721.18200000000013</v>
      </c>
      <c r="BD121" s="199">
        <f t="shared" ref="BD121:BI121" si="745">BD104+SUM(BD106:BD113)+SUM(BD115:BD120)</f>
        <v>181.52799999999999</v>
      </c>
      <c r="BE121" s="199">
        <f t="shared" si="745"/>
        <v>331.41399999999993</v>
      </c>
      <c r="BF121" s="199">
        <f t="shared" si="745"/>
        <v>541.80799999999999</v>
      </c>
      <c r="BG121" s="201">
        <f t="shared" si="745"/>
        <v>744.35300000000007</v>
      </c>
      <c r="BH121" s="199">
        <f t="shared" si="745"/>
        <v>223.96699999999993</v>
      </c>
      <c r="BI121" s="199">
        <f t="shared" si="745"/>
        <v>446.09000000000003</v>
      </c>
      <c r="BJ121" s="199">
        <f t="shared" ref="BJ121" si="746">BJ104+SUM(BJ106:BJ113)+SUM(BJ115:BJ120)</f>
        <v>736.89199999999994</v>
      </c>
      <c r="BK121" s="201">
        <f t="shared" ref="BK121:BO121" si="747">BK104+SUM(BK106:BK113)+SUM(BK115:BK120)</f>
        <v>1059.4519999999998</v>
      </c>
      <c r="BL121" s="199">
        <f t="shared" si="747"/>
        <v>344.99200000000002</v>
      </c>
      <c r="BM121" s="199">
        <f t="shared" si="747"/>
        <v>695.12299999999982</v>
      </c>
      <c r="BN121" s="199">
        <f t="shared" si="747"/>
        <v>1060.0819999999999</v>
      </c>
      <c r="BO121" s="201">
        <f t="shared" si="747"/>
        <v>1436.5587546254014</v>
      </c>
      <c r="BP121" s="199">
        <f t="shared" ref="BP121:BW121" si="748">BP104+SUM(BP106:BP113)+SUM(BP115:BP120)</f>
        <v>380.08058090442103</v>
      </c>
      <c r="BQ121" s="199">
        <f t="shared" si="748"/>
        <v>763.74881575199197</v>
      </c>
      <c r="BR121" s="199">
        <f t="shared" si="748"/>
        <v>1173.5018775502244</v>
      </c>
      <c r="BS121" s="201">
        <f t="shared" si="748"/>
        <v>1581.0220945076485</v>
      </c>
      <c r="BT121" s="199">
        <f t="shared" si="748"/>
        <v>404.69296219409102</v>
      </c>
      <c r="BU121" s="199">
        <f t="shared" si="748"/>
        <v>812.32764472313795</v>
      </c>
      <c r="BV121" s="199">
        <f t="shared" si="748"/>
        <v>1259.8208164810883</v>
      </c>
      <c r="BW121" s="201">
        <f t="shared" si="748"/>
        <v>1689.7289771505398</v>
      </c>
      <c r="BX121" s="160"/>
      <c r="BY121" s="199">
        <f>BY104+SUM(BY106:BY113)+SUM(BY115:BY120)</f>
        <v>260.18700000000001</v>
      </c>
      <c r="BZ121" s="199">
        <f>BZ104+SUM(BZ106:BZ113)+SUM(BZ115:BZ120)</f>
        <v>343.08</v>
      </c>
      <c r="CA121" s="199">
        <f>CA104+SUM(CA106:CA113)+SUM(CA115:CA120)</f>
        <v>352.71</v>
      </c>
      <c r="CB121" s="199">
        <f t="shared" ref="CB121:CL121" si="749">CB104+SUM(CB106:CB113)+SUM(CB115:CB120)</f>
        <v>437.32299999999998</v>
      </c>
      <c r="CC121" s="199">
        <f t="shared" si="749"/>
        <v>429.76899999999995</v>
      </c>
      <c r="CD121" s="199">
        <f t="shared" si="749"/>
        <v>447.30699999999996</v>
      </c>
      <c r="CE121" s="199">
        <f t="shared" si="749"/>
        <v>308.65300000000008</v>
      </c>
      <c r="CF121" s="199">
        <f t="shared" si="749"/>
        <v>452.04700000000003</v>
      </c>
      <c r="CG121" s="199">
        <f t="shared" si="749"/>
        <v>582.66099999999983</v>
      </c>
      <c r="CH121" s="199">
        <f t="shared" si="749"/>
        <v>396.45799999999997</v>
      </c>
      <c r="CI121" s="199">
        <f t="shared" si="749"/>
        <v>446.17900000000014</v>
      </c>
      <c r="CJ121" s="199">
        <f t="shared" si="749"/>
        <v>676.56399999999996</v>
      </c>
      <c r="CK121" s="199">
        <f t="shared" si="749"/>
        <v>721.18200000000013</v>
      </c>
      <c r="CL121" s="199">
        <f t="shared" si="749"/>
        <v>744.35300000000007</v>
      </c>
      <c r="CM121" s="199">
        <f>CM104+SUM(CM106:CM113)+SUM(CM115:CM120)</f>
        <v>1059.452</v>
      </c>
      <c r="CN121" s="199">
        <f>CN104+SUM(CN106:CN113)+SUM(CN115:CN120)</f>
        <v>1436.5587546254014</v>
      </c>
      <c r="CO121" s="199">
        <f>CO104+SUM(CO106:CO113)+SUM(CO115:CO120)</f>
        <v>1581.0220945076485</v>
      </c>
      <c r="CP121" s="199">
        <f>CP104+SUM(CP106:CP113)+SUM(CP115:CP120)</f>
        <v>1689.7289771505398</v>
      </c>
      <c r="CQ121" s="20"/>
      <c r="CR121" s="200">
        <f>CR104+SUM(CR106:CR113)+SUM(CR115:CR120)</f>
        <v>304.65199999999999</v>
      </c>
      <c r="CS121" s="199">
        <f>CS104+SUM(CS106:CS113)+SUM(CS115:CS120)</f>
        <v>390.56400000000002</v>
      </c>
      <c r="CT121" s="199">
        <f>CT104+SUM(CT106:CT113)+SUM(CT115:CT120)</f>
        <v>380.32099999999997</v>
      </c>
      <c r="CU121" s="199">
        <f t="shared" ref="CU121:DD121" si="750">CU104+SUM(CU106:CU113)+SUM(CU115:CU120)</f>
        <v>472.08899999999994</v>
      </c>
      <c r="CV121" s="199">
        <f t="shared" si="750"/>
        <v>432.07900000000001</v>
      </c>
      <c r="CW121" s="199">
        <f t="shared" si="750"/>
        <v>351.74</v>
      </c>
      <c r="CX121" s="199">
        <f t="shared" si="750"/>
        <v>388.10399999999998</v>
      </c>
      <c r="CY121" s="199">
        <f t="shared" si="750"/>
        <v>538.15200000000004</v>
      </c>
      <c r="CZ121" s="199">
        <f t="shared" si="750"/>
        <v>446.53499999999985</v>
      </c>
      <c r="DA121" s="199">
        <f t="shared" si="750"/>
        <v>423.63800000000003</v>
      </c>
      <c r="DB121" s="199">
        <f t="shared" si="750"/>
        <v>598.22400000000016</v>
      </c>
      <c r="DC121" s="199">
        <f t="shared" si="750"/>
        <v>746.01300000000015</v>
      </c>
      <c r="DD121" s="199">
        <f t="shared" si="750"/>
        <v>720.31799999999998</v>
      </c>
      <c r="DE121" s="199">
        <f>DE104+SUM(DE106:DE113)+SUM(DE115:DE120)</f>
        <v>939.4369999999999</v>
      </c>
      <c r="DF121" s="199">
        <f>DF104+SUM(DF106:DF113)+SUM(DF115:DF120)</f>
        <v>1382.6420000000001</v>
      </c>
      <c r="DG121" s="199">
        <f>DG104+SUM(DG106:DG113)+SUM(DG115:DG120)</f>
        <v>1549.9786321756258</v>
      </c>
      <c r="DH121" s="199">
        <f>DH104+SUM(DH106:DH113)+SUM(DH115:DH120)</f>
        <v>1667.3410334385126</v>
      </c>
      <c r="DI121" s="22"/>
    </row>
    <row r="122" spans="1:113" ht="14.25" customHeight="1" outlineLevel="1" thickTop="1">
      <c r="A122" s="8"/>
      <c r="B122" s="23"/>
      <c r="C122" s="24"/>
      <c r="D122" s="196"/>
      <c r="E122" s="194"/>
      <c r="F122" s="194"/>
      <c r="G122" s="195"/>
      <c r="H122" s="196"/>
      <c r="I122" s="194"/>
      <c r="J122" s="194"/>
      <c r="K122" s="195"/>
      <c r="L122" s="196"/>
      <c r="M122" s="194"/>
      <c r="N122" s="194"/>
      <c r="O122" s="195"/>
      <c r="P122" s="196"/>
      <c r="Q122" s="194"/>
      <c r="R122" s="194"/>
      <c r="S122" s="195"/>
      <c r="T122" s="196"/>
      <c r="U122" s="194"/>
      <c r="V122" s="194"/>
      <c r="W122" s="195"/>
      <c r="X122" s="196"/>
      <c r="Y122" s="194"/>
      <c r="Z122" s="194"/>
      <c r="AA122" s="195"/>
      <c r="AB122" s="196"/>
      <c r="AC122" s="194"/>
      <c r="AD122" s="194"/>
      <c r="AE122" s="195"/>
      <c r="AF122" s="196"/>
      <c r="AG122" s="194"/>
      <c r="AH122" s="194"/>
      <c r="AI122" s="195"/>
      <c r="AJ122" s="196"/>
      <c r="AK122" s="194"/>
      <c r="AL122" s="194"/>
      <c r="AM122" s="195"/>
      <c r="AN122" s="194"/>
      <c r="AO122" s="194"/>
      <c r="AP122" s="194"/>
      <c r="AQ122" s="195"/>
      <c r="AR122" s="194"/>
      <c r="AS122" s="194"/>
      <c r="AT122" s="194"/>
      <c r="AU122" s="195"/>
      <c r="AV122" s="194"/>
      <c r="AW122" s="194"/>
      <c r="AX122" s="194"/>
      <c r="AY122" s="195"/>
      <c r="AZ122" s="194"/>
      <c r="BA122" s="194"/>
      <c r="BB122" s="194"/>
      <c r="BC122" s="195"/>
      <c r="BD122" s="194"/>
      <c r="BE122" s="194"/>
      <c r="BF122" s="194"/>
      <c r="BG122" s="195"/>
      <c r="BH122" s="194"/>
      <c r="BI122" s="194"/>
      <c r="BJ122" s="194"/>
      <c r="BK122" s="195"/>
      <c r="BL122" s="194"/>
      <c r="BM122" s="194"/>
      <c r="BN122" s="194"/>
      <c r="BO122" s="195"/>
      <c r="BP122" s="194"/>
      <c r="BQ122" s="194"/>
      <c r="BR122" s="194"/>
      <c r="BS122" s="195"/>
      <c r="BT122" s="194"/>
      <c r="BU122" s="194"/>
      <c r="BV122" s="194"/>
      <c r="BW122" s="195"/>
      <c r="BX122" s="160"/>
      <c r="BY122" s="194"/>
      <c r="BZ122" s="194"/>
      <c r="CA122" s="194"/>
      <c r="CB122" s="194"/>
      <c r="CC122" s="194"/>
      <c r="CD122" s="194"/>
      <c r="CE122" s="194"/>
      <c r="CF122" s="194"/>
      <c r="CG122" s="194"/>
      <c r="CH122" s="194"/>
      <c r="CI122" s="194"/>
      <c r="CJ122" s="194"/>
      <c r="CK122" s="194"/>
      <c r="CL122" s="194"/>
      <c r="CN122" s="194"/>
      <c r="CO122" s="194"/>
      <c r="CP122" s="194"/>
      <c r="CQ122" s="20"/>
      <c r="CR122" s="196"/>
      <c r="CS122" s="194"/>
      <c r="CT122" s="194"/>
      <c r="CU122" s="194"/>
      <c r="CV122" s="194"/>
      <c r="CW122" s="194"/>
      <c r="CX122" s="194"/>
      <c r="CY122" s="194"/>
      <c r="CZ122" s="194"/>
      <c r="DA122" s="194"/>
      <c r="DB122" s="194"/>
      <c r="DC122" s="194"/>
      <c r="DD122" s="194"/>
      <c r="DE122" s="194"/>
      <c r="DF122" s="194"/>
      <c r="DG122" s="194"/>
      <c r="DH122" s="194"/>
      <c r="DI122" s="22"/>
    </row>
    <row r="123" spans="1:113" ht="14.25" customHeight="1" outlineLevel="1">
      <c r="A123" s="8"/>
      <c r="B123" s="44" t="s">
        <v>66</v>
      </c>
      <c r="C123" s="45"/>
      <c r="D123" s="196"/>
      <c r="E123" s="194"/>
      <c r="F123" s="194"/>
      <c r="G123" s="195"/>
      <c r="H123" s="196"/>
      <c r="I123" s="194"/>
      <c r="J123" s="194"/>
      <c r="K123" s="195"/>
      <c r="L123" s="196"/>
      <c r="M123" s="194"/>
      <c r="N123" s="194"/>
      <c r="O123" s="195"/>
      <c r="P123" s="196"/>
      <c r="Q123" s="194"/>
      <c r="R123" s="194"/>
      <c r="S123" s="195"/>
      <c r="T123" s="196"/>
      <c r="U123" s="194"/>
      <c r="V123" s="194"/>
      <c r="W123" s="195"/>
      <c r="X123" s="196"/>
      <c r="Y123" s="194"/>
      <c r="Z123" s="194"/>
      <c r="AA123" s="195"/>
      <c r="AB123" s="196"/>
      <c r="AC123" s="194"/>
      <c r="AD123" s="194"/>
      <c r="AE123" s="195"/>
      <c r="AF123" s="196"/>
      <c r="AG123" s="194"/>
      <c r="AH123" s="194"/>
      <c r="AI123" s="195"/>
      <c r="AJ123" s="196"/>
      <c r="AK123" s="194"/>
      <c r="AL123" s="194"/>
      <c r="AM123" s="195"/>
      <c r="AN123" s="194"/>
      <c r="AO123" s="194"/>
      <c r="AP123" s="194"/>
      <c r="AQ123" s="195"/>
      <c r="AR123" s="194"/>
      <c r="AS123" s="194"/>
      <c r="AT123" s="194"/>
      <c r="AU123" s="195"/>
      <c r="AV123" s="194"/>
      <c r="AW123" s="194"/>
      <c r="AX123" s="194"/>
      <c r="AY123" s="195"/>
      <c r="AZ123" s="194"/>
      <c r="BA123" s="194"/>
      <c r="BB123" s="194"/>
      <c r="BC123" s="195"/>
      <c r="BD123" s="194"/>
      <c r="BE123" s="194"/>
      <c r="BF123" s="194"/>
      <c r="BG123" s="195"/>
      <c r="BH123" s="194"/>
      <c r="BI123" s="194"/>
      <c r="BJ123" s="194"/>
      <c r="BK123" s="195"/>
      <c r="BL123" s="194"/>
      <c r="BM123" s="194"/>
      <c r="BN123" s="194"/>
      <c r="BO123" s="195"/>
      <c r="BP123" s="194"/>
      <c r="BQ123" s="194"/>
      <c r="BR123" s="194"/>
      <c r="BS123" s="195"/>
      <c r="BT123" s="194"/>
      <c r="BU123" s="194"/>
      <c r="BV123" s="194"/>
      <c r="BW123" s="195"/>
      <c r="BX123" s="160"/>
      <c r="BY123" s="194"/>
      <c r="BZ123" s="194"/>
      <c r="CA123" s="194"/>
      <c r="CB123" s="194"/>
      <c r="CC123" s="194"/>
      <c r="CD123" s="194"/>
      <c r="CE123" s="194"/>
      <c r="CF123" s="194"/>
      <c r="CG123" s="194"/>
      <c r="CH123" s="194"/>
      <c r="CI123" s="194"/>
      <c r="CJ123" s="194"/>
      <c r="CK123" s="194"/>
      <c r="CL123" s="194"/>
      <c r="CM123" s="194"/>
      <c r="CN123" s="194"/>
      <c r="CO123" s="194"/>
      <c r="CP123" s="194"/>
      <c r="CQ123" s="20"/>
      <c r="CR123" s="196"/>
      <c r="CS123" s="194"/>
      <c r="CT123" s="194"/>
      <c r="CU123" s="194"/>
      <c r="CV123" s="194"/>
      <c r="CW123" s="194"/>
      <c r="CX123" s="194"/>
      <c r="CY123" s="194"/>
      <c r="CZ123" s="194"/>
      <c r="DA123" s="194"/>
      <c r="DB123" s="194"/>
      <c r="DC123" s="194"/>
      <c r="DD123" s="194"/>
      <c r="DE123" s="194"/>
      <c r="DF123" s="194"/>
      <c r="DG123" s="194"/>
      <c r="DH123" s="194"/>
      <c r="DI123" s="22"/>
    </row>
    <row r="124" spans="1:113" ht="14.25" customHeight="1" outlineLevel="1">
      <c r="A124" s="8"/>
      <c r="B124" s="27" t="s">
        <v>375</v>
      </c>
      <c r="C124" s="28"/>
      <c r="D124" s="196">
        <v>-25.263999999999999</v>
      </c>
      <c r="E124" s="194">
        <v>-42.116999999999997</v>
      </c>
      <c r="F124" s="194">
        <v>-62.917999999999999</v>
      </c>
      <c r="G124" s="195">
        <v>-80.387</v>
      </c>
      <c r="H124" s="196">
        <v>-10.33</v>
      </c>
      <c r="I124" s="194">
        <v>-21.184999999999999</v>
      </c>
      <c r="J124" s="194">
        <v>-39.637999999999998</v>
      </c>
      <c r="K124" s="195">
        <v>-63.506999999999998</v>
      </c>
      <c r="L124" s="196">
        <v>-13.548</v>
      </c>
      <c r="M124" s="194">
        <v>-34.06</v>
      </c>
      <c r="N124" s="194">
        <v>-55.326000000000001</v>
      </c>
      <c r="O124" s="195">
        <v>-63.210999999999999</v>
      </c>
      <c r="P124" s="196">
        <v>-14.794</v>
      </c>
      <c r="Q124" s="194">
        <v>-25.166</v>
      </c>
      <c r="R124" s="194">
        <v>-42.817</v>
      </c>
      <c r="S124" s="195">
        <v>-76.293999999999997</v>
      </c>
      <c r="T124" s="196">
        <v>-16.645</v>
      </c>
      <c r="U124" s="194">
        <v>-35.914000000000001</v>
      </c>
      <c r="V124" s="194">
        <v>-51.415999999999997</v>
      </c>
      <c r="W124" s="195">
        <v>-60.039000000000001</v>
      </c>
      <c r="X124" s="196">
        <v>-25.47</v>
      </c>
      <c r="Y124" s="194">
        <v>-37.244999999999997</v>
      </c>
      <c r="Z124" s="194">
        <v>-49.052999999999997</v>
      </c>
      <c r="AA124" s="195">
        <v>-69.826999999999998</v>
      </c>
      <c r="AB124" s="196">
        <v>-21.747</v>
      </c>
      <c r="AC124" s="194">
        <v>-68.016000000000005</v>
      </c>
      <c r="AD124" s="194">
        <v>-91.820999999999998</v>
      </c>
      <c r="AE124" s="195">
        <v>-102.37</v>
      </c>
      <c r="AF124" s="196">
        <v>-3.7559999999999998</v>
      </c>
      <c r="AG124" s="194">
        <v>-9.7330000000000005</v>
      </c>
      <c r="AH124" s="194">
        <v>-28.416</v>
      </c>
      <c r="AI124" s="195">
        <v>-47.603999999999999</v>
      </c>
      <c r="AJ124" s="196">
        <v>-34.103000000000002</v>
      </c>
      <c r="AK124" s="194">
        <v>-65.936999999999998</v>
      </c>
      <c r="AL124" s="194">
        <v>-100.114</v>
      </c>
      <c r="AM124" s="195">
        <v>-124.45399999999999</v>
      </c>
      <c r="AN124" s="194">
        <v>-27.219000000000001</v>
      </c>
      <c r="AO124" s="194">
        <v>-52.448999999999998</v>
      </c>
      <c r="AP124" s="194">
        <v>-58.582000000000001</v>
      </c>
      <c r="AQ124" s="195">
        <v>-62.37</v>
      </c>
      <c r="AR124" s="194">
        <v>-10.304</v>
      </c>
      <c r="AS124" s="194">
        <v>-26.212</v>
      </c>
      <c r="AT124" s="194">
        <v>-36.076000000000001</v>
      </c>
      <c r="AU124" s="195">
        <v>-50.817999999999998</v>
      </c>
      <c r="AV124" s="194">
        <v>-27.757000000000001</v>
      </c>
      <c r="AW124" s="194">
        <v>-55.206000000000003</v>
      </c>
      <c r="AX124" s="194">
        <v>-79.536000000000001</v>
      </c>
      <c r="AY124" s="195">
        <v>-113.072</v>
      </c>
      <c r="AZ124" s="194">
        <v>-44.637</v>
      </c>
      <c r="BA124" s="194">
        <v>-83.372</v>
      </c>
      <c r="BB124" s="194">
        <v>-120.014</v>
      </c>
      <c r="BC124" s="195">
        <v>-149.47200000000001</v>
      </c>
      <c r="BD124" s="194">
        <v>-33.610999999999997</v>
      </c>
      <c r="BE124" s="194">
        <v>-63.554000000000002</v>
      </c>
      <c r="BF124" s="194">
        <v>-81.423000000000002</v>
      </c>
      <c r="BG124" s="195">
        <v>-97.894999999999996</v>
      </c>
      <c r="BH124" s="194">
        <v>-18.494</v>
      </c>
      <c r="BI124" s="194">
        <v>-36.646000000000001</v>
      </c>
      <c r="BJ124" s="194">
        <v>-52.338000000000001</v>
      </c>
      <c r="BK124" s="195">
        <v>-75.31</v>
      </c>
      <c r="BL124" s="194">
        <v>-22.13</v>
      </c>
      <c r="BM124" s="194">
        <v>-82.025000000000006</v>
      </c>
      <c r="BN124" s="194">
        <v>-148.41200000000001</v>
      </c>
      <c r="BO124" s="192">
        <f t="shared" ref="BO124:BO130" si="751">BN124+BO29</f>
        <v>-205.57286562800002</v>
      </c>
      <c r="BP124" s="191">
        <f t="shared" ref="BP124:BP130" si="752">BP29</f>
        <v>-41.164074060000004</v>
      </c>
      <c r="BQ124" s="191">
        <f t="shared" ref="BQ124:BQ130" si="753">BP124+BQ29</f>
        <v>-83.617136166180018</v>
      </c>
      <c r="BR124" s="191">
        <f t="shared" ref="BR124:BR130" si="754">BQ124+BR29</f>
        <v>-125.20663296637835</v>
      </c>
      <c r="BS124" s="192">
        <f t="shared" ref="BS124:BS130" si="755">BR124+BS29</f>
        <v>-166.42112568732776</v>
      </c>
      <c r="BT124" s="191">
        <f t="shared" ref="BT124:BT130" si="756">BT29</f>
        <v>-42.856384848787982</v>
      </c>
      <c r="BU124" s="191">
        <f t="shared" ref="BU124:BU130" si="757">BT124+BU29</f>
        <v>-86.814236686744636</v>
      </c>
      <c r="BV124" s="191">
        <f t="shared" ref="BV124:BV130" si="758">BU124+BV29</f>
        <v>-130.1347071648953</v>
      </c>
      <c r="BW124" s="192">
        <f t="shared" ref="BW124:BW130" si="759">BV124+BW29</f>
        <v>-173.06365123809462</v>
      </c>
      <c r="BX124" s="160"/>
      <c r="BY124" s="191">
        <f t="shared" ref="BY124:CA130" si="760">BY29</f>
        <v>-80.387</v>
      </c>
      <c r="BZ124" s="191">
        <f t="shared" si="760"/>
        <v>-63.507000000000005</v>
      </c>
      <c r="CA124" s="191">
        <f t="shared" si="760"/>
        <v>-63.210999999999999</v>
      </c>
      <c r="CB124" s="191">
        <f t="shared" ref="CB124:CK124" si="761">CB29</f>
        <v>-76.294000000000011</v>
      </c>
      <c r="CC124" s="191">
        <f t="shared" si="761"/>
        <v>-60.039000000000001</v>
      </c>
      <c r="CD124" s="191">
        <f t="shared" si="761"/>
        <v>-69.826999999999998</v>
      </c>
      <c r="CE124" s="191">
        <f t="shared" si="761"/>
        <v>-102.37</v>
      </c>
      <c r="CF124" s="191">
        <f t="shared" si="761"/>
        <v>-47.603999999999999</v>
      </c>
      <c r="CG124" s="191">
        <f t="shared" si="761"/>
        <v>-124.45399999999999</v>
      </c>
      <c r="CH124" s="191">
        <f t="shared" si="761"/>
        <v>-62.37</v>
      </c>
      <c r="CI124" s="191">
        <f t="shared" si="761"/>
        <v>-50.817999999999998</v>
      </c>
      <c r="CJ124" s="191">
        <f t="shared" si="761"/>
        <v>-113.072</v>
      </c>
      <c r="CK124" s="191">
        <f t="shared" si="761"/>
        <v>-149.47200000000001</v>
      </c>
      <c r="CL124" s="191">
        <f t="shared" ref="CL124:CL130" si="762">CL29</f>
        <v>-97.894999999999996</v>
      </c>
      <c r="CM124" s="191">
        <f t="shared" ref="CM124:CM130" si="763">CM29</f>
        <v>-75.31</v>
      </c>
      <c r="CN124" s="191">
        <f t="shared" ref="CN124:CN130" si="764">CN29</f>
        <v>-205.57286562800002</v>
      </c>
      <c r="CO124" s="191">
        <f t="shared" ref="CO124:CP130" si="765">CO29</f>
        <v>-166.42112568732776</v>
      </c>
      <c r="CP124" s="191">
        <f t="shared" si="765"/>
        <v>-173.06365123809462</v>
      </c>
      <c r="CQ124" s="20"/>
      <c r="CR124" s="193">
        <f t="shared" ref="CR124:CT130" si="766">CR29</f>
        <v>-57.107000000000006</v>
      </c>
      <c r="CS124" s="191">
        <f t="shared" si="766"/>
        <v>-79.194999999999993</v>
      </c>
      <c r="CT124" s="191">
        <f t="shared" si="766"/>
        <v>-50.701999999999998</v>
      </c>
      <c r="CU124" s="191">
        <f t="shared" ref="CU124:DC124" si="767">CU29</f>
        <v>-84.893000000000001</v>
      </c>
      <c r="CV124" s="191">
        <f t="shared" si="767"/>
        <v>-57.676000000000002</v>
      </c>
      <c r="CW124" s="191">
        <f t="shared" si="767"/>
        <v>-112.595</v>
      </c>
      <c r="CX124" s="191">
        <f t="shared" si="767"/>
        <v>-38.965000000000003</v>
      </c>
      <c r="CY124" s="191">
        <f t="shared" si="767"/>
        <v>-119.30199999999999</v>
      </c>
      <c r="CZ124" s="191">
        <f t="shared" si="767"/>
        <v>-82.921999999999997</v>
      </c>
      <c r="DA124" s="191">
        <f t="shared" si="767"/>
        <v>-39.863999999999997</v>
      </c>
      <c r="DB124" s="191">
        <f t="shared" si="767"/>
        <v>-94.278000000000006</v>
      </c>
      <c r="DC124" s="191">
        <f t="shared" si="767"/>
        <v>-153.55000000000001</v>
      </c>
      <c r="DD124" s="191">
        <f t="shared" ref="DD124:DE130" si="768">DD29</f>
        <v>-110.88100000000001</v>
      </c>
      <c r="DE124" s="191">
        <f t="shared" si="768"/>
        <v>-68.81</v>
      </c>
      <c r="DF124" s="191">
        <f t="shared" ref="DF124:DG130" si="769">DF29</f>
        <v>-171.38400000000001</v>
      </c>
      <c r="DG124" s="191">
        <f t="shared" si="769"/>
        <v>-182.36749859437833</v>
      </c>
      <c r="DH124" s="191">
        <f t="shared" ref="DH124" si="770">DH29</f>
        <v>-171.34919988584471</v>
      </c>
      <c r="DI124" s="22"/>
    </row>
    <row r="125" spans="1:113" ht="14.25" customHeight="1" outlineLevel="1">
      <c r="A125" s="8"/>
      <c r="B125" s="27" t="s">
        <v>372</v>
      </c>
      <c r="C125" s="28"/>
      <c r="D125" s="196">
        <v>-343.209</v>
      </c>
      <c r="E125" s="194">
        <v>-623.62699999999995</v>
      </c>
      <c r="F125" s="194">
        <v>-809.06899999999996</v>
      </c>
      <c r="G125" s="195">
        <v>-1078.925</v>
      </c>
      <c r="H125" s="196">
        <v>-190.93</v>
      </c>
      <c r="I125" s="194">
        <v>-397.16699999999997</v>
      </c>
      <c r="J125" s="194">
        <v>-668.46799999999996</v>
      </c>
      <c r="K125" s="195">
        <v>-1291.6759999999999</v>
      </c>
      <c r="L125" s="196">
        <v>-347.82900000000001</v>
      </c>
      <c r="M125" s="194">
        <v>-479.06799999999998</v>
      </c>
      <c r="N125" s="194">
        <v>-721.87900000000002</v>
      </c>
      <c r="O125" s="195">
        <v>-1061.2370000000001</v>
      </c>
      <c r="P125" s="196">
        <v>-124.33199999999999</v>
      </c>
      <c r="Q125" s="194">
        <v>-333.983</v>
      </c>
      <c r="R125" s="194">
        <v>-531.85199999999998</v>
      </c>
      <c r="S125" s="195">
        <v>-856.74800000000005</v>
      </c>
      <c r="T125" s="196">
        <v>-931.25400000000002</v>
      </c>
      <c r="U125" s="194">
        <v>-976.12400000000002</v>
      </c>
      <c r="V125" s="194">
        <v>-1087.068</v>
      </c>
      <c r="W125" s="195">
        <v>-1327.0419999999999</v>
      </c>
      <c r="X125" s="196">
        <v>-531.29100000000005</v>
      </c>
      <c r="Y125" s="194">
        <v>-928.66300000000001</v>
      </c>
      <c r="Z125" s="194">
        <v>-1158.3610000000001</v>
      </c>
      <c r="AA125" s="195">
        <v>-1857.9639999999999</v>
      </c>
      <c r="AB125" s="196">
        <v>-3.5</v>
      </c>
      <c r="AC125" s="194">
        <v>-344.99200000000002</v>
      </c>
      <c r="AD125" s="194">
        <v>-751.14</v>
      </c>
      <c r="AE125" s="195">
        <v>-2479.1750000000002</v>
      </c>
      <c r="AF125" s="196">
        <v>-133.279</v>
      </c>
      <c r="AG125" s="194">
        <v>-551.39400000000001</v>
      </c>
      <c r="AH125" s="194">
        <v>-1311.9459999999999</v>
      </c>
      <c r="AI125" s="195">
        <v>-1576.0440000000001</v>
      </c>
      <c r="AJ125" s="196">
        <v>-243.209</v>
      </c>
      <c r="AK125" s="194">
        <v>-796.87699999999995</v>
      </c>
      <c r="AL125" s="194">
        <v>-859.30700000000002</v>
      </c>
      <c r="AM125" s="195">
        <v>-1008.056</v>
      </c>
      <c r="AN125" s="194">
        <v>-324.89299999999997</v>
      </c>
      <c r="AO125" s="194">
        <v>-665.71500000000003</v>
      </c>
      <c r="AP125" s="194">
        <v>-962.11900000000003</v>
      </c>
      <c r="AQ125" s="195">
        <v>-1133.625</v>
      </c>
      <c r="AR125" s="194">
        <v>-29.13</v>
      </c>
      <c r="AS125" s="194">
        <v>-443.10599999999999</v>
      </c>
      <c r="AT125" s="194">
        <v>-646.42399999999998</v>
      </c>
      <c r="AU125" s="195">
        <v>-985.79100000000005</v>
      </c>
      <c r="AV125" s="194">
        <v>-376.46</v>
      </c>
      <c r="AW125" s="194">
        <v>-710.197</v>
      </c>
      <c r="AX125" s="194">
        <v>-950.56</v>
      </c>
      <c r="AY125" s="195">
        <v>-1337.482</v>
      </c>
      <c r="AZ125" s="194">
        <v>-172.506</v>
      </c>
      <c r="BA125" s="194">
        <v>-350.59800000000001</v>
      </c>
      <c r="BB125" s="194">
        <v>-721.86099999999999</v>
      </c>
      <c r="BC125" s="195">
        <v>-959.31799999999998</v>
      </c>
      <c r="BD125" s="194">
        <v>-570.50099999999998</v>
      </c>
      <c r="BE125" s="194">
        <v>-1112.0889999999999</v>
      </c>
      <c r="BF125" s="194">
        <v>-1542.864</v>
      </c>
      <c r="BG125" s="195">
        <v>-1573.867</v>
      </c>
      <c r="BH125" s="194">
        <v>-2.5000000000000001E-2</v>
      </c>
      <c r="BI125" s="194">
        <v>-2.5000000000000001E-2</v>
      </c>
      <c r="BJ125" s="194">
        <v>-35.146999999999998</v>
      </c>
      <c r="BK125" s="195">
        <v>-500.30900000000003</v>
      </c>
      <c r="BL125" s="194">
        <v>-487.435</v>
      </c>
      <c r="BM125" s="194">
        <v>-879.43700000000001</v>
      </c>
      <c r="BN125" s="194">
        <v>-1338.14</v>
      </c>
      <c r="BO125" s="192">
        <f t="shared" si="751"/>
        <v>-1338.14</v>
      </c>
      <c r="BP125" s="191">
        <f t="shared" si="752"/>
        <v>0</v>
      </c>
      <c r="BQ125" s="191">
        <f t="shared" si="753"/>
        <v>0</v>
      </c>
      <c r="BR125" s="191">
        <f t="shared" si="754"/>
        <v>0</v>
      </c>
      <c r="BS125" s="192">
        <f t="shared" si="755"/>
        <v>0</v>
      </c>
      <c r="BT125" s="191">
        <f t="shared" si="756"/>
        <v>0</v>
      </c>
      <c r="BU125" s="191">
        <f t="shared" si="757"/>
        <v>0</v>
      </c>
      <c r="BV125" s="191">
        <f t="shared" si="758"/>
        <v>0</v>
      </c>
      <c r="BW125" s="192">
        <f t="shared" si="759"/>
        <v>0</v>
      </c>
      <c r="BX125" s="160"/>
      <c r="BY125" s="191">
        <f t="shared" si="760"/>
        <v>-1078.925</v>
      </c>
      <c r="BZ125" s="191">
        <f t="shared" si="760"/>
        <v>-1291.6759999999999</v>
      </c>
      <c r="CA125" s="191">
        <f t="shared" si="760"/>
        <v>-1061.2370000000001</v>
      </c>
      <c r="CB125" s="191">
        <f t="shared" ref="CB125:CK125" si="771">CB30</f>
        <v>-856.74800000000005</v>
      </c>
      <c r="CC125" s="191">
        <f t="shared" si="771"/>
        <v>-1327.0419999999999</v>
      </c>
      <c r="CD125" s="191">
        <f t="shared" si="771"/>
        <v>-1857.9639999999999</v>
      </c>
      <c r="CE125" s="191">
        <f t="shared" si="771"/>
        <v>-2479.1750000000002</v>
      </c>
      <c r="CF125" s="191">
        <f t="shared" si="771"/>
        <v>-1576.0440000000001</v>
      </c>
      <c r="CG125" s="191">
        <f t="shared" si="771"/>
        <v>-1008.056</v>
      </c>
      <c r="CH125" s="191">
        <f t="shared" si="771"/>
        <v>-1133.625</v>
      </c>
      <c r="CI125" s="191">
        <f t="shared" si="771"/>
        <v>-985.79100000000005</v>
      </c>
      <c r="CJ125" s="191">
        <f t="shared" si="771"/>
        <v>-1337.482</v>
      </c>
      <c r="CK125" s="191">
        <f t="shared" si="771"/>
        <v>-959.3180000000001</v>
      </c>
      <c r="CL125" s="191">
        <f t="shared" si="762"/>
        <v>-1573.867</v>
      </c>
      <c r="CM125" s="191">
        <f t="shared" si="763"/>
        <v>-500.30900000000003</v>
      </c>
      <c r="CN125" s="191">
        <f t="shared" si="764"/>
        <v>-1338.14</v>
      </c>
      <c r="CO125" s="191">
        <f t="shared" si="765"/>
        <v>0</v>
      </c>
      <c r="CP125" s="191">
        <f t="shared" si="765"/>
        <v>0</v>
      </c>
      <c r="CQ125" s="20"/>
      <c r="CR125" s="193">
        <f t="shared" si="766"/>
        <v>-938.32400000000007</v>
      </c>
      <c r="CS125" s="191">
        <f t="shared" si="766"/>
        <v>-1345.0870000000002</v>
      </c>
      <c r="CT125" s="191">
        <f t="shared" si="766"/>
        <v>-871.20999999999981</v>
      </c>
      <c r="CU125" s="191">
        <f t="shared" ref="CU125:DC125" si="772">CU30</f>
        <v>-1411.9639999999999</v>
      </c>
      <c r="CV125" s="191">
        <f t="shared" si="772"/>
        <v>-1398.3350000000003</v>
      </c>
      <c r="CW125" s="191">
        <f t="shared" si="772"/>
        <v>-1450.7429999999997</v>
      </c>
      <c r="CX125" s="191">
        <f t="shared" si="772"/>
        <v>-3039.9809999999998</v>
      </c>
      <c r="CY125" s="191">
        <f t="shared" si="772"/>
        <v>-1123.4050000000002</v>
      </c>
      <c r="CZ125" s="191">
        <f t="shared" si="772"/>
        <v>-1110.8680000000002</v>
      </c>
      <c r="DA125" s="191">
        <f t="shared" si="772"/>
        <v>-817.93</v>
      </c>
      <c r="DB125" s="191">
        <f t="shared" si="772"/>
        <v>-1289.9269999999999</v>
      </c>
      <c r="DC125" s="191">
        <f t="shared" si="772"/>
        <v>-1108.7830000000001</v>
      </c>
      <c r="DD125" s="191">
        <f t="shared" si="768"/>
        <v>-1780.3209999999999</v>
      </c>
      <c r="DE125" s="191">
        <f t="shared" si="768"/>
        <v>-66.14999999999992</v>
      </c>
      <c r="DF125" s="191">
        <f t="shared" si="769"/>
        <v>-1803.3020000000001</v>
      </c>
      <c r="DG125" s="191">
        <f t="shared" si="769"/>
        <v>0</v>
      </c>
      <c r="DH125" s="191">
        <f t="shared" ref="DH125" si="773">DH30</f>
        <v>0</v>
      </c>
      <c r="DI125" s="22"/>
    </row>
    <row r="126" spans="1:113" ht="14.25" customHeight="1" outlineLevel="1">
      <c r="A126" s="8"/>
      <c r="B126" s="27" t="s">
        <v>373</v>
      </c>
      <c r="C126" s="28"/>
      <c r="D126" s="196">
        <v>228.73400000000001</v>
      </c>
      <c r="E126" s="194">
        <v>634.99900000000002</v>
      </c>
      <c r="F126" s="194">
        <v>766.22400000000005</v>
      </c>
      <c r="G126" s="195">
        <v>1023.373</v>
      </c>
      <c r="H126" s="196">
        <v>128.57900000000001</v>
      </c>
      <c r="I126" s="194">
        <v>253.35400000000001</v>
      </c>
      <c r="J126" s="194">
        <v>438.80399999999997</v>
      </c>
      <c r="K126" s="195">
        <v>1085.934</v>
      </c>
      <c r="L126" s="196">
        <v>257.41199999999998</v>
      </c>
      <c r="M126" s="194">
        <v>315.34699999999998</v>
      </c>
      <c r="N126" s="194">
        <v>466.577</v>
      </c>
      <c r="O126" s="195">
        <v>752.06</v>
      </c>
      <c r="P126" s="196">
        <v>121.623</v>
      </c>
      <c r="Q126" s="194">
        <v>207.773</v>
      </c>
      <c r="R126" s="194">
        <v>360.64800000000002</v>
      </c>
      <c r="S126" s="195">
        <v>797.69399999999996</v>
      </c>
      <c r="T126" s="196">
        <v>541.952</v>
      </c>
      <c r="U126" s="194">
        <v>567.72500000000002</v>
      </c>
      <c r="V126" s="194">
        <v>700.62</v>
      </c>
      <c r="W126" s="195">
        <v>943.95500000000004</v>
      </c>
      <c r="X126" s="196">
        <v>465.36</v>
      </c>
      <c r="Y126" s="194">
        <v>970.27499999999998</v>
      </c>
      <c r="Z126" s="194">
        <v>1454.825</v>
      </c>
      <c r="AA126" s="195">
        <v>1959.21</v>
      </c>
      <c r="AB126" s="196">
        <v>165.13499999999999</v>
      </c>
      <c r="AC126" s="194">
        <v>183.02799999999999</v>
      </c>
      <c r="AD126" s="194">
        <v>768.553</v>
      </c>
      <c r="AE126" s="195">
        <v>2583.152</v>
      </c>
      <c r="AF126" s="196">
        <v>214.96700000000001</v>
      </c>
      <c r="AG126" s="194">
        <v>532.03399999999999</v>
      </c>
      <c r="AH126" s="194">
        <v>1083.146</v>
      </c>
      <c r="AI126" s="195">
        <v>1502.127</v>
      </c>
      <c r="AJ126" s="196">
        <v>325.89999999999998</v>
      </c>
      <c r="AK126" s="194">
        <v>693.76</v>
      </c>
      <c r="AL126" s="194">
        <v>838.995</v>
      </c>
      <c r="AM126" s="195">
        <v>1055.2860000000001</v>
      </c>
      <c r="AN126" s="194">
        <v>264.48500000000001</v>
      </c>
      <c r="AO126" s="194">
        <v>562.44500000000005</v>
      </c>
      <c r="AP126" s="194">
        <v>793.23800000000006</v>
      </c>
      <c r="AQ126" s="195">
        <v>983.5</v>
      </c>
      <c r="AR126" s="194">
        <v>139.43899999999999</v>
      </c>
      <c r="AS126" s="194">
        <v>350.59300000000002</v>
      </c>
      <c r="AT126" s="194">
        <v>517.70699999999999</v>
      </c>
      <c r="AU126" s="195">
        <v>856.57899999999995</v>
      </c>
      <c r="AV126" s="194">
        <v>182.614</v>
      </c>
      <c r="AW126" s="194">
        <v>370.80599999999998</v>
      </c>
      <c r="AX126" s="194">
        <v>584.18600000000004</v>
      </c>
      <c r="AY126" s="195">
        <v>951.29600000000005</v>
      </c>
      <c r="AZ126" s="194">
        <v>321.20299999999997</v>
      </c>
      <c r="BA126" s="194">
        <v>547.03700000000003</v>
      </c>
      <c r="BB126" s="194">
        <v>821.16</v>
      </c>
      <c r="BC126" s="195">
        <v>1097.0650000000001</v>
      </c>
      <c r="BD126" s="194">
        <v>433.44600000000003</v>
      </c>
      <c r="BE126" s="194">
        <f>795.771+2.667</f>
        <v>798.43799999999999</v>
      </c>
      <c r="BF126" s="194">
        <v>1193.4870000000001</v>
      </c>
      <c r="BG126" s="234">
        <f>2824.231+2.667</f>
        <v>2826.8980000000001</v>
      </c>
      <c r="BH126" s="194">
        <v>470.55099999999999</v>
      </c>
      <c r="BI126" s="194">
        <v>470.565</v>
      </c>
      <c r="BJ126" s="194">
        <v>470.565</v>
      </c>
      <c r="BK126" s="234">
        <f>470.565+1.746</f>
        <v>472.31099999999998</v>
      </c>
      <c r="BL126" s="194">
        <v>110</v>
      </c>
      <c r="BM126" s="194">
        <v>363.08600000000001</v>
      </c>
      <c r="BN126" s="194">
        <v>520.08600000000001</v>
      </c>
      <c r="BO126" s="192">
        <f t="shared" si="751"/>
        <v>520.08600000000001</v>
      </c>
      <c r="BP126" s="191">
        <f t="shared" si="752"/>
        <v>0</v>
      </c>
      <c r="BQ126" s="191">
        <f t="shared" si="753"/>
        <v>0</v>
      </c>
      <c r="BR126" s="191">
        <f t="shared" si="754"/>
        <v>0</v>
      </c>
      <c r="BS126" s="192">
        <f t="shared" si="755"/>
        <v>0</v>
      </c>
      <c r="BT126" s="191">
        <f t="shared" si="756"/>
        <v>0</v>
      </c>
      <c r="BU126" s="191">
        <f t="shared" si="757"/>
        <v>0</v>
      </c>
      <c r="BV126" s="191">
        <f t="shared" si="758"/>
        <v>0</v>
      </c>
      <c r="BW126" s="192">
        <f t="shared" si="759"/>
        <v>0</v>
      </c>
      <c r="BX126" s="160"/>
      <c r="BY126" s="191">
        <f t="shared" si="760"/>
        <v>1023.373</v>
      </c>
      <c r="BZ126" s="191">
        <f t="shared" si="760"/>
        <v>1085.9339999999997</v>
      </c>
      <c r="CA126" s="191">
        <f t="shared" si="760"/>
        <v>752.06</v>
      </c>
      <c r="CB126" s="191">
        <f t="shared" ref="CB126:CK126" si="774">CB31</f>
        <v>797.69399999999996</v>
      </c>
      <c r="CC126" s="191">
        <f t="shared" si="774"/>
        <v>943.95500000000004</v>
      </c>
      <c r="CD126" s="191">
        <f t="shared" si="774"/>
        <v>1959.21</v>
      </c>
      <c r="CE126" s="191">
        <f t="shared" si="774"/>
        <v>2583.152</v>
      </c>
      <c r="CF126" s="191">
        <f t="shared" si="774"/>
        <v>1502.127</v>
      </c>
      <c r="CG126" s="191">
        <f t="shared" si="774"/>
        <v>1055.2860000000001</v>
      </c>
      <c r="CH126" s="191">
        <f t="shared" si="774"/>
        <v>983.5</v>
      </c>
      <c r="CI126" s="191">
        <f t="shared" si="774"/>
        <v>856.57899999999995</v>
      </c>
      <c r="CJ126" s="191">
        <f t="shared" si="774"/>
        <v>951.29600000000005</v>
      </c>
      <c r="CK126" s="191">
        <f t="shared" si="774"/>
        <v>1097.0650000000001</v>
      </c>
      <c r="CL126" s="191">
        <f t="shared" si="762"/>
        <v>2826.8980000000001</v>
      </c>
      <c r="CM126" s="191">
        <f t="shared" si="763"/>
        <v>472.31099999999998</v>
      </c>
      <c r="CN126" s="191">
        <f t="shared" si="764"/>
        <v>520.08600000000001</v>
      </c>
      <c r="CO126" s="191">
        <f t="shared" si="765"/>
        <v>0</v>
      </c>
      <c r="CP126" s="191">
        <f t="shared" si="765"/>
        <v>0</v>
      </c>
      <c r="CQ126" s="20"/>
      <c r="CR126" s="193">
        <f t="shared" si="766"/>
        <v>695.95299999999997</v>
      </c>
      <c r="CS126" s="191">
        <f t="shared" si="766"/>
        <v>1113.7069999999999</v>
      </c>
      <c r="CT126" s="191">
        <f t="shared" si="766"/>
        <v>646.13100000000009</v>
      </c>
      <c r="CU126" s="191">
        <f t="shared" ref="CU126:DC126" si="775">CU31</f>
        <v>1137.6660000000002</v>
      </c>
      <c r="CV126" s="191">
        <f t="shared" si="775"/>
        <v>1698.1600000000003</v>
      </c>
      <c r="CW126" s="191">
        <f t="shared" si="775"/>
        <v>1272.9379999999999</v>
      </c>
      <c r="CX126" s="191">
        <f t="shared" si="775"/>
        <v>2897.7449999999999</v>
      </c>
      <c r="CY126" s="191">
        <f t="shared" si="775"/>
        <v>1257.9760000000001</v>
      </c>
      <c r="CZ126" s="191">
        <f t="shared" si="775"/>
        <v>1009.5290000000001</v>
      </c>
      <c r="DA126" s="191">
        <f t="shared" si="775"/>
        <v>707.96899999999994</v>
      </c>
      <c r="DB126" s="191">
        <f t="shared" si="775"/>
        <v>923.05799999999999</v>
      </c>
      <c r="DC126" s="191">
        <f t="shared" si="775"/>
        <v>1188.27</v>
      </c>
      <c r="DD126" s="191">
        <f t="shared" si="768"/>
        <v>1469.3920000000003</v>
      </c>
      <c r="DE126" s="191">
        <f t="shared" si="768"/>
        <v>2103.9760000000001</v>
      </c>
      <c r="DF126" s="191">
        <f t="shared" si="769"/>
        <v>521.83199999999999</v>
      </c>
      <c r="DG126" s="191">
        <f t="shared" si="769"/>
        <v>0</v>
      </c>
      <c r="DH126" s="191">
        <f t="shared" ref="DH126" si="776">DH31</f>
        <v>0</v>
      </c>
      <c r="DI126" s="22"/>
    </row>
    <row r="127" spans="1:113" ht="14.25" customHeight="1" outlineLevel="1">
      <c r="A127" s="8"/>
      <c r="B127" s="27" t="s">
        <v>376</v>
      </c>
      <c r="C127" s="28"/>
      <c r="D127" s="196">
        <v>0</v>
      </c>
      <c r="E127" s="194">
        <v>0</v>
      </c>
      <c r="F127" s="194">
        <v>0</v>
      </c>
      <c r="G127" s="195">
        <v>0</v>
      </c>
      <c r="H127" s="196">
        <v>0</v>
      </c>
      <c r="I127" s="194">
        <v>0</v>
      </c>
      <c r="J127" s="194">
        <v>0</v>
      </c>
      <c r="K127" s="195">
        <v>0</v>
      </c>
      <c r="L127" s="196">
        <v>0</v>
      </c>
      <c r="M127" s="194">
        <v>0</v>
      </c>
      <c r="N127" s="194">
        <v>0</v>
      </c>
      <c r="O127" s="195">
        <v>0</v>
      </c>
      <c r="P127" s="196">
        <v>0</v>
      </c>
      <c r="Q127" s="194">
        <v>0</v>
      </c>
      <c r="R127" s="194">
        <v>0</v>
      </c>
      <c r="S127" s="195">
        <v>0</v>
      </c>
      <c r="T127" s="196">
        <v>0</v>
      </c>
      <c r="U127" s="194">
        <v>0</v>
      </c>
      <c r="V127" s="194">
        <v>0</v>
      </c>
      <c r="W127" s="195">
        <v>0</v>
      </c>
      <c r="X127" s="196">
        <v>0</v>
      </c>
      <c r="Y127" s="194">
        <v>0</v>
      </c>
      <c r="Z127" s="194">
        <v>0</v>
      </c>
      <c r="AA127" s="195">
        <v>0</v>
      </c>
      <c r="AB127" s="196">
        <v>0</v>
      </c>
      <c r="AC127" s="194">
        <v>0</v>
      </c>
      <c r="AD127" s="194">
        <v>0</v>
      </c>
      <c r="AE127" s="195">
        <v>0</v>
      </c>
      <c r="AF127" s="196">
        <v>0</v>
      </c>
      <c r="AG127" s="194">
        <v>0</v>
      </c>
      <c r="AH127" s="194">
        <v>0</v>
      </c>
      <c r="AI127" s="195">
        <v>-58.402000000000001</v>
      </c>
      <c r="AJ127" s="196">
        <v>-112.70699999999999</v>
      </c>
      <c r="AK127" s="194">
        <v>-112.70699999999999</v>
      </c>
      <c r="AL127" s="194">
        <v>-112.70699999999999</v>
      </c>
      <c r="AM127" s="195">
        <v>-112.70699999999999</v>
      </c>
      <c r="AN127" s="194">
        <v>0</v>
      </c>
      <c r="AO127" s="194">
        <v>0</v>
      </c>
      <c r="AP127" s="194">
        <v>0</v>
      </c>
      <c r="AQ127" s="195">
        <v>0</v>
      </c>
      <c r="AR127" s="194">
        <v>-20.556000000000001</v>
      </c>
      <c r="AS127" s="194">
        <f>-731.746-20.556</f>
        <v>-752.30200000000002</v>
      </c>
      <c r="AT127" s="194">
        <f>-731.746-20.556</f>
        <v>-752.30200000000002</v>
      </c>
      <c r="AU127" s="195">
        <v>-731.74599999999998</v>
      </c>
      <c r="AV127" s="194">
        <v>-2.1739999999999999</v>
      </c>
      <c r="AW127" s="194">
        <f>-2.174</f>
        <v>-2.1739999999999999</v>
      </c>
      <c r="AX127" s="194">
        <v>-11.186999999999999</v>
      </c>
      <c r="AY127" s="195">
        <v>0</v>
      </c>
      <c r="AZ127" s="194">
        <v>-375.36500000000001</v>
      </c>
      <c r="BA127" s="194">
        <f>-252.469-1.765-375.365</f>
        <v>-629.59899999999993</v>
      </c>
      <c r="BB127" s="194">
        <f>-252.469-375.365-22.934</f>
        <v>-650.76800000000003</v>
      </c>
      <c r="BC127" s="195">
        <f>-252.469-375.365</f>
        <v>-627.83400000000006</v>
      </c>
      <c r="BD127" s="194">
        <v>0</v>
      </c>
      <c r="BE127" s="194">
        <f>-343.928-18.051</f>
        <v>-361.97899999999998</v>
      </c>
      <c r="BF127" s="194">
        <v>-343.928</v>
      </c>
      <c r="BG127" s="195">
        <f>-343.928</f>
        <v>-343.928</v>
      </c>
      <c r="BH127" s="194">
        <v>-2747.5160000000001</v>
      </c>
      <c r="BI127" s="194">
        <v>-2747.5160000000001</v>
      </c>
      <c r="BJ127" s="194">
        <v>-2747.5160000000001</v>
      </c>
      <c r="BK127" s="195">
        <v>-2747.5160000000001</v>
      </c>
      <c r="BL127" s="194">
        <v>0</v>
      </c>
      <c r="BM127" s="194">
        <v>0</v>
      </c>
      <c r="BN127" s="194">
        <v>0</v>
      </c>
      <c r="BO127" s="192">
        <f t="shared" si="751"/>
        <v>0</v>
      </c>
      <c r="BP127" s="191">
        <f t="shared" si="752"/>
        <v>0</v>
      </c>
      <c r="BQ127" s="191">
        <f t="shared" si="753"/>
        <v>0</v>
      </c>
      <c r="BR127" s="191">
        <f t="shared" si="754"/>
        <v>0</v>
      </c>
      <c r="BS127" s="192">
        <f t="shared" si="755"/>
        <v>0</v>
      </c>
      <c r="BT127" s="191">
        <f t="shared" si="756"/>
        <v>0</v>
      </c>
      <c r="BU127" s="191">
        <f t="shared" si="757"/>
        <v>0</v>
      </c>
      <c r="BV127" s="191">
        <f t="shared" si="758"/>
        <v>0</v>
      </c>
      <c r="BW127" s="192">
        <f t="shared" si="759"/>
        <v>0</v>
      </c>
      <c r="BX127" s="160"/>
      <c r="BY127" s="191">
        <f t="shared" si="760"/>
        <v>0</v>
      </c>
      <c r="BZ127" s="191">
        <f t="shared" si="760"/>
        <v>0</v>
      </c>
      <c r="CA127" s="191">
        <f t="shared" si="760"/>
        <v>0</v>
      </c>
      <c r="CB127" s="191">
        <f t="shared" ref="CB127:CK127" si="777">CB32</f>
        <v>0</v>
      </c>
      <c r="CC127" s="191">
        <f t="shared" si="777"/>
        <v>0</v>
      </c>
      <c r="CD127" s="191">
        <f t="shared" si="777"/>
        <v>0</v>
      </c>
      <c r="CE127" s="191">
        <f t="shared" si="777"/>
        <v>0</v>
      </c>
      <c r="CF127" s="191">
        <f t="shared" si="777"/>
        <v>-58.402000000000001</v>
      </c>
      <c r="CG127" s="191">
        <f t="shared" si="777"/>
        <v>-112.70699999999999</v>
      </c>
      <c r="CH127" s="191">
        <f t="shared" si="777"/>
        <v>0</v>
      </c>
      <c r="CI127" s="191">
        <f t="shared" si="777"/>
        <v>-731.74599999999998</v>
      </c>
      <c r="CJ127" s="191">
        <f t="shared" si="777"/>
        <v>0</v>
      </c>
      <c r="CK127" s="191">
        <f t="shared" si="777"/>
        <v>-627.83400000000006</v>
      </c>
      <c r="CL127" s="191">
        <f t="shared" si="762"/>
        <v>-343.928</v>
      </c>
      <c r="CM127" s="191">
        <f t="shared" si="763"/>
        <v>-2747.5160000000001</v>
      </c>
      <c r="CN127" s="191">
        <f t="shared" si="764"/>
        <v>0</v>
      </c>
      <c r="CO127" s="191">
        <f t="shared" si="765"/>
        <v>0</v>
      </c>
      <c r="CP127" s="191">
        <f t="shared" si="765"/>
        <v>0</v>
      </c>
      <c r="CQ127" s="20"/>
      <c r="CR127" s="193">
        <f t="shared" si="766"/>
        <v>0</v>
      </c>
      <c r="CS127" s="191">
        <f t="shared" si="766"/>
        <v>0</v>
      </c>
      <c r="CT127" s="191">
        <f t="shared" si="766"/>
        <v>0</v>
      </c>
      <c r="CU127" s="191">
        <f t="shared" ref="CU127:DC127" si="778">CU32</f>
        <v>0</v>
      </c>
      <c r="CV127" s="191">
        <f t="shared" si="778"/>
        <v>0</v>
      </c>
      <c r="CW127" s="191">
        <f t="shared" si="778"/>
        <v>0</v>
      </c>
      <c r="CX127" s="191">
        <f t="shared" si="778"/>
        <v>0</v>
      </c>
      <c r="CY127" s="191">
        <f t="shared" si="778"/>
        <v>-171.10899999999998</v>
      </c>
      <c r="CZ127" s="191">
        <f t="shared" si="778"/>
        <v>0</v>
      </c>
      <c r="DA127" s="191">
        <f t="shared" si="778"/>
        <v>-752.30200000000002</v>
      </c>
      <c r="DB127" s="191">
        <f t="shared" si="778"/>
        <v>9.3690000000000015</v>
      </c>
      <c r="DC127" s="191">
        <f t="shared" si="778"/>
        <v>-639.58100000000002</v>
      </c>
      <c r="DD127" s="191">
        <f t="shared" si="768"/>
        <v>-320.99400000000003</v>
      </c>
      <c r="DE127" s="191">
        <f t="shared" si="768"/>
        <v>-2747.5160000000001</v>
      </c>
      <c r="DF127" s="191">
        <f t="shared" si="769"/>
        <v>0</v>
      </c>
      <c r="DG127" s="191">
        <f t="shared" si="769"/>
        <v>0</v>
      </c>
      <c r="DH127" s="191">
        <f t="shared" ref="DH127" si="779">DH32</f>
        <v>0</v>
      </c>
      <c r="DI127" s="22"/>
    </row>
    <row r="128" spans="1:113" ht="14.25" customHeight="1" outlineLevel="1">
      <c r="A128" s="8"/>
      <c r="B128" s="27" t="s">
        <v>377</v>
      </c>
      <c r="C128" s="28"/>
      <c r="D128" s="196">
        <v>0</v>
      </c>
      <c r="E128" s="194">
        <v>0</v>
      </c>
      <c r="F128" s="194">
        <v>0</v>
      </c>
      <c r="G128" s="195">
        <v>-6.032</v>
      </c>
      <c r="H128" s="196">
        <v>0</v>
      </c>
      <c r="I128" s="194">
        <v>-0.7</v>
      </c>
      <c r="J128" s="194">
        <v>-0.7</v>
      </c>
      <c r="K128" s="195">
        <v>-0.7</v>
      </c>
      <c r="L128" s="196">
        <v>0</v>
      </c>
      <c r="M128" s="194">
        <v>0</v>
      </c>
      <c r="N128" s="194">
        <v>0</v>
      </c>
      <c r="O128" s="195">
        <v>0</v>
      </c>
      <c r="P128" s="196">
        <v>-1</v>
      </c>
      <c r="Q128" s="194">
        <v>-1.528</v>
      </c>
      <c r="R128" s="194">
        <v>-1.704</v>
      </c>
      <c r="S128" s="195">
        <v>-2.5950000000000002</v>
      </c>
      <c r="T128" s="196">
        <v>-0.219</v>
      </c>
      <c r="U128" s="194">
        <v>-0.47799999999999998</v>
      </c>
      <c r="V128" s="194">
        <v>-0.67300000000000004</v>
      </c>
      <c r="W128" s="195">
        <v>-0.84399999999999997</v>
      </c>
      <c r="X128" s="196">
        <v>-0.39800000000000002</v>
      </c>
      <c r="Y128" s="194">
        <v>-2.6680000000000001</v>
      </c>
      <c r="Z128" s="194">
        <v>-4.7169999999999996</v>
      </c>
      <c r="AA128" s="195">
        <v>-5.0119999999999996</v>
      </c>
      <c r="AB128" s="196">
        <v>-0.23699999999999999</v>
      </c>
      <c r="AC128" s="194">
        <v>-0.59599999999999997</v>
      </c>
      <c r="AD128" s="194">
        <v>-15.023</v>
      </c>
      <c r="AE128" s="195">
        <v>-21.6</v>
      </c>
      <c r="AF128" s="196">
        <v>-0.90200000000000002</v>
      </c>
      <c r="AG128" s="194">
        <v>-4.8929999999999998</v>
      </c>
      <c r="AH128" s="194">
        <v>-5.9749999999999996</v>
      </c>
      <c r="AI128" s="195">
        <v>-15.439</v>
      </c>
      <c r="AJ128" s="196">
        <v>-0.14199999999999999</v>
      </c>
      <c r="AK128" s="194">
        <v>-1.4330000000000001</v>
      </c>
      <c r="AL128" s="194">
        <v>-14.843</v>
      </c>
      <c r="AM128" s="195">
        <v>-29.587</v>
      </c>
      <c r="AN128" s="194">
        <v>-0.97599999999999998</v>
      </c>
      <c r="AO128" s="194">
        <v>-5.1459999999999999</v>
      </c>
      <c r="AP128" s="194">
        <v>-6.8780000000000001</v>
      </c>
      <c r="AQ128" s="195">
        <v>-44.398000000000003</v>
      </c>
      <c r="AR128" s="194">
        <v>-1.609</v>
      </c>
      <c r="AS128" s="194">
        <v>-2.2040000000000002</v>
      </c>
      <c r="AT128" s="194">
        <v>-4.0179999999999998</v>
      </c>
      <c r="AU128" s="195">
        <f>-20.556-4.73</f>
        <v>-25.286000000000001</v>
      </c>
      <c r="AV128" s="194">
        <v>-1.6160000000000001</v>
      </c>
      <c r="AW128" s="194">
        <v>-2.9510000000000001</v>
      </c>
      <c r="AX128" s="194">
        <v>-7.4619999999999997</v>
      </c>
      <c r="AY128" s="195">
        <f>-11.187-9.069</f>
        <v>-20.256</v>
      </c>
      <c r="AZ128" s="194">
        <v>-1.123</v>
      </c>
      <c r="BA128" s="194">
        <v>-3.6589999999999998</v>
      </c>
      <c r="BB128" s="194">
        <v>-5.274</v>
      </c>
      <c r="BC128" s="195">
        <v>-6.6630000000000003</v>
      </c>
      <c r="BD128" s="194">
        <v>-1.766</v>
      </c>
      <c r="BE128" s="194">
        <v>-2.9809999999999999</v>
      </c>
      <c r="BF128" s="194">
        <v>-5.9610000000000003</v>
      </c>
      <c r="BG128" s="195">
        <v>-7.056</v>
      </c>
      <c r="BH128" s="194">
        <v>-0.76500000000000001</v>
      </c>
      <c r="BI128" s="194">
        <v>-3.2320000000000002</v>
      </c>
      <c r="BJ128" s="194">
        <v>-9.5969999999999995</v>
      </c>
      <c r="BK128" s="195">
        <v>-10.218</v>
      </c>
      <c r="BL128" s="194">
        <v>-1.9330000000000001</v>
      </c>
      <c r="BM128" s="194">
        <v>-3.8380000000000001</v>
      </c>
      <c r="BN128" s="194">
        <v>-5.3840000000000003</v>
      </c>
      <c r="BO128" s="192">
        <f t="shared" si="751"/>
        <v>-5.3840000000000003</v>
      </c>
      <c r="BP128" s="191">
        <f t="shared" si="752"/>
        <v>0</v>
      </c>
      <c r="BQ128" s="191">
        <f t="shared" si="753"/>
        <v>0</v>
      </c>
      <c r="BR128" s="191">
        <f t="shared" si="754"/>
        <v>0</v>
      </c>
      <c r="BS128" s="192">
        <f t="shared" si="755"/>
        <v>0</v>
      </c>
      <c r="BT128" s="191">
        <f t="shared" si="756"/>
        <v>0</v>
      </c>
      <c r="BU128" s="191">
        <f t="shared" si="757"/>
        <v>0</v>
      </c>
      <c r="BV128" s="191">
        <f t="shared" si="758"/>
        <v>0</v>
      </c>
      <c r="BW128" s="192">
        <f t="shared" si="759"/>
        <v>0</v>
      </c>
      <c r="BX128" s="160"/>
      <c r="BY128" s="191">
        <f t="shared" si="760"/>
        <v>-6.032</v>
      </c>
      <c r="BZ128" s="191">
        <f t="shared" si="760"/>
        <v>-0.7</v>
      </c>
      <c r="CA128" s="191">
        <f t="shared" si="760"/>
        <v>0</v>
      </c>
      <c r="CB128" s="191">
        <f t="shared" ref="CB128:CK128" si="780">CB33</f>
        <v>-2.5950000000000006</v>
      </c>
      <c r="CC128" s="191">
        <f t="shared" si="780"/>
        <v>-0.84399999999999997</v>
      </c>
      <c r="CD128" s="191">
        <f t="shared" si="780"/>
        <v>-5.0119999999999996</v>
      </c>
      <c r="CE128" s="191">
        <f t="shared" si="780"/>
        <v>-21.6</v>
      </c>
      <c r="CF128" s="191">
        <f t="shared" si="780"/>
        <v>-15.439</v>
      </c>
      <c r="CG128" s="191">
        <f t="shared" si="780"/>
        <v>-29.587</v>
      </c>
      <c r="CH128" s="191">
        <f t="shared" si="780"/>
        <v>-44.398000000000003</v>
      </c>
      <c r="CI128" s="191">
        <f t="shared" si="780"/>
        <v>-25.286000000000001</v>
      </c>
      <c r="CJ128" s="191">
        <f t="shared" si="780"/>
        <v>-20.256</v>
      </c>
      <c r="CK128" s="191">
        <f t="shared" si="780"/>
        <v>-6.6630000000000003</v>
      </c>
      <c r="CL128" s="191">
        <f t="shared" si="762"/>
        <v>-7.056</v>
      </c>
      <c r="CM128" s="191">
        <f t="shared" si="763"/>
        <v>-10.218</v>
      </c>
      <c r="CN128" s="191">
        <f t="shared" si="764"/>
        <v>-5.3840000000000003</v>
      </c>
      <c r="CO128" s="191">
        <f t="shared" si="765"/>
        <v>0</v>
      </c>
      <c r="CP128" s="191">
        <f t="shared" si="765"/>
        <v>0</v>
      </c>
      <c r="CQ128" s="20"/>
      <c r="CR128" s="193">
        <f t="shared" si="766"/>
        <v>-6.7320000000000002</v>
      </c>
      <c r="CS128" s="191">
        <f t="shared" si="766"/>
        <v>0</v>
      </c>
      <c r="CT128" s="191">
        <f t="shared" si="766"/>
        <v>-1.704</v>
      </c>
      <c r="CU128" s="191">
        <f t="shared" ref="CU128:DC128" si="781">CU33</f>
        <v>-1.5640000000000007</v>
      </c>
      <c r="CV128" s="191">
        <f t="shared" si="781"/>
        <v>-4.8879999999999999</v>
      </c>
      <c r="CW128" s="191">
        <f t="shared" si="781"/>
        <v>-15.318</v>
      </c>
      <c r="CX128" s="191">
        <f t="shared" si="781"/>
        <v>-12.552000000000003</v>
      </c>
      <c r="CY128" s="191">
        <f t="shared" si="781"/>
        <v>-24.307000000000002</v>
      </c>
      <c r="CZ128" s="191">
        <f t="shared" si="781"/>
        <v>-21.622</v>
      </c>
      <c r="DA128" s="191">
        <f t="shared" si="781"/>
        <v>-41.538000000000004</v>
      </c>
      <c r="DB128" s="191">
        <f t="shared" si="781"/>
        <v>-28.73</v>
      </c>
      <c r="DC128" s="191">
        <f t="shared" si="781"/>
        <v>-18.068000000000001</v>
      </c>
      <c r="DD128" s="191">
        <f t="shared" si="768"/>
        <v>-7.3500000000000005</v>
      </c>
      <c r="DE128" s="191">
        <f t="shared" si="768"/>
        <v>-10.692</v>
      </c>
      <c r="DF128" s="191">
        <f t="shared" si="769"/>
        <v>-6.0050000000000008</v>
      </c>
      <c r="DG128" s="191">
        <f t="shared" si="769"/>
        <v>0</v>
      </c>
      <c r="DH128" s="191">
        <f t="shared" ref="DH128" si="782">DH33</f>
        <v>0</v>
      </c>
      <c r="DI128" s="22"/>
    </row>
    <row r="129" spans="1:113" ht="14.25" customHeight="1" outlineLevel="1">
      <c r="A129" s="8"/>
      <c r="B129" s="27" t="s">
        <v>374</v>
      </c>
      <c r="C129" s="28"/>
      <c r="D129" s="196">
        <v>0</v>
      </c>
      <c r="E129" s="194">
        <v>0</v>
      </c>
      <c r="F129" s="194">
        <v>0</v>
      </c>
      <c r="G129" s="195">
        <v>0.60799999999999998</v>
      </c>
      <c r="H129" s="196">
        <v>0</v>
      </c>
      <c r="I129" s="194">
        <v>0.61299999999999999</v>
      </c>
      <c r="J129" s="194">
        <v>1.1499999999999999</v>
      </c>
      <c r="K129" s="195">
        <v>2.3290000000000002</v>
      </c>
      <c r="L129" s="196">
        <v>0.73599999999999999</v>
      </c>
      <c r="M129" s="194">
        <v>1.083</v>
      </c>
      <c r="N129" s="194">
        <v>1.141</v>
      </c>
      <c r="O129" s="195">
        <v>1.659</v>
      </c>
      <c r="P129" s="196">
        <v>0.24399999999999999</v>
      </c>
      <c r="Q129" s="194">
        <v>0.54400000000000004</v>
      </c>
      <c r="R129" s="194">
        <v>0.81899999999999995</v>
      </c>
      <c r="S129" s="195">
        <v>1.341</v>
      </c>
      <c r="T129" s="196">
        <v>0.67300000000000004</v>
      </c>
      <c r="U129" s="194">
        <v>1.746</v>
      </c>
      <c r="V129" s="194">
        <v>1.746</v>
      </c>
      <c r="W129" s="195">
        <v>1.746</v>
      </c>
      <c r="X129" s="196">
        <v>0.45</v>
      </c>
      <c r="Y129" s="194">
        <v>1</v>
      </c>
      <c r="Z129" s="194">
        <f>27.523+1.175</f>
        <v>28.698</v>
      </c>
      <c r="AA129" s="195">
        <f>27.523+1.725</f>
        <v>29.248000000000001</v>
      </c>
      <c r="AB129" s="196">
        <v>0.109</v>
      </c>
      <c r="AC129" s="194">
        <v>0.14399999999999999</v>
      </c>
      <c r="AD129" s="194">
        <v>0.156</v>
      </c>
      <c r="AE129" s="195">
        <v>0.16600000000000001</v>
      </c>
      <c r="AF129" s="196">
        <v>0</v>
      </c>
      <c r="AG129" s="194">
        <v>0</v>
      </c>
      <c r="AH129" s="194">
        <v>0.1</v>
      </c>
      <c r="AI129" s="195">
        <v>0.1</v>
      </c>
      <c r="AJ129" s="196">
        <v>18.43</v>
      </c>
      <c r="AK129" s="194">
        <v>28.43</v>
      </c>
      <c r="AL129" s="194">
        <v>30.559000000000001</v>
      </c>
      <c r="AM129" s="195">
        <v>31.667999999999999</v>
      </c>
      <c r="AN129" s="194">
        <v>0</v>
      </c>
      <c r="AO129" s="194">
        <v>4.8000000000000001E-2</v>
      </c>
      <c r="AP129" s="194">
        <v>0.21199999999999999</v>
      </c>
      <c r="AQ129" s="195">
        <v>0.41099999999999998</v>
      </c>
      <c r="AR129" s="194">
        <v>0.05</v>
      </c>
      <c r="AS129" s="194">
        <v>6.6000000000000003E-2</v>
      </c>
      <c r="AT129" s="194">
        <v>0.30599999999999999</v>
      </c>
      <c r="AU129" s="195">
        <v>0.30599999999999999</v>
      </c>
      <c r="AV129" s="194">
        <v>16.2</v>
      </c>
      <c r="AW129" s="194">
        <v>16.2</v>
      </c>
      <c r="AX129" s="194">
        <v>16.2</v>
      </c>
      <c r="AY129" s="195">
        <v>16.234999999999999</v>
      </c>
      <c r="AZ129" s="194">
        <v>0</v>
      </c>
      <c r="BA129" s="194">
        <v>0</v>
      </c>
      <c r="BB129" s="194">
        <v>0</v>
      </c>
      <c r="BC129" s="195">
        <v>0</v>
      </c>
      <c r="BD129" s="194">
        <v>0</v>
      </c>
      <c r="BE129" s="194">
        <v>14.295999999999999</v>
      </c>
      <c r="BF129" s="194">
        <v>14.295999999999999</v>
      </c>
      <c r="BG129" s="195">
        <v>14.295999999999999</v>
      </c>
      <c r="BH129" s="194">
        <v>0</v>
      </c>
      <c r="BI129" s="194">
        <v>6.6000000000000003E-2</v>
      </c>
      <c r="BJ129" s="194">
        <v>23.068999999999999</v>
      </c>
      <c r="BK129" s="195">
        <v>23.068999999999999</v>
      </c>
      <c r="BL129" s="194">
        <v>0</v>
      </c>
      <c r="BM129" s="194">
        <v>10.241</v>
      </c>
      <c r="BN129" s="194">
        <v>10.289</v>
      </c>
      <c r="BO129" s="192">
        <f t="shared" si="751"/>
        <v>10.289</v>
      </c>
      <c r="BP129" s="191">
        <f t="shared" si="752"/>
        <v>0</v>
      </c>
      <c r="BQ129" s="191">
        <f t="shared" si="753"/>
        <v>0</v>
      </c>
      <c r="BR129" s="191">
        <f t="shared" si="754"/>
        <v>0</v>
      </c>
      <c r="BS129" s="192">
        <f t="shared" si="755"/>
        <v>0</v>
      </c>
      <c r="BT129" s="191">
        <f t="shared" si="756"/>
        <v>0</v>
      </c>
      <c r="BU129" s="191">
        <f t="shared" si="757"/>
        <v>0</v>
      </c>
      <c r="BV129" s="191">
        <f t="shared" si="758"/>
        <v>0</v>
      </c>
      <c r="BW129" s="192">
        <f t="shared" si="759"/>
        <v>0</v>
      </c>
      <c r="BX129" s="160"/>
      <c r="BY129" s="191">
        <f t="shared" si="760"/>
        <v>0.60799999999999998</v>
      </c>
      <c r="BZ129" s="191">
        <f t="shared" si="760"/>
        <v>2.3290000000000002</v>
      </c>
      <c r="CA129" s="191">
        <f t="shared" si="760"/>
        <v>1.659</v>
      </c>
      <c r="CB129" s="191">
        <f t="shared" ref="CB129:CK129" si="783">CB34</f>
        <v>1.341</v>
      </c>
      <c r="CC129" s="191">
        <f t="shared" si="783"/>
        <v>1.746</v>
      </c>
      <c r="CD129" s="191">
        <f t="shared" si="783"/>
        <v>29.248000000000001</v>
      </c>
      <c r="CE129" s="191">
        <f t="shared" si="783"/>
        <v>0.16600000000000001</v>
      </c>
      <c r="CF129" s="191">
        <f t="shared" si="783"/>
        <v>0.1</v>
      </c>
      <c r="CG129" s="191">
        <f t="shared" si="783"/>
        <v>31.667999999999999</v>
      </c>
      <c r="CH129" s="191">
        <f t="shared" si="783"/>
        <v>0.41099999999999998</v>
      </c>
      <c r="CI129" s="191">
        <f t="shared" si="783"/>
        <v>0.30599999999999999</v>
      </c>
      <c r="CJ129" s="191">
        <f t="shared" si="783"/>
        <v>16.234999999999999</v>
      </c>
      <c r="CK129" s="191">
        <f t="shared" si="783"/>
        <v>0</v>
      </c>
      <c r="CL129" s="191">
        <f t="shared" si="762"/>
        <v>14.295999999999999</v>
      </c>
      <c r="CM129" s="191">
        <f t="shared" si="763"/>
        <v>23.068999999999999</v>
      </c>
      <c r="CN129" s="191">
        <f t="shared" si="764"/>
        <v>10.289</v>
      </c>
      <c r="CO129" s="191">
        <f t="shared" si="765"/>
        <v>0</v>
      </c>
      <c r="CP129" s="191">
        <f t="shared" si="765"/>
        <v>0</v>
      </c>
      <c r="CQ129" s="20"/>
      <c r="CR129" s="193">
        <f t="shared" si="766"/>
        <v>1.758</v>
      </c>
      <c r="CS129" s="191">
        <f t="shared" si="766"/>
        <v>2.3200000000000003</v>
      </c>
      <c r="CT129" s="191">
        <f t="shared" si="766"/>
        <v>1.337</v>
      </c>
      <c r="CU129" s="191">
        <f t="shared" ref="CU129:DC129" si="784">CU34</f>
        <v>2.2679999999999998</v>
      </c>
      <c r="CV129" s="191">
        <f t="shared" si="784"/>
        <v>28.698</v>
      </c>
      <c r="CW129" s="191">
        <f t="shared" si="784"/>
        <v>0.70600000000000074</v>
      </c>
      <c r="CX129" s="191">
        <f t="shared" si="784"/>
        <v>0.11000000000000001</v>
      </c>
      <c r="CY129" s="191">
        <f t="shared" si="784"/>
        <v>30.559000000000001</v>
      </c>
      <c r="CZ129" s="191">
        <f t="shared" si="784"/>
        <v>1.3209999999999982</v>
      </c>
      <c r="DA129" s="191">
        <f t="shared" si="784"/>
        <v>0.505</v>
      </c>
      <c r="DB129" s="191">
        <f t="shared" si="784"/>
        <v>16.2</v>
      </c>
      <c r="DC129" s="191">
        <f t="shared" si="784"/>
        <v>3.5000000000000142E-2</v>
      </c>
      <c r="DD129" s="191">
        <f t="shared" si="768"/>
        <v>14.295999999999999</v>
      </c>
      <c r="DE129" s="191">
        <f t="shared" si="768"/>
        <v>23.068999999999999</v>
      </c>
      <c r="DF129" s="191">
        <f t="shared" si="769"/>
        <v>10.288999999999998</v>
      </c>
      <c r="DG129" s="191">
        <f t="shared" si="769"/>
        <v>0</v>
      </c>
      <c r="DH129" s="191">
        <f t="shared" ref="DH129" si="785">DH34</f>
        <v>0</v>
      </c>
      <c r="DI129" s="22"/>
    </row>
    <row r="130" spans="1:113" ht="14.25" customHeight="1" outlineLevel="1">
      <c r="A130" s="11"/>
      <c r="B130" s="27" t="s">
        <v>67</v>
      </c>
      <c r="C130" s="28"/>
      <c r="D130" s="196">
        <v>-50.673999999999999</v>
      </c>
      <c r="E130" s="194">
        <f>-184.512-50.674</f>
        <v>-235.18600000000001</v>
      </c>
      <c r="F130" s="194">
        <f>-184.717-50.674</f>
        <v>-235.39100000000002</v>
      </c>
      <c r="G130" s="195">
        <f>-184.717-50.674</f>
        <v>-235.39100000000002</v>
      </c>
      <c r="H130" s="196">
        <v>0</v>
      </c>
      <c r="I130" s="194">
        <v>0</v>
      </c>
      <c r="J130" s="194">
        <v>0</v>
      </c>
      <c r="K130" s="195">
        <v>0</v>
      </c>
      <c r="L130" s="196">
        <v>0</v>
      </c>
      <c r="M130" s="194">
        <v>0</v>
      </c>
      <c r="N130" s="194">
        <v>0</v>
      </c>
      <c r="O130" s="195">
        <v>0</v>
      </c>
      <c r="P130" s="196">
        <v>0</v>
      </c>
      <c r="Q130" s="194">
        <v>0</v>
      </c>
      <c r="R130" s="194">
        <v>0</v>
      </c>
      <c r="S130" s="195">
        <v>0</v>
      </c>
      <c r="T130" s="196">
        <v>0</v>
      </c>
      <c r="U130" s="194">
        <v>0</v>
      </c>
      <c r="V130" s="194">
        <v>0</v>
      </c>
      <c r="W130" s="195">
        <v>0</v>
      </c>
      <c r="X130" s="196">
        <v>0</v>
      </c>
      <c r="Y130" s="194">
        <v>0</v>
      </c>
      <c r="Z130" s="194">
        <v>0</v>
      </c>
      <c r="AA130" s="195">
        <v>0</v>
      </c>
      <c r="AB130" s="196">
        <v>0</v>
      </c>
      <c r="AC130" s="194">
        <v>0</v>
      </c>
      <c r="AD130" s="194">
        <v>0</v>
      </c>
      <c r="AE130" s="195">
        <v>0</v>
      </c>
      <c r="AF130" s="196">
        <v>0</v>
      </c>
      <c r="AG130" s="194">
        <v>0</v>
      </c>
      <c r="AH130" s="194">
        <v>0</v>
      </c>
      <c r="AI130" s="195">
        <v>0</v>
      </c>
      <c r="AJ130" s="196">
        <v>0</v>
      </c>
      <c r="AK130" s="194">
        <v>0</v>
      </c>
      <c r="AL130" s="194">
        <v>0</v>
      </c>
      <c r="AM130" s="195">
        <v>0</v>
      </c>
      <c r="AN130" s="194">
        <v>0</v>
      </c>
      <c r="AO130" s="194">
        <v>0</v>
      </c>
      <c r="AP130" s="194">
        <v>0</v>
      </c>
      <c r="AQ130" s="195">
        <v>0</v>
      </c>
      <c r="AR130" s="194">
        <v>0</v>
      </c>
      <c r="AS130" s="194">
        <v>0</v>
      </c>
      <c r="AT130" s="194">
        <v>0</v>
      </c>
      <c r="AU130" s="195">
        <v>0</v>
      </c>
      <c r="AV130" s="194">
        <v>0</v>
      </c>
      <c r="AW130" s="194">
        <v>0</v>
      </c>
      <c r="AX130" s="194">
        <v>0</v>
      </c>
      <c r="AY130" s="195">
        <v>0</v>
      </c>
      <c r="AZ130" s="194">
        <v>0</v>
      </c>
      <c r="BA130" s="194">
        <v>0</v>
      </c>
      <c r="BB130" s="194">
        <v>0</v>
      </c>
      <c r="BC130" s="195">
        <v>-32.094999999999999</v>
      </c>
      <c r="BD130" s="194">
        <f>0.627-18.051+2.667</f>
        <v>-14.757</v>
      </c>
      <c r="BE130" s="194">
        <v>0</v>
      </c>
      <c r="BF130" s="194">
        <f>+-18.051+2.667</f>
        <v>-15.383999999999999</v>
      </c>
      <c r="BG130" s="195">
        <v>-18.050999999999998</v>
      </c>
      <c r="BH130" s="194">
        <f>0.468+0.052</f>
        <v>0.52</v>
      </c>
      <c r="BI130" s="194">
        <v>0.46800000000000003</v>
      </c>
      <c r="BJ130" s="194">
        <v>0.46800000000000003</v>
      </c>
      <c r="BK130" s="195">
        <v>0</v>
      </c>
      <c r="BL130" s="194">
        <f>10.226</f>
        <v>10.226000000000001</v>
      </c>
      <c r="BM130" s="194">
        <v>0</v>
      </c>
      <c r="BN130" s="194">
        <v>0</v>
      </c>
      <c r="BO130" s="192">
        <f t="shared" si="751"/>
        <v>0</v>
      </c>
      <c r="BP130" s="191">
        <f t="shared" si="752"/>
        <v>0</v>
      </c>
      <c r="BQ130" s="191">
        <f t="shared" si="753"/>
        <v>0</v>
      </c>
      <c r="BR130" s="191">
        <f t="shared" si="754"/>
        <v>0</v>
      </c>
      <c r="BS130" s="192">
        <f t="shared" si="755"/>
        <v>0</v>
      </c>
      <c r="BT130" s="191">
        <f t="shared" si="756"/>
        <v>0</v>
      </c>
      <c r="BU130" s="191">
        <f t="shared" si="757"/>
        <v>0</v>
      </c>
      <c r="BV130" s="191">
        <f t="shared" si="758"/>
        <v>0</v>
      </c>
      <c r="BW130" s="192">
        <f t="shared" si="759"/>
        <v>0</v>
      </c>
      <c r="BX130" s="160"/>
      <c r="BY130" s="191">
        <f t="shared" si="760"/>
        <v>-235.39100000000002</v>
      </c>
      <c r="BZ130" s="191">
        <f t="shared" si="760"/>
        <v>0</v>
      </c>
      <c r="CA130" s="191">
        <f t="shared" si="760"/>
        <v>0</v>
      </c>
      <c r="CB130" s="191">
        <f t="shared" ref="CB130:CK130" si="786">CB35</f>
        <v>0</v>
      </c>
      <c r="CC130" s="191">
        <f t="shared" si="786"/>
        <v>0</v>
      </c>
      <c r="CD130" s="191">
        <f t="shared" si="786"/>
        <v>0</v>
      </c>
      <c r="CE130" s="191">
        <f t="shared" si="786"/>
        <v>0</v>
      </c>
      <c r="CF130" s="191">
        <f t="shared" si="786"/>
        <v>0</v>
      </c>
      <c r="CG130" s="191">
        <f t="shared" si="786"/>
        <v>0</v>
      </c>
      <c r="CH130" s="191">
        <f t="shared" si="786"/>
        <v>0</v>
      </c>
      <c r="CI130" s="191">
        <f t="shared" si="786"/>
        <v>0</v>
      </c>
      <c r="CJ130" s="191">
        <f t="shared" si="786"/>
        <v>0</v>
      </c>
      <c r="CK130" s="191">
        <f t="shared" si="786"/>
        <v>-32.094999999999999</v>
      </c>
      <c r="CL130" s="191">
        <f t="shared" si="762"/>
        <v>-18.050999999999998</v>
      </c>
      <c r="CM130" s="191">
        <f t="shared" si="763"/>
        <v>0</v>
      </c>
      <c r="CN130" s="191">
        <f t="shared" si="764"/>
        <v>0</v>
      </c>
      <c r="CO130" s="191">
        <f t="shared" si="765"/>
        <v>0</v>
      </c>
      <c r="CP130" s="191">
        <f t="shared" si="765"/>
        <v>0</v>
      </c>
      <c r="CQ130" s="160"/>
      <c r="CR130" s="193">
        <f t="shared" si="766"/>
        <v>0</v>
      </c>
      <c r="CS130" s="191">
        <f t="shared" si="766"/>
        <v>0</v>
      </c>
      <c r="CT130" s="191">
        <f t="shared" si="766"/>
        <v>0</v>
      </c>
      <c r="CU130" s="191">
        <f t="shared" ref="CU130:DC130" si="787">CU35</f>
        <v>0</v>
      </c>
      <c r="CV130" s="191">
        <f t="shared" si="787"/>
        <v>0</v>
      </c>
      <c r="CW130" s="191">
        <f t="shared" si="787"/>
        <v>0</v>
      </c>
      <c r="CX130" s="191">
        <f t="shared" si="787"/>
        <v>0</v>
      </c>
      <c r="CY130" s="191">
        <f t="shared" si="787"/>
        <v>0</v>
      </c>
      <c r="CZ130" s="191">
        <f t="shared" si="787"/>
        <v>0</v>
      </c>
      <c r="DA130" s="191">
        <f t="shared" si="787"/>
        <v>0</v>
      </c>
      <c r="DB130" s="191">
        <f t="shared" si="787"/>
        <v>0</v>
      </c>
      <c r="DC130" s="191">
        <f t="shared" si="787"/>
        <v>0</v>
      </c>
      <c r="DD130" s="191">
        <f t="shared" si="768"/>
        <v>-47.478999999999999</v>
      </c>
      <c r="DE130" s="191">
        <f t="shared" si="768"/>
        <v>-2.1989999999999998</v>
      </c>
      <c r="DF130" s="191">
        <f t="shared" si="769"/>
        <v>-0.46799999999999997</v>
      </c>
      <c r="DG130" s="191">
        <f t="shared" si="769"/>
        <v>0</v>
      </c>
      <c r="DH130" s="191">
        <f t="shared" ref="DH130" si="788">DH35</f>
        <v>0</v>
      </c>
      <c r="DI130" s="23"/>
    </row>
    <row r="131" spans="1:113" ht="14.25" customHeight="1" outlineLevel="1" thickBot="1">
      <c r="A131" s="8"/>
      <c r="B131" s="197" t="s">
        <v>68</v>
      </c>
      <c r="C131" s="198"/>
      <c r="D131" s="200">
        <f t="shared" ref="D131:O131" si="789">SUM(D124:D130)</f>
        <v>-190.41300000000001</v>
      </c>
      <c r="E131" s="199">
        <f t="shared" si="789"/>
        <v>-265.93099999999993</v>
      </c>
      <c r="F131" s="199">
        <f t="shared" si="789"/>
        <v>-341.15399999999994</v>
      </c>
      <c r="G131" s="201">
        <f t="shared" si="789"/>
        <v>-376.75399999999991</v>
      </c>
      <c r="H131" s="200">
        <f t="shared" si="789"/>
        <v>-72.681000000000012</v>
      </c>
      <c r="I131" s="199">
        <f t="shared" si="789"/>
        <v>-165.08499999999995</v>
      </c>
      <c r="J131" s="199">
        <f t="shared" si="789"/>
        <v>-268.85200000000003</v>
      </c>
      <c r="K131" s="201">
        <f t="shared" si="789"/>
        <v>-267.62</v>
      </c>
      <c r="L131" s="200">
        <f t="shared" si="789"/>
        <v>-103.22900000000003</v>
      </c>
      <c r="M131" s="199">
        <f t="shared" si="789"/>
        <v>-196.69799999999995</v>
      </c>
      <c r="N131" s="199">
        <f t="shared" si="789"/>
        <v>-309.48700000000002</v>
      </c>
      <c r="O131" s="201">
        <f t="shared" si="789"/>
        <v>-370.72900000000016</v>
      </c>
      <c r="P131" s="200">
        <f t="shared" ref="P131:BC131" si="790">SUM(P124:P130)</f>
        <v>-18.259</v>
      </c>
      <c r="Q131" s="199">
        <f t="shared" si="790"/>
        <v>-152.35999999999999</v>
      </c>
      <c r="R131" s="199">
        <f t="shared" si="790"/>
        <v>-214.90599999999998</v>
      </c>
      <c r="S131" s="201">
        <f t="shared" si="790"/>
        <v>-136.60200000000006</v>
      </c>
      <c r="T131" s="200">
        <f t="shared" si="790"/>
        <v>-405.49299999999999</v>
      </c>
      <c r="U131" s="199">
        <f t="shared" si="790"/>
        <v>-443.04500000000002</v>
      </c>
      <c r="V131" s="199">
        <f t="shared" si="790"/>
        <v>-436.79099999999994</v>
      </c>
      <c r="W131" s="201">
        <f t="shared" si="790"/>
        <v>-442.22399999999988</v>
      </c>
      <c r="X131" s="200">
        <f t="shared" si="790"/>
        <v>-91.349000000000061</v>
      </c>
      <c r="Y131" s="199">
        <f t="shared" si="790"/>
        <v>2.6989999999999617</v>
      </c>
      <c r="Z131" s="199">
        <f t="shared" si="790"/>
        <v>271.39199999999983</v>
      </c>
      <c r="AA131" s="201">
        <f t="shared" si="790"/>
        <v>55.655000000000101</v>
      </c>
      <c r="AB131" s="200">
        <f t="shared" si="790"/>
        <v>139.76</v>
      </c>
      <c r="AC131" s="199">
        <f t="shared" si="790"/>
        <v>-230.43200000000004</v>
      </c>
      <c r="AD131" s="199">
        <f t="shared" si="790"/>
        <v>-89.275000000000006</v>
      </c>
      <c r="AE131" s="201">
        <f t="shared" si="790"/>
        <v>-19.82700000000003</v>
      </c>
      <c r="AF131" s="200">
        <f t="shared" si="790"/>
        <v>77.030000000000015</v>
      </c>
      <c r="AG131" s="199">
        <f t="shared" si="790"/>
        <v>-33.985999999999962</v>
      </c>
      <c r="AH131" s="199">
        <f t="shared" si="790"/>
        <v>-263.09099999999989</v>
      </c>
      <c r="AI131" s="201">
        <f t="shared" si="790"/>
        <v>-195.26200000000017</v>
      </c>
      <c r="AJ131" s="200">
        <f t="shared" si="790"/>
        <v>-45.831000000000024</v>
      </c>
      <c r="AK131" s="199">
        <f t="shared" si="790"/>
        <v>-254.76399999999995</v>
      </c>
      <c r="AL131" s="199">
        <f t="shared" si="790"/>
        <v>-217.41700000000003</v>
      </c>
      <c r="AM131" s="201">
        <f t="shared" si="790"/>
        <v>-187.84999999999991</v>
      </c>
      <c r="AN131" s="199">
        <f t="shared" si="790"/>
        <v>-88.602999999999952</v>
      </c>
      <c r="AO131" s="199">
        <f t="shared" si="790"/>
        <v>-160.81699999999992</v>
      </c>
      <c r="AP131" s="199">
        <f t="shared" si="790"/>
        <v>-234.12899999999996</v>
      </c>
      <c r="AQ131" s="201">
        <f t="shared" si="790"/>
        <v>-256.48199999999991</v>
      </c>
      <c r="AR131" s="199">
        <f t="shared" si="790"/>
        <v>77.89</v>
      </c>
      <c r="AS131" s="199">
        <f t="shared" si="790"/>
        <v>-873.16499999999996</v>
      </c>
      <c r="AT131" s="199">
        <f t="shared" si="790"/>
        <v>-920.80700000000002</v>
      </c>
      <c r="AU131" s="201">
        <f t="shared" si="790"/>
        <v>-936.75600000000009</v>
      </c>
      <c r="AV131" s="199">
        <f t="shared" si="790"/>
        <v>-209.19300000000001</v>
      </c>
      <c r="AW131" s="199">
        <f t="shared" si="790"/>
        <v>-383.52200000000005</v>
      </c>
      <c r="AX131" s="199">
        <f t="shared" si="790"/>
        <v>-448.35899999999998</v>
      </c>
      <c r="AY131" s="201">
        <f t="shared" si="790"/>
        <v>-503.279</v>
      </c>
      <c r="AZ131" s="199">
        <f>SUM(AZ124:AZ130)</f>
        <v>-272.42800000000005</v>
      </c>
      <c r="BA131" s="199">
        <f>SUM(BA124:BA130)</f>
        <v>-520.19099999999992</v>
      </c>
      <c r="BB131" s="199">
        <f>SUM(BB124:BB130)</f>
        <v>-676.75700000000006</v>
      </c>
      <c r="BC131" s="201">
        <f t="shared" si="790"/>
        <v>-678.31700000000001</v>
      </c>
      <c r="BD131" s="199">
        <f t="shared" ref="BD131:BO131" si="791">SUM(BD124:BD130)</f>
        <v>-187.18899999999994</v>
      </c>
      <c r="BE131" s="199">
        <f t="shared" si="791"/>
        <v>-727.86899999999991</v>
      </c>
      <c r="BF131" s="199">
        <f>SUM(BF124:BF130)</f>
        <v>-781.77699999999993</v>
      </c>
      <c r="BG131" s="201">
        <f>SUM(BG124:BG130)</f>
        <v>800.39700000000016</v>
      </c>
      <c r="BH131" s="199">
        <f t="shared" ref="BH131:BI131" si="792">SUM(BH124:BH130)</f>
        <v>-2295.7289999999998</v>
      </c>
      <c r="BI131" s="199">
        <f t="shared" si="792"/>
        <v>-2316.3200000000006</v>
      </c>
      <c r="BJ131" s="199">
        <f>SUM(BJ124:BJ130)</f>
        <v>-2350.4960000000005</v>
      </c>
      <c r="BK131" s="201">
        <f t="shared" si="791"/>
        <v>-2837.973</v>
      </c>
      <c r="BL131" s="199">
        <f t="shared" si="791"/>
        <v>-391.27199999999999</v>
      </c>
      <c r="BM131" s="199">
        <f t="shared" si="791"/>
        <v>-591.97299999999996</v>
      </c>
      <c r="BN131" s="199">
        <f>SUM(BN124:BN130)</f>
        <v>-961.56100000000015</v>
      </c>
      <c r="BO131" s="201">
        <f t="shared" si="791"/>
        <v>-1018.7218656280002</v>
      </c>
      <c r="BP131" s="199">
        <f t="shared" ref="BP131:BW131" si="793">SUM(BP124:BP130)</f>
        <v>-41.164074060000004</v>
      </c>
      <c r="BQ131" s="199">
        <f t="shared" si="793"/>
        <v>-83.617136166180018</v>
      </c>
      <c r="BR131" s="199">
        <f t="shared" si="793"/>
        <v>-125.20663296637835</v>
      </c>
      <c r="BS131" s="201">
        <f t="shared" si="793"/>
        <v>-166.42112568732776</v>
      </c>
      <c r="BT131" s="199">
        <f t="shared" si="793"/>
        <v>-42.856384848787982</v>
      </c>
      <c r="BU131" s="199">
        <f t="shared" si="793"/>
        <v>-86.814236686744636</v>
      </c>
      <c r="BV131" s="199">
        <f t="shared" si="793"/>
        <v>-130.1347071648953</v>
      </c>
      <c r="BW131" s="201">
        <f t="shared" si="793"/>
        <v>-173.06365123809462</v>
      </c>
      <c r="BX131" s="160"/>
      <c r="BY131" s="199">
        <f>SUM(BY124:BY130)</f>
        <v>-376.75399999999991</v>
      </c>
      <c r="BZ131" s="199">
        <f>SUM(BZ124:BZ130)</f>
        <v>-267.62000000000023</v>
      </c>
      <c r="CA131" s="199">
        <f>SUM(CA124:CA130)</f>
        <v>-370.72900000000016</v>
      </c>
      <c r="CB131" s="199">
        <f t="shared" ref="CB131:CL131" si="794">SUM(CB124:CB130)</f>
        <v>-136.60200000000006</v>
      </c>
      <c r="CC131" s="199">
        <f t="shared" si="794"/>
        <v>-442.22399999999988</v>
      </c>
      <c r="CD131" s="199">
        <f t="shared" si="794"/>
        <v>55.655000000000101</v>
      </c>
      <c r="CE131" s="199">
        <f t="shared" si="794"/>
        <v>-19.82700000000003</v>
      </c>
      <c r="CF131" s="199">
        <f t="shared" si="794"/>
        <v>-195.26200000000017</v>
      </c>
      <c r="CG131" s="199">
        <f t="shared" si="794"/>
        <v>-187.84999999999991</v>
      </c>
      <c r="CH131" s="199">
        <f t="shared" si="794"/>
        <v>-256.48199999999991</v>
      </c>
      <c r="CI131" s="199">
        <f t="shared" si="794"/>
        <v>-936.75600000000009</v>
      </c>
      <c r="CJ131" s="199">
        <f t="shared" si="794"/>
        <v>-503.279</v>
      </c>
      <c r="CK131" s="199">
        <f t="shared" si="794"/>
        <v>-678.31700000000023</v>
      </c>
      <c r="CL131" s="199">
        <f t="shared" si="794"/>
        <v>800.39700000000016</v>
      </c>
      <c r="CM131" s="199">
        <f>SUM(CM124:CM130)</f>
        <v>-2837.973</v>
      </c>
      <c r="CN131" s="199">
        <f>SUM(CN124:CN130)</f>
        <v>-1018.7218656280002</v>
      </c>
      <c r="CO131" s="199">
        <f>SUM(CO124:CO130)</f>
        <v>-166.42112568732776</v>
      </c>
      <c r="CP131" s="199">
        <f>SUM(CP124:CP130)</f>
        <v>-173.06365123809462</v>
      </c>
      <c r="CQ131" s="20"/>
      <c r="CR131" s="200">
        <f>SUM(CR124:CR130)</f>
        <v>-304.45200000000011</v>
      </c>
      <c r="CS131" s="199">
        <f>SUM(CS124:CS130)</f>
        <v>-308.25500000000028</v>
      </c>
      <c r="CT131" s="199">
        <f>SUM(CT124:CT130)</f>
        <v>-276.14799999999974</v>
      </c>
      <c r="CU131" s="199">
        <f t="shared" ref="CU131:DD131" si="795">SUM(CU124:CU130)</f>
        <v>-358.48699999999985</v>
      </c>
      <c r="CV131" s="199">
        <f t="shared" si="795"/>
        <v>265.95900000000012</v>
      </c>
      <c r="CW131" s="199">
        <f t="shared" si="795"/>
        <v>-305.01199999999983</v>
      </c>
      <c r="CX131" s="199">
        <f t="shared" si="795"/>
        <v>-193.643</v>
      </c>
      <c r="CY131" s="199">
        <f t="shared" si="795"/>
        <v>-149.58799999999999</v>
      </c>
      <c r="CZ131" s="199">
        <f t="shared" si="795"/>
        <v>-204.5620000000001</v>
      </c>
      <c r="DA131" s="199">
        <f t="shared" si="795"/>
        <v>-943.16000000000008</v>
      </c>
      <c r="DB131" s="199">
        <f t="shared" si="795"/>
        <v>-464.30799999999994</v>
      </c>
      <c r="DC131" s="199">
        <f t="shared" si="795"/>
        <v>-731.67700000000013</v>
      </c>
      <c r="DD131" s="199">
        <f t="shared" si="795"/>
        <v>-783.33699999999976</v>
      </c>
      <c r="DE131" s="199">
        <f>SUM(DE124:DE130)</f>
        <v>-768.322</v>
      </c>
      <c r="DF131" s="199">
        <f>SUM(DF124:DF130)</f>
        <v>-1449.0380000000005</v>
      </c>
      <c r="DG131" s="199">
        <f>SUM(DG124:DG130)</f>
        <v>-182.36749859437833</v>
      </c>
      <c r="DH131" s="199">
        <f>SUM(DH124:DH130)</f>
        <v>-171.34919988584471</v>
      </c>
      <c r="DI131" s="22"/>
    </row>
    <row r="132" spans="1:113" ht="14.25" customHeight="1" outlineLevel="1" thickTop="1">
      <c r="A132" s="8"/>
      <c r="B132" s="23"/>
      <c r="C132" s="24"/>
      <c r="D132" s="196"/>
      <c r="E132" s="194"/>
      <c r="F132" s="194"/>
      <c r="G132" s="195"/>
      <c r="H132" s="196"/>
      <c r="I132" s="194"/>
      <c r="J132" s="194"/>
      <c r="K132" s="195"/>
      <c r="L132" s="196"/>
      <c r="M132" s="194"/>
      <c r="N132" s="194"/>
      <c r="O132" s="195"/>
      <c r="P132" s="196"/>
      <c r="Q132" s="194"/>
      <c r="R132" s="194"/>
      <c r="S132" s="195"/>
      <c r="T132" s="196"/>
      <c r="U132" s="194"/>
      <c r="V132" s="194"/>
      <c r="W132" s="195"/>
      <c r="X132" s="196"/>
      <c r="Y132" s="194"/>
      <c r="Z132" s="194"/>
      <c r="AA132" s="195"/>
      <c r="AB132" s="196"/>
      <c r="AC132" s="194"/>
      <c r="AD132" s="194"/>
      <c r="AE132" s="195"/>
      <c r="AF132" s="196"/>
      <c r="AG132" s="194"/>
      <c r="AH132" s="194"/>
      <c r="AI132" s="195"/>
      <c r="AJ132" s="196"/>
      <c r="AK132" s="194"/>
      <c r="AL132" s="194"/>
      <c r="AM132" s="195"/>
      <c r="AN132" s="194"/>
      <c r="AO132" s="194"/>
      <c r="AP132" s="194"/>
      <c r="AQ132" s="195"/>
      <c r="AR132" s="194"/>
      <c r="AS132" s="194"/>
      <c r="AT132" s="194"/>
      <c r="AU132" s="195"/>
      <c r="AV132" s="194"/>
      <c r="AW132" s="194"/>
      <c r="AX132" s="194"/>
      <c r="AY132" s="195"/>
      <c r="AZ132" s="194"/>
      <c r="BA132" s="194"/>
      <c r="BB132" s="194"/>
      <c r="BC132" s="195"/>
      <c r="BD132" s="194"/>
      <c r="BE132" s="194"/>
      <c r="BF132" s="194"/>
      <c r="BG132" s="195"/>
      <c r="BH132" s="194"/>
      <c r="BI132" s="194"/>
      <c r="BJ132" s="194"/>
      <c r="BK132" s="195"/>
      <c r="BL132" s="194"/>
      <c r="BM132" s="194"/>
      <c r="BN132" s="194"/>
      <c r="BO132" s="195"/>
      <c r="BP132" s="194"/>
      <c r="BQ132" s="194"/>
      <c r="BR132" s="194"/>
      <c r="BS132" s="195"/>
      <c r="BT132" s="194"/>
      <c r="BU132" s="194"/>
      <c r="BV132" s="194"/>
      <c r="BW132" s="195"/>
      <c r="BX132" s="160"/>
      <c r="BY132" s="194"/>
      <c r="BZ132" s="194"/>
      <c r="CA132" s="194"/>
      <c r="CB132" s="194"/>
      <c r="CC132" s="194"/>
      <c r="CD132" s="194"/>
      <c r="CE132" s="194"/>
      <c r="CF132" s="194"/>
      <c r="CG132" s="194"/>
      <c r="CH132" s="194"/>
      <c r="CI132" s="194"/>
      <c r="CJ132" s="194"/>
      <c r="CK132" s="194"/>
      <c r="CL132" s="194"/>
      <c r="CM132" s="194"/>
      <c r="CN132" s="194"/>
      <c r="CO132" s="194"/>
      <c r="CP132" s="194"/>
      <c r="CQ132" s="20"/>
      <c r="CR132" s="196"/>
      <c r="CS132" s="194"/>
      <c r="CT132" s="194"/>
      <c r="CU132" s="194"/>
      <c r="CV132" s="194"/>
      <c r="CW132" s="194"/>
      <c r="CX132" s="194"/>
      <c r="CY132" s="194"/>
      <c r="CZ132" s="194"/>
      <c r="DA132" s="194"/>
      <c r="DB132" s="194"/>
      <c r="DC132" s="194"/>
      <c r="DD132" s="194"/>
      <c r="DE132" s="194"/>
      <c r="DF132" s="194"/>
      <c r="DG132" s="194"/>
      <c r="DH132" s="194"/>
      <c r="DI132" s="22"/>
    </row>
    <row r="133" spans="1:113" ht="14.25" customHeight="1" outlineLevel="1">
      <c r="A133" s="8"/>
      <c r="B133" s="202" t="s">
        <v>69</v>
      </c>
      <c r="C133" s="203"/>
      <c r="D133" s="196"/>
      <c r="E133" s="204"/>
      <c r="F133" s="204"/>
      <c r="G133" s="195"/>
      <c r="H133" s="196"/>
      <c r="I133" s="204"/>
      <c r="J133" s="204"/>
      <c r="K133" s="195"/>
      <c r="L133" s="196"/>
      <c r="M133" s="204"/>
      <c r="N133" s="204"/>
      <c r="O133" s="195"/>
      <c r="P133" s="196"/>
      <c r="Q133" s="204"/>
      <c r="R133" s="204"/>
      <c r="S133" s="195"/>
      <c r="T133" s="196"/>
      <c r="U133" s="204"/>
      <c r="V133" s="204"/>
      <c r="W133" s="195"/>
      <c r="X133" s="196"/>
      <c r="Y133" s="204"/>
      <c r="Z133" s="204"/>
      <c r="AA133" s="195"/>
      <c r="AB133" s="196"/>
      <c r="AC133" s="204"/>
      <c r="AD133" s="204"/>
      <c r="AE133" s="195"/>
      <c r="AF133" s="196"/>
      <c r="AG133" s="204"/>
      <c r="AH133" s="204"/>
      <c r="AI133" s="195"/>
      <c r="AJ133" s="196"/>
      <c r="AK133" s="204"/>
      <c r="AL133" s="204"/>
      <c r="AM133" s="195"/>
      <c r="AN133" s="194"/>
      <c r="AO133" s="204"/>
      <c r="AP133" s="194"/>
      <c r="AQ133" s="195"/>
      <c r="AR133" s="194"/>
      <c r="AS133" s="204"/>
      <c r="AT133" s="194"/>
      <c r="AU133" s="195"/>
      <c r="AV133" s="194"/>
      <c r="AW133" s="204"/>
      <c r="AX133" s="194"/>
      <c r="AY133" s="195"/>
      <c r="AZ133" s="194"/>
      <c r="BA133" s="204"/>
      <c r="BB133" s="194"/>
      <c r="BC133" s="195"/>
      <c r="BD133" s="194"/>
      <c r="BE133" s="204"/>
      <c r="BF133" s="194"/>
      <c r="BG133" s="195"/>
      <c r="BH133" s="194"/>
      <c r="BI133" s="204"/>
      <c r="BJ133" s="194"/>
      <c r="BK133" s="195"/>
      <c r="BL133" s="194"/>
      <c r="BM133" s="204"/>
      <c r="BN133" s="194"/>
      <c r="BO133" s="195"/>
      <c r="BP133" s="194"/>
      <c r="BQ133" s="194"/>
      <c r="BR133" s="194"/>
      <c r="BS133" s="195"/>
      <c r="BT133" s="194"/>
      <c r="BU133" s="194"/>
      <c r="BV133" s="194"/>
      <c r="BW133" s="195"/>
      <c r="BX133" s="160"/>
      <c r="BY133" s="194"/>
      <c r="BZ133" s="194"/>
      <c r="CA133" s="194"/>
      <c r="CB133" s="194"/>
      <c r="CC133" s="194"/>
      <c r="CD133" s="194"/>
      <c r="CE133" s="194"/>
      <c r="CF133" s="194"/>
      <c r="CG133" s="194"/>
      <c r="CH133" s="194"/>
      <c r="CI133" s="194"/>
      <c r="CJ133" s="194"/>
      <c r="CK133" s="194"/>
      <c r="CL133" s="194"/>
      <c r="CM133" s="194"/>
      <c r="CN133" s="194"/>
      <c r="CO133" s="194"/>
      <c r="CP133" s="194"/>
      <c r="CQ133" s="20"/>
      <c r="CR133" s="196"/>
      <c r="CS133" s="194"/>
      <c r="CT133" s="194"/>
      <c r="CU133" s="194"/>
      <c r="CV133" s="194"/>
      <c r="CW133" s="194"/>
      <c r="CX133" s="194"/>
      <c r="CY133" s="194"/>
      <c r="CZ133" s="194"/>
      <c r="DA133" s="194"/>
      <c r="DB133" s="194"/>
      <c r="DC133" s="194"/>
      <c r="DD133" s="194"/>
      <c r="DE133" s="194"/>
      <c r="DF133" s="194"/>
      <c r="DG133" s="194"/>
      <c r="DH133" s="194"/>
      <c r="DI133" s="22"/>
    </row>
    <row r="134" spans="1:113" ht="14.25" customHeight="1" outlineLevel="1">
      <c r="A134" s="8">
        <v>1</v>
      </c>
      <c r="B134" s="27" t="s">
        <v>134</v>
      </c>
      <c r="C134" s="28"/>
      <c r="D134" s="196">
        <v>0</v>
      </c>
      <c r="E134" s="194">
        <v>0</v>
      </c>
      <c r="F134" s="194">
        <v>0</v>
      </c>
      <c r="G134" s="195">
        <v>0</v>
      </c>
      <c r="H134" s="196">
        <v>0</v>
      </c>
      <c r="I134" s="194">
        <v>0</v>
      </c>
      <c r="J134" s="194">
        <v>0</v>
      </c>
      <c r="K134" s="195">
        <v>0</v>
      </c>
      <c r="L134" s="196">
        <v>0</v>
      </c>
      <c r="M134" s="194">
        <v>0</v>
      </c>
      <c r="N134" s="194">
        <v>0</v>
      </c>
      <c r="O134" s="195">
        <v>0</v>
      </c>
      <c r="P134" s="196">
        <v>0</v>
      </c>
      <c r="Q134" s="194">
        <v>0</v>
      </c>
      <c r="R134" s="194">
        <v>0</v>
      </c>
      <c r="S134" s="195">
        <v>-45.454000000000001</v>
      </c>
      <c r="T134" s="196">
        <v>-131.45400000000001</v>
      </c>
      <c r="U134" s="194">
        <v>-188.154</v>
      </c>
      <c r="V134" s="194">
        <v>-239.45400000000001</v>
      </c>
      <c r="W134" s="195">
        <v>-268.95400000000001</v>
      </c>
      <c r="X134" s="196">
        <v>0</v>
      </c>
      <c r="Y134" s="194">
        <v>0</v>
      </c>
      <c r="Z134" s="194">
        <v>0</v>
      </c>
      <c r="AA134" s="195">
        <v>0</v>
      </c>
      <c r="AB134" s="196">
        <v>0</v>
      </c>
      <c r="AC134" s="194">
        <v>0</v>
      </c>
      <c r="AD134" s="194">
        <v>0</v>
      </c>
      <c r="AE134" s="195">
        <v>0</v>
      </c>
      <c r="AF134" s="196">
        <v>0</v>
      </c>
      <c r="AG134" s="194">
        <v>0</v>
      </c>
      <c r="AH134" s="194">
        <v>0</v>
      </c>
      <c r="AI134" s="195">
        <v>0</v>
      </c>
      <c r="AJ134" s="196">
        <v>0</v>
      </c>
      <c r="AK134" s="194">
        <v>0</v>
      </c>
      <c r="AL134" s="194">
        <v>0</v>
      </c>
      <c r="AM134" s="195">
        <v>0</v>
      </c>
      <c r="AN134" s="194">
        <v>0</v>
      </c>
      <c r="AO134" s="194">
        <v>0</v>
      </c>
      <c r="AP134" s="194">
        <v>0</v>
      </c>
      <c r="AQ134" s="195">
        <v>0</v>
      </c>
      <c r="AR134" s="194">
        <v>0</v>
      </c>
      <c r="AS134" s="194">
        <v>0</v>
      </c>
      <c r="AT134" s="194">
        <v>0</v>
      </c>
      <c r="AU134" s="195">
        <v>0</v>
      </c>
      <c r="AV134" s="194">
        <v>0</v>
      </c>
      <c r="AW134" s="194">
        <v>0</v>
      </c>
      <c r="AX134" s="194">
        <v>0</v>
      </c>
      <c r="AY134" s="195">
        <v>0</v>
      </c>
      <c r="AZ134" s="194">
        <v>0</v>
      </c>
      <c r="BA134" s="194">
        <v>0</v>
      </c>
      <c r="BB134" s="194">
        <v>0</v>
      </c>
      <c r="BC134" s="195">
        <v>0</v>
      </c>
      <c r="BD134" s="194">
        <v>0</v>
      </c>
      <c r="BE134" s="194">
        <v>0</v>
      </c>
      <c r="BF134" s="194">
        <v>0</v>
      </c>
      <c r="BG134" s="195">
        <v>0</v>
      </c>
      <c r="BH134" s="194">
        <v>0</v>
      </c>
      <c r="BI134" s="194">
        <v>0</v>
      </c>
      <c r="BJ134" s="194">
        <v>0</v>
      </c>
      <c r="BK134" s="195">
        <v>0</v>
      </c>
      <c r="BL134" s="194">
        <v>0</v>
      </c>
      <c r="BM134" s="194">
        <v>0</v>
      </c>
      <c r="BN134" s="194">
        <v>0</v>
      </c>
      <c r="BO134" s="192">
        <f t="shared" ref="BO134:BO141" si="796">BN134+BO39</f>
        <v>0</v>
      </c>
      <c r="BP134" s="191">
        <f t="shared" ref="BP134:BP141" si="797">BP39</f>
        <v>0</v>
      </c>
      <c r="BQ134" s="191">
        <f t="shared" ref="BQ134:BQ141" si="798">BP134+BQ39</f>
        <v>0</v>
      </c>
      <c r="BR134" s="191">
        <f t="shared" ref="BR134:BR141" si="799">BQ134+BR39</f>
        <v>0</v>
      </c>
      <c r="BS134" s="192">
        <f t="shared" ref="BS134:BS141" si="800">BR134+BS39</f>
        <v>0</v>
      </c>
      <c r="BT134" s="191">
        <f t="shared" ref="BT134:BT141" si="801">BT39</f>
        <v>0</v>
      </c>
      <c r="BU134" s="191">
        <f t="shared" ref="BU134:BU141" si="802">BT134+BU39</f>
        <v>0</v>
      </c>
      <c r="BV134" s="191">
        <f t="shared" ref="BV134:BV141" si="803">BU134+BV39</f>
        <v>0</v>
      </c>
      <c r="BW134" s="192">
        <f t="shared" ref="BW134:BW141" si="804">BV134+BW39</f>
        <v>0</v>
      </c>
      <c r="BX134" s="160"/>
      <c r="BY134" s="191">
        <f t="shared" ref="BY134:CA141" si="805">BY39</f>
        <v>0</v>
      </c>
      <c r="BZ134" s="191">
        <f t="shared" si="805"/>
        <v>0</v>
      </c>
      <c r="CA134" s="191">
        <f t="shared" si="805"/>
        <v>0</v>
      </c>
      <c r="CB134" s="191">
        <f t="shared" ref="CB134:CK134" si="806">CB39</f>
        <v>-45.454000000000001</v>
      </c>
      <c r="CC134" s="191">
        <f t="shared" si="806"/>
        <v>-268.95400000000001</v>
      </c>
      <c r="CD134" s="191">
        <f t="shared" si="806"/>
        <v>0</v>
      </c>
      <c r="CE134" s="191">
        <f t="shared" si="806"/>
        <v>0</v>
      </c>
      <c r="CF134" s="191">
        <f t="shared" si="806"/>
        <v>0</v>
      </c>
      <c r="CG134" s="191">
        <f t="shared" si="806"/>
        <v>0</v>
      </c>
      <c r="CH134" s="191">
        <f t="shared" si="806"/>
        <v>0</v>
      </c>
      <c r="CI134" s="191">
        <f t="shared" si="806"/>
        <v>0</v>
      </c>
      <c r="CJ134" s="191">
        <f t="shared" si="806"/>
        <v>0</v>
      </c>
      <c r="CK134" s="191">
        <f t="shared" si="806"/>
        <v>0</v>
      </c>
      <c r="CL134" s="191">
        <f t="shared" ref="CL134:CL141" si="807">CL39</f>
        <v>0</v>
      </c>
      <c r="CM134" s="191">
        <f t="shared" ref="CM134:CM141" si="808">CM39</f>
        <v>0</v>
      </c>
      <c r="CN134" s="191">
        <f t="shared" ref="CN134:CN141" si="809">CN39</f>
        <v>0</v>
      </c>
      <c r="CO134" s="191">
        <f t="shared" ref="CO134:CP141" si="810">CO39</f>
        <v>0</v>
      </c>
      <c r="CP134" s="191">
        <f t="shared" si="810"/>
        <v>0</v>
      </c>
      <c r="CQ134" s="20"/>
      <c r="CR134" s="193">
        <f t="shared" ref="CR134:CT141" si="811">CR39</f>
        <v>0</v>
      </c>
      <c r="CS134" s="191">
        <f t="shared" si="811"/>
        <v>0</v>
      </c>
      <c r="CT134" s="191">
        <f t="shared" si="811"/>
        <v>0</v>
      </c>
      <c r="CU134" s="191">
        <f t="shared" ref="CU134:DC134" si="812">CU39</f>
        <v>-284.90800000000002</v>
      </c>
      <c r="CV134" s="191">
        <f t="shared" si="812"/>
        <v>-29.5</v>
      </c>
      <c r="CW134" s="191">
        <f t="shared" si="812"/>
        <v>0</v>
      </c>
      <c r="CX134" s="191">
        <f t="shared" si="812"/>
        <v>0</v>
      </c>
      <c r="CY134" s="191">
        <f t="shared" si="812"/>
        <v>0</v>
      </c>
      <c r="CZ134" s="191">
        <f t="shared" si="812"/>
        <v>0</v>
      </c>
      <c r="DA134" s="191">
        <f t="shared" si="812"/>
        <v>0</v>
      </c>
      <c r="DB134" s="191">
        <f t="shared" si="812"/>
        <v>0</v>
      </c>
      <c r="DC134" s="191">
        <f t="shared" si="812"/>
        <v>0</v>
      </c>
      <c r="DD134" s="191">
        <f t="shared" ref="DD134:DE141" si="813">DD39</f>
        <v>0</v>
      </c>
      <c r="DE134" s="191">
        <f t="shared" si="813"/>
        <v>0</v>
      </c>
      <c r="DF134" s="191">
        <f t="shared" ref="DF134:DG141" si="814">DF39</f>
        <v>0</v>
      </c>
      <c r="DG134" s="191">
        <f t="shared" si="814"/>
        <v>0</v>
      </c>
      <c r="DH134" s="191">
        <f t="shared" ref="DH134" si="815">DH39</f>
        <v>0</v>
      </c>
      <c r="DI134" s="22"/>
    </row>
    <row r="135" spans="1:113" ht="14.25" customHeight="1" outlineLevel="1">
      <c r="A135" s="8">
        <v>2</v>
      </c>
      <c r="B135" s="27" t="s">
        <v>371</v>
      </c>
      <c r="C135" s="28"/>
      <c r="D135" s="196">
        <v>0</v>
      </c>
      <c r="E135" s="194">
        <v>0</v>
      </c>
      <c r="F135" s="194">
        <v>0</v>
      </c>
      <c r="G135" s="195">
        <v>0</v>
      </c>
      <c r="H135" s="196">
        <v>0</v>
      </c>
      <c r="I135" s="194">
        <v>0</v>
      </c>
      <c r="J135" s="194">
        <v>0</v>
      </c>
      <c r="K135" s="195">
        <v>0</v>
      </c>
      <c r="L135" s="196">
        <v>0</v>
      </c>
      <c r="M135" s="194">
        <v>42.274999999999999</v>
      </c>
      <c r="N135" s="194">
        <v>44.252000000000002</v>
      </c>
      <c r="O135" s="195">
        <v>45.454000000000001</v>
      </c>
      <c r="P135" s="196">
        <v>0</v>
      </c>
      <c r="Q135" s="194">
        <v>0</v>
      </c>
      <c r="R135" s="194">
        <v>0</v>
      </c>
      <c r="S135" s="195">
        <v>268.95400000000001</v>
      </c>
      <c r="T135" s="196">
        <v>0</v>
      </c>
      <c r="U135" s="194">
        <v>0</v>
      </c>
      <c r="V135" s="194">
        <v>0</v>
      </c>
      <c r="W135" s="195">
        <v>0</v>
      </c>
      <c r="X135" s="196">
        <v>0</v>
      </c>
      <c r="Y135" s="194">
        <v>0</v>
      </c>
      <c r="Z135" s="194">
        <v>1127</v>
      </c>
      <c r="AA135" s="195">
        <v>1127</v>
      </c>
      <c r="AB135" s="196">
        <v>0</v>
      </c>
      <c r="AC135" s="194">
        <v>0</v>
      </c>
      <c r="AD135" s="194">
        <v>0</v>
      </c>
      <c r="AE135" s="195">
        <v>0</v>
      </c>
      <c r="AF135" s="196">
        <v>0</v>
      </c>
      <c r="AG135" s="194">
        <v>0</v>
      </c>
      <c r="AH135" s="194">
        <v>0</v>
      </c>
      <c r="AI135" s="195">
        <v>0</v>
      </c>
      <c r="AJ135" s="196">
        <v>0</v>
      </c>
      <c r="AK135" s="194">
        <v>0</v>
      </c>
      <c r="AL135" s="194">
        <v>0</v>
      </c>
      <c r="AM135" s="195">
        <v>0</v>
      </c>
      <c r="AN135" s="194">
        <v>0</v>
      </c>
      <c r="AO135" s="194">
        <v>0</v>
      </c>
      <c r="AP135" s="194">
        <v>0</v>
      </c>
      <c r="AQ135" s="195">
        <v>0</v>
      </c>
      <c r="AR135" s="194">
        <v>0</v>
      </c>
      <c r="AS135" s="194">
        <v>0</v>
      </c>
      <c r="AT135" s="194">
        <v>0</v>
      </c>
      <c r="AU135" s="195">
        <v>620</v>
      </c>
      <c r="AV135" s="194">
        <f>30+260+350</f>
        <v>640</v>
      </c>
      <c r="AW135" s="194">
        <f>30+360+350</f>
        <v>740</v>
      </c>
      <c r="AX135" s="194">
        <f>30+453.5+350</f>
        <v>833.5</v>
      </c>
      <c r="AY135" s="195">
        <f>30+753.5</f>
        <v>783.5</v>
      </c>
      <c r="AZ135" s="194">
        <v>504.375</v>
      </c>
      <c r="BA135" s="194">
        <v>632.875</v>
      </c>
      <c r="BB135" s="194">
        <v>772.27499999999998</v>
      </c>
      <c r="BC135" s="195">
        <v>1859.5940000000001</v>
      </c>
      <c r="BD135" s="194">
        <v>145</v>
      </c>
      <c r="BE135" s="194">
        <v>1024.5</v>
      </c>
      <c r="BF135" s="194">
        <v>1117.5</v>
      </c>
      <c r="BG135" s="195">
        <v>2204.5</v>
      </c>
      <c r="BH135" s="194">
        <f>1280-602</f>
        <v>678</v>
      </c>
      <c r="BI135" s="194">
        <f>-951.5+1385</f>
        <v>433.5</v>
      </c>
      <c r="BJ135" s="194">
        <f>1517-1078.5</f>
        <v>438.5</v>
      </c>
      <c r="BK135" s="195">
        <v>1537</v>
      </c>
      <c r="BL135" s="194">
        <f>60-60</f>
        <v>0</v>
      </c>
      <c r="BM135" s="194">
        <f>-113+113</f>
        <v>0</v>
      </c>
      <c r="BN135" s="194">
        <f>-187+187</f>
        <v>0</v>
      </c>
      <c r="BO135" s="192">
        <f t="shared" si="796"/>
        <v>0</v>
      </c>
      <c r="BP135" s="191">
        <f t="shared" si="797"/>
        <v>0</v>
      </c>
      <c r="BQ135" s="191">
        <f t="shared" si="798"/>
        <v>0</v>
      </c>
      <c r="BR135" s="191">
        <f t="shared" si="799"/>
        <v>0</v>
      </c>
      <c r="BS135" s="192">
        <f t="shared" si="800"/>
        <v>0</v>
      </c>
      <c r="BT135" s="191">
        <f t="shared" si="801"/>
        <v>0</v>
      </c>
      <c r="BU135" s="191">
        <f t="shared" si="802"/>
        <v>0</v>
      </c>
      <c r="BV135" s="191">
        <f t="shared" si="803"/>
        <v>0</v>
      </c>
      <c r="BW135" s="192">
        <f t="shared" si="804"/>
        <v>0</v>
      </c>
      <c r="BX135" s="160"/>
      <c r="BY135" s="191">
        <f t="shared" si="805"/>
        <v>0</v>
      </c>
      <c r="BZ135" s="191">
        <f t="shared" si="805"/>
        <v>0</v>
      </c>
      <c r="CA135" s="191">
        <f t="shared" si="805"/>
        <v>45.454000000000001</v>
      </c>
      <c r="CB135" s="191">
        <f t="shared" ref="CB135:CK135" si="816">CB40</f>
        <v>268.95400000000001</v>
      </c>
      <c r="CC135" s="191">
        <f t="shared" si="816"/>
        <v>0</v>
      </c>
      <c r="CD135" s="191">
        <f t="shared" si="816"/>
        <v>1127</v>
      </c>
      <c r="CE135" s="191">
        <f t="shared" si="816"/>
        <v>0</v>
      </c>
      <c r="CF135" s="191">
        <f t="shared" si="816"/>
        <v>0</v>
      </c>
      <c r="CG135" s="191">
        <f t="shared" si="816"/>
        <v>0</v>
      </c>
      <c r="CH135" s="191">
        <f t="shared" si="816"/>
        <v>0</v>
      </c>
      <c r="CI135" s="191">
        <f t="shared" si="816"/>
        <v>620</v>
      </c>
      <c r="CJ135" s="191">
        <f t="shared" si="816"/>
        <v>783.5</v>
      </c>
      <c r="CK135" s="191">
        <f t="shared" si="816"/>
        <v>1859.5940000000001</v>
      </c>
      <c r="CL135" s="191">
        <f t="shared" si="807"/>
        <v>2204.5</v>
      </c>
      <c r="CM135" s="191">
        <f t="shared" si="808"/>
        <v>1537</v>
      </c>
      <c r="CN135" s="191">
        <f t="shared" si="809"/>
        <v>0</v>
      </c>
      <c r="CO135" s="191">
        <f t="shared" si="810"/>
        <v>0</v>
      </c>
      <c r="CP135" s="191">
        <f t="shared" si="810"/>
        <v>0</v>
      </c>
      <c r="CQ135" s="20"/>
      <c r="CR135" s="193">
        <f t="shared" si="811"/>
        <v>0</v>
      </c>
      <c r="CS135" s="191">
        <f t="shared" si="811"/>
        <v>44.252000000000002</v>
      </c>
      <c r="CT135" s="191">
        <f t="shared" si="811"/>
        <v>1.2019999999999982</v>
      </c>
      <c r="CU135" s="191">
        <f t="shared" ref="CU135:DC135" si="817">CU40</f>
        <v>268.95400000000001</v>
      </c>
      <c r="CV135" s="191">
        <f t="shared" si="817"/>
        <v>1127</v>
      </c>
      <c r="CW135" s="191">
        <f t="shared" si="817"/>
        <v>0</v>
      </c>
      <c r="CX135" s="191">
        <f t="shared" si="817"/>
        <v>0</v>
      </c>
      <c r="CY135" s="191">
        <f t="shared" si="817"/>
        <v>0</v>
      </c>
      <c r="CZ135" s="191">
        <f t="shared" si="817"/>
        <v>0</v>
      </c>
      <c r="DA135" s="191">
        <f t="shared" si="817"/>
        <v>0</v>
      </c>
      <c r="DB135" s="191">
        <f t="shared" si="817"/>
        <v>1453.5</v>
      </c>
      <c r="DC135" s="191">
        <f t="shared" si="817"/>
        <v>722.27499999999998</v>
      </c>
      <c r="DD135" s="191">
        <f t="shared" si="813"/>
        <v>2204.819</v>
      </c>
      <c r="DE135" s="191">
        <f t="shared" si="813"/>
        <v>1525.5</v>
      </c>
      <c r="DF135" s="191">
        <f t="shared" si="814"/>
        <v>1098.5</v>
      </c>
      <c r="DG135" s="191">
        <f t="shared" si="814"/>
        <v>0</v>
      </c>
      <c r="DH135" s="191">
        <f t="shared" ref="DH135" si="818">DH40</f>
        <v>0</v>
      </c>
      <c r="DI135" s="22"/>
    </row>
    <row r="136" spans="1:113" ht="14.25" customHeight="1" outlineLevel="1">
      <c r="A136" s="8">
        <v>3</v>
      </c>
      <c r="B136" s="27" t="s">
        <v>176</v>
      </c>
      <c r="C136" s="28"/>
      <c r="D136" s="196">
        <v>0</v>
      </c>
      <c r="E136" s="194">
        <v>0</v>
      </c>
      <c r="F136" s="194">
        <v>0</v>
      </c>
      <c r="G136" s="195">
        <v>0</v>
      </c>
      <c r="H136" s="196">
        <v>0</v>
      </c>
      <c r="I136" s="194">
        <v>0</v>
      </c>
      <c r="J136" s="194">
        <v>0</v>
      </c>
      <c r="K136" s="195">
        <v>0</v>
      </c>
      <c r="L136" s="196">
        <v>0</v>
      </c>
      <c r="M136" s="194">
        <v>0</v>
      </c>
      <c r="N136" s="194">
        <v>0</v>
      </c>
      <c r="O136" s="195">
        <v>0</v>
      </c>
      <c r="P136" s="196">
        <v>0</v>
      </c>
      <c r="Q136" s="194">
        <v>0</v>
      </c>
      <c r="R136" s="194">
        <v>0</v>
      </c>
      <c r="S136" s="195">
        <v>0</v>
      </c>
      <c r="T136" s="196">
        <v>0</v>
      </c>
      <c r="U136" s="194">
        <v>0</v>
      </c>
      <c r="V136" s="194">
        <v>0</v>
      </c>
      <c r="W136" s="195">
        <v>0</v>
      </c>
      <c r="X136" s="196">
        <v>0</v>
      </c>
      <c r="Y136" s="194">
        <v>0</v>
      </c>
      <c r="Z136" s="194">
        <v>0</v>
      </c>
      <c r="AA136" s="195">
        <v>0</v>
      </c>
      <c r="AB136" s="196">
        <v>0</v>
      </c>
      <c r="AC136" s="194">
        <v>0</v>
      </c>
      <c r="AD136" s="194">
        <v>0</v>
      </c>
      <c r="AE136" s="195">
        <v>0</v>
      </c>
      <c r="AF136" s="196">
        <v>0</v>
      </c>
      <c r="AG136" s="194">
        <v>0</v>
      </c>
      <c r="AH136" s="194">
        <v>0</v>
      </c>
      <c r="AI136" s="195">
        <v>0</v>
      </c>
      <c r="AJ136" s="196">
        <v>0</v>
      </c>
      <c r="AK136" s="194">
        <v>0</v>
      </c>
      <c r="AL136" s="194">
        <v>0</v>
      </c>
      <c r="AM136" s="195">
        <v>0</v>
      </c>
      <c r="AN136" s="194">
        <v>0</v>
      </c>
      <c r="AO136" s="194">
        <v>0</v>
      </c>
      <c r="AP136" s="194">
        <v>0</v>
      </c>
      <c r="AQ136" s="195">
        <v>0</v>
      </c>
      <c r="AR136" s="194">
        <v>0</v>
      </c>
      <c r="AS136" s="194">
        <v>600</v>
      </c>
      <c r="AT136" s="194">
        <v>610</v>
      </c>
      <c r="AU136" s="195">
        <v>0</v>
      </c>
      <c r="AV136" s="194">
        <v>-650</v>
      </c>
      <c r="AW136" s="194">
        <f>-650-70</f>
        <v>-720</v>
      </c>
      <c r="AX136" s="194">
        <f>-650-153.5</f>
        <v>-803.5</v>
      </c>
      <c r="AY136" s="195">
        <f>-650-453.5</f>
        <v>-1103.5</v>
      </c>
      <c r="AZ136" s="194">
        <v>-170</v>
      </c>
      <c r="BA136" s="194">
        <v>-308.5</v>
      </c>
      <c r="BB136" s="194">
        <v>-427.9</v>
      </c>
      <c r="BC136" s="195">
        <v>-1697.6420000000001</v>
      </c>
      <c r="BD136" s="194">
        <v>-110</v>
      </c>
      <c r="BE136" s="194">
        <v>-190</v>
      </c>
      <c r="BF136" s="194">
        <v>-571</v>
      </c>
      <c r="BG136" s="195">
        <v>-1614.452</v>
      </c>
      <c r="BH136" s="194">
        <v>0</v>
      </c>
      <c r="BI136" s="194">
        <v>0</v>
      </c>
      <c r="BJ136" s="194">
        <v>0</v>
      </c>
      <c r="BK136" s="195">
        <v>-2781</v>
      </c>
      <c r="BL136" s="194">
        <v>0</v>
      </c>
      <c r="BM136" s="194">
        <v>0</v>
      </c>
      <c r="BN136" s="194">
        <v>0</v>
      </c>
      <c r="BO136" s="192">
        <f t="shared" si="796"/>
        <v>0</v>
      </c>
      <c r="BP136" s="191">
        <f t="shared" si="797"/>
        <v>0</v>
      </c>
      <c r="BQ136" s="191">
        <f t="shared" si="798"/>
        <v>0</v>
      </c>
      <c r="BR136" s="191">
        <f t="shared" si="799"/>
        <v>0</v>
      </c>
      <c r="BS136" s="192">
        <f t="shared" si="800"/>
        <v>0</v>
      </c>
      <c r="BT136" s="191">
        <f t="shared" si="801"/>
        <v>0</v>
      </c>
      <c r="BU136" s="191">
        <f t="shared" si="802"/>
        <v>0</v>
      </c>
      <c r="BV136" s="191">
        <f t="shared" si="803"/>
        <v>0</v>
      </c>
      <c r="BW136" s="192">
        <f t="shared" si="804"/>
        <v>0</v>
      </c>
      <c r="BX136" s="160"/>
      <c r="BY136" s="191">
        <f t="shared" si="805"/>
        <v>0</v>
      </c>
      <c r="BZ136" s="191">
        <f t="shared" si="805"/>
        <v>0</v>
      </c>
      <c r="CA136" s="191">
        <f t="shared" si="805"/>
        <v>0</v>
      </c>
      <c r="CB136" s="191">
        <f t="shared" ref="CB136:CK136" si="819">CB41</f>
        <v>0</v>
      </c>
      <c r="CC136" s="191">
        <f t="shared" si="819"/>
        <v>0</v>
      </c>
      <c r="CD136" s="191">
        <f t="shared" si="819"/>
        <v>0</v>
      </c>
      <c r="CE136" s="191">
        <f t="shared" si="819"/>
        <v>0</v>
      </c>
      <c r="CF136" s="191">
        <f t="shared" si="819"/>
        <v>0</v>
      </c>
      <c r="CG136" s="191">
        <f t="shared" si="819"/>
        <v>0</v>
      </c>
      <c r="CH136" s="191">
        <f t="shared" si="819"/>
        <v>0</v>
      </c>
      <c r="CI136" s="191">
        <f t="shared" si="819"/>
        <v>0</v>
      </c>
      <c r="CJ136" s="191">
        <f t="shared" si="819"/>
        <v>-1103.5</v>
      </c>
      <c r="CK136" s="191">
        <f t="shared" si="819"/>
        <v>-1697.6420000000003</v>
      </c>
      <c r="CL136" s="191">
        <f t="shared" si="807"/>
        <v>-1614.452</v>
      </c>
      <c r="CM136" s="191">
        <f t="shared" si="808"/>
        <v>-2781</v>
      </c>
      <c r="CN136" s="191">
        <f t="shared" si="809"/>
        <v>0</v>
      </c>
      <c r="CO136" s="191">
        <f t="shared" si="810"/>
        <v>0</v>
      </c>
      <c r="CP136" s="191">
        <f t="shared" si="810"/>
        <v>0</v>
      </c>
      <c r="CQ136" s="20"/>
      <c r="CR136" s="193">
        <f t="shared" si="811"/>
        <v>0</v>
      </c>
      <c r="CS136" s="191">
        <f t="shared" si="811"/>
        <v>0</v>
      </c>
      <c r="CT136" s="191">
        <f t="shared" si="811"/>
        <v>0</v>
      </c>
      <c r="CU136" s="191">
        <f t="shared" ref="CU136:DC136" si="820">CU41</f>
        <v>0</v>
      </c>
      <c r="CV136" s="191">
        <f t="shared" si="820"/>
        <v>0</v>
      </c>
      <c r="CW136" s="191">
        <f t="shared" si="820"/>
        <v>0</v>
      </c>
      <c r="CX136" s="191">
        <f t="shared" si="820"/>
        <v>0</v>
      </c>
      <c r="CY136" s="191">
        <f t="shared" si="820"/>
        <v>0</v>
      </c>
      <c r="CZ136" s="191">
        <f t="shared" si="820"/>
        <v>0</v>
      </c>
      <c r="DA136" s="191">
        <f t="shared" si="820"/>
        <v>610</v>
      </c>
      <c r="DB136" s="191">
        <f t="shared" si="820"/>
        <v>-1413.5</v>
      </c>
      <c r="DC136" s="191">
        <f t="shared" si="820"/>
        <v>-727.9</v>
      </c>
      <c r="DD136" s="191">
        <f t="shared" si="813"/>
        <v>-1840.7420000000002</v>
      </c>
      <c r="DE136" s="191">
        <f t="shared" si="813"/>
        <v>-1043.452</v>
      </c>
      <c r="DF136" s="191">
        <f t="shared" si="814"/>
        <v>-2781</v>
      </c>
      <c r="DG136" s="191">
        <f t="shared" si="814"/>
        <v>0</v>
      </c>
      <c r="DH136" s="191">
        <f t="shared" ref="DH136" si="821">DH41</f>
        <v>0</v>
      </c>
      <c r="DI136" s="22"/>
    </row>
    <row r="137" spans="1:113" ht="14.25" customHeight="1" outlineLevel="1">
      <c r="A137" s="8">
        <v>6</v>
      </c>
      <c r="B137" s="27" t="s">
        <v>408</v>
      </c>
      <c r="C137" s="28"/>
      <c r="D137" s="196">
        <v>0</v>
      </c>
      <c r="E137" s="194">
        <v>-7.45</v>
      </c>
      <c r="F137" s="194">
        <v>-7.4729999999999999</v>
      </c>
      <c r="G137" s="195">
        <v>-26.52</v>
      </c>
      <c r="H137" s="196">
        <v>-2.5129999999999999</v>
      </c>
      <c r="I137" s="194">
        <v>-2.5129999999999999</v>
      </c>
      <c r="J137" s="194">
        <v>-2.5129999999999999</v>
      </c>
      <c r="K137" s="195">
        <v>-53.863999999999997</v>
      </c>
      <c r="L137" s="196">
        <v>-22.82</v>
      </c>
      <c r="M137" s="194">
        <v>-65.122</v>
      </c>
      <c r="N137" s="194">
        <v>-67.072999999999993</v>
      </c>
      <c r="O137" s="195">
        <v>-68.275999999999996</v>
      </c>
      <c r="P137" s="196">
        <v>0</v>
      </c>
      <c r="Q137" s="194">
        <v>0</v>
      </c>
      <c r="R137" s="194">
        <v>-3.32</v>
      </c>
      <c r="S137" s="195">
        <v>-3.32</v>
      </c>
      <c r="T137" s="196">
        <v>0</v>
      </c>
      <c r="U137" s="194">
        <v>0</v>
      </c>
      <c r="V137" s="194">
        <v>0</v>
      </c>
      <c r="W137" s="195">
        <v>0</v>
      </c>
      <c r="X137" s="196">
        <v>0</v>
      </c>
      <c r="Y137" s="194">
        <v>-150.172</v>
      </c>
      <c r="Z137" s="194">
        <v>-964.76700000000005</v>
      </c>
      <c r="AA137" s="195">
        <v>-1138.04</v>
      </c>
      <c r="AB137" s="196">
        <v>-23.637</v>
      </c>
      <c r="AC137" s="194">
        <v>-123.929</v>
      </c>
      <c r="AD137" s="194">
        <v>-123.929</v>
      </c>
      <c r="AE137" s="195">
        <v>-123.929</v>
      </c>
      <c r="AF137" s="454">
        <v>0</v>
      </c>
      <c r="AG137" s="453">
        <v>0</v>
      </c>
      <c r="AH137" s="453">
        <v>0</v>
      </c>
      <c r="AI137" s="195">
        <v>0</v>
      </c>
      <c r="AJ137" s="454">
        <v>0</v>
      </c>
      <c r="AK137" s="194">
        <v>0</v>
      </c>
      <c r="AL137" s="194">
        <v>0</v>
      </c>
      <c r="AM137" s="195">
        <v>0</v>
      </c>
      <c r="AN137" s="453">
        <v>0</v>
      </c>
      <c r="AO137" s="194">
        <v>0</v>
      </c>
      <c r="AP137" s="194">
        <v>0</v>
      </c>
      <c r="AQ137" s="195">
        <v>0</v>
      </c>
      <c r="AR137" s="453">
        <v>0</v>
      </c>
      <c r="AS137" s="194">
        <v>0</v>
      </c>
      <c r="AT137" s="194">
        <v>0</v>
      </c>
      <c r="AU137" s="195">
        <v>0</v>
      </c>
      <c r="AV137" s="453">
        <v>0</v>
      </c>
      <c r="AW137" s="194">
        <v>0</v>
      </c>
      <c r="AX137" s="194">
        <v>0</v>
      </c>
      <c r="AY137" s="195">
        <v>0</v>
      </c>
      <c r="AZ137" s="453">
        <v>0</v>
      </c>
      <c r="BA137" s="194">
        <v>0</v>
      </c>
      <c r="BB137" s="194">
        <v>0</v>
      </c>
      <c r="BC137" s="195">
        <v>0</v>
      </c>
      <c r="BD137" s="453">
        <v>0</v>
      </c>
      <c r="BE137" s="194">
        <v>-363.82900000000001</v>
      </c>
      <c r="BF137" s="194">
        <v>-363.82900000000001</v>
      </c>
      <c r="BG137" s="195">
        <v>0</v>
      </c>
      <c r="BH137" s="453">
        <v>0</v>
      </c>
      <c r="BI137" s="194">
        <v>0</v>
      </c>
      <c r="BJ137" s="194">
        <v>0</v>
      </c>
      <c r="BK137" s="195">
        <v>0</v>
      </c>
      <c r="BL137" s="453">
        <v>0</v>
      </c>
      <c r="BM137" s="194">
        <v>0</v>
      </c>
      <c r="BN137" s="194">
        <v>0</v>
      </c>
      <c r="BO137" s="192">
        <f t="shared" si="796"/>
        <v>0</v>
      </c>
      <c r="BP137" s="191">
        <f t="shared" si="797"/>
        <v>0</v>
      </c>
      <c r="BQ137" s="191">
        <f t="shared" si="798"/>
        <v>0</v>
      </c>
      <c r="BR137" s="191">
        <f t="shared" si="799"/>
        <v>0</v>
      </c>
      <c r="BS137" s="192">
        <f t="shared" si="800"/>
        <v>0</v>
      </c>
      <c r="BT137" s="191">
        <f t="shared" si="801"/>
        <v>0</v>
      </c>
      <c r="BU137" s="191">
        <f t="shared" si="802"/>
        <v>0</v>
      </c>
      <c r="BV137" s="191">
        <f t="shared" si="803"/>
        <v>0</v>
      </c>
      <c r="BW137" s="192">
        <f t="shared" si="804"/>
        <v>0</v>
      </c>
      <c r="BX137" s="160"/>
      <c r="BY137" s="191">
        <f t="shared" si="805"/>
        <v>-26.52</v>
      </c>
      <c r="BZ137" s="191">
        <f t="shared" si="805"/>
        <v>-53.863999999999997</v>
      </c>
      <c r="CA137" s="191">
        <f t="shared" si="805"/>
        <v>-68.275999999999996</v>
      </c>
      <c r="CB137" s="191">
        <f t="shared" ref="CB137:CK137" si="822">CB42</f>
        <v>-3.32</v>
      </c>
      <c r="CC137" s="191">
        <f t="shared" si="822"/>
        <v>0</v>
      </c>
      <c r="CD137" s="191">
        <f t="shared" si="822"/>
        <v>-1138.04</v>
      </c>
      <c r="CE137" s="191">
        <f t="shared" si="822"/>
        <v>-123.929</v>
      </c>
      <c r="CF137" s="191">
        <f t="shared" si="822"/>
        <v>0</v>
      </c>
      <c r="CG137" s="191">
        <f t="shared" si="822"/>
        <v>0</v>
      </c>
      <c r="CH137" s="191">
        <f t="shared" si="822"/>
        <v>0</v>
      </c>
      <c r="CI137" s="191">
        <f t="shared" si="822"/>
        <v>0</v>
      </c>
      <c r="CJ137" s="191">
        <f t="shared" si="822"/>
        <v>0</v>
      </c>
      <c r="CK137" s="191">
        <f t="shared" si="822"/>
        <v>0</v>
      </c>
      <c r="CL137" s="191">
        <f t="shared" si="807"/>
        <v>0</v>
      </c>
      <c r="CM137" s="191">
        <f t="shared" si="808"/>
        <v>0</v>
      </c>
      <c r="CN137" s="191">
        <f t="shared" si="809"/>
        <v>0</v>
      </c>
      <c r="CO137" s="191">
        <f t="shared" si="810"/>
        <v>0</v>
      </c>
      <c r="CP137" s="191">
        <f t="shared" si="810"/>
        <v>0</v>
      </c>
      <c r="CQ137" s="20"/>
      <c r="CR137" s="193">
        <f t="shared" si="811"/>
        <v>-21.560000000000002</v>
      </c>
      <c r="CS137" s="191">
        <f t="shared" si="811"/>
        <v>-118.42399999999998</v>
      </c>
      <c r="CT137" s="191">
        <f t="shared" si="811"/>
        <v>-4.5230000000000032</v>
      </c>
      <c r="CU137" s="191">
        <f t="shared" ref="CU137:DC137" si="823">CU42</f>
        <v>0</v>
      </c>
      <c r="CV137" s="191">
        <f t="shared" si="823"/>
        <v>-964.76700000000005</v>
      </c>
      <c r="CW137" s="191">
        <f t="shared" si="823"/>
        <v>-297.20199999999994</v>
      </c>
      <c r="CX137" s="191">
        <f t="shared" si="823"/>
        <v>0</v>
      </c>
      <c r="CY137" s="191">
        <f t="shared" si="823"/>
        <v>0</v>
      </c>
      <c r="CZ137" s="191">
        <f t="shared" si="823"/>
        <v>0</v>
      </c>
      <c r="DA137" s="191">
        <f t="shared" si="823"/>
        <v>0</v>
      </c>
      <c r="DB137" s="191">
        <f t="shared" si="823"/>
        <v>0</v>
      </c>
      <c r="DC137" s="191">
        <f t="shared" si="823"/>
        <v>0</v>
      </c>
      <c r="DD137" s="191">
        <f t="shared" si="813"/>
        <v>-363.82900000000001</v>
      </c>
      <c r="DE137" s="191">
        <f t="shared" si="813"/>
        <v>363.82900000000001</v>
      </c>
      <c r="DF137" s="191">
        <f t="shared" si="814"/>
        <v>0</v>
      </c>
      <c r="DG137" s="191">
        <f t="shared" si="814"/>
        <v>0</v>
      </c>
      <c r="DH137" s="191">
        <f t="shared" ref="DH137" si="824">DH42</f>
        <v>0</v>
      </c>
      <c r="DI137" s="22"/>
    </row>
    <row r="138" spans="1:113" ht="14.25" customHeight="1" outlineLevel="1">
      <c r="A138" s="8">
        <v>4</v>
      </c>
      <c r="B138" s="27" t="s">
        <v>174</v>
      </c>
      <c r="C138" s="28"/>
      <c r="D138" s="196">
        <v>0</v>
      </c>
      <c r="E138" s="194">
        <v>0</v>
      </c>
      <c r="F138" s="194">
        <v>-4.0609999999999999</v>
      </c>
      <c r="G138" s="195">
        <v>-8.1289999999999996</v>
      </c>
      <c r="H138" s="196">
        <v>-4.8929999999999998</v>
      </c>
      <c r="I138" s="194">
        <v>-9.8119999999999994</v>
      </c>
      <c r="J138" s="194">
        <v>-16.035</v>
      </c>
      <c r="K138" s="195">
        <v>-23.321000000000002</v>
      </c>
      <c r="L138" s="196">
        <v>-8.266</v>
      </c>
      <c r="M138" s="194">
        <v>-17.739000000000001</v>
      </c>
      <c r="N138" s="194">
        <v>-28.491</v>
      </c>
      <c r="O138" s="195">
        <v>-42.997</v>
      </c>
      <c r="P138" s="196">
        <v>-19.795000000000002</v>
      </c>
      <c r="Q138" s="194">
        <v>-45.966999999999999</v>
      </c>
      <c r="R138" s="194">
        <v>-79.611999999999995</v>
      </c>
      <c r="S138" s="195">
        <v>-120.10899999999999</v>
      </c>
      <c r="T138" s="196">
        <v>-46.064</v>
      </c>
      <c r="U138" s="194">
        <v>-96.572999999999993</v>
      </c>
      <c r="V138" s="194">
        <v>-150.52600000000001</v>
      </c>
      <c r="W138" s="195">
        <v>-207.898</v>
      </c>
      <c r="X138" s="196">
        <v>-61.119</v>
      </c>
      <c r="Y138" s="194">
        <v>-125.214</v>
      </c>
      <c r="Z138" s="194">
        <v>-191.59200000000001</v>
      </c>
      <c r="AA138" s="195">
        <v>-251.959</v>
      </c>
      <c r="AB138" s="196">
        <v>-60.976999999999997</v>
      </c>
      <c r="AC138" s="194">
        <v>-123.145</v>
      </c>
      <c r="AD138" s="194">
        <v>-184.83500000000001</v>
      </c>
      <c r="AE138" s="195">
        <v>-246.65700000000001</v>
      </c>
      <c r="AF138" s="196">
        <v>-61.991</v>
      </c>
      <c r="AG138" s="194">
        <v>-124.074</v>
      </c>
      <c r="AH138" s="194">
        <v>-186.59399999999999</v>
      </c>
      <c r="AI138" s="195">
        <v>-249.55600000000001</v>
      </c>
      <c r="AJ138" s="196">
        <v>-63.453000000000003</v>
      </c>
      <c r="AK138" s="194">
        <v>-127.361</v>
      </c>
      <c r="AL138" s="194">
        <v>-256.80799999999999</v>
      </c>
      <c r="AM138" s="195">
        <v>-256.81099999999998</v>
      </c>
      <c r="AN138" s="194">
        <v>-65.900000000000006</v>
      </c>
      <c r="AO138" s="194">
        <v>-132.10599999999999</v>
      </c>
      <c r="AP138" s="194">
        <v>-198.91900000000001</v>
      </c>
      <c r="AQ138" s="195">
        <v>-266.178</v>
      </c>
      <c r="AR138" s="194">
        <v>-67.748999999999995</v>
      </c>
      <c r="AS138" s="194">
        <v>-135.89500000000001</v>
      </c>
      <c r="AT138" s="194">
        <v>-204.59200000000001</v>
      </c>
      <c r="AU138" s="195">
        <v>-273.822</v>
      </c>
      <c r="AV138" s="194">
        <v>-69.682000000000002</v>
      </c>
      <c r="AW138" s="194">
        <v>-139.768</v>
      </c>
      <c r="AX138" s="194">
        <v>-210.322</v>
      </c>
      <c r="AY138" s="195">
        <v>-281.20400000000001</v>
      </c>
      <c r="AZ138" s="194">
        <v>-71.201999999999998</v>
      </c>
      <c r="BA138" s="194">
        <v>-142.64400000000001</v>
      </c>
      <c r="BB138" s="194">
        <v>-214.43100000000001</v>
      </c>
      <c r="BC138" s="195">
        <v>-286.47800000000001</v>
      </c>
      <c r="BD138" s="194">
        <v>-72.331000000000003</v>
      </c>
      <c r="BE138" s="194">
        <v>-145.01599999999999</v>
      </c>
      <c r="BF138" s="194">
        <v>-217.93899999999999</v>
      </c>
      <c r="BG138" s="195">
        <v>-291.08699999999999</v>
      </c>
      <c r="BH138" s="194">
        <v>-77.236999999999995</v>
      </c>
      <c r="BI138" s="194">
        <v>-154.87700000000001</v>
      </c>
      <c r="BJ138" s="194">
        <v>-232.84700000000001</v>
      </c>
      <c r="BK138" s="195">
        <v>-315.42899999999997</v>
      </c>
      <c r="BL138" s="194">
        <v>-82.927999999999997</v>
      </c>
      <c r="BM138" s="194">
        <v>-167.44800000000001</v>
      </c>
      <c r="BN138" s="194">
        <v>-252.36</v>
      </c>
      <c r="BO138" s="192">
        <f t="shared" si="796"/>
        <v>-337.94850300000002</v>
      </c>
      <c r="BP138" s="191">
        <f t="shared" si="797"/>
        <v>-85.770003000000003</v>
      </c>
      <c r="BQ138" s="191">
        <f t="shared" si="798"/>
        <v>-171.72150600000001</v>
      </c>
      <c r="BR138" s="191">
        <f t="shared" si="799"/>
        <v>-257.85450900000001</v>
      </c>
      <c r="BS138" s="192">
        <f t="shared" si="800"/>
        <v>-344.16901200000001</v>
      </c>
      <c r="BT138" s="191">
        <f t="shared" si="801"/>
        <v>-86.496003000000002</v>
      </c>
      <c r="BU138" s="191">
        <f t="shared" si="802"/>
        <v>-173.173506</v>
      </c>
      <c r="BV138" s="191">
        <f t="shared" si="803"/>
        <v>-260.032509</v>
      </c>
      <c r="BW138" s="192">
        <f t="shared" si="804"/>
        <v>-347.07301200000001</v>
      </c>
      <c r="BX138" s="160"/>
      <c r="BY138" s="191">
        <f t="shared" si="805"/>
        <v>-8.1289999999999996</v>
      </c>
      <c r="BZ138" s="191">
        <f t="shared" si="805"/>
        <v>-23.321000000000002</v>
      </c>
      <c r="CA138" s="191">
        <f t="shared" si="805"/>
        <v>-42.997</v>
      </c>
      <c r="CB138" s="191">
        <f t="shared" ref="CB138:CK138" si="825">CB43</f>
        <v>-120.10899999999999</v>
      </c>
      <c r="CC138" s="191">
        <f t="shared" si="825"/>
        <v>-207.898</v>
      </c>
      <c r="CD138" s="191">
        <f t="shared" si="825"/>
        <v>-251.959</v>
      </c>
      <c r="CE138" s="191">
        <f t="shared" si="825"/>
        <v>-246.65700000000001</v>
      </c>
      <c r="CF138" s="191">
        <f t="shared" si="825"/>
        <v>-249.55599999999998</v>
      </c>
      <c r="CG138" s="191">
        <f t="shared" si="825"/>
        <v>-256.81099999999998</v>
      </c>
      <c r="CH138" s="191">
        <f t="shared" si="825"/>
        <v>-266.178</v>
      </c>
      <c r="CI138" s="191">
        <f t="shared" si="825"/>
        <v>-273.822</v>
      </c>
      <c r="CJ138" s="191">
        <f t="shared" si="825"/>
        <v>-281.20400000000001</v>
      </c>
      <c r="CK138" s="191">
        <f t="shared" si="825"/>
        <v>-286.47800000000001</v>
      </c>
      <c r="CL138" s="191">
        <f t="shared" si="807"/>
        <v>-291.08699999999999</v>
      </c>
      <c r="CM138" s="191">
        <f t="shared" si="808"/>
        <v>-315.42899999999997</v>
      </c>
      <c r="CN138" s="191">
        <f t="shared" si="809"/>
        <v>-337.94850300000002</v>
      </c>
      <c r="CO138" s="191">
        <f t="shared" si="810"/>
        <v>-344.16901200000001</v>
      </c>
      <c r="CP138" s="191">
        <f t="shared" si="810"/>
        <v>-347.07301200000001</v>
      </c>
      <c r="CQ138" s="20"/>
      <c r="CR138" s="193">
        <f t="shared" si="811"/>
        <v>-20.102999999999998</v>
      </c>
      <c r="CS138" s="191">
        <f t="shared" si="811"/>
        <v>-35.777000000000008</v>
      </c>
      <c r="CT138" s="191">
        <f t="shared" si="811"/>
        <v>-94.117999999999995</v>
      </c>
      <c r="CU138" s="191">
        <f t="shared" ref="CU138:DC138" si="826">CU43</f>
        <v>-191.02300000000002</v>
      </c>
      <c r="CV138" s="191">
        <f t="shared" si="826"/>
        <v>-248.964</v>
      </c>
      <c r="CW138" s="191">
        <f t="shared" si="826"/>
        <v>-245.202</v>
      </c>
      <c r="CX138" s="191">
        <f t="shared" si="826"/>
        <v>-248.416</v>
      </c>
      <c r="CY138" s="191">
        <f t="shared" si="826"/>
        <v>-319.77</v>
      </c>
      <c r="CZ138" s="191">
        <f t="shared" si="826"/>
        <v>-198.922</v>
      </c>
      <c r="DA138" s="191">
        <f t="shared" si="826"/>
        <v>-271.851</v>
      </c>
      <c r="DB138" s="191">
        <f t="shared" si="826"/>
        <v>-279.55199999999996</v>
      </c>
      <c r="DC138" s="191">
        <f t="shared" si="826"/>
        <v>-285.31299999999999</v>
      </c>
      <c r="DD138" s="191">
        <f t="shared" si="813"/>
        <v>-289.98599999999999</v>
      </c>
      <c r="DE138" s="191">
        <f t="shared" si="813"/>
        <v>-305.995</v>
      </c>
      <c r="DF138" s="191">
        <f t="shared" si="814"/>
        <v>-334.94200000000001</v>
      </c>
      <c r="DG138" s="191">
        <f t="shared" si="814"/>
        <v>-343.44301200000007</v>
      </c>
      <c r="DH138" s="191">
        <f t="shared" ref="DH138" si="827">DH43</f>
        <v>-346.34701200000006</v>
      </c>
      <c r="DI138" s="22"/>
    </row>
    <row r="139" spans="1:113" ht="14.25" customHeight="1" outlineLevel="1">
      <c r="A139" s="8">
        <v>5</v>
      </c>
      <c r="B139" s="27" t="s">
        <v>370</v>
      </c>
      <c r="C139" s="28"/>
      <c r="D139" s="196">
        <v>8.0739999999999998</v>
      </c>
      <c r="E139" s="194">
        <v>16.914999999999999</v>
      </c>
      <c r="F139" s="194">
        <v>23.928000000000001</v>
      </c>
      <c r="G139" s="195">
        <v>31.527999999999999</v>
      </c>
      <c r="H139" s="196">
        <v>6.0220000000000002</v>
      </c>
      <c r="I139" s="194">
        <v>22.863</v>
      </c>
      <c r="J139" s="194">
        <v>43.701000000000001</v>
      </c>
      <c r="K139" s="195">
        <v>53.15</v>
      </c>
      <c r="L139" s="196">
        <v>11.391999999999999</v>
      </c>
      <c r="M139" s="194">
        <v>22.21</v>
      </c>
      <c r="N139" s="194">
        <v>36.200000000000003</v>
      </c>
      <c r="O139" s="195">
        <v>47.234000000000002</v>
      </c>
      <c r="P139" s="196">
        <v>16.699000000000002</v>
      </c>
      <c r="Q139" s="194">
        <v>36.616</v>
      </c>
      <c r="R139" s="194">
        <v>63.500999999999998</v>
      </c>
      <c r="S139" s="195">
        <v>95.751000000000005</v>
      </c>
      <c r="T139" s="196">
        <v>17.477</v>
      </c>
      <c r="U139" s="194">
        <v>33.082999999999998</v>
      </c>
      <c r="V139" s="194">
        <v>42.302</v>
      </c>
      <c r="W139" s="195">
        <v>68.722999999999999</v>
      </c>
      <c r="X139" s="196">
        <v>21.69</v>
      </c>
      <c r="Y139" s="194">
        <v>37.661000000000001</v>
      </c>
      <c r="Z139" s="194">
        <v>44.548999999999999</v>
      </c>
      <c r="AA139" s="195">
        <v>59.112000000000002</v>
      </c>
      <c r="AB139" s="196">
        <v>14.422000000000001</v>
      </c>
      <c r="AC139" s="194">
        <v>25.466000000000001</v>
      </c>
      <c r="AD139" s="194">
        <v>26.475999999999999</v>
      </c>
      <c r="AE139" s="195">
        <v>33.555</v>
      </c>
      <c r="AF139" s="196">
        <v>0.54400000000000004</v>
      </c>
      <c r="AG139" s="194">
        <v>8.9749999999999996</v>
      </c>
      <c r="AH139" s="194">
        <v>18.577999999999999</v>
      </c>
      <c r="AI139" s="195">
        <v>36.478000000000002</v>
      </c>
      <c r="AJ139" s="196">
        <v>7.31</v>
      </c>
      <c r="AK139" s="194">
        <v>22.268999999999998</v>
      </c>
      <c r="AL139" s="194">
        <v>51.347000000000001</v>
      </c>
      <c r="AM139" s="195">
        <v>71.94</v>
      </c>
      <c r="AN139" s="194">
        <v>18.271999999999998</v>
      </c>
      <c r="AO139" s="194">
        <v>25.667000000000002</v>
      </c>
      <c r="AP139" s="194">
        <v>40.409999999999997</v>
      </c>
      <c r="AQ139" s="195">
        <v>57.457000000000001</v>
      </c>
      <c r="AR139" s="194">
        <v>4.9610000000000003</v>
      </c>
      <c r="AS139" s="194">
        <v>16.318000000000001</v>
      </c>
      <c r="AT139" s="194">
        <v>22.619</v>
      </c>
      <c r="AU139" s="195">
        <v>35.695</v>
      </c>
      <c r="AV139" s="194">
        <v>6.9</v>
      </c>
      <c r="AW139" s="194">
        <v>22.196000000000002</v>
      </c>
      <c r="AX139" s="194">
        <v>24.751999999999999</v>
      </c>
      <c r="AY139" s="195">
        <v>37.445999999999998</v>
      </c>
      <c r="AZ139" s="194">
        <v>4.125</v>
      </c>
      <c r="BA139" s="194">
        <v>14.035</v>
      </c>
      <c r="BB139" s="194">
        <v>20.829000000000001</v>
      </c>
      <c r="BC139" s="195">
        <v>34.433</v>
      </c>
      <c r="BD139" s="194">
        <v>3.4969999999999999</v>
      </c>
      <c r="BE139" s="194">
        <v>13.52</v>
      </c>
      <c r="BF139" s="194">
        <v>17.916</v>
      </c>
      <c r="BG139" s="195">
        <v>28.718</v>
      </c>
      <c r="BH139" s="194">
        <v>4.63</v>
      </c>
      <c r="BI139" s="194">
        <v>25.452000000000002</v>
      </c>
      <c r="BJ139" s="194">
        <v>28.893000000000001</v>
      </c>
      <c r="BK139" s="195">
        <v>42.21</v>
      </c>
      <c r="BL139" s="194">
        <v>4.4740000000000002</v>
      </c>
      <c r="BM139" s="194">
        <v>19.568000000000001</v>
      </c>
      <c r="BN139" s="194">
        <v>26.576000000000001</v>
      </c>
      <c r="BO139" s="192">
        <f t="shared" si="796"/>
        <v>26.576000000000001</v>
      </c>
      <c r="BP139" s="191">
        <f t="shared" si="797"/>
        <v>0</v>
      </c>
      <c r="BQ139" s="191">
        <f t="shared" si="798"/>
        <v>0</v>
      </c>
      <c r="BR139" s="191">
        <f t="shared" si="799"/>
        <v>0</v>
      </c>
      <c r="BS139" s="192">
        <f t="shared" si="800"/>
        <v>0</v>
      </c>
      <c r="BT139" s="191">
        <f t="shared" si="801"/>
        <v>0</v>
      </c>
      <c r="BU139" s="191">
        <f t="shared" si="802"/>
        <v>0</v>
      </c>
      <c r="BV139" s="191">
        <f t="shared" si="803"/>
        <v>0</v>
      </c>
      <c r="BW139" s="192">
        <f t="shared" si="804"/>
        <v>0</v>
      </c>
      <c r="BX139" s="160"/>
      <c r="BY139" s="191">
        <f t="shared" si="805"/>
        <v>31.527999999999999</v>
      </c>
      <c r="BZ139" s="191">
        <f t="shared" si="805"/>
        <v>53.15</v>
      </c>
      <c r="CA139" s="191">
        <f t="shared" si="805"/>
        <v>47.234000000000002</v>
      </c>
      <c r="CB139" s="191">
        <f t="shared" ref="CB139:CK139" si="828">CB44</f>
        <v>95.751000000000005</v>
      </c>
      <c r="CC139" s="191">
        <f t="shared" si="828"/>
        <v>68.722999999999999</v>
      </c>
      <c r="CD139" s="191">
        <f t="shared" si="828"/>
        <v>59.111999999999995</v>
      </c>
      <c r="CE139" s="191">
        <f t="shared" si="828"/>
        <v>33.555</v>
      </c>
      <c r="CF139" s="191">
        <f t="shared" si="828"/>
        <v>36.478000000000002</v>
      </c>
      <c r="CG139" s="191">
        <f t="shared" si="828"/>
        <v>71.94</v>
      </c>
      <c r="CH139" s="191">
        <f t="shared" si="828"/>
        <v>57.457000000000001</v>
      </c>
      <c r="CI139" s="191">
        <f t="shared" si="828"/>
        <v>35.695</v>
      </c>
      <c r="CJ139" s="191">
        <f t="shared" si="828"/>
        <v>37.445999999999998</v>
      </c>
      <c r="CK139" s="191">
        <f t="shared" si="828"/>
        <v>34.433</v>
      </c>
      <c r="CL139" s="191">
        <f t="shared" si="807"/>
        <v>28.718</v>
      </c>
      <c r="CM139" s="191">
        <f t="shared" si="808"/>
        <v>42.210000000000008</v>
      </c>
      <c r="CN139" s="191">
        <f t="shared" si="809"/>
        <v>26.576000000000001</v>
      </c>
      <c r="CO139" s="191">
        <f t="shared" si="810"/>
        <v>0</v>
      </c>
      <c r="CP139" s="191">
        <f t="shared" si="810"/>
        <v>0</v>
      </c>
      <c r="CQ139" s="20"/>
      <c r="CR139" s="193">
        <f t="shared" si="811"/>
        <v>51.301000000000002</v>
      </c>
      <c r="CS139" s="191">
        <f t="shared" si="811"/>
        <v>45.649000000000001</v>
      </c>
      <c r="CT139" s="191">
        <f t="shared" si="811"/>
        <v>74.534999999999997</v>
      </c>
      <c r="CU139" s="191">
        <f t="shared" ref="CU139:DC139" si="829">CU44</f>
        <v>74.551999999999992</v>
      </c>
      <c r="CV139" s="191">
        <f t="shared" si="829"/>
        <v>70.97</v>
      </c>
      <c r="CW139" s="191">
        <f t="shared" si="829"/>
        <v>41.038999999999994</v>
      </c>
      <c r="CX139" s="191">
        <f t="shared" si="829"/>
        <v>25.657000000000004</v>
      </c>
      <c r="CY139" s="191">
        <f t="shared" si="829"/>
        <v>69.247</v>
      </c>
      <c r="CZ139" s="191">
        <f t="shared" si="829"/>
        <v>61.002999999999993</v>
      </c>
      <c r="DA139" s="191">
        <f t="shared" si="829"/>
        <v>39.665999999999997</v>
      </c>
      <c r="DB139" s="191">
        <f t="shared" si="829"/>
        <v>37.827999999999996</v>
      </c>
      <c r="DC139" s="191">
        <f t="shared" si="829"/>
        <v>33.523000000000003</v>
      </c>
      <c r="DD139" s="191">
        <f t="shared" si="813"/>
        <v>31.52</v>
      </c>
      <c r="DE139" s="191">
        <f t="shared" si="813"/>
        <v>39.695</v>
      </c>
      <c r="DF139" s="191">
        <f t="shared" si="814"/>
        <v>39.893000000000001</v>
      </c>
      <c r="DG139" s="191">
        <f t="shared" si="814"/>
        <v>0</v>
      </c>
      <c r="DH139" s="191">
        <f t="shared" ref="DH139" si="830">DH44</f>
        <v>0</v>
      </c>
      <c r="DI139" s="22"/>
    </row>
    <row r="140" spans="1:113" ht="14.25" customHeight="1" outlineLevel="1">
      <c r="A140" s="8">
        <v>7</v>
      </c>
      <c r="B140" s="27" t="s">
        <v>148</v>
      </c>
      <c r="C140" s="28"/>
      <c r="D140" s="196">
        <v>0</v>
      </c>
      <c r="E140" s="194">
        <v>0</v>
      </c>
      <c r="F140" s="194">
        <v>0</v>
      </c>
      <c r="G140" s="195">
        <v>0</v>
      </c>
      <c r="H140" s="196">
        <v>0</v>
      </c>
      <c r="I140" s="194">
        <v>0</v>
      </c>
      <c r="J140" s="194">
        <v>0</v>
      </c>
      <c r="K140" s="195">
        <v>0</v>
      </c>
      <c r="L140" s="196">
        <v>0</v>
      </c>
      <c r="M140" s="194">
        <v>0</v>
      </c>
      <c r="N140" s="194">
        <v>0</v>
      </c>
      <c r="O140" s="195">
        <v>0</v>
      </c>
      <c r="P140" s="196">
        <v>0</v>
      </c>
      <c r="Q140" s="194">
        <v>0</v>
      </c>
      <c r="R140" s="194">
        <v>0</v>
      </c>
      <c r="S140" s="195">
        <v>0</v>
      </c>
      <c r="T140" s="196">
        <v>0</v>
      </c>
      <c r="U140" s="194">
        <v>0</v>
      </c>
      <c r="V140" s="194">
        <v>0</v>
      </c>
      <c r="W140" s="195">
        <v>0</v>
      </c>
      <c r="X140" s="196">
        <v>0</v>
      </c>
      <c r="Y140" s="194">
        <v>0</v>
      </c>
      <c r="Z140" s="194">
        <v>0</v>
      </c>
      <c r="AA140" s="195">
        <v>0</v>
      </c>
      <c r="AB140" s="196">
        <v>0</v>
      </c>
      <c r="AC140" s="194">
        <v>0</v>
      </c>
      <c r="AD140" s="194">
        <v>0</v>
      </c>
      <c r="AE140" s="195">
        <v>0</v>
      </c>
      <c r="AF140" s="196">
        <v>0</v>
      </c>
      <c r="AG140" s="194">
        <v>0</v>
      </c>
      <c r="AH140" s="194">
        <v>0</v>
      </c>
      <c r="AI140" s="195">
        <v>0</v>
      </c>
      <c r="AJ140" s="196">
        <v>0</v>
      </c>
      <c r="AK140" s="194">
        <v>0</v>
      </c>
      <c r="AL140" s="194">
        <v>0</v>
      </c>
      <c r="AM140" s="195">
        <v>0</v>
      </c>
      <c r="AN140" s="194">
        <v>0</v>
      </c>
      <c r="AO140" s="194">
        <v>0</v>
      </c>
      <c r="AP140" s="194">
        <v>0</v>
      </c>
      <c r="AQ140" s="195">
        <v>0</v>
      </c>
      <c r="AR140" s="194">
        <v>0</v>
      </c>
      <c r="AS140" s="194">
        <v>0</v>
      </c>
      <c r="AT140" s="194">
        <v>0</v>
      </c>
      <c r="AU140" s="195">
        <v>0</v>
      </c>
      <c r="AV140" s="194">
        <v>0</v>
      </c>
      <c r="AW140" s="194">
        <v>0</v>
      </c>
      <c r="AX140" s="194">
        <v>0</v>
      </c>
      <c r="AY140" s="195">
        <v>0</v>
      </c>
      <c r="AZ140" s="194">
        <v>0</v>
      </c>
      <c r="BA140" s="194">
        <v>0</v>
      </c>
      <c r="BB140" s="194">
        <v>0</v>
      </c>
      <c r="BC140" s="195">
        <v>0</v>
      </c>
      <c r="BD140" s="194">
        <v>0</v>
      </c>
      <c r="BE140" s="194">
        <v>0</v>
      </c>
      <c r="BF140" s="194">
        <v>0</v>
      </c>
      <c r="BG140" s="195">
        <v>-363.82900000000001</v>
      </c>
      <c r="BH140" s="194">
        <v>0</v>
      </c>
      <c r="BI140" s="194">
        <v>0</v>
      </c>
      <c r="BJ140" s="194">
        <v>0</v>
      </c>
      <c r="BK140" s="195">
        <v>0</v>
      </c>
      <c r="BL140" s="194">
        <v>0</v>
      </c>
      <c r="BM140" s="194">
        <v>0</v>
      </c>
      <c r="BN140" s="194">
        <v>0</v>
      </c>
      <c r="BO140" s="192">
        <f t="shared" si="796"/>
        <v>0</v>
      </c>
      <c r="BP140" s="191">
        <f t="shared" si="797"/>
        <v>0</v>
      </c>
      <c r="BQ140" s="191">
        <f t="shared" si="798"/>
        <v>0</v>
      </c>
      <c r="BR140" s="191">
        <f t="shared" si="799"/>
        <v>0</v>
      </c>
      <c r="BS140" s="192">
        <f t="shared" si="800"/>
        <v>0</v>
      </c>
      <c r="BT140" s="191">
        <f t="shared" si="801"/>
        <v>0</v>
      </c>
      <c r="BU140" s="191">
        <f t="shared" si="802"/>
        <v>0</v>
      </c>
      <c r="BV140" s="191">
        <f t="shared" si="803"/>
        <v>0</v>
      </c>
      <c r="BW140" s="192">
        <f t="shared" si="804"/>
        <v>0</v>
      </c>
      <c r="BX140" s="160"/>
      <c r="BY140" s="191">
        <f t="shared" si="805"/>
        <v>0</v>
      </c>
      <c r="BZ140" s="191">
        <f t="shared" si="805"/>
        <v>0</v>
      </c>
      <c r="CA140" s="191">
        <f t="shared" si="805"/>
        <v>0</v>
      </c>
      <c r="CB140" s="191">
        <f t="shared" ref="CB140:CK140" si="831">CB45</f>
        <v>0</v>
      </c>
      <c r="CC140" s="191">
        <f t="shared" si="831"/>
        <v>0</v>
      </c>
      <c r="CD140" s="191">
        <f t="shared" si="831"/>
        <v>0</v>
      </c>
      <c r="CE140" s="191">
        <f t="shared" si="831"/>
        <v>0</v>
      </c>
      <c r="CF140" s="191">
        <f t="shared" si="831"/>
        <v>0</v>
      </c>
      <c r="CG140" s="191">
        <f t="shared" si="831"/>
        <v>0</v>
      </c>
      <c r="CH140" s="191">
        <f t="shared" si="831"/>
        <v>0</v>
      </c>
      <c r="CI140" s="191">
        <f t="shared" si="831"/>
        <v>0</v>
      </c>
      <c r="CJ140" s="191">
        <f t="shared" si="831"/>
        <v>0</v>
      </c>
      <c r="CK140" s="191">
        <f t="shared" si="831"/>
        <v>0</v>
      </c>
      <c r="CL140" s="191">
        <f t="shared" si="807"/>
        <v>-363.82900000000001</v>
      </c>
      <c r="CM140" s="191">
        <f t="shared" si="808"/>
        <v>0</v>
      </c>
      <c r="CN140" s="191">
        <f t="shared" si="809"/>
        <v>0</v>
      </c>
      <c r="CO140" s="191">
        <f t="shared" si="810"/>
        <v>0</v>
      </c>
      <c r="CP140" s="191">
        <f t="shared" si="810"/>
        <v>0</v>
      </c>
      <c r="CQ140" s="20"/>
      <c r="CR140" s="193">
        <f t="shared" si="811"/>
        <v>0</v>
      </c>
      <c r="CS140" s="191">
        <f t="shared" si="811"/>
        <v>0</v>
      </c>
      <c r="CT140" s="191">
        <f t="shared" si="811"/>
        <v>0</v>
      </c>
      <c r="CU140" s="191">
        <f t="shared" ref="CU140:DC140" si="832">CU45</f>
        <v>0</v>
      </c>
      <c r="CV140" s="191">
        <f t="shared" si="832"/>
        <v>0</v>
      </c>
      <c r="CW140" s="191">
        <f t="shared" si="832"/>
        <v>0</v>
      </c>
      <c r="CX140" s="191">
        <f t="shared" si="832"/>
        <v>0</v>
      </c>
      <c r="CY140" s="191">
        <f t="shared" si="832"/>
        <v>0</v>
      </c>
      <c r="CZ140" s="191">
        <f t="shared" si="832"/>
        <v>0</v>
      </c>
      <c r="DA140" s="191">
        <f t="shared" si="832"/>
        <v>0</v>
      </c>
      <c r="DB140" s="191">
        <f t="shared" si="832"/>
        <v>0</v>
      </c>
      <c r="DC140" s="191">
        <f t="shared" si="832"/>
        <v>0</v>
      </c>
      <c r="DD140" s="191">
        <f t="shared" si="813"/>
        <v>0</v>
      </c>
      <c r="DE140" s="191">
        <f t="shared" si="813"/>
        <v>-363.82900000000001</v>
      </c>
      <c r="DF140" s="191">
        <f t="shared" si="814"/>
        <v>0</v>
      </c>
      <c r="DG140" s="191">
        <f t="shared" si="814"/>
        <v>0</v>
      </c>
      <c r="DH140" s="191">
        <f t="shared" ref="DH140" si="833">DH45</f>
        <v>0</v>
      </c>
      <c r="DI140" s="22"/>
    </row>
    <row r="141" spans="1:113" ht="14.25" customHeight="1" outlineLevel="1">
      <c r="A141" s="8">
        <v>8</v>
      </c>
      <c r="B141" s="27" t="s">
        <v>91</v>
      </c>
      <c r="C141" s="28"/>
      <c r="D141" s="196">
        <v>0</v>
      </c>
      <c r="E141" s="194">
        <v>0</v>
      </c>
      <c r="F141" s="194">
        <v>0</v>
      </c>
      <c r="G141" s="195">
        <v>0</v>
      </c>
      <c r="H141" s="196">
        <v>0</v>
      </c>
      <c r="I141" s="194">
        <v>0</v>
      </c>
      <c r="J141" s="194">
        <v>0</v>
      </c>
      <c r="K141" s="195">
        <v>0</v>
      </c>
      <c r="L141" s="196">
        <v>0</v>
      </c>
      <c r="M141" s="194">
        <v>0</v>
      </c>
      <c r="N141" s="194">
        <v>0</v>
      </c>
      <c r="O141" s="195">
        <v>0</v>
      </c>
      <c r="P141" s="196">
        <v>0</v>
      </c>
      <c r="Q141" s="194">
        <v>0</v>
      </c>
      <c r="R141" s="194">
        <v>0</v>
      </c>
      <c r="S141" s="195">
        <v>0</v>
      </c>
      <c r="T141" s="196">
        <v>7.1139999999999999</v>
      </c>
      <c r="U141" s="194">
        <v>11.25</v>
      </c>
      <c r="V141" s="194">
        <v>14.648</v>
      </c>
      <c r="W141" s="195">
        <v>22.788</v>
      </c>
      <c r="X141" s="196">
        <v>8.6739999999999995</v>
      </c>
      <c r="Y141" s="194">
        <v>13.737</v>
      </c>
      <c r="Z141" s="194">
        <v>16.811</v>
      </c>
      <c r="AA141" s="195">
        <v>21.184000000000001</v>
      </c>
      <c r="AB141" s="196">
        <v>5.1779999999999999</v>
      </c>
      <c r="AC141" s="194">
        <v>8.5549999999999997</v>
      </c>
      <c r="AD141" s="194">
        <v>10.452999999999999</v>
      </c>
      <c r="AE141" s="195">
        <v>6.798</v>
      </c>
      <c r="AF141" s="196">
        <v>0</v>
      </c>
      <c r="AG141" s="194">
        <v>0.70899999999999996</v>
      </c>
      <c r="AH141" s="194">
        <v>2.0499999999999998</v>
      </c>
      <c r="AI141" s="195">
        <v>2.0939999999999999</v>
      </c>
      <c r="AJ141" s="196">
        <v>0</v>
      </c>
      <c r="AK141" s="194">
        <v>0</v>
      </c>
      <c r="AL141" s="194">
        <v>1.24</v>
      </c>
      <c r="AM141" s="195">
        <v>1.8540000000000001</v>
      </c>
      <c r="AN141" s="194">
        <v>0.38500000000000001</v>
      </c>
      <c r="AO141" s="194">
        <v>0.40200000000000002</v>
      </c>
      <c r="AP141" s="194">
        <v>0.441</v>
      </c>
      <c r="AQ141" s="195">
        <v>0.57599999999999996</v>
      </c>
      <c r="AR141" s="194">
        <v>0.02</v>
      </c>
      <c r="AS141" s="194">
        <v>0.112</v>
      </c>
      <c r="AT141" s="194">
        <v>0.154</v>
      </c>
      <c r="AU141" s="195">
        <v>0.29699999999999999</v>
      </c>
      <c r="AV141" s="194">
        <f>-0.044-7.515</f>
        <v>-7.5589999999999993</v>
      </c>
      <c r="AW141" s="194">
        <f>-7.515-14.7-0.178</f>
        <v>-22.393000000000001</v>
      </c>
      <c r="AX141" s="194">
        <f>-7.515-14.7-0.313</f>
        <v>-22.527999999999999</v>
      </c>
      <c r="AY141" s="195">
        <f>-14.7-0.454+1.411+350-7.515</f>
        <v>328.74200000000002</v>
      </c>
      <c r="AZ141" s="194">
        <f>-4.375-0.148-4.968</f>
        <v>-9.4909999999999997</v>
      </c>
      <c r="BA141" s="194">
        <f>-8.75+0.982-0.298-10.306</f>
        <v>-18.372</v>
      </c>
      <c r="BB141" s="194">
        <f>-0.45+1.1-13.125-14.276</f>
        <v>-26.750999999999998</v>
      </c>
      <c r="BC141" s="195">
        <f>-1134.621+1725-350-32.846-19.504-0.604+1.216</f>
        <v>188.64099999999991</v>
      </c>
      <c r="BD141" s="194">
        <f>-0.406-4.464-0.166+0.263</f>
        <v>-4.7730000000000006</v>
      </c>
      <c r="BE141" s="194">
        <f>+-0.406-11.124-0.334+0.407</f>
        <v>-11.457000000000001</v>
      </c>
      <c r="BF141" s="194">
        <f>-2.156-17.201-0.504+0.735</f>
        <v>-19.126000000000001</v>
      </c>
      <c r="BG141" s="195">
        <f>-2.156-21.72-0.676+0.758</f>
        <v>-23.793999999999997</v>
      </c>
      <c r="BH141" s="194">
        <f>-25.183-0.195</f>
        <v>-25.378</v>
      </c>
      <c r="BI141" s="194">
        <f>-35.843-0.391</f>
        <v>-36.234000000000002</v>
      </c>
      <c r="BJ141" s="194">
        <f>-48.161-0.587</f>
        <v>-48.748000000000005</v>
      </c>
      <c r="BK141" s="195">
        <f>-36.93-58.402-0.783-436.205+2070+575</f>
        <v>2112.6800000000003</v>
      </c>
      <c r="BL141" s="194">
        <f>-10.719-0.195</f>
        <v>-10.914</v>
      </c>
      <c r="BM141" s="194">
        <f>-0.814-21.176-0.391-15.166</f>
        <v>-37.546999999999997</v>
      </c>
      <c r="BN141" s="194">
        <f>-34.126-0.587-1.208-73.421</f>
        <v>-109.34200000000001</v>
      </c>
      <c r="BO141" s="192">
        <f t="shared" si="796"/>
        <v>-109.34200000000001</v>
      </c>
      <c r="BP141" s="191">
        <f t="shared" si="797"/>
        <v>0</v>
      </c>
      <c r="BQ141" s="191">
        <f t="shared" si="798"/>
        <v>0</v>
      </c>
      <c r="BR141" s="191">
        <f t="shared" si="799"/>
        <v>0</v>
      </c>
      <c r="BS141" s="192">
        <f t="shared" si="800"/>
        <v>0</v>
      </c>
      <c r="BT141" s="191">
        <f t="shared" si="801"/>
        <v>0</v>
      </c>
      <c r="BU141" s="191">
        <f t="shared" si="802"/>
        <v>0</v>
      </c>
      <c r="BV141" s="191">
        <f t="shared" si="803"/>
        <v>0</v>
      </c>
      <c r="BW141" s="192">
        <f t="shared" si="804"/>
        <v>0</v>
      </c>
      <c r="BX141" s="160"/>
      <c r="BY141" s="191">
        <f t="shared" si="805"/>
        <v>0</v>
      </c>
      <c r="BZ141" s="191">
        <f t="shared" si="805"/>
        <v>0</v>
      </c>
      <c r="CA141" s="191">
        <f t="shared" si="805"/>
        <v>0</v>
      </c>
      <c r="CB141" s="191">
        <f t="shared" ref="CB141:CK141" si="834">CB46</f>
        <v>0</v>
      </c>
      <c r="CC141" s="191">
        <f t="shared" si="834"/>
        <v>22.788</v>
      </c>
      <c r="CD141" s="191">
        <f t="shared" si="834"/>
        <v>21.183999999999997</v>
      </c>
      <c r="CE141" s="191">
        <f t="shared" si="834"/>
        <v>6.798</v>
      </c>
      <c r="CF141" s="191">
        <f t="shared" si="834"/>
        <v>2.0939999999999999</v>
      </c>
      <c r="CG141" s="191">
        <f t="shared" si="834"/>
        <v>1.8540000000000001</v>
      </c>
      <c r="CH141" s="191">
        <f t="shared" si="834"/>
        <v>0.57599999999999985</v>
      </c>
      <c r="CI141" s="191">
        <f t="shared" si="834"/>
        <v>0.29700000000000004</v>
      </c>
      <c r="CJ141" s="191">
        <f t="shared" si="834"/>
        <v>328.74200000000002</v>
      </c>
      <c r="CK141" s="191">
        <f t="shared" si="834"/>
        <v>188.64099999999988</v>
      </c>
      <c r="CL141" s="191">
        <f t="shared" si="807"/>
        <v>-23.793999999999997</v>
      </c>
      <c r="CM141" s="191">
        <f t="shared" si="808"/>
        <v>2112.6800000000007</v>
      </c>
      <c r="CN141" s="191">
        <f t="shared" si="809"/>
        <v>-109.34200000000001</v>
      </c>
      <c r="CO141" s="191">
        <f t="shared" si="810"/>
        <v>0</v>
      </c>
      <c r="CP141" s="191">
        <f t="shared" si="810"/>
        <v>0</v>
      </c>
      <c r="CQ141" s="160"/>
      <c r="CR141" s="193">
        <f t="shared" si="811"/>
        <v>0</v>
      </c>
      <c r="CS141" s="191">
        <f t="shared" si="811"/>
        <v>0</v>
      </c>
      <c r="CT141" s="191">
        <f t="shared" si="811"/>
        <v>0</v>
      </c>
      <c r="CU141" s="191">
        <f t="shared" ref="CU141:DC141" si="835">CU46</f>
        <v>14.648</v>
      </c>
      <c r="CV141" s="191">
        <f t="shared" si="835"/>
        <v>24.951000000000001</v>
      </c>
      <c r="CW141" s="191">
        <f t="shared" si="835"/>
        <v>14.825999999999997</v>
      </c>
      <c r="CX141" s="191">
        <f t="shared" si="835"/>
        <v>-1.6049999999999995</v>
      </c>
      <c r="CY141" s="191">
        <f t="shared" si="835"/>
        <v>1.2840000000000003</v>
      </c>
      <c r="CZ141" s="191">
        <f t="shared" si="835"/>
        <v>1.0549999999999999</v>
      </c>
      <c r="DA141" s="191">
        <f t="shared" si="835"/>
        <v>0.28899999999999987</v>
      </c>
      <c r="DB141" s="191">
        <f t="shared" si="835"/>
        <v>-22.384999999999998</v>
      </c>
      <c r="DC141" s="191">
        <f t="shared" si="835"/>
        <v>324.51900000000001</v>
      </c>
      <c r="DD141" s="191">
        <f t="shared" si="813"/>
        <v>196.26599999999988</v>
      </c>
      <c r="DE141" s="191">
        <f t="shared" si="813"/>
        <v>-53.416000000000004</v>
      </c>
      <c r="DF141" s="191">
        <f t="shared" si="814"/>
        <v>2052.0860000000007</v>
      </c>
      <c r="DG141" s="191">
        <f t="shared" si="814"/>
        <v>0</v>
      </c>
      <c r="DH141" s="191">
        <f t="shared" ref="DH141" si="836">DH46</f>
        <v>0</v>
      </c>
      <c r="DI141" s="23"/>
    </row>
    <row r="142" spans="1:113" ht="14.25" customHeight="1" outlineLevel="1" thickBot="1">
      <c r="A142" s="8"/>
      <c r="B142" s="197" t="s">
        <v>70</v>
      </c>
      <c r="C142" s="198"/>
      <c r="D142" s="200">
        <f t="shared" ref="D142:O142" si="837">SUM(D134:D141)</f>
        <v>8.0739999999999998</v>
      </c>
      <c r="E142" s="199">
        <f t="shared" si="837"/>
        <v>9.4649999999999999</v>
      </c>
      <c r="F142" s="199">
        <f t="shared" si="837"/>
        <v>12.394000000000002</v>
      </c>
      <c r="G142" s="201">
        <f t="shared" si="837"/>
        <v>-3.1210000000000022</v>
      </c>
      <c r="H142" s="200">
        <f t="shared" si="837"/>
        <v>-1.3839999999999995</v>
      </c>
      <c r="I142" s="199">
        <f t="shared" si="837"/>
        <v>10.538</v>
      </c>
      <c r="J142" s="199">
        <f t="shared" si="837"/>
        <v>25.152999999999999</v>
      </c>
      <c r="K142" s="201">
        <f t="shared" si="837"/>
        <v>-24.035000000000004</v>
      </c>
      <c r="L142" s="200">
        <f t="shared" si="837"/>
        <v>-19.693999999999999</v>
      </c>
      <c r="M142" s="199">
        <f t="shared" si="837"/>
        <v>-18.375999999999998</v>
      </c>
      <c r="N142" s="199">
        <f t="shared" si="837"/>
        <v>-15.111999999999988</v>
      </c>
      <c r="O142" s="201">
        <f t="shared" si="837"/>
        <v>-18.584999999999987</v>
      </c>
      <c r="P142" s="200">
        <f t="shared" ref="P142:BC142" si="838">SUM(P134:P141)</f>
        <v>-3.0960000000000001</v>
      </c>
      <c r="Q142" s="199">
        <f t="shared" si="838"/>
        <v>-9.3509999999999991</v>
      </c>
      <c r="R142" s="199">
        <f t="shared" si="838"/>
        <v>-19.43099999999999</v>
      </c>
      <c r="S142" s="201">
        <f t="shared" si="838"/>
        <v>195.822</v>
      </c>
      <c r="T142" s="200">
        <f t="shared" si="838"/>
        <v>-152.92699999999999</v>
      </c>
      <c r="U142" s="199">
        <f t="shared" si="838"/>
        <v>-240.39399999999998</v>
      </c>
      <c r="V142" s="199">
        <f t="shared" si="838"/>
        <v>-333.03</v>
      </c>
      <c r="W142" s="201">
        <f t="shared" si="838"/>
        <v>-385.34099999999995</v>
      </c>
      <c r="X142" s="200">
        <f t="shared" si="838"/>
        <v>-30.755000000000003</v>
      </c>
      <c r="Y142" s="199">
        <f t="shared" si="838"/>
        <v>-223.98799999999997</v>
      </c>
      <c r="Z142" s="199">
        <f t="shared" si="838"/>
        <v>32.000999999999934</v>
      </c>
      <c r="AA142" s="201">
        <f t="shared" si="838"/>
        <v>-182.70299999999997</v>
      </c>
      <c r="AB142" s="200">
        <f t="shared" si="838"/>
        <v>-65.01400000000001</v>
      </c>
      <c r="AC142" s="199">
        <f t="shared" si="838"/>
        <v>-213.053</v>
      </c>
      <c r="AD142" s="199">
        <f t="shared" si="838"/>
        <v>-271.83500000000004</v>
      </c>
      <c r="AE142" s="201">
        <f t="shared" si="838"/>
        <v>-330.233</v>
      </c>
      <c r="AF142" s="200">
        <f t="shared" si="838"/>
        <v>-61.447000000000003</v>
      </c>
      <c r="AG142" s="199">
        <f t="shared" si="838"/>
        <v>-114.39</v>
      </c>
      <c r="AH142" s="199">
        <f t="shared" si="838"/>
        <v>-165.96599999999998</v>
      </c>
      <c r="AI142" s="201">
        <f t="shared" si="838"/>
        <v>-210.98400000000001</v>
      </c>
      <c r="AJ142" s="200">
        <f t="shared" si="838"/>
        <v>-56.143000000000001</v>
      </c>
      <c r="AK142" s="199">
        <f t="shared" si="838"/>
        <v>-105.09200000000001</v>
      </c>
      <c r="AL142" s="199">
        <f t="shared" si="838"/>
        <v>-204.22099999999998</v>
      </c>
      <c r="AM142" s="201">
        <f t="shared" si="838"/>
        <v>-183.01699999999997</v>
      </c>
      <c r="AN142" s="199">
        <f t="shared" si="838"/>
        <v>-47.243000000000009</v>
      </c>
      <c r="AO142" s="199">
        <f t="shared" si="838"/>
        <v>-106.03699999999999</v>
      </c>
      <c r="AP142" s="199">
        <f>SUM(AP134:AP141)</f>
        <v>-158.06800000000001</v>
      </c>
      <c r="AQ142" s="201">
        <f t="shared" si="838"/>
        <v>-208.14500000000001</v>
      </c>
      <c r="AR142" s="199">
        <f t="shared" si="838"/>
        <v>-62.767999999999994</v>
      </c>
      <c r="AS142" s="199">
        <f t="shared" si="838"/>
        <v>480.53500000000003</v>
      </c>
      <c r="AT142" s="199">
        <f>SUM(AT134:AT141)</f>
        <v>428.18100000000004</v>
      </c>
      <c r="AU142" s="201">
        <f t="shared" si="838"/>
        <v>382.17</v>
      </c>
      <c r="AV142" s="199">
        <f t="shared" si="838"/>
        <v>-80.340999999999994</v>
      </c>
      <c r="AW142" s="199">
        <f t="shared" si="838"/>
        <v>-119.965</v>
      </c>
      <c r="AX142" s="199">
        <f>SUM(AX134:AX141)</f>
        <v>-178.09799999999998</v>
      </c>
      <c r="AY142" s="201">
        <f t="shared" si="838"/>
        <v>-235.01599999999991</v>
      </c>
      <c r="AZ142" s="199">
        <f>SUM(AZ134:AZ141)</f>
        <v>257.80700000000002</v>
      </c>
      <c r="BA142" s="199">
        <f>SUM(BA134:BA141)</f>
        <v>177.39400000000001</v>
      </c>
      <c r="BB142" s="199">
        <f>SUM(BB134:BB141)</f>
        <v>124.02199999999999</v>
      </c>
      <c r="BC142" s="201">
        <f t="shared" si="838"/>
        <v>98.547999999999888</v>
      </c>
      <c r="BD142" s="199">
        <f t="shared" ref="BD142:BO142" si="839">SUM(BD134:BD141)</f>
        <v>-38.607000000000006</v>
      </c>
      <c r="BE142" s="199">
        <f t="shared" si="839"/>
        <v>327.71799999999996</v>
      </c>
      <c r="BF142" s="199">
        <f>SUM(BF134:BF141)</f>
        <v>-36.478000000000002</v>
      </c>
      <c r="BG142" s="201">
        <f>SUM(BG134:BG141)</f>
        <v>-59.943999999999974</v>
      </c>
      <c r="BH142" s="199">
        <f t="shared" ref="BH142:BI142" si="840">SUM(BH134:BH141)</f>
        <v>580.01499999999999</v>
      </c>
      <c r="BI142" s="199">
        <f t="shared" si="840"/>
        <v>267.84100000000001</v>
      </c>
      <c r="BJ142" s="199">
        <f>SUM(BJ134:BJ141)</f>
        <v>185.798</v>
      </c>
      <c r="BK142" s="201">
        <f t="shared" si="839"/>
        <v>595.46100000000024</v>
      </c>
      <c r="BL142" s="199">
        <f t="shared" si="839"/>
        <v>-89.367999999999995</v>
      </c>
      <c r="BM142" s="199">
        <f t="shared" si="839"/>
        <v>-185.42699999999999</v>
      </c>
      <c r="BN142" s="199">
        <f>SUM(BN134:BN141)</f>
        <v>-335.12600000000003</v>
      </c>
      <c r="BO142" s="201">
        <f t="shared" si="839"/>
        <v>-420.71450300000004</v>
      </c>
      <c r="BP142" s="199">
        <f t="shared" ref="BP142:BW142" si="841">SUM(BP134:BP141)</f>
        <v>-85.770003000000003</v>
      </c>
      <c r="BQ142" s="199">
        <f t="shared" si="841"/>
        <v>-171.72150600000001</v>
      </c>
      <c r="BR142" s="199">
        <f t="shared" si="841"/>
        <v>-257.85450900000001</v>
      </c>
      <c r="BS142" s="201">
        <f t="shared" si="841"/>
        <v>-344.16901200000001</v>
      </c>
      <c r="BT142" s="199">
        <f t="shared" si="841"/>
        <v>-86.496003000000002</v>
      </c>
      <c r="BU142" s="199">
        <f t="shared" si="841"/>
        <v>-173.173506</v>
      </c>
      <c r="BV142" s="199">
        <f t="shared" si="841"/>
        <v>-260.032509</v>
      </c>
      <c r="BW142" s="201">
        <f t="shared" si="841"/>
        <v>-347.07301200000001</v>
      </c>
      <c r="BX142" s="160"/>
      <c r="BY142" s="199">
        <f>SUM(BY134:BY141)</f>
        <v>-3.1210000000000022</v>
      </c>
      <c r="BZ142" s="199">
        <f>SUM(BZ134:BZ141)</f>
        <v>-24.035000000000004</v>
      </c>
      <c r="CA142" s="199">
        <f>SUM(CA134:CA141)</f>
        <v>-18.584999999999987</v>
      </c>
      <c r="CB142" s="199">
        <f t="shared" ref="CB142:CL142" si="842">SUM(CB134:CB141)</f>
        <v>195.822</v>
      </c>
      <c r="CC142" s="199">
        <f t="shared" si="842"/>
        <v>-385.34099999999995</v>
      </c>
      <c r="CD142" s="199">
        <f t="shared" si="842"/>
        <v>-182.70299999999997</v>
      </c>
      <c r="CE142" s="199">
        <f t="shared" si="842"/>
        <v>-330.233</v>
      </c>
      <c r="CF142" s="199">
        <f t="shared" si="842"/>
        <v>-210.98399999999998</v>
      </c>
      <c r="CG142" s="199">
        <f t="shared" si="842"/>
        <v>-183.01699999999997</v>
      </c>
      <c r="CH142" s="199">
        <f t="shared" si="842"/>
        <v>-208.14500000000001</v>
      </c>
      <c r="CI142" s="199">
        <f t="shared" si="842"/>
        <v>382.17</v>
      </c>
      <c r="CJ142" s="199">
        <f t="shared" si="842"/>
        <v>-235.01599999999991</v>
      </c>
      <c r="CK142" s="199">
        <f t="shared" si="842"/>
        <v>98.547999999999632</v>
      </c>
      <c r="CL142" s="199">
        <f t="shared" si="842"/>
        <v>-59.943999999999974</v>
      </c>
      <c r="CM142" s="199">
        <f>SUM(CM134:CM141)</f>
        <v>595.46100000000069</v>
      </c>
      <c r="CN142" s="199">
        <f>SUM(CN134:CN141)</f>
        <v>-420.71450300000004</v>
      </c>
      <c r="CO142" s="199">
        <f>SUM(CO134:CO141)</f>
        <v>-344.16901200000001</v>
      </c>
      <c r="CP142" s="199">
        <f>SUM(CP134:CP141)</f>
        <v>-347.07301200000001</v>
      </c>
      <c r="CQ142" s="20"/>
      <c r="CR142" s="200">
        <f>SUM(CR134:CR141)</f>
        <v>9.6380000000000052</v>
      </c>
      <c r="CS142" s="199">
        <f>SUM(CS134:CS141)</f>
        <v>-64.299999999999983</v>
      </c>
      <c r="CT142" s="199">
        <f>SUM(CT134:CT141)</f>
        <v>-22.903999999999996</v>
      </c>
      <c r="CU142" s="199">
        <f t="shared" ref="CU142:DD142" si="843">SUM(CU134:CU141)</f>
        <v>-117.77700000000004</v>
      </c>
      <c r="CV142" s="199">
        <f t="shared" si="843"/>
        <v>-20.310000000000052</v>
      </c>
      <c r="CW142" s="199">
        <f t="shared" si="843"/>
        <v>-486.53899999999999</v>
      </c>
      <c r="CX142" s="199">
        <f t="shared" si="843"/>
        <v>-224.36399999999998</v>
      </c>
      <c r="CY142" s="199">
        <f t="shared" si="843"/>
        <v>-249.23899999999998</v>
      </c>
      <c r="CZ142" s="199">
        <f t="shared" si="843"/>
        <v>-136.864</v>
      </c>
      <c r="DA142" s="199">
        <f t="shared" si="843"/>
        <v>378.10399999999998</v>
      </c>
      <c r="DB142" s="199">
        <f t="shared" si="843"/>
        <v>-224.10899999999995</v>
      </c>
      <c r="DC142" s="199">
        <f t="shared" si="843"/>
        <v>67.104000000000042</v>
      </c>
      <c r="DD142" s="199">
        <f t="shared" si="843"/>
        <v>-61.952000000000368</v>
      </c>
      <c r="DE142" s="199">
        <f>SUM(DE134:DE141)</f>
        <v>162.33199999999999</v>
      </c>
      <c r="DF142" s="199">
        <f>SUM(DF134:DF141)</f>
        <v>74.537000000000717</v>
      </c>
      <c r="DG142" s="199">
        <f>SUM(DG134:DG141)</f>
        <v>-343.44301200000007</v>
      </c>
      <c r="DH142" s="199">
        <f>SUM(DH134:DH141)</f>
        <v>-346.34701200000006</v>
      </c>
      <c r="DI142" s="22"/>
    </row>
    <row r="143" spans="1:113" ht="14.25" customHeight="1" outlineLevel="1" thickTop="1">
      <c r="A143" s="8"/>
      <c r="B143" s="44"/>
      <c r="C143" s="45"/>
      <c r="D143" s="206"/>
      <c r="E143" s="205"/>
      <c r="F143" s="205"/>
      <c r="G143" s="207"/>
      <c r="H143" s="206"/>
      <c r="I143" s="205"/>
      <c r="J143" s="205"/>
      <c r="K143" s="207"/>
      <c r="L143" s="206"/>
      <c r="M143" s="205"/>
      <c r="N143" s="205"/>
      <c r="O143" s="207"/>
      <c r="P143" s="206"/>
      <c r="Q143" s="205"/>
      <c r="R143" s="205"/>
      <c r="S143" s="207"/>
      <c r="T143" s="206"/>
      <c r="U143" s="205"/>
      <c r="V143" s="205"/>
      <c r="W143" s="207"/>
      <c r="X143" s="206"/>
      <c r="Y143" s="205"/>
      <c r="Z143" s="205"/>
      <c r="AA143" s="207"/>
      <c r="AB143" s="206"/>
      <c r="AC143" s="205"/>
      <c r="AD143" s="205"/>
      <c r="AE143" s="207"/>
      <c r="AF143" s="206"/>
      <c r="AG143" s="205"/>
      <c r="AH143" s="205"/>
      <c r="AI143" s="207"/>
      <c r="AJ143" s="206"/>
      <c r="AK143" s="205"/>
      <c r="AL143" s="205"/>
      <c r="AM143" s="207"/>
      <c r="AN143" s="205"/>
      <c r="AO143" s="205"/>
      <c r="AP143" s="205"/>
      <c r="AQ143" s="207"/>
      <c r="AR143" s="205"/>
      <c r="AS143" s="205"/>
      <c r="AT143" s="205"/>
      <c r="AU143" s="207"/>
      <c r="AV143" s="205"/>
      <c r="AW143" s="205"/>
      <c r="AX143" s="205"/>
      <c r="AY143" s="207"/>
      <c r="AZ143" s="205"/>
      <c r="BA143" s="205"/>
      <c r="BB143" s="205"/>
      <c r="BC143" s="207"/>
      <c r="BD143" s="205"/>
      <c r="BE143" s="205"/>
      <c r="BF143" s="205"/>
      <c r="BG143" s="207"/>
      <c r="BH143" s="205"/>
      <c r="BI143" s="205"/>
      <c r="BJ143" s="205"/>
      <c r="BK143" s="207"/>
      <c r="BL143" s="205"/>
      <c r="BM143" s="205"/>
      <c r="BN143" s="205"/>
      <c r="BO143" s="207"/>
      <c r="BP143" s="205"/>
      <c r="BQ143" s="205"/>
      <c r="BR143" s="205"/>
      <c r="BS143" s="207"/>
      <c r="BT143" s="205"/>
      <c r="BU143" s="205"/>
      <c r="BV143" s="205"/>
      <c r="BW143" s="207"/>
      <c r="BX143" s="160"/>
      <c r="BY143" s="205"/>
      <c r="BZ143" s="205"/>
      <c r="CA143" s="205"/>
      <c r="CB143" s="205"/>
      <c r="CC143" s="205"/>
      <c r="CD143" s="205"/>
      <c r="CE143" s="205"/>
      <c r="CF143" s="205"/>
      <c r="CG143" s="205"/>
      <c r="CH143" s="205"/>
      <c r="CI143" s="205"/>
      <c r="CJ143" s="205"/>
      <c r="CK143" s="205"/>
      <c r="CL143" s="205"/>
      <c r="CM143" s="205"/>
      <c r="CN143" s="205"/>
      <c r="CO143" s="205"/>
      <c r="CP143" s="205"/>
      <c r="CQ143" s="20"/>
      <c r="CR143" s="206"/>
      <c r="CS143" s="205"/>
      <c r="CT143" s="205"/>
      <c r="CU143" s="205"/>
      <c r="CV143" s="205"/>
      <c r="CW143" s="205"/>
      <c r="CX143" s="205"/>
      <c r="CY143" s="205"/>
      <c r="CZ143" s="205"/>
      <c r="DA143" s="205"/>
      <c r="DB143" s="205"/>
      <c r="DC143" s="205"/>
      <c r="DD143" s="205"/>
      <c r="DE143" s="205"/>
      <c r="DF143" s="205"/>
      <c r="DG143" s="205"/>
      <c r="DH143" s="205"/>
      <c r="DI143" s="22"/>
    </row>
    <row r="144" spans="1:113" ht="14.25" customHeight="1" outlineLevel="1">
      <c r="A144" s="8"/>
      <c r="B144" s="44" t="s">
        <v>71</v>
      </c>
      <c r="C144" s="45"/>
      <c r="D144" s="196">
        <v>0</v>
      </c>
      <c r="E144" s="194">
        <v>0</v>
      </c>
      <c r="F144" s="194">
        <v>0</v>
      </c>
      <c r="G144" s="195">
        <v>0</v>
      </c>
      <c r="H144" s="196">
        <v>0</v>
      </c>
      <c r="I144" s="194">
        <v>0</v>
      </c>
      <c r="J144" s="194">
        <v>0</v>
      </c>
      <c r="K144" s="195">
        <v>0</v>
      </c>
      <c r="L144" s="196">
        <v>0</v>
      </c>
      <c r="M144" s="194">
        <v>0</v>
      </c>
      <c r="N144" s="194">
        <v>0</v>
      </c>
      <c r="O144" s="195">
        <v>0</v>
      </c>
      <c r="P144" s="196">
        <v>0</v>
      </c>
      <c r="Q144" s="194">
        <v>0</v>
      </c>
      <c r="R144" s="194">
        <v>0</v>
      </c>
      <c r="S144" s="195">
        <v>0</v>
      </c>
      <c r="T144" s="196">
        <v>0</v>
      </c>
      <c r="U144" s="194">
        <v>0</v>
      </c>
      <c r="V144" s="194">
        <v>0</v>
      </c>
      <c r="W144" s="195">
        <v>0</v>
      </c>
      <c r="X144" s="196">
        <v>0</v>
      </c>
      <c r="Y144" s="194">
        <v>0</v>
      </c>
      <c r="Z144" s="194">
        <v>0</v>
      </c>
      <c r="AA144" s="195">
        <v>0</v>
      </c>
      <c r="AB144" s="196">
        <v>0</v>
      </c>
      <c r="AC144" s="194">
        <v>0</v>
      </c>
      <c r="AD144" s="194">
        <v>0</v>
      </c>
      <c r="AE144" s="195">
        <v>0</v>
      </c>
      <c r="AF144" s="196">
        <v>0</v>
      </c>
      <c r="AG144" s="194">
        <v>0</v>
      </c>
      <c r="AH144" s="194">
        <v>0</v>
      </c>
      <c r="AI144" s="195">
        <v>0</v>
      </c>
      <c r="AJ144" s="196">
        <v>0</v>
      </c>
      <c r="AK144" s="194">
        <v>0</v>
      </c>
      <c r="AL144" s="194">
        <v>0</v>
      </c>
      <c r="AM144" s="195">
        <v>0</v>
      </c>
      <c r="AN144" s="194">
        <v>0</v>
      </c>
      <c r="AO144" s="194">
        <v>0</v>
      </c>
      <c r="AP144" s="194">
        <v>0</v>
      </c>
      <c r="AQ144" s="195">
        <v>0</v>
      </c>
      <c r="AR144" s="194">
        <v>0</v>
      </c>
      <c r="AS144" s="194">
        <v>1.339</v>
      </c>
      <c r="AT144" s="194">
        <v>0.98599999999999999</v>
      </c>
      <c r="AU144" s="195">
        <v>0.98599999999999999</v>
      </c>
      <c r="AV144" s="194">
        <v>0</v>
      </c>
      <c r="AW144" s="194">
        <v>0</v>
      </c>
      <c r="AX144" s="194">
        <v>0</v>
      </c>
      <c r="AY144" s="195">
        <v>0</v>
      </c>
      <c r="AZ144" s="194">
        <v>0</v>
      </c>
      <c r="BA144" s="194">
        <v>-0.20100000000000001</v>
      </c>
      <c r="BB144" s="194">
        <v>-0.20100000000000001</v>
      </c>
      <c r="BC144" s="192">
        <v>-0.20100000000000001</v>
      </c>
      <c r="BD144" s="194">
        <v>0</v>
      </c>
      <c r="BE144" s="194">
        <v>0</v>
      </c>
      <c r="BF144" s="194">
        <v>0</v>
      </c>
      <c r="BG144" s="192">
        <v>0</v>
      </c>
      <c r="BH144" s="194">
        <v>0</v>
      </c>
      <c r="BI144" s="194">
        <v>-0.374</v>
      </c>
      <c r="BJ144" s="194">
        <v>-1.0069999999999999</v>
      </c>
      <c r="BK144" s="195">
        <v>-1.0069999999999999</v>
      </c>
      <c r="BL144" s="194">
        <v>0</v>
      </c>
      <c r="BM144" s="194">
        <v>0</v>
      </c>
      <c r="BN144" s="194">
        <v>0</v>
      </c>
      <c r="BO144" s="192">
        <f>BN144+BO49</f>
        <v>0</v>
      </c>
      <c r="BP144" s="191">
        <f>BP49</f>
        <v>0</v>
      </c>
      <c r="BQ144" s="191">
        <f>BP144+BQ49</f>
        <v>0</v>
      </c>
      <c r="BR144" s="191">
        <f>BQ144+BR49</f>
        <v>0</v>
      </c>
      <c r="BS144" s="192">
        <f>BR144+BS49</f>
        <v>0</v>
      </c>
      <c r="BT144" s="191">
        <f>BT49</f>
        <v>0</v>
      </c>
      <c r="BU144" s="191">
        <f>BT144+BU49</f>
        <v>0</v>
      </c>
      <c r="BV144" s="191">
        <f>BU144+BV49</f>
        <v>0</v>
      </c>
      <c r="BW144" s="192">
        <f>BV144+BW49</f>
        <v>0</v>
      </c>
      <c r="BX144" s="160"/>
      <c r="BY144" s="191">
        <f>BY49</f>
        <v>0</v>
      </c>
      <c r="BZ144" s="191">
        <f>BZ49</f>
        <v>0</v>
      </c>
      <c r="CA144" s="191">
        <f>CA49</f>
        <v>0</v>
      </c>
      <c r="CB144" s="191">
        <f t="shared" ref="CB144:CK144" si="844">CB49</f>
        <v>0</v>
      </c>
      <c r="CC144" s="191">
        <f t="shared" si="844"/>
        <v>0</v>
      </c>
      <c r="CD144" s="191">
        <f t="shared" si="844"/>
        <v>0</v>
      </c>
      <c r="CE144" s="191">
        <f t="shared" si="844"/>
        <v>0</v>
      </c>
      <c r="CF144" s="191">
        <f t="shared" si="844"/>
        <v>0</v>
      </c>
      <c r="CG144" s="191">
        <f t="shared" si="844"/>
        <v>0</v>
      </c>
      <c r="CH144" s="191">
        <f t="shared" si="844"/>
        <v>0</v>
      </c>
      <c r="CI144" s="191">
        <f t="shared" si="844"/>
        <v>0.98599999999999999</v>
      </c>
      <c r="CJ144" s="191">
        <f t="shared" si="844"/>
        <v>0</v>
      </c>
      <c r="CK144" s="191">
        <f t="shared" si="844"/>
        <v>-0.20100000000000001</v>
      </c>
      <c r="CL144" s="191">
        <f>CL49</f>
        <v>0</v>
      </c>
      <c r="CM144" s="191">
        <f>CM49</f>
        <v>-1.0069999999999999</v>
      </c>
      <c r="CN144" s="191">
        <f>CN49</f>
        <v>0</v>
      </c>
      <c r="CO144" s="191">
        <f>CO49</f>
        <v>0</v>
      </c>
      <c r="CP144" s="191">
        <f>CP49</f>
        <v>0</v>
      </c>
      <c r="CQ144" s="20"/>
      <c r="CR144" s="193">
        <f>CR49</f>
        <v>0</v>
      </c>
      <c r="CS144" s="191">
        <f>CS49</f>
        <v>0</v>
      </c>
      <c r="CT144" s="191">
        <f>CT49</f>
        <v>0</v>
      </c>
      <c r="CU144" s="191">
        <f t="shared" ref="CU144:DC144" si="845">CU49</f>
        <v>0</v>
      </c>
      <c r="CV144" s="191">
        <f t="shared" si="845"/>
        <v>0</v>
      </c>
      <c r="CW144" s="191">
        <f t="shared" si="845"/>
        <v>0</v>
      </c>
      <c r="CX144" s="191">
        <f t="shared" si="845"/>
        <v>0</v>
      </c>
      <c r="CY144" s="191">
        <f t="shared" si="845"/>
        <v>0</v>
      </c>
      <c r="CZ144" s="191">
        <f t="shared" si="845"/>
        <v>0</v>
      </c>
      <c r="DA144" s="191">
        <f t="shared" si="845"/>
        <v>0.98599999999999999</v>
      </c>
      <c r="DB144" s="191">
        <f t="shared" si="845"/>
        <v>0</v>
      </c>
      <c r="DC144" s="191">
        <f t="shared" si="845"/>
        <v>-0.20100000000000001</v>
      </c>
      <c r="DD144" s="191">
        <f>DD49</f>
        <v>0</v>
      </c>
      <c r="DE144" s="191">
        <f>DE49</f>
        <v>-1.0069999999999999</v>
      </c>
      <c r="DF144" s="191">
        <f>DF49</f>
        <v>0</v>
      </c>
      <c r="DG144" s="191">
        <f>DG49</f>
        <v>0</v>
      </c>
      <c r="DH144" s="191">
        <f>DH49</f>
        <v>0</v>
      </c>
      <c r="DI144" s="22"/>
    </row>
    <row r="145" spans="1:113" ht="14.25" customHeight="1" outlineLevel="1">
      <c r="A145" s="8"/>
      <c r="B145" s="44"/>
      <c r="C145" s="45"/>
      <c r="D145" s="210"/>
      <c r="E145" s="208"/>
      <c r="F145" s="208"/>
      <c r="G145" s="209"/>
      <c r="H145" s="210"/>
      <c r="I145" s="208"/>
      <c r="J145" s="208"/>
      <c r="K145" s="209"/>
      <c r="L145" s="210"/>
      <c r="M145" s="208"/>
      <c r="N145" s="208"/>
      <c r="O145" s="209"/>
      <c r="P145" s="210"/>
      <c r="Q145" s="208"/>
      <c r="R145" s="208"/>
      <c r="S145" s="209"/>
      <c r="T145" s="210"/>
      <c r="U145" s="208"/>
      <c r="V145" s="208"/>
      <c r="W145" s="209"/>
      <c r="X145" s="210"/>
      <c r="Y145" s="208"/>
      <c r="Z145" s="208"/>
      <c r="AA145" s="209"/>
      <c r="AB145" s="210"/>
      <c r="AC145" s="208"/>
      <c r="AD145" s="208"/>
      <c r="AE145" s="209"/>
      <c r="AF145" s="210"/>
      <c r="AG145" s="208"/>
      <c r="AH145" s="208"/>
      <c r="AI145" s="209"/>
      <c r="AJ145" s="210"/>
      <c r="AK145" s="208"/>
      <c r="AL145" s="208"/>
      <c r="AM145" s="209"/>
      <c r="AN145" s="208"/>
      <c r="AO145" s="208"/>
      <c r="AP145" s="208"/>
      <c r="AQ145" s="209"/>
      <c r="AR145" s="208"/>
      <c r="AS145" s="208"/>
      <c r="AT145" s="208"/>
      <c r="AU145" s="209"/>
      <c r="AV145" s="208"/>
      <c r="AW145" s="208"/>
      <c r="AX145" s="208"/>
      <c r="AY145" s="209"/>
      <c r="AZ145" s="208"/>
      <c r="BA145" s="208"/>
      <c r="BB145" s="208"/>
      <c r="BC145" s="209"/>
      <c r="BD145" s="210"/>
      <c r="BE145" s="208"/>
      <c r="BF145" s="208"/>
      <c r="BG145" s="209"/>
      <c r="BH145" s="210"/>
      <c r="BI145" s="208"/>
      <c r="BJ145" s="208"/>
      <c r="BK145" s="209"/>
      <c r="BL145" s="210"/>
      <c r="BM145" s="208"/>
      <c r="BN145" s="208"/>
      <c r="BO145" s="209"/>
      <c r="BP145" s="210"/>
      <c r="BQ145" s="208"/>
      <c r="BR145" s="208"/>
      <c r="BS145" s="209"/>
      <c r="BT145" s="210"/>
      <c r="BU145" s="208"/>
      <c r="BV145" s="208"/>
      <c r="BW145" s="209"/>
      <c r="BX145" s="160"/>
      <c r="BY145" s="208"/>
      <c r="BZ145" s="208"/>
      <c r="CA145" s="208"/>
      <c r="CB145" s="208"/>
      <c r="CC145" s="208"/>
      <c r="CD145" s="208"/>
      <c r="CE145" s="208"/>
      <c r="CF145" s="208"/>
      <c r="CG145" s="208"/>
      <c r="CH145" s="208"/>
      <c r="CI145" s="208"/>
      <c r="CJ145" s="208"/>
      <c r="CK145" s="208"/>
      <c r="CL145" s="208"/>
      <c r="CM145" s="208"/>
      <c r="CN145" s="208"/>
      <c r="CO145" s="208"/>
      <c r="CP145" s="208"/>
      <c r="CQ145" s="20"/>
      <c r="CR145" s="210"/>
      <c r="CS145" s="208"/>
      <c r="CT145" s="208"/>
      <c r="CU145" s="208"/>
      <c r="CV145" s="208"/>
      <c r="CW145" s="208"/>
      <c r="CX145" s="208"/>
      <c r="CY145" s="208"/>
      <c r="CZ145" s="208"/>
      <c r="DA145" s="208"/>
      <c r="DB145" s="208"/>
      <c r="DC145" s="208"/>
      <c r="DD145" s="208"/>
      <c r="DE145" s="208"/>
      <c r="DF145" s="208"/>
      <c r="DG145" s="208"/>
      <c r="DH145" s="208"/>
      <c r="DI145" s="22"/>
    </row>
    <row r="146" spans="1:113" ht="14.25" customHeight="1" outlineLevel="1">
      <c r="A146" s="8"/>
      <c r="B146" s="44" t="s">
        <v>72</v>
      </c>
      <c r="C146" s="45"/>
      <c r="D146" s="210">
        <v>173.59700000000001</v>
      </c>
      <c r="E146" s="205">
        <f>D146</f>
        <v>173.59700000000001</v>
      </c>
      <c r="F146" s="205">
        <f>D146</f>
        <v>173.59700000000001</v>
      </c>
      <c r="G146" s="207">
        <f>D146</f>
        <v>173.59700000000001</v>
      </c>
      <c r="H146" s="206">
        <f>G149</f>
        <v>53.909000000000134</v>
      </c>
      <c r="I146" s="205">
        <f>H146</f>
        <v>53.909000000000134</v>
      </c>
      <c r="J146" s="205">
        <f>H146</f>
        <v>53.909000000000134</v>
      </c>
      <c r="K146" s="207">
        <f>H146</f>
        <v>53.909000000000134</v>
      </c>
      <c r="L146" s="206">
        <f>K149</f>
        <v>105.33400000000009</v>
      </c>
      <c r="M146" s="205">
        <f>L146</f>
        <v>105.33400000000009</v>
      </c>
      <c r="N146" s="205">
        <f>L146</f>
        <v>105.33400000000009</v>
      </c>
      <c r="O146" s="207">
        <f>L146</f>
        <v>105.33400000000009</v>
      </c>
      <c r="P146" s="206">
        <f>O149</f>
        <v>68.729999999999933</v>
      </c>
      <c r="Q146" s="205">
        <f>P146</f>
        <v>68.729999999999933</v>
      </c>
      <c r="R146" s="205">
        <f>P146</f>
        <v>68.729999999999933</v>
      </c>
      <c r="S146" s="207">
        <f>P146</f>
        <v>68.729999999999933</v>
      </c>
      <c r="T146" s="206">
        <f>S149</f>
        <v>565.2729999999998</v>
      </c>
      <c r="U146" s="205">
        <f>T146</f>
        <v>565.2729999999998</v>
      </c>
      <c r="V146" s="205">
        <f>T146</f>
        <v>565.2729999999998</v>
      </c>
      <c r="W146" s="207">
        <f>T146</f>
        <v>565.2729999999998</v>
      </c>
      <c r="X146" s="206">
        <f>W149</f>
        <v>167.47699999999998</v>
      </c>
      <c r="Y146" s="205">
        <f>X146</f>
        <v>167.47699999999998</v>
      </c>
      <c r="Z146" s="205">
        <f>X146</f>
        <v>167.47699999999998</v>
      </c>
      <c r="AA146" s="207">
        <f>X146</f>
        <v>167.47699999999998</v>
      </c>
      <c r="AB146" s="206">
        <f>AA149</f>
        <v>487.7360000000001</v>
      </c>
      <c r="AC146" s="205">
        <f>AB146</f>
        <v>487.7360000000001</v>
      </c>
      <c r="AD146" s="205">
        <f>AB146</f>
        <v>487.7360000000001</v>
      </c>
      <c r="AE146" s="207">
        <f>AB146</f>
        <v>487.7360000000001</v>
      </c>
      <c r="AF146" s="206">
        <f>AE149</f>
        <v>446.32900000000012</v>
      </c>
      <c r="AG146" s="205">
        <f>AF146</f>
        <v>446.32900000000012</v>
      </c>
      <c r="AH146" s="205">
        <f>AF146</f>
        <v>446.32900000000012</v>
      </c>
      <c r="AI146" s="207">
        <f>AF146</f>
        <v>446.32900000000012</v>
      </c>
      <c r="AJ146" s="205">
        <f>AI149</f>
        <v>492.12999999999994</v>
      </c>
      <c r="AK146" s="205">
        <f>AJ146</f>
        <v>492.12999999999994</v>
      </c>
      <c r="AL146" s="205">
        <f>AJ146</f>
        <v>492.12999999999994</v>
      </c>
      <c r="AM146" s="207">
        <f>AJ146</f>
        <v>492.12999999999994</v>
      </c>
      <c r="AN146" s="205">
        <f>AM149</f>
        <v>703.92399999999998</v>
      </c>
      <c r="AO146" s="205">
        <f>AN146</f>
        <v>703.92399999999998</v>
      </c>
      <c r="AP146" s="205">
        <f>AN146</f>
        <v>703.92399999999998</v>
      </c>
      <c r="AQ146" s="207">
        <f>AN146</f>
        <v>703.92399999999998</v>
      </c>
      <c r="AR146" s="205">
        <f>AQ149</f>
        <v>635.755</v>
      </c>
      <c r="AS146" s="205">
        <f>AR146</f>
        <v>635.755</v>
      </c>
      <c r="AT146" s="205">
        <f>AR146</f>
        <v>635.755</v>
      </c>
      <c r="AU146" s="207">
        <f>AR146</f>
        <v>635.755</v>
      </c>
      <c r="AV146" s="205">
        <f>AU149</f>
        <v>528.33400000000006</v>
      </c>
      <c r="AW146" s="205">
        <f>AV146</f>
        <v>528.33400000000006</v>
      </c>
      <c r="AX146" s="205">
        <f>AV146</f>
        <v>528.33400000000006</v>
      </c>
      <c r="AY146" s="207">
        <f>AV146</f>
        <v>528.33400000000006</v>
      </c>
      <c r="AZ146" s="205">
        <f>AY149</f>
        <v>466.60300000000018</v>
      </c>
      <c r="BA146" s="205">
        <f>AZ146</f>
        <v>466.60300000000018</v>
      </c>
      <c r="BB146" s="205">
        <f>AZ146</f>
        <v>466.60300000000018</v>
      </c>
      <c r="BC146" s="207">
        <f>AZ146</f>
        <v>466.60300000000018</v>
      </c>
      <c r="BD146" s="206">
        <f>BC149</f>
        <v>607.81500000000017</v>
      </c>
      <c r="BE146" s="205">
        <f>BD146</f>
        <v>607.81500000000017</v>
      </c>
      <c r="BF146" s="205">
        <f>BD146</f>
        <v>607.81500000000017</v>
      </c>
      <c r="BG146" s="207">
        <f>BD146</f>
        <v>607.81500000000017</v>
      </c>
      <c r="BH146" s="206">
        <f>BG149</f>
        <v>2092.7510000000011</v>
      </c>
      <c r="BI146" s="205">
        <f>BH146</f>
        <v>2092.7510000000011</v>
      </c>
      <c r="BJ146" s="205">
        <f>BH146</f>
        <v>2092.7510000000011</v>
      </c>
      <c r="BK146" s="207">
        <f>BH146</f>
        <v>2092.7510000000011</v>
      </c>
      <c r="BL146" s="206">
        <f>BK149</f>
        <v>908.68400000000111</v>
      </c>
      <c r="BM146" s="205">
        <f>BL146</f>
        <v>908.68400000000111</v>
      </c>
      <c r="BN146" s="205">
        <f>BL146</f>
        <v>908.68400000000111</v>
      </c>
      <c r="BO146" s="207">
        <f>BL146</f>
        <v>908.68400000000111</v>
      </c>
      <c r="BP146" s="206">
        <f>BO149</f>
        <v>905.80638599740223</v>
      </c>
      <c r="BQ146" s="205">
        <f>BP146</f>
        <v>905.80638599740223</v>
      </c>
      <c r="BR146" s="205">
        <f>BP146</f>
        <v>905.80638599740223</v>
      </c>
      <c r="BS146" s="207">
        <f>BP146</f>
        <v>905.80638599740223</v>
      </c>
      <c r="BT146" s="206">
        <f>BS149</f>
        <v>1976.2383428177229</v>
      </c>
      <c r="BU146" s="205">
        <f>BT146</f>
        <v>1976.2383428177229</v>
      </c>
      <c r="BV146" s="205">
        <f>BT146</f>
        <v>1976.2383428177229</v>
      </c>
      <c r="BW146" s="207">
        <f>BT146</f>
        <v>1976.2383428177229</v>
      </c>
      <c r="BX146" s="160"/>
      <c r="BY146" s="205">
        <f>BY51</f>
        <v>173.59700000000001</v>
      </c>
      <c r="BZ146" s="205">
        <f>BZ51</f>
        <v>53.90900000000002</v>
      </c>
      <c r="CA146" s="205">
        <f>CA51</f>
        <v>105.3339999999998</v>
      </c>
      <c r="CB146" s="205">
        <f>CB51</f>
        <v>68.729999999999833</v>
      </c>
      <c r="CC146" s="205">
        <f t="shared" ref="CC146:CH146" si="846">CB149</f>
        <v>565.27299999999968</v>
      </c>
      <c r="CD146" s="205">
        <f t="shared" si="846"/>
        <v>167.4769999999998</v>
      </c>
      <c r="CE146" s="205">
        <f t="shared" si="846"/>
        <v>487.73599999999988</v>
      </c>
      <c r="CF146" s="205">
        <f t="shared" si="846"/>
        <v>446.32899999999989</v>
      </c>
      <c r="CG146" s="205">
        <f t="shared" si="846"/>
        <v>492.12999999999977</v>
      </c>
      <c r="CH146" s="205">
        <f t="shared" si="846"/>
        <v>703.92399999999975</v>
      </c>
      <c r="CI146" s="205">
        <f t="shared" ref="CI146:CP146" si="847">CH149</f>
        <v>635.75499999999977</v>
      </c>
      <c r="CJ146" s="205">
        <f t="shared" si="847"/>
        <v>528.33399999999995</v>
      </c>
      <c r="CK146" s="205">
        <f t="shared" si="847"/>
        <v>466.60300000000007</v>
      </c>
      <c r="CL146" s="205">
        <f t="shared" si="847"/>
        <v>607.8149999999996</v>
      </c>
      <c r="CM146" s="205">
        <f t="shared" si="847"/>
        <v>2092.7510000000007</v>
      </c>
      <c r="CN146" s="205">
        <f t="shared" si="847"/>
        <v>908.68400000000133</v>
      </c>
      <c r="CO146" s="205">
        <f t="shared" si="847"/>
        <v>905.80638599740246</v>
      </c>
      <c r="CP146" s="205">
        <f t="shared" si="847"/>
        <v>1976.2383428177232</v>
      </c>
      <c r="CQ146" s="20"/>
      <c r="CR146" s="206">
        <f>CR51</f>
        <v>48.336000000000027</v>
      </c>
      <c r="CS146" s="205">
        <f>CS51</f>
        <v>58.174000000000028</v>
      </c>
      <c r="CT146" s="205">
        <f>CT51</f>
        <v>76.182999999999709</v>
      </c>
      <c r="CU146" s="205">
        <f>CU51</f>
        <v>157.45199999999988</v>
      </c>
      <c r="CV146" s="205">
        <f t="shared" ref="CV146:DA146" si="848">CU149</f>
        <v>153.27699999999993</v>
      </c>
      <c r="CW146" s="205">
        <f t="shared" si="848"/>
        <v>831.005</v>
      </c>
      <c r="CX146" s="205">
        <f t="shared" si="848"/>
        <v>391.19400000000019</v>
      </c>
      <c r="CY146" s="205">
        <f t="shared" si="848"/>
        <v>361.29100000000022</v>
      </c>
      <c r="CZ146" s="205">
        <f t="shared" si="848"/>
        <v>500.61600000000027</v>
      </c>
      <c r="DA146" s="205">
        <f t="shared" si="848"/>
        <v>605.72500000000002</v>
      </c>
      <c r="DB146" s="205">
        <f t="shared" ref="DB146:DH146" si="849">DA149</f>
        <v>465.29300000000001</v>
      </c>
      <c r="DC146" s="205">
        <f t="shared" si="849"/>
        <v>375.10000000000025</v>
      </c>
      <c r="DD146" s="205">
        <f t="shared" si="849"/>
        <v>456.33900000000028</v>
      </c>
      <c r="DE146" s="205">
        <f t="shared" si="849"/>
        <v>331.45100000000065</v>
      </c>
      <c r="DF146" s="205">
        <f t="shared" si="849"/>
        <v>663.93800000000056</v>
      </c>
      <c r="DG146" s="205">
        <f t="shared" si="849"/>
        <v>672.07900000000086</v>
      </c>
      <c r="DH146" s="205">
        <f t="shared" si="849"/>
        <v>1696.2471215812482</v>
      </c>
      <c r="DI146" s="22"/>
    </row>
    <row r="147" spans="1:113" ht="14.25" customHeight="1" outlineLevel="1">
      <c r="A147" s="274"/>
      <c r="B147" s="327" t="s">
        <v>73</v>
      </c>
      <c r="C147" s="437"/>
      <c r="D147" s="438"/>
      <c r="E147" s="439"/>
      <c r="F147" s="439"/>
      <c r="G147" s="440"/>
      <c r="H147" s="438"/>
      <c r="I147" s="439"/>
      <c r="J147" s="439"/>
      <c r="K147" s="440"/>
      <c r="L147" s="438"/>
      <c r="M147" s="439"/>
      <c r="N147" s="439"/>
      <c r="O147" s="440"/>
      <c r="P147" s="438"/>
      <c r="Q147" s="439"/>
      <c r="R147" s="439"/>
      <c r="S147" s="440"/>
      <c r="T147" s="438"/>
      <c r="U147" s="439"/>
      <c r="V147" s="439"/>
      <c r="W147" s="440"/>
      <c r="X147" s="438"/>
      <c r="Y147" s="439"/>
      <c r="Z147" s="439"/>
      <c r="AA147" s="440"/>
      <c r="AB147" s="438"/>
      <c r="AC147" s="439"/>
      <c r="AD147" s="439"/>
      <c r="AE147" s="440"/>
      <c r="AF147" s="438"/>
      <c r="AG147" s="439"/>
      <c r="AH147" s="439"/>
      <c r="AI147" s="440"/>
      <c r="AJ147" s="438"/>
      <c r="AK147" s="439"/>
      <c r="AL147" s="439"/>
      <c r="AM147" s="440"/>
      <c r="AN147" s="439"/>
      <c r="AO147" s="439"/>
      <c r="AP147" s="439"/>
      <c r="AQ147" s="440"/>
      <c r="AR147" s="439">
        <v>0</v>
      </c>
      <c r="AS147" s="439">
        <v>0</v>
      </c>
      <c r="AT147" s="439">
        <v>0</v>
      </c>
      <c r="AU147" s="440"/>
      <c r="AV147" s="439">
        <v>0</v>
      </c>
      <c r="AW147" s="439">
        <v>0</v>
      </c>
      <c r="AX147" s="439">
        <v>0</v>
      </c>
      <c r="AY147" s="440">
        <v>0</v>
      </c>
      <c r="AZ147" s="439">
        <v>0</v>
      </c>
      <c r="BA147" s="439">
        <v>0</v>
      </c>
      <c r="BB147" s="439">
        <v>0</v>
      </c>
      <c r="BC147" s="192">
        <v>0</v>
      </c>
      <c r="BD147" s="191">
        <v>0</v>
      </c>
      <c r="BE147" s="439">
        <v>0</v>
      </c>
      <c r="BF147" s="439">
        <v>8.3000000000481577E-2</v>
      </c>
      <c r="BG147" s="195">
        <f>0.0830000000004816+0.047</f>
        <v>0.13000000000048162</v>
      </c>
      <c r="BH147" s="439">
        <v>-0.47799999999999998</v>
      </c>
      <c r="BI147" s="439">
        <v>0</v>
      </c>
      <c r="BJ147" s="439">
        <v>0</v>
      </c>
      <c r="BK147" s="195">
        <v>0</v>
      </c>
      <c r="BL147" s="439">
        <v>0</v>
      </c>
      <c r="BM147" s="439">
        <v>0</v>
      </c>
      <c r="BN147" s="439">
        <v>0</v>
      </c>
      <c r="BO147" s="192">
        <f>BN147</f>
        <v>0</v>
      </c>
      <c r="BP147" s="191">
        <f>BP52</f>
        <v>0</v>
      </c>
      <c r="BQ147" s="191">
        <f>BP147+BQ52</f>
        <v>0</v>
      </c>
      <c r="BR147" s="191">
        <f>BQ147+BR52</f>
        <v>0</v>
      </c>
      <c r="BS147" s="192">
        <f>BR147+BS52</f>
        <v>0</v>
      </c>
      <c r="BT147" s="191">
        <f>BT52</f>
        <v>0</v>
      </c>
      <c r="BU147" s="191">
        <f>BT147+BU52</f>
        <v>0</v>
      </c>
      <c r="BV147" s="191">
        <f>BU147+BV52</f>
        <v>0</v>
      </c>
      <c r="BW147" s="192">
        <f>BV147+BW52</f>
        <v>0</v>
      </c>
      <c r="BX147" s="441"/>
      <c r="BY147" s="444">
        <f>BY52</f>
        <v>0</v>
      </c>
      <c r="BZ147" s="444">
        <f>BZ52</f>
        <v>0</v>
      </c>
      <c r="CA147" s="444">
        <f>CA52</f>
        <v>0</v>
      </c>
      <c r="CB147" s="444">
        <f t="shared" ref="CB147:CL147" si="850">CB52</f>
        <v>0</v>
      </c>
      <c r="CC147" s="444">
        <f t="shared" si="850"/>
        <v>0</v>
      </c>
      <c r="CD147" s="444">
        <f t="shared" si="850"/>
        <v>0</v>
      </c>
      <c r="CE147" s="444">
        <f t="shared" si="850"/>
        <v>0</v>
      </c>
      <c r="CF147" s="444">
        <f t="shared" si="850"/>
        <v>0</v>
      </c>
      <c r="CG147" s="444">
        <f t="shared" si="850"/>
        <v>0</v>
      </c>
      <c r="CH147" s="444">
        <f t="shared" si="850"/>
        <v>0</v>
      </c>
      <c r="CI147" s="444">
        <f t="shared" si="850"/>
        <v>0</v>
      </c>
      <c r="CJ147" s="444">
        <f t="shared" si="850"/>
        <v>0</v>
      </c>
      <c r="CK147" s="444">
        <f t="shared" si="850"/>
        <v>0</v>
      </c>
      <c r="CL147" s="444">
        <f t="shared" si="850"/>
        <v>0.13000000000048162</v>
      </c>
      <c r="CM147" s="444">
        <f>CM52</f>
        <v>0</v>
      </c>
      <c r="CN147" s="444">
        <f>CN52</f>
        <v>0</v>
      </c>
      <c r="CO147" s="444">
        <f>CO52</f>
        <v>0</v>
      </c>
      <c r="CP147" s="444">
        <f>CP52</f>
        <v>0</v>
      </c>
      <c r="CQ147" s="442"/>
      <c r="CR147" s="443">
        <f>CR52</f>
        <v>0</v>
      </c>
      <c r="CS147" s="444">
        <f>CS52</f>
        <v>0</v>
      </c>
      <c r="CT147" s="444">
        <f>CT52</f>
        <v>0</v>
      </c>
      <c r="CU147" s="444">
        <f t="shared" ref="CU147:DC147" si="851">CU52</f>
        <v>0</v>
      </c>
      <c r="CV147" s="444">
        <f t="shared" si="851"/>
        <v>0</v>
      </c>
      <c r="CW147" s="444">
        <f t="shared" si="851"/>
        <v>0</v>
      </c>
      <c r="CX147" s="444">
        <f t="shared" si="851"/>
        <v>0</v>
      </c>
      <c r="CY147" s="444">
        <f t="shared" si="851"/>
        <v>0</v>
      </c>
      <c r="CZ147" s="444">
        <f t="shared" si="851"/>
        <v>0</v>
      </c>
      <c r="DA147" s="444">
        <f t="shared" si="851"/>
        <v>0</v>
      </c>
      <c r="DB147" s="444">
        <f t="shared" si="851"/>
        <v>0</v>
      </c>
      <c r="DC147" s="444">
        <f t="shared" si="851"/>
        <v>0</v>
      </c>
      <c r="DD147" s="444">
        <f>DD52</f>
        <v>8.3000000000481577E-2</v>
      </c>
      <c r="DE147" s="444">
        <f>DE52</f>
        <v>4.7000000000000042E-2</v>
      </c>
      <c r="DF147" s="444">
        <f>DF52</f>
        <v>0</v>
      </c>
      <c r="DG147" s="444">
        <f>DG52</f>
        <v>0</v>
      </c>
      <c r="DH147" s="444">
        <f>DH52</f>
        <v>0</v>
      </c>
      <c r="DI147" s="313"/>
    </row>
    <row r="148" spans="1:113" ht="14.25" customHeight="1" outlineLevel="1">
      <c r="A148" s="8"/>
      <c r="B148" s="202" t="s">
        <v>74</v>
      </c>
      <c r="C148" s="203"/>
      <c r="D148" s="206">
        <f t="shared" ref="D148:O148" si="852">D142+D131+D121+D144</f>
        <v>-111.077</v>
      </c>
      <c r="E148" s="205">
        <f t="shared" si="852"/>
        <v>-127.94699999999995</v>
      </c>
      <c r="F148" s="205">
        <f t="shared" si="852"/>
        <v>-125.26099999999994</v>
      </c>
      <c r="G148" s="207">
        <f t="shared" si="852"/>
        <v>-119.68799999999987</v>
      </c>
      <c r="H148" s="206">
        <f t="shared" si="852"/>
        <v>-6.2600000000000335</v>
      </c>
      <c r="I148" s="205">
        <f t="shared" si="852"/>
        <v>-9.4469999999999743</v>
      </c>
      <c r="J148" s="205">
        <f t="shared" si="852"/>
        <v>4.2649999999999579</v>
      </c>
      <c r="K148" s="207">
        <f t="shared" si="852"/>
        <v>51.424999999999955</v>
      </c>
      <c r="L148" s="206">
        <f t="shared" si="852"/>
        <v>-18.448000000000022</v>
      </c>
      <c r="M148" s="205">
        <f t="shared" si="852"/>
        <v>-30.10899999999998</v>
      </c>
      <c r="N148" s="205">
        <f t="shared" si="852"/>
        <v>-29.15100000000001</v>
      </c>
      <c r="O148" s="207">
        <f t="shared" si="852"/>
        <v>-36.604000000000156</v>
      </c>
      <c r="P148" s="206">
        <f t="shared" ref="P148:BD148" si="853">P142+P131+P121+P144</f>
        <v>72.641999999999982</v>
      </c>
      <c r="Q148" s="205">
        <f t="shared" si="853"/>
        <v>41.349999999999994</v>
      </c>
      <c r="R148" s="205">
        <f t="shared" si="853"/>
        <v>88.722000000000008</v>
      </c>
      <c r="S148" s="207">
        <f t="shared" si="853"/>
        <v>496.54299999999989</v>
      </c>
      <c r="T148" s="206">
        <f t="shared" si="853"/>
        <v>-428.61699999999996</v>
      </c>
      <c r="U148" s="205">
        <f t="shared" si="853"/>
        <v>-432.70399999999995</v>
      </c>
      <c r="V148" s="205">
        <f t="shared" si="853"/>
        <v>-411.99599999999987</v>
      </c>
      <c r="W148" s="207">
        <f t="shared" si="853"/>
        <v>-397.79599999999982</v>
      </c>
      <c r="X148" s="206">
        <f t="shared" si="853"/>
        <v>0.52599999999995362</v>
      </c>
      <c r="Y148" s="205">
        <f t="shared" si="853"/>
        <v>6.747999999999962</v>
      </c>
      <c r="Z148" s="205">
        <f t="shared" si="853"/>
        <v>663.52799999999968</v>
      </c>
      <c r="AA148" s="207">
        <f t="shared" si="853"/>
        <v>320.25900000000013</v>
      </c>
      <c r="AB148" s="206">
        <f t="shared" si="853"/>
        <v>197.839</v>
      </c>
      <c r="AC148" s="205">
        <f t="shared" si="853"/>
        <v>-175.99799999999993</v>
      </c>
      <c r="AD148" s="205">
        <f t="shared" si="853"/>
        <v>-96.541999999999973</v>
      </c>
      <c r="AE148" s="207">
        <f t="shared" si="853"/>
        <v>-41.406999999999982</v>
      </c>
      <c r="AF148" s="206">
        <f t="shared" si="853"/>
        <v>130.65000000000003</v>
      </c>
      <c r="AG148" s="205">
        <f t="shared" si="853"/>
        <v>94.716000000000008</v>
      </c>
      <c r="AH148" s="205">
        <f t="shared" si="853"/>
        <v>-85.037999999999897</v>
      </c>
      <c r="AI148" s="207">
        <f t="shared" si="853"/>
        <v>45.800999999999817</v>
      </c>
      <c r="AJ148" s="206">
        <f t="shared" si="853"/>
        <v>31.343999999999994</v>
      </c>
      <c r="AK148" s="205">
        <f t="shared" si="853"/>
        <v>-68.408999999999992</v>
      </c>
      <c r="AL148" s="205">
        <f t="shared" si="853"/>
        <v>8.48599999999999</v>
      </c>
      <c r="AM148" s="207">
        <f t="shared" si="853"/>
        <v>211.79399999999998</v>
      </c>
      <c r="AN148" s="205">
        <f t="shared" si="853"/>
        <v>-52.54099999999994</v>
      </c>
      <c r="AO148" s="205">
        <f t="shared" si="853"/>
        <v>-28.794999999999959</v>
      </c>
      <c r="AP148" s="205">
        <f t="shared" si="853"/>
        <v>-98.199000000000069</v>
      </c>
      <c r="AQ148" s="207">
        <f t="shared" si="853"/>
        <v>-68.168999999999983</v>
      </c>
      <c r="AR148" s="205">
        <f t="shared" si="853"/>
        <v>144.09300000000002</v>
      </c>
      <c r="AS148" s="205">
        <f t="shared" si="853"/>
        <v>-199.01999999999992</v>
      </c>
      <c r="AT148" s="205">
        <f t="shared" si="853"/>
        <v>-170.46199999999993</v>
      </c>
      <c r="AU148" s="207">
        <f>AU142+AU131+AU121+AU144</f>
        <v>-107.42099999999992</v>
      </c>
      <c r="AV148" s="205">
        <f>AV142+AV131+AV121+AV144</f>
        <v>-125.10300000000004</v>
      </c>
      <c r="AW148" s="205">
        <f>AW142+AW131+AW121+AW144</f>
        <v>-184.13200000000018</v>
      </c>
      <c r="AX148" s="205">
        <f>AX142+AX131+AX121+AX144</f>
        <v>-153.23400000000004</v>
      </c>
      <c r="AY148" s="207">
        <f t="shared" si="853"/>
        <v>-61.730999999999881</v>
      </c>
      <c r="AZ148" s="205">
        <f>AZ142+AZ131+AZ121+AZ144</f>
        <v>151.16699999999994</v>
      </c>
      <c r="BA148" s="205">
        <f>BA142+BA131+BA121+BA144</f>
        <v>14.836000000000148</v>
      </c>
      <c r="BB148" s="205">
        <f>BB142+BB131+BB121+BB144</f>
        <v>-10.263999999999989</v>
      </c>
      <c r="BC148" s="207">
        <f t="shared" si="853"/>
        <v>141.21200000000002</v>
      </c>
      <c r="BD148" s="205">
        <f t="shared" si="853"/>
        <v>-44.267999999999944</v>
      </c>
      <c r="BE148" s="205">
        <f t="shared" ref="BE148:BJ148" si="854">BE142+BE131+BE121+BE144</f>
        <v>-68.737000000000023</v>
      </c>
      <c r="BF148" s="205">
        <f t="shared" si="854"/>
        <v>-276.44699999999989</v>
      </c>
      <c r="BG148" s="207">
        <f t="shared" si="854"/>
        <v>1484.8060000000003</v>
      </c>
      <c r="BH148" s="205">
        <f t="shared" si="854"/>
        <v>-1491.7470000000001</v>
      </c>
      <c r="BI148" s="205">
        <f t="shared" si="854"/>
        <v>-1602.7630000000006</v>
      </c>
      <c r="BJ148" s="205">
        <f t="shared" si="854"/>
        <v>-1428.8130000000006</v>
      </c>
      <c r="BK148" s="207">
        <f t="shared" ref="BK148:BO148" si="855">BK142+BK131+BK121+BK144</f>
        <v>-1184.067</v>
      </c>
      <c r="BL148" s="205">
        <f t="shared" si="855"/>
        <v>-135.64799999999997</v>
      </c>
      <c r="BM148" s="205">
        <f t="shared" si="855"/>
        <v>-82.277000000000157</v>
      </c>
      <c r="BN148" s="205">
        <f t="shared" si="855"/>
        <v>-236.60500000000025</v>
      </c>
      <c r="BO148" s="207">
        <f t="shared" si="855"/>
        <v>-2.8776140025988752</v>
      </c>
      <c r="BP148" s="205">
        <f t="shared" ref="BP148:BW148" si="856">BP142+BP131+BP121+BP144</f>
        <v>253.14650384442103</v>
      </c>
      <c r="BQ148" s="205">
        <f t="shared" si="856"/>
        <v>508.41017358581195</v>
      </c>
      <c r="BR148" s="205">
        <f t="shared" si="856"/>
        <v>790.44073558384605</v>
      </c>
      <c r="BS148" s="207">
        <f t="shared" si="856"/>
        <v>1070.4319568203207</v>
      </c>
      <c r="BT148" s="205">
        <f t="shared" si="856"/>
        <v>275.34057434530303</v>
      </c>
      <c r="BU148" s="205">
        <f t="shared" si="856"/>
        <v>552.33990203639337</v>
      </c>
      <c r="BV148" s="205">
        <f t="shared" si="856"/>
        <v>869.65360031619298</v>
      </c>
      <c r="BW148" s="207">
        <f t="shared" si="856"/>
        <v>1169.5923139124452</v>
      </c>
      <c r="BX148" s="160"/>
      <c r="BY148" s="205">
        <f>BY142+BY131+BY121+BY144</f>
        <v>-119.68799999999987</v>
      </c>
      <c r="BZ148" s="205">
        <f>BZ142+BZ131+BZ121+BZ144</f>
        <v>51.424999999999727</v>
      </c>
      <c r="CA148" s="205">
        <f>CA142+CA131+CA121+CA144</f>
        <v>-36.604000000000156</v>
      </c>
      <c r="CB148" s="205">
        <f t="shared" ref="CB148:CL148" si="857">CB142+CB131+CB121+CB144</f>
        <v>496.54299999999989</v>
      </c>
      <c r="CC148" s="205">
        <f t="shared" si="857"/>
        <v>-397.79599999999988</v>
      </c>
      <c r="CD148" s="205">
        <f t="shared" si="857"/>
        <v>320.25900000000007</v>
      </c>
      <c r="CE148" s="205">
        <f t="shared" si="857"/>
        <v>-41.406999999999982</v>
      </c>
      <c r="CF148" s="205">
        <f t="shared" si="857"/>
        <v>45.800999999999874</v>
      </c>
      <c r="CG148" s="205">
        <f t="shared" si="857"/>
        <v>211.79399999999998</v>
      </c>
      <c r="CH148" s="205">
        <f t="shared" si="857"/>
        <v>-68.168999999999983</v>
      </c>
      <c r="CI148" s="205">
        <f t="shared" si="857"/>
        <v>-107.42099999999986</v>
      </c>
      <c r="CJ148" s="205">
        <f t="shared" si="857"/>
        <v>-61.730999999999881</v>
      </c>
      <c r="CK148" s="205">
        <f t="shared" si="857"/>
        <v>141.21199999999956</v>
      </c>
      <c r="CL148" s="205">
        <f t="shared" si="857"/>
        <v>1484.8060000000003</v>
      </c>
      <c r="CM148" s="205">
        <f>CM142+CM131+CM121+CM144</f>
        <v>-1184.0669999999993</v>
      </c>
      <c r="CN148" s="205">
        <f>CN142+CN131+CN121+CN144</f>
        <v>-2.8776140025988752</v>
      </c>
      <c r="CO148" s="205">
        <f>CO142+CO131+CO121+CO144</f>
        <v>1070.4319568203207</v>
      </c>
      <c r="CP148" s="205">
        <f>CP142+CP131+CP121+CP144</f>
        <v>1169.5923139124452</v>
      </c>
      <c r="CQ148" s="20"/>
      <c r="CR148" s="206">
        <f>CR142+CR131+CR121+CR144</f>
        <v>9.8379999999999086</v>
      </c>
      <c r="CS148" s="205">
        <f>CS142+CS131+CS121+CS144</f>
        <v>18.00899999999973</v>
      </c>
      <c r="CT148" s="205">
        <f>CT142+CT131+CT121+CT144</f>
        <v>81.269000000000233</v>
      </c>
      <c r="CU148" s="205">
        <f t="shared" ref="CU148:DC148" si="858">CU142+CU131+CU121+CU144</f>
        <v>-4.1749999999999545</v>
      </c>
      <c r="CV148" s="205">
        <f t="shared" si="858"/>
        <v>677.72800000000007</v>
      </c>
      <c r="CW148" s="205">
        <f t="shared" si="858"/>
        <v>-439.81099999999981</v>
      </c>
      <c r="CX148" s="205">
        <f t="shared" si="858"/>
        <v>-29.902999999999963</v>
      </c>
      <c r="CY148" s="205">
        <f t="shared" si="858"/>
        <v>139.32500000000005</v>
      </c>
      <c r="CZ148" s="205">
        <f t="shared" si="858"/>
        <v>105.10899999999975</v>
      </c>
      <c r="DA148" s="205">
        <f t="shared" si="858"/>
        <v>-140.43200000000002</v>
      </c>
      <c r="DB148" s="205">
        <f t="shared" si="858"/>
        <v>-90.192999999999756</v>
      </c>
      <c r="DC148" s="205">
        <f t="shared" si="858"/>
        <v>81.239000000000061</v>
      </c>
      <c r="DD148" s="205">
        <f>DD142+DD131+DD121+DD144</f>
        <v>-124.97100000000012</v>
      </c>
      <c r="DE148" s="205">
        <f>DE142+DE131+DE121+DE144</f>
        <v>332.43999999999988</v>
      </c>
      <c r="DF148" s="205">
        <f>DF142+DF131+DF121+DF144</f>
        <v>8.1410000000003038</v>
      </c>
      <c r="DG148" s="205">
        <f>DG142+DG131+DG121+DG144</f>
        <v>1024.1681215812473</v>
      </c>
      <c r="DH148" s="205">
        <f>DH142+DH131+DH121+DH144</f>
        <v>1149.6448215526677</v>
      </c>
      <c r="DI148" s="22"/>
    </row>
    <row r="149" spans="1:113" ht="14.25" customHeight="1" outlineLevel="1">
      <c r="A149" s="8"/>
      <c r="B149" s="361" t="s">
        <v>75</v>
      </c>
      <c r="C149" s="211"/>
      <c r="D149" s="213">
        <f t="shared" ref="D149:O149" si="859">D148+D146+D147</f>
        <v>62.52000000000001</v>
      </c>
      <c r="E149" s="212">
        <f t="shared" si="859"/>
        <v>45.650000000000063</v>
      </c>
      <c r="F149" s="212">
        <f t="shared" si="859"/>
        <v>48.33600000000007</v>
      </c>
      <c r="G149" s="214">
        <f t="shared" si="859"/>
        <v>53.909000000000134</v>
      </c>
      <c r="H149" s="213">
        <f t="shared" si="859"/>
        <v>47.6490000000001</v>
      </c>
      <c r="I149" s="212">
        <f t="shared" si="859"/>
        <v>44.46200000000016</v>
      </c>
      <c r="J149" s="212">
        <f t="shared" si="859"/>
        <v>58.174000000000092</v>
      </c>
      <c r="K149" s="214">
        <f t="shared" si="859"/>
        <v>105.33400000000009</v>
      </c>
      <c r="L149" s="213">
        <f t="shared" si="859"/>
        <v>86.886000000000067</v>
      </c>
      <c r="M149" s="212">
        <f t="shared" si="859"/>
        <v>75.225000000000108</v>
      </c>
      <c r="N149" s="212">
        <f t="shared" si="859"/>
        <v>76.183000000000078</v>
      </c>
      <c r="O149" s="214">
        <f t="shared" si="859"/>
        <v>68.729999999999933</v>
      </c>
      <c r="P149" s="213">
        <f t="shared" ref="P149:AI149" si="860">P148+P146+P147</f>
        <v>141.3719999999999</v>
      </c>
      <c r="Q149" s="212">
        <f t="shared" si="860"/>
        <v>110.07999999999993</v>
      </c>
      <c r="R149" s="212">
        <f t="shared" si="860"/>
        <v>157.45199999999994</v>
      </c>
      <c r="S149" s="214">
        <f t="shared" si="860"/>
        <v>565.2729999999998</v>
      </c>
      <c r="T149" s="213">
        <f t="shared" si="860"/>
        <v>136.65599999999984</v>
      </c>
      <c r="U149" s="212">
        <f t="shared" si="860"/>
        <v>132.56899999999985</v>
      </c>
      <c r="V149" s="212">
        <f t="shared" si="860"/>
        <v>153.27699999999993</v>
      </c>
      <c r="W149" s="214">
        <f t="shared" si="860"/>
        <v>167.47699999999998</v>
      </c>
      <c r="X149" s="213">
        <f t="shared" si="860"/>
        <v>168.00299999999993</v>
      </c>
      <c r="Y149" s="212">
        <f t="shared" si="860"/>
        <v>174.22499999999994</v>
      </c>
      <c r="Z149" s="212">
        <f t="shared" si="860"/>
        <v>831.00499999999965</v>
      </c>
      <c r="AA149" s="214">
        <f t="shared" si="860"/>
        <v>487.7360000000001</v>
      </c>
      <c r="AB149" s="213">
        <f t="shared" si="860"/>
        <v>685.57500000000005</v>
      </c>
      <c r="AC149" s="212">
        <f t="shared" si="860"/>
        <v>311.73800000000017</v>
      </c>
      <c r="AD149" s="212">
        <f t="shared" si="860"/>
        <v>391.19400000000013</v>
      </c>
      <c r="AE149" s="214">
        <f t="shared" si="860"/>
        <v>446.32900000000012</v>
      </c>
      <c r="AF149" s="213">
        <f t="shared" si="860"/>
        <v>576.97900000000016</v>
      </c>
      <c r="AG149" s="212">
        <f t="shared" si="860"/>
        <v>541.04500000000007</v>
      </c>
      <c r="AH149" s="212">
        <f t="shared" si="860"/>
        <v>361.29100000000022</v>
      </c>
      <c r="AI149" s="214">
        <f t="shared" si="860"/>
        <v>492.12999999999994</v>
      </c>
      <c r="AJ149" s="213">
        <f t="shared" ref="AJ149:BD149" si="861">AJ148+AJ146+AJ147</f>
        <v>523.47399999999993</v>
      </c>
      <c r="AK149" s="212">
        <f t="shared" si="861"/>
        <v>423.72099999999995</v>
      </c>
      <c r="AL149" s="212">
        <f t="shared" si="861"/>
        <v>500.61599999999993</v>
      </c>
      <c r="AM149" s="214">
        <f t="shared" si="861"/>
        <v>703.92399999999998</v>
      </c>
      <c r="AN149" s="212">
        <f t="shared" si="861"/>
        <v>651.38300000000004</v>
      </c>
      <c r="AO149" s="212">
        <f t="shared" si="861"/>
        <v>675.12900000000002</v>
      </c>
      <c r="AP149" s="212">
        <f t="shared" si="861"/>
        <v>605.72499999999991</v>
      </c>
      <c r="AQ149" s="214">
        <f t="shared" si="861"/>
        <v>635.755</v>
      </c>
      <c r="AR149" s="212">
        <f t="shared" si="861"/>
        <v>779.84799999999996</v>
      </c>
      <c r="AS149" s="212">
        <f t="shared" si="861"/>
        <v>436.73500000000007</v>
      </c>
      <c r="AT149" s="212">
        <f t="shared" si="861"/>
        <v>465.29300000000006</v>
      </c>
      <c r="AU149" s="214">
        <f t="shared" si="861"/>
        <v>528.33400000000006</v>
      </c>
      <c r="AV149" s="212">
        <f t="shared" si="861"/>
        <v>403.23099999999999</v>
      </c>
      <c r="AW149" s="212">
        <f t="shared" si="861"/>
        <v>344.20199999999988</v>
      </c>
      <c r="AX149" s="212">
        <f t="shared" si="861"/>
        <v>375.1</v>
      </c>
      <c r="AY149" s="214">
        <f t="shared" si="861"/>
        <v>466.60300000000018</v>
      </c>
      <c r="AZ149" s="212">
        <f>AZ148+AZ146+AZ147</f>
        <v>617.7700000000001</v>
      </c>
      <c r="BA149" s="212">
        <f>BA148+BA146+BA147</f>
        <v>481.43900000000031</v>
      </c>
      <c r="BB149" s="212">
        <f>BB148+BB146+BB147</f>
        <v>456.33900000000017</v>
      </c>
      <c r="BC149" s="214">
        <f t="shared" si="861"/>
        <v>607.81500000000017</v>
      </c>
      <c r="BD149" s="212">
        <f t="shared" si="861"/>
        <v>563.54700000000025</v>
      </c>
      <c r="BE149" s="212">
        <f t="shared" ref="BE149:BJ149" si="862">BE148+BE146+BE147</f>
        <v>539.0780000000002</v>
      </c>
      <c r="BF149" s="212">
        <f t="shared" si="862"/>
        <v>331.45100000000076</v>
      </c>
      <c r="BG149" s="214">
        <f t="shared" si="862"/>
        <v>2092.7510000000011</v>
      </c>
      <c r="BH149" s="212">
        <f t="shared" si="862"/>
        <v>600.52600000000109</v>
      </c>
      <c r="BI149" s="212">
        <f t="shared" si="862"/>
        <v>489.98800000000051</v>
      </c>
      <c r="BJ149" s="212">
        <f t="shared" si="862"/>
        <v>663.93800000000056</v>
      </c>
      <c r="BK149" s="214">
        <f t="shared" ref="BK149:BO149" si="863">BK148+BK146+BK147</f>
        <v>908.68400000000111</v>
      </c>
      <c r="BL149" s="212">
        <f t="shared" si="863"/>
        <v>773.0360000000012</v>
      </c>
      <c r="BM149" s="212">
        <f t="shared" si="863"/>
        <v>826.40700000000095</v>
      </c>
      <c r="BN149" s="212">
        <f t="shared" si="863"/>
        <v>672.07900000000086</v>
      </c>
      <c r="BO149" s="214">
        <f t="shared" si="863"/>
        <v>905.80638599740223</v>
      </c>
      <c r="BP149" s="212">
        <f t="shared" ref="BP149:BW149" si="864">BP148+BP146+BP147</f>
        <v>1158.9528898418232</v>
      </c>
      <c r="BQ149" s="212">
        <f t="shared" si="864"/>
        <v>1414.2165595832141</v>
      </c>
      <c r="BR149" s="212">
        <f t="shared" si="864"/>
        <v>1696.2471215812484</v>
      </c>
      <c r="BS149" s="214">
        <f t="shared" si="864"/>
        <v>1976.2383428177229</v>
      </c>
      <c r="BT149" s="212">
        <f t="shared" si="864"/>
        <v>2251.5789171630258</v>
      </c>
      <c r="BU149" s="212">
        <f t="shared" si="864"/>
        <v>2528.5782448541163</v>
      </c>
      <c r="BV149" s="212">
        <f t="shared" si="864"/>
        <v>2845.8919431339159</v>
      </c>
      <c r="BW149" s="214">
        <f t="shared" si="864"/>
        <v>3145.8306567301679</v>
      </c>
      <c r="BX149" s="160"/>
      <c r="BY149" s="212">
        <f>BY148+BY146+BY147</f>
        <v>53.909000000000134</v>
      </c>
      <c r="BZ149" s="212">
        <f>BZ148+BZ146+BZ147</f>
        <v>105.33399999999975</v>
      </c>
      <c r="CA149" s="212">
        <f>CA148+CA146+CA147</f>
        <v>68.729999999999649</v>
      </c>
      <c r="CB149" s="212">
        <f t="shared" ref="CB149:CH149" si="865">CB148+CB146+CB147</f>
        <v>565.27299999999968</v>
      </c>
      <c r="CC149" s="212">
        <f t="shared" si="865"/>
        <v>167.4769999999998</v>
      </c>
      <c r="CD149" s="212">
        <f t="shared" si="865"/>
        <v>487.73599999999988</v>
      </c>
      <c r="CE149" s="212">
        <f t="shared" si="865"/>
        <v>446.32899999999989</v>
      </c>
      <c r="CF149" s="212">
        <f t="shared" si="865"/>
        <v>492.12999999999977</v>
      </c>
      <c r="CG149" s="212">
        <f t="shared" si="865"/>
        <v>703.92399999999975</v>
      </c>
      <c r="CH149" s="212">
        <f t="shared" si="865"/>
        <v>635.75499999999977</v>
      </c>
      <c r="CI149" s="212">
        <f t="shared" ref="CI149:CN149" si="866">CI148+CI146+CI147</f>
        <v>528.33399999999995</v>
      </c>
      <c r="CJ149" s="212">
        <f t="shared" si="866"/>
        <v>466.60300000000007</v>
      </c>
      <c r="CK149" s="212">
        <f t="shared" si="866"/>
        <v>607.8149999999996</v>
      </c>
      <c r="CL149" s="212">
        <f t="shared" si="866"/>
        <v>2092.7510000000007</v>
      </c>
      <c r="CM149" s="212">
        <f t="shared" si="866"/>
        <v>908.68400000000133</v>
      </c>
      <c r="CN149" s="212">
        <f t="shared" si="866"/>
        <v>905.80638599740246</v>
      </c>
      <c r="CO149" s="212">
        <f>CO148+CO146+CO147</f>
        <v>1976.2383428177232</v>
      </c>
      <c r="CP149" s="212">
        <f>CP148+CP146+CP147</f>
        <v>3145.8306567301684</v>
      </c>
      <c r="CQ149" s="20"/>
      <c r="CR149" s="213">
        <f>CR148+CR146+CR147</f>
        <v>58.173999999999936</v>
      </c>
      <c r="CS149" s="212">
        <f>CS148+CS146+CS147</f>
        <v>76.182999999999765</v>
      </c>
      <c r="CT149" s="212">
        <f>CT148+CT146+CT147</f>
        <v>157.45199999999994</v>
      </c>
      <c r="CU149" s="212">
        <f t="shared" ref="CU149:DA149" si="867">CU148+CU146+CU147</f>
        <v>153.27699999999993</v>
      </c>
      <c r="CV149" s="212">
        <f t="shared" si="867"/>
        <v>831.005</v>
      </c>
      <c r="CW149" s="212">
        <f t="shared" si="867"/>
        <v>391.19400000000019</v>
      </c>
      <c r="CX149" s="212">
        <f t="shared" si="867"/>
        <v>361.29100000000022</v>
      </c>
      <c r="CY149" s="212">
        <f t="shared" si="867"/>
        <v>500.61600000000027</v>
      </c>
      <c r="CZ149" s="212">
        <f t="shared" si="867"/>
        <v>605.72500000000002</v>
      </c>
      <c r="DA149" s="212">
        <f t="shared" si="867"/>
        <v>465.29300000000001</v>
      </c>
      <c r="DB149" s="212">
        <f t="shared" ref="DB149:DG149" si="868">DB148+DB146+DB147</f>
        <v>375.10000000000025</v>
      </c>
      <c r="DC149" s="212">
        <f t="shared" si="868"/>
        <v>456.33900000000028</v>
      </c>
      <c r="DD149" s="212">
        <f t="shared" si="868"/>
        <v>331.45100000000065</v>
      </c>
      <c r="DE149" s="212">
        <f t="shared" si="868"/>
        <v>663.93800000000056</v>
      </c>
      <c r="DF149" s="212">
        <f t="shared" si="868"/>
        <v>672.07900000000086</v>
      </c>
      <c r="DG149" s="212">
        <f t="shared" si="868"/>
        <v>1696.2471215812482</v>
      </c>
      <c r="DH149" s="212">
        <f t="shared" ref="DH149" si="869">DH148+DH146+DH147</f>
        <v>2845.8919431339159</v>
      </c>
      <c r="DI149" s="22"/>
    </row>
    <row r="150" spans="1:113" ht="14.25" customHeight="1" outlineLevel="1">
      <c r="A150" s="8"/>
      <c r="B150" s="270"/>
      <c r="C150" s="271"/>
      <c r="D150" s="205"/>
      <c r="E150" s="205"/>
      <c r="F150" s="205"/>
      <c r="G150" s="205"/>
      <c r="H150" s="205"/>
      <c r="I150" s="205"/>
      <c r="J150" s="205"/>
      <c r="K150" s="205"/>
      <c r="L150" s="205"/>
      <c r="M150" s="205"/>
      <c r="N150" s="205"/>
      <c r="O150" s="205"/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  <c r="AB150" s="205"/>
      <c r="AC150" s="205"/>
      <c r="AD150" s="205"/>
      <c r="AE150" s="205"/>
      <c r="AF150" s="205"/>
      <c r="AG150" s="205"/>
      <c r="AH150" s="205"/>
      <c r="AI150" s="205"/>
      <c r="AJ150" s="205"/>
      <c r="AK150" s="205"/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05"/>
      <c r="BH150" s="205"/>
      <c r="BI150" s="205"/>
      <c r="BJ150" s="205"/>
      <c r="BK150" s="205"/>
      <c r="BL150" s="205"/>
      <c r="BM150" s="205"/>
      <c r="BN150" s="205"/>
      <c r="BO150" s="205"/>
      <c r="BP150" s="205"/>
      <c r="BQ150" s="205"/>
      <c r="BR150" s="205"/>
      <c r="BS150" s="205"/>
      <c r="BT150" s="205"/>
      <c r="BU150" s="205"/>
      <c r="BV150" s="205"/>
      <c r="BW150" s="205"/>
      <c r="BX150" s="68"/>
      <c r="BY150" s="205"/>
      <c r="BZ150" s="205"/>
      <c r="CA150" s="205"/>
      <c r="CB150" s="205"/>
      <c r="CC150" s="205"/>
      <c r="CD150" s="205"/>
      <c r="CE150" s="205"/>
      <c r="CF150" s="205"/>
      <c r="CG150" s="205"/>
      <c r="CH150" s="205"/>
      <c r="CI150" s="205"/>
      <c r="CJ150" s="205"/>
      <c r="CK150" s="205"/>
      <c r="CL150" s="205"/>
      <c r="CM150" s="205"/>
      <c r="CN150" s="205"/>
      <c r="CO150" s="205"/>
      <c r="CP150" s="205"/>
      <c r="CQ150" s="8"/>
      <c r="CR150" s="205"/>
      <c r="CS150" s="205"/>
      <c r="CT150" s="205"/>
      <c r="CU150" s="205"/>
      <c r="CV150" s="205"/>
      <c r="CW150" s="205"/>
      <c r="CX150" s="205"/>
      <c r="CY150" s="205"/>
      <c r="CZ150" s="205"/>
      <c r="DA150" s="205"/>
      <c r="DB150" s="205"/>
      <c r="DC150" s="205"/>
      <c r="DD150" s="205"/>
      <c r="DE150" s="205"/>
      <c r="DF150" s="205"/>
      <c r="DG150" s="205"/>
      <c r="DH150" s="205"/>
      <c r="DI150" s="8"/>
    </row>
    <row r="151" spans="1:113" ht="14.25" customHeight="1" outlineLevel="1">
      <c r="A151" s="8"/>
      <c r="B151" s="73" t="s">
        <v>55</v>
      </c>
      <c r="C151" s="74"/>
      <c r="D151" s="158">
        <f>BS!D9</f>
        <v>62.52</v>
      </c>
      <c r="E151" s="156">
        <f>BS!E9</f>
        <v>45.65</v>
      </c>
      <c r="F151" s="156">
        <f>BS!F9</f>
        <v>48.335999999999999</v>
      </c>
      <c r="G151" s="159">
        <f>BS!G9</f>
        <v>53.908999999999999</v>
      </c>
      <c r="H151" s="158">
        <f>BS!H9</f>
        <v>47.649000000000001</v>
      </c>
      <c r="I151" s="156">
        <f>BS!I9</f>
        <v>44.462000000000003</v>
      </c>
      <c r="J151" s="156">
        <f>BS!J9</f>
        <v>58.173999999999999</v>
      </c>
      <c r="K151" s="159">
        <f>BS!K9</f>
        <v>105.334</v>
      </c>
      <c r="L151" s="158">
        <f>BS!L9</f>
        <v>86.885999999999996</v>
      </c>
      <c r="M151" s="156">
        <f>BS!M9</f>
        <v>75.224999999999994</v>
      </c>
      <c r="N151" s="156">
        <f>BS!N9</f>
        <v>76.183000000000007</v>
      </c>
      <c r="O151" s="159">
        <f>BS!O9</f>
        <v>68.73</v>
      </c>
      <c r="P151" s="158">
        <f>BS!P9</f>
        <v>141.37200000000001</v>
      </c>
      <c r="Q151" s="156">
        <f>BS!Q9</f>
        <v>110.08</v>
      </c>
      <c r="R151" s="156">
        <f>BS!R9</f>
        <v>157.452</v>
      </c>
      <c r="S151" s="159">
        <f>BS!S9</f>
        <v>565.27300000000002</v>
      </c>
      <c r="T151" s="158">
        <f>BS!T9</f>
        <v>136.65600000000001</v>
      </c>
      <c r="U151" s="156">
        <f>BS!U9</f>
        <v>132.56899999999999</v>
      </c>
      <c r="V151" s="156">
        <f>BS!V9</f>
        <v>153.27699999999999</v>
      </c>
      <c r="W151" s="159">
        <f>BS!W9</f>
        <v>167.477</v>
      </c>
      <c r="X151" s="158">
        <f>BS!X9</f>
        <v>168.00299999999999</v>
      </c>
      <c r="Y151" s="156">
        <f>BS!Y9</f>
        <v>174.22499999999999</v>
      </c>
      <c r="Z151" s="156">
        <f>BS!Z9</f>
        <v>831.005</v>
      </c>
      <c r="AA151" s="159">
        <f>BS!AA9</f>
        <v>487.73599999999999</v>
      </c>
      <c r="AB151" s="158">
        <f>BS!AB9</f>
        <v>685.57500000000005</v>
      </c>
      <c r="AC151" s="156">
        <f>BS!AC9</f>
        <v>311.738</v>
      </c>
      <c r="AD151" s="156">
        <f>BS!AD9</f>
        <v>391.19400000000002</v>
      </c>
      <c r="AE151" s="159">
        <f>BS!AE9</f>
        <v>446.32900000000001</v>
      </c>
      <c r="AF151" s="158">
        <f>BS!AF9</f>
        <v>576.97900000000004</v>
      </c>
      <c r="AG151" s="156">
        <f>BS!AG9</f>
        <v>541.04499999999996</v>
      </c>
      <c r="AH151" s="156">
        <f>BS!AH9</f>
        <v>361.291</v>
      </c>
      <c r="AI151" s="159">
        <f>BS!AI9</f>
        <v>492.13</v>
      </c>
      <c r="AJ151" s="158">
        <f>BS!AJ9</f>
        <v>523.47400000000005</v>
      </c>
      <c r="AK151" s="156">
        <f>BS!AK9</f>
        <v>423.721</v>
      </c>
      <c r="AL151" s="156">
        <f>BS!AL9</f>
        <v>500.61599999999999</v>
      </c>
      <c r="AM151" s="159">
        <f>BS!AM9</f>
        <v>703.92399999999998</v>
      </c>
      <c r="AN151" s="156">
        <f>BS!AN9</f>
        <v>651.38300000000004</v>
      </c>
      <c r="AO151" s="156">
        <f>BS!AO9</f>
        <v>675.12900000000002</v>
      </c>
      <c r="AP151" s="156">
        <f>BS!AP9</f>
        <v>605.72500000000002</v>
      </c>
      <c r="AQ151" s="159">
        <f>BS!AQ9</f>
        <v>635.755</v>
      </c>
      <c r="AR151" s="156">
        <f>BS!AR9</f>
        <v>779.84799999999996</v>
      </c>
      <c r="AS151" s="156">
        <f>BS!AS9</f>
        <v>436.73500000000001</v>
      </c>
      <c r="AT151" s="156">
        <f>BS!AT9</f>
        <v>465.29300000000001</v>
      </c>
      <c r="AU151" s="159">
        <f>BS!AU9</f>
        <v>528.33399999999995</v>
      </c>
      <c r="AV151" s="156">
        <f>BS!AV9</f>
        <v>403.23099999999999</v>
      </c>
      <c r="AW151" s="156">
        <f>BS!AW9</f>
        <v>344.202</v>
      </c>
      <c r="AX151" s="156">
        <f>BS!AX9</f>
        <v>375.1</v>
      </c>
      <c r="AY151" s="159">
        <f>BS!AY9</f>
        <v>466.60300000000001</v>
      </c>
      <c r="AZ151" s="156">
        <f>BS!AZ9</f>
        <v>617.77</v>
      </c>
      <c r="BA151" s="156">
        <f>BS!BA9</f>
        <v>481.43900000000002</v>
      </c>
      <c r="BB151" s="156">
        <f>BS!BB9</f>
        <v>456.339</v>
      </c>
      <c r="BC151" s="157">
        <f>BS!BC9</f>
        <v>607.81500000000005</v>
      </c>
      <c r="BD151" s="156">
        <f>BS!BD9</f>
        <v>563.54700000000003</v>
      </c>
      <c r="BE151" s="156">
        <f>BS!BE9</f>
        <v>539.07799999999997</v>
      </c>
      <c r="BF151" s="218">
        <f>BS!BF9</f>
        <v>331.45100000000002</v>
      </c>
      <c r="BG151" s="157">
        <f>BS!BG9</f>
        <v>2092.7510000000002</v>
      </c>
      <c r="BH151" s="156">
        <f>BS!BH9</f>
        <v>600.52599999999995</v>
      </c>
      <c r="BI151" s="156">
        <f>BS!BI9</f>
        <v>489.988</v>
      </c>
      <c r="BJ151" s="218">
        <f>BS!BJ9</f>
        <v>663.93799999999999</v>
      </c>
      <c r="BK151" s="157">
        <f>BS!BK9</f>
        <v>908.68399999999997</v>
      </c>
      <c r="BL151" s="156">
        <f>BS!BL9</f>
        <v>773.03599999999994</v>
      </c>
      <c r="BM151" s="156">
        <f>BS!BM9</f>
        <v>826.40700000000004</v>
      </c>
      <c r="BN151" s="218">
        <f>BS!BN9</f>
        <v>672.07899999999995</v>
      </c>
      <c r="BO151" s="157">
        <f>BS!BO9</f>
        <v>905.80638599740155</v>
      </c>
      <c r="BP151" s="156">
        <f>BS!BP9</f>
        <v>1158.9528898418225</v>
      </c>
      <c r="BQ151" s="156">
        <f>BS!BQ9</f>
        <v>1414.2165595832134</v>
      </c>
      <c r="BR151" s="156">
        <f>BS!BR9</f>
        <v>1696.2471215812475</v>
      </c>
      <c r="BS151" s="157">
        <f>BS!BS9</f>
        <v>1976.2383428177222</v>
      </c>
      <c r="BT151" s="156">
        <f>BS!BT9</f>
        <v>2251.5789171630254</v>
      </c>
      <c r="BU151" s="156">
        <f>BS!BU9</f>
        <v>2528.5782448541158</v>
      </c>
      <c r="BV151" s="156">
        <f>BS!BV9</f>
        <v>2845.8919431339154</v>
      </c>
      <c r="BW151" s="157">
        <f>BS!BW9</f>
        <v>3145.8306567301674</v>
      </c>
      <c r="BX151" s="160"/>
      <c r="BY151" s="156">
        <f>BS!BY9</f>
        <v>53.908999999999999</v>
      </c>
      <c r="BZ151" s="156">
        <f>BS!BZ9</f>
        <v>105.334</v>
      </c>
      <c r="CA151" s="156">
        <f>BS!CA9</f>
        <v>68.73</v>
      </c>
      <c r="CB151" s="156">
        <f>BS!CB9</f>
        <v>565.27300000000002</v>
      </c>
      <c r="CC151" s="156">
        <f>BS!CC9</f>
        <v>167.477</v>
      </c>
      <c r="CD151" s="156">
        <f>BS!CD9</f>
        <v>487.73599999999999</v>
      </c>
      <c r="CE151" s="156">
        <f>BS!CE9</f>
        <v>446.32900000000001</v>
      </c>
      <c r="CF151" s="156">
        <f>BS!CF9</f>
        <v>492.13</v>
      </c>
      <c r="CG151" s="156">
        <f>BS!CG9</f>
        <v>703.92399999999998</v>
      </c>
      <c r="CH151" s="156">
        <f>BS!CH9</f>
        <v>635.755</v>
      </c>
      <c r="CI151" s="156">
        <f>BS!CI9</f>
        <v>528.33399999999995</v>
      </c>
      <c r="CJ151" s="156">
        <f>BS!CJ9</f>
        <v>466.60300000000001</v>
      </c>
      <c r="CK151" s="156">
        <f>BS!CK9</f>
        <v>607.81500000000005</v>
      </c>
      <c r="CL151" s="156">
        <f>BS!CL9</f>
        <v>2092.7510000000002</v>
      </c>
      <c r="CM151" s="156">
        <f>BS!CM9</f>
        <v>908.68399999999997</v>
      </c>
      <c r="CN151" s="156">
        <f>BS!CN9</f>
        <v>905.80638599740155</v>
      </c>
      <c r="CO151" s="156">
        <f>BS!CO9</f>
        <v>1976.2383428177222</v>
      </c>
      <c r="CP151" s="156">
        <f>BS!CP9</f>
        <v>3145.8306567301674</v>
      </c>
      <c r="CQ151" s="20"/>
      <c r="CR151" s="158">
        <f>BS!CR9</f>
        <v>58.173999999999999</v>
      </c>
      <c r="CS151" s="156">
        <f>BS!CS9</f>
        <v>76.183000000000007</v>
      </c>
      <c r="CT151" s="156">
        <f>BS!CT9</f>
        <v>157.452</v>
      </c>
      <c r="CU151" s="156">
        <f>BS!CU9</f>
        <v>153.27699999999999</v>
      </c>
      <c r="CV151" s="156">
        <f>BS!CV9</f>
        <v>831.005</v>
      </c>
      <c r="CW151" s="156">
        <f>BS!CW9</f>
        <v>391.19400000000002</v>
      </c>
      <c r="CX151" s="156">
        <f>BS!CX9</f>
        <v>361.291</v>
      </c>
      <c r="CY151" s="156">
        <f>BS!CY9</f>
        <v>500.61599999999999</v>
      </c>
      <c r="CZ151" s="156">
        <f>BS!CZ9</f>
        <v>605.72500000000002</v>
      </c>
      <c r="DA151" s="156">
        <f>BS!DA9</f>
        <v>465.29300000000001</v>
      </c>
      <c r="DB151" s="156">
        <f>BS!DB9</f>
        <v>375.1</v>
      </c>
      <c r="DC151" s="156">
        <f>BS!DC9</f>
        <v>456.339</v>
      </c>
      <c r="DD151" s="156">
        <f>BS!DD9</f>
        <v>331.45100000000002</v>
      </c>
      <c r="DE151" s="156">
        <f>BS!DE9</f>
        <v>663.93799999999999</v>
      </c>
      <c r="DF151" s="156">
        <f>BS!DF9</f>
        <v>672.07899999999995</v>
      </c>
      <c r="DG151" s="156">
        <f>BS!DG9</f>
        <v>1696.2471215812475</v>
      </c>
      <c r="DH151" s="156">
        <f>BS!DH9</f>
        <v>2845.8919431339154</v>
      </c>
      <c r="DI151" s="22"/>
    </row>
    <row r="152" spans="1:113" ht="14.25" customHeight="1" outlineLevel="1">
      <c r="A152" s="8"/>
      <c r="B152" s="131" t="s">
        <v>38</v>
      </c>
      <c r="C152" s="132"/>
      <c r="D152" s="135">
        <f t="shared" ref="D152:O152" si="870">IF(ROUND(D151,4)=ROUND(D149,4),0,(D151-D149))</f>
        <v>0</v>
      </c>
      <c r="E152" s="133">
        <f t="shared" si="870"/>
        <v>0</v>
      </c>
      <c r="F152" s="161">
        <f t="shared" si="870"/>
        <v>0</v>
      </c>
      <c r="G152" s="134">
        <f t="shared" si="870"/>
        <v>0</v>
      </c>
      <c r="H152" s="135">
        <f t="shared" si="870"/>
        <v>0</v>
      </c>
      <c r="I152" s="133">
        <f t="shared" si="870"/>
        <v>0</v>
      </c>
      <c r="J152" s="161">
        <f t="shared" si="870"/>
        <v>0</v>
      </c>
      <c r="K152" s="134">
        <f t="shared" si="870"/>
        <v>0</v>
      </c>
      <c r="L152" s="135">
        <f t="shared" si="870"/>
        <v>0</v>
      </c>
      <c r="M152" s="133">
        <f t="shared" si="870"/>
        <v>0</v>
      </c>
      <c r="N152" s="161">
        <f t="shared" si="870"/>
        <v>0</v>
      </c>
      <c r="O152" s="134">
        <f t="shared" si="870"/>
        <v>0</v>
      </c>
      <c r="P152" s="135">
        <f t="shared" ref="P152:AW152" si="871">IF(ROUND(P151,4)=ROUND(P149,4),0,(P151-P149))</f>
        <v>0</v>
      </c>
      <c r="Q152" s="133">
        <f t="shared" si="871"/>
        <v>0</v>
      </c>
      <c r="R152" s="161">
        <f t="shared" si="871"/>
        <v>0</v>
      </c>
      <c r="S152" s="134">
        <f t="shared" si="871"/>
        <v>0</v>
      </c>
      <c r="T152" s="135">
        <f t="shared" si="871"/>
        <v>0</v>
      </c>
      <c r="U152" s="133">
        <f t="shared" si="871"/>
        <v>0</v>
      </c>
      <c r="V152" s="161">
        <f t="shared" si="871"/>
        <v>0</v>
      </c>
      <c r="W152" s="134">
        <f t="shared" si="871"/>
        <v>0</v>
      </c>
      <c r="X152" s="135">
        <f t="shared" si="871"/>
        <v>0</v>
      </c>
      <c r="Y152" s="133">
        <f t="shared" si="871"/>
        <v>0</v>
      </c>
      <c r="Z152" s="161">
        <f t="shared" si="871"/>
        <v>0</v>
      </c>
      <c r="AA152" s="134">
        <f t="shared" si="871"/>
        <v>0</v>
      </c>
      <c r="AB152" s="135">
        <f t="shared" si="871"/>
        <v>0</v>
      </c>
      <c r="AC152" s="133">
        <f t="shared" si="871"/>
        <v>0</v>
      </c>
      <c r="AD152" s="161">
        <f t="shared" si="871"/>
        <v>0</v>
      </c>
      <c r="AE152" s="134">
        <f t="shared" si="871"/>
        <v>0</v>
      </c>
      <c r="AF152" s="135">
        <f t="shared" si="871"/>
        <v>0</v>
      </c>
      <c r="AG152" s="133">
        <f t="shared" si="871"/>
        <v>0</v>
      </c>
      <c r="AH152" s="161">
        <f t="shared" si="871"/>
        <v>0</v>
      </c>
      <c r="AI152" s="134">
        <f t="shared" si="871"/>
        <v>0</v>
      </c>
      <c r="AJ152" s="135">
        <f t="shared" si="871"/>
        <v>0</v>
      </c>
      <c r="AK152" s="133">
        <f t="shared" si="871"/>
        <v>0</v>
      </c>
      <c r="AL152" s="161">
        <f t="shared" si="871"/>
        <v>0</v>
      </c>
      <c r="AM152" s="134">
        <f t="shared" si="871"/>
        <v>0</v>
      </c>
      <c r="AN152" s="135">
        <f t="shared" si="871"/>
        <v>0</v>
      </c>
      <c r="AO152" s="133">
        <f t="shared" si="871"/>
        <v>0</v>
      </c>
      <c r="AP152" s="133">
        <f>IF(ROUND(AP151,4)=ROUND(AP149,4),0,(AP151-AP149))</f>
        <v>0</v>
      </c>
      <c r="AQ152" s="134">
        <f t="shared" si="871"/>
        <v>0</v>
      </c>
      <c r="AR152" s="135">
        <f t="shared" si="871"/>
        <v>0</v>
      </c>
      <c r="AS152" s="133">
        <f t="shared" si="871"/>
        <v>0</v>
      </c>
      <c r="AT152" s="133">
        <f t="shared" ref="AT152:BD152" si="872">IF(ROUND(AT151,4)=ROUND(AT149,4),0,(AT151-AT149))</f>
        <v>0</v>
      </c>
      <c r="AU152" s="134">
        <f t="shared" si="871"/>
        <v>0</v>
      </c>
      <c r="AV152" s="135">
        <f t="shared" si="871"/>
        <v>0</v>
      </c>
      <c r="AW152" s="133">
        <f t="shared" si="871"/>
        <v>0</v>
      </c>
      <c r="AX152" s="133">
        <f t="shared" si="872"/>
        <v>0</v>
      </c>
      <c r="AY152" s="134">
        <f t="shared" si="872"/>
        <v>0</v>
      </c>
      <c r="AZ152" s="135">
        <f t="shared" si="872"/>
        <v>0</v>
      </c>
      <c r="BA152" s="133">
        <f t="shared" si="872"/>
        <v>0</v>
      </c>
      <c r="BB152" s="133">
        <f>IF(ROUND(BB151,4)=ROUND(BB149,4),0,(BB151-BB149))</f>
        <v>0</v>
      </c>
      <c r="BC152" s="134">
        <f t="shared" si="872"/>
        <v>0</v>
      </c>
      <c r="BD152" s="135">
        <f t="shared" si="872"/>
        <v>0</v>
      </c>
      <c r="BE152" s="133">
        <f>IF(ROUND(BE151,4)=ROUND(BE149,4),0,(BE151-BE149))</f>
        <v>0</v>
      </c>
      <c r="BF152" s="133">
        <f>IF(ROUND(BF151,4)=ROUND(BF149,4),0,(BF151-BF149))</f>
        <v>0</v>
      </c>
      <c r="BG152" s="133">
        <f>IF(ROUND(BG151,4)=ROUND(BG149,4),0,(BG151-BG149))</f>
        <v>0</v>
      </c>
      <c r="BH152" s="135">
        <f t="shared" ref="BH152" si="873">IF(ROUND(BH151,4)=ROUND(BH149,4),0,(BH151-BH149))</f>
        <v>0</v>
      </c>
      <c r="BI152" s="133">
        <f>IF(ROUND(BI151,4)=ROUND(BI149,4),0,(BI151-BI149))</f>
        <v>0</v>
      </c>
      <c r="BJ152" s="133">
        <f>IF(ROUND(BJ151,4)=ROUND(BJ149,4),0,(BJ151-BJ149))</f>
        <v>0</v>
      </c>
      <c r="BK152" s="133">
        <f t="shared" ref="BK152:BO152" si="874">IF(ROUND(BK151,4)=ROUND(BK149,4),0,(BK151-BK149))</f>
        <v>0</v>
      </c>
      <c r="BL152" s="135">
        <f t="shared" si="874"/>
        <v>0</v>
      </c>
      <c r="BM152" s="133">
        <f>IF(ROUND(BM151,4)=ROUND(BM149,4),0,(BM151-BM149))</f>
        <v>0</v>
      </c>
      <c r="BN152" s="133">
        <f>IF(ROUND(BN151,4)=ROUND(BN149,4),0,(BN151-BN149))</f>
        <v>0</v>
      </c>
      <c r="BO152" s="134">
        <f t="shared" si="874"/>
        <v>0</v>
      </c>
      <c r="BP152" s="135">
        <f t="shared" ref="BP152:BW152" si="875">IF(ROUND(BP151,4)=ROUND(BP149,4),0,(BP151-BP149))</f>
        <v>0</v>
      </c>
      <c r="BQ152" s="133">
        <f t="shared" si="875"/>
        <v>0</v>
      </c>
      <c r="BR152" s="133">
        <f t="shared" si="875"/>
        <v>0</v>
      </c>
      <c r="BS152" s="134">
        <f t="shared" si="875"/>
        <v>0</v>
      </c>
      <c r="BT152" s="135">
        <f t="shared" si="875"/>
        <v>0</v>
      </c>
      <c r="BU152" s="133">
        <f t="shared" si="875"/>
        <v>0</v>
      </c>
      <c r="BV152" s="133">
        <f t="shared" si="875"/>
        <v>0</v>
      </c>
      <c r="BW152" s="134">
        <f t="shared" si="875"/>
        <v>0</v>
      </c>
      <c r="BX152" s="160"/>
      <c r="BY152" s="133">
        <f>IF(ROUND(BY151,4)=ROUND(BY149,4),0,(BY151-BY149))</f>
        <v>0</v>
      </c>
      <c r="BZ152" s="133">
        <f>IF(ROUND(BZ151,4)=ROUND(BZ149,4),0,(BZ151-BZ149))</f>
        <v>0</v>
      </c>
      <c r="CA152" s="133">
        <f>IF(ROUND(CA151,4)=ROUND(CA149,4),0,(CA151-CA149))</f>
        <v>0</v>
      </c>
      <c r="CB152" s="133">
        <f t="shared" ref="CB152:CH152" si="876">IF(ROUND(CB151,4)=ROUND(CB149,4),0,(CB151-CB149))</f>
        <v>0</v>
      </c>
      <c r="CC152" s="133">
        <f t="shared" si="876"/>
        <v>0</v>
      </c>
      <c r="CD152" s="133">
        <f t="shared" si="876"/>
        <v>0</v>
      </c>
      <c r="CE152" s="133">
        <f t="shared" si="876"/>
        <v>0</v>
      </c>
      <c r="CF152" s="133">
        <f t="shared" si="876"/>
        <v>0</v>
      </c>
      <c r="CG152" s="133">
        <f t="shared" si="876"/>
        <v>0</v>
      </c>
      <c r="CH152" s="133">
        <f t="shared" si="876"/>
        <v>0</v>
      </c>
      <c r="CI152" s="133">
        <f t="shared" ref="CI152:CN152" si="877">IF(ROUND(CI151,4)=ROUND(CI149,4),0,(CI151-CI149))</f>
        <v>0</v>
      </c>
      <c r="CJ152" s="133">
        <f t="shared" si="877"/>
        <v>0</v>
      </c>
      <c r="CK152" s="133">
        <f t="shared" si="877"/>
        <v>0</v>
      </c>
      <c r="CL152" s="133">
        <f t="shared" si="877"/>
        <v>0</v>
      </c>
      <c r="CM152" s="133">
        <f t="shared" si="877"/>
        <v>0</v>
      </c>
      <c r="CN152" s="133">
        <f t="shared" si="877"/>
        <v>0</v>
      </c>
      <c r="CO152" s="133">
        <f>IF(ROUND(CO151,4)=ROUND(CO149,4),0,(CO151-CO149))</f>
        <v>0</v>
      </c>
      <c r="CP152" s="133">
        <f>IF(ROUND(CP151,4)=ROUND(CP149,4),0,(CP151-CP149))</f>
        <v>0</v>
      </c>
      <c r="CQ152" s="20"/>
      <c r="CR152" s="135">
        <f>IF(ROUND(CR151,4)=ROUND(CR149,4),0,(CR151-CR149))</f>
        <v>0</v>
      </c>
      <c r="CS152" s="133">
        <f>IF(ROUND(CS151,4)=ROUND(CS149,4),0,(CS151-CS149))</f>
        <v>0</v>
      </c>
      <c r="CT152" s="133">
        <f>IF(ROUND(CT151,4)=ROUND(CT149,4),0,(CT151-CT149))</f>
        <v>0</v>
      </c>
      <c r="CU152" s="133">
        <f t="shared" ref="CU152:DA152" si="878">IF(ROUND(CU151,4)=ROUND(CU149,4),0,(CU151-CU149))</f>
        <v>0</v>
      </c>
      <c r="CV152" s="133">
        <f t="shared" si="878"/>
        <v>0</v>
      </c>
      <c r="CW152" s="133">
        <f t="shared" si="878"/>
        <v>0</v>
      </c>
      <c r="CX152" s="133">
        <f t="shared" si="878"/>
        <v>0</v>
      </c>
      <c r="CY152" s="133">
        <f t="shared" si="878"/>
        <v>0</v>
      </c>
      <c r="CZ152" s="133">
        <f t="shared" si="878"/>
        <v>0</v>
      </c>
      <c r="DA152" s="133">
        <f t="shared" si="878"/>
        <v>0</v>
      </c>
      <c r="DB152" s="133">
        <f t="shared" ref="DB152:DG152" si="879">IF(ROUND(DB151,4)=ROUND(DB149,4),0,(DB151-DB149))</f>
        <v>0</v>
      </c>
      <c r="DC152" s="133">
        <f t="shared" si="879"/>
        <v>0</v>
      </c>
      <c r="DD152" s="133">
        <f t="shared" si="879"/>
        <v>0</v>
      </c>
      <c r="DE152" s="133">
        <f t="shared" si="879"/>
        <v>0</v>
      </c>
      <c r="DF152" s="133">
        <f t="shared" si="879"/>
        <v>0</v>
      </c>
      <c r="DG152" s="133">
        <f t="shared" si="879"/>
        <v>0</v>
      </c>
      <c r="DH152" s="133">
        <f t="shared" ref="DH152" si="880">IF(ROUND(DH151,4)=ROUND(DH149,4),0,(DH151-DH149))</f>
        <v>0</v>
      </c>
      <c r="DI152" s="22"/>
    </row>
    <row r="153" spans="1:113" ht="14.25" customHeight="1">
      <c r="A153" s="8"/>
      <c r="B153" s="220"/>
      <c r="C153" s="220"/>
      <c r="D153" s="221"/>
      <c r="E153" s="221"/>
      <c r="F153" s="221"/>
      <c r="G153" s="221"/>
      <c r="H153" s="221"/>
      <c r="I153" s="221"/>
      <c r="J153" s="221"/>
      <c r="K153" s="221"/>
      <c r="L153" s="221"/>
      <c r="M153" s="221"/>
      <c r="N153" s="221"/>
      <c r="O153" s="221"/>
      <c r="P153" s="221"/>
      <c r="Q153" s="221"/>
      <c r="R153" s="221"/>
      <c r="S153" s="221"/>
      <c r="T153" s="221"/>
      <c r="U153" s="221"/>
      <c r="V153" s="221"/>
      <c r="W153" s="221"/>
      <c r="X153" s="221"/>
      <c r="Y153" s="221"/>
      <c r="Z153" s="221"/>
      <c r="AA153" s="221"/>
      <c r="AB153" s="221"/>
      <c r="AC153" s="221"/>
      <c r="AD153" s="221"/>
      <c r="AE153" s="221"/>
      <c r="AF153" s="221"/>
      <c r="AG153" s="221"/>
      <c r="AH153" s="221"/>
      <c r="AI153" s="221"/>
      <c r="AJ153" s="221"/>
      <c r="AK153" s="221"/>
      <c r="AL153" s="221"/>
      <c r="AM153" s="221"/>
      <c r="AN153" s="221"/>
      <c r="AO153" s="221"/>
      <c r="AP153" s="221"/>
      <c r="AQ153" s="221"/>
      <c r="AR153" s="221"/>
      <c r="AS153" s="221"/>
      <c r="AT153" s="221"/>
      <c r="AU153" s="221"/>
      <c r="AV153" s="221"/>
      <c r="AW153" s="221"/>
      <c r="AX153" s="221"/>
      <c r="AY153" s="221"/>
      <c r="AZ153" s="221"/>
      <c r="BA153" s="221"/>
      <c r="BB153" s="221"/>
      <c r="BC153" s="221"/>
      <c r="BD153" s="221"/>
      <c r="BE153" s="221"/>
      <c r="BF153" s="221"/>
      <c r="BG153" s="221"/>
      <c r="BH153" s="221"/>
      <c r="BI153" s="221"/>
      <c r="BJ153" s="221"/>
      <c r="BK153" s="221"/>
      <c r="BL153" s="221"/>
      <c r="BM153" s="221"/>
      <c r="BN153" s="221"/>
      <c r="BO153" s="221"/>
      <c r="BP153" s="221"/>
      <c r="BQ153" s="221"/>
      <c r="BR153" s="221"/>
      <c r="BS153" s="221"/>
      <c r="BT153" s="221"/>
      <c r="BU153" s="221"/>
      <c r="BV153" s="221"/>
      <c r="BW153" s="221"/>
      <c r="BX153" s="68"/>
      <c r="BY153" s="221"/>
      <c r="BZ153" s="221"/>
      <c r="CA153" s="221"/>
      <c r="CB153" s="221"/>
      <c r="CC153" s="221"/>
      <c r="CD153" s="221"/>
      <c r="CE153" s="221"/>
      <c r="CF153" s="221"/>
      <c r="CG153" s="221"/>
      <c r="CH153" s="221"/>
      <c r="CI153" s="221"/>
      <c r="CJ153" s="221"/>
      <c r="CK153" s="221"/>
      <c r="CL153" s="221"/>
      <c r="CM153" s="221"/>
      <c r="CN153" s="221"/>
      <c r="CO153" s="221"/>
      <c r="CP153" s="221"/>
      <c r="CQ153" s="8"/>
      <c r="CR153" s="221"/>
      <c r="CS153" s="221"/>
      <c r="CT153" s="221"/>
      <c r="CU153" s="221"/>
      <c r="CV153" s="221"/>
      <c r="CW153" s="221"/>
      <c r="CX153" s="221"/>
      <c r="CY153" s="221"/>
      <c r="CZ153" s="221"/>
      <c r="DA153" s="221"/>
      <c r="DB153" s="221"/>
      <c r="DC153" s="221"/>
      <c r="DD153" s="221"/>
      <c r="DE153" s="221"/>
      <c r="DF153" s="221"/>
      <c r="DG153" s="221"/>
      <c r="DH153" s="221"/>
      <c r="DI153" s="8"/>
    </row>
    <row r="154" spans="1:113" ht="14.25" customHeight="1" outlineLevel="1">
      <c r="A154" s="8"/>
      <c r="B154" s="68"/>
      <c r="C154" s="14"/>
      <c r="D154" s="222"/>
      <c r="E154" s="222"/>
      <c r="F154" s="222"/>
      <c r="G154" s="222"/>
      <c r="H154" s="222"/>
      <c r="I154" s="222"/>
      <c r="J154" s="222"/>
      <c r="K154" s="222"/>
      <c r="L154" s="222"/>
      <c r="M154" s="222"/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8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887"/>
      <c r="CN154" s="887"/>
      <c r="CO154" s="222"/>
      <c r="CP154" s="222"/>
      <c r="CQ154" s="8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8"/>
    </row>
    <row r="155" spans="1:113" ht="14.25" customHeight="1" outlineLevel="1">
      <c r="A155" s="1"/>
      <c r="B155" s="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79"/>
      <c r="CN155" s="179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</row>
    <row r="156" spans="1:113" ht="14.25" customHeight="1" outlineLevel="1">
      <c r="BK156"/>
      <c r="BT156"/>
      <c r="BU156"/>
      <c r="BV156"/>
      <c r="BW156"/>
      <c r="CP156"/>
      <c r="DG156"/>
      <c r="DH156"/>
    </row>
    <row r="157" spans="1:113" ht="14.25" customHeight="1" outlineLevel="1">
      <c r="A157" s="1"/>
      <c r="B157" s="178" t="s">
        <v>20</v>
      </c>
      <c r="C157" s="178"/>
      <c r="D157" s="273" t="e">
        <f>IS!D181</f>
        <v>#NAME?</v>
      </c>
      <c r="E157" s="273" t="e">
        <f>IS!E181</f>
        <v>#NAME?</v>
      </c>
      <c r="F157" s="273" t="e">
        <f>IS!F181</f>
        <v>#NAME?</v>
      </c>
      <c r="G157" s="273" t="e">
        <f>IS!G181</f>
        <v>#NAME?</v>
      </c>
      <c r="H157" s="273" t="e">
        <f>IS!H181</f>
        <v>#NAME?</v>
      </c>
      <c r="I157" s="273" t="e">
        <f>IS!I181</f>
        <v>#NAME?</v>
      </c>
      <c r="J157" s="273" t="e">
        <f>IS!J181</f>
        <v>#NAME?</v>
      </c>
      <c r="K157" s="273" t="e">
        <f>IS!K181</f>
        <v>#NAME?</v>
      </c>
      <c r="L157" s="273" t="e">
        <f>IS!L181</f>
        <v>#NAME?</v>
      </c>
      <c r="M157" s="273" t="e">
        <f>IS!M181</f>
        <v>#NAME?</v>
      </c>
      <c r="N157" s="273" t="e">
        <f>IS!N181</f>
        <v>#NAME?</v>
      </c>
      <c r="O157" s="273" t="e">
        <f>IS!O181</f>
        <v>#NAME?</v>
      </c>
      <c r="P157" s="273" t="e">
        <f>IS!P181</f>
        <v>#NAME?</v>
      </c>
      <c r="Q157" s="273" t="e">
        <f>IS!Q181</f>
        <v>#NAME?</v>
      </c>
      <c r="R157" s="273" t="e">
        <f>IS!R181</f>
        <v>#NAME?</v>
      </c>
      <c r="S157" s="273" t="e">
        <f>IS!S181</f>
        <v>#NAME?</v>
      </c>
      <c r="T157" s="273" t="e">
        <f>IS!T181</f>
        <v>#NAME?</v>
      </c>
      <c r="U157" s="273" t="e">
        <f>IS!U181</f>
        <v>#NAME?</v>
      </c>
      <c r="V157" s="273" t="e">
        <f>IS!V181</f>
        <v>#NAME?</v>
      </c>
      <c r="W157" s="273" t="e">
        <f>IS!W181</f>
        <v>#NAME?</v>
      </c>
      <c r="X157" s="273" t="e">
        <f>IS!X181</f>
        <v>#NAME?</v>
      </c>
      <c r="Y157" s="273" t="e">
        <f>IS!Y181</f>
        <v>#NAME?</v>
      </c>
      <c r="Z157" s="273" t="e">
        <f>IS!Z181</f>
        <v>#NAME?</v>
      </c>
      <c r="AA157" s="273" t="e">
        <f>IS!AA181</f>
        <v>#NAME?</v>
      </c>
      <c r="AB157" s="273" t="e">
        <f>IS!AB181</f>
        <v>#NAME?</v>
      </c>
      <c r="AC157" s="273" t="e">
        <f>IS!AC181</f>
        <v>#NAME?</v>
      </c>
      <c r="AD157" s="273" t="e">
        <f>IS!AD181</f>
        <v>#NAME?</v>
      </c>
      <c r="AE157" s="273" t="e">
        <f>IS!AE181</f>
        <v>#NAME?</v>
      </c>
      <c r="AF157" s="273" t="e">
        <f>IS!AF181</f>
        <v>#NAME?</v>
      </c>
      <c r="AG157" s="273" t="e">
        <f>IS!AG181</f>
        <v>#NAME?</v>
      </c>
      <c r="AH157" s="273" t="e">
        <f>IS!AH181</f>
        <v>#NAME?</v>
      </c>
      <c r="AI157" s="273" t="e">
        <f>IS!AI181</f>
        <v>#NAME?</v>
      </c>
      <c r="AJ157" s="273" t="e">
        <f>IS!AJ181</f>
        <v>#NAME?</v>
      </c>
      <c r="AK157" s="273" t="e">
        <f>IS!AK181</f>
        <v>#NAME?</v>
      </c>
      <c r="AL157" s="273" t="e">
        <f>IS!AL181</f>
        <v>#NAME?</v>
      </c>
      <c r="AM157" s="273" t="e">
        <f>IS!AM181</f>
        <v>#NAME?</v>
      </c>
      <c r="AN157" s="273" t="e">
        <f>IS!AN181</f>
        <v>#NAME?</v>
      </c>
      <c r="AO157" s="273" t="e">
        <f>IS!AO181</f>
        <v>#NAME?</v>
      </c>
      <c r="AP157" s="273" t="e">
        <f>IS!AP181</f>
        <v>#NAME?</v>
      </c>
      <c r="AQ157" s="273" t="e">
        <f>IS!AQ181</f>
        <v>#NAME?</v>
      </c>
      <c r="AR157" s="273" t="e">
        <f>IS!AR181</f>
        <v>#NAME?</v>
      </c>
      <c r="AS157" s="273" t="e">
        <f>IS!AS181</f>
        <v>#NAME?</v>
      </c>
      <c r="AT157" s="273" t="e">
        <f>IS!AT181</f>
        <v>#NAME?</v>
      </c>
      <c r="AU157" s="273" t="e">
        <f>IS!AU181</f>
        <v>#NAME?</v>
      </c>
      <c r="AV157" s="273" t="e">
        <f>IS!AV181</f>
        <v>#NAME?</v>
      </c>
      <c r="AW157" s="273" t="e">
        <f>IS!AW181</f>
        <v>#NAME?</v>
      </c>
      <c r="AX157" s="273" t="e">
        <f>IS!AX181</f>
        <v>#NAME?</v>
      </c>
      <c r="AY157" s="273" t="e">
        <f>IS!AY181</f>
        <v>#NAME?</v>
      </c>
      <c r="AZ157" s="273" t="e">
        <f>IS!AZ181</f>
        <v>#NAME?</v>
      </c>
      <c r="BA157" s="273" t="e">
        <f>IS!BA181</f>
        <v>#NAME?</v>
      </c>
      <c r="BB157" s="273" t="e">
        <f>IS!BB181</f>
        <v>#NAME?</v>
      </c>
      <c r="BC157" s="273" t="e">
        <f>IS!BC181</f>
        <v>#NAME?</v>
      </c>
      <c r="BD157" s="273" t="e">
        <f>IS!BD181</f>
        <v>#NAME?</v>
      </c>
      <c r="BE157" s="273" t="e">
        <f>IS!BE181</f>
        <v>#NAME?</v>
      </c>
      <c r="BF157" s="273" t="e">
        <f>IS!BF181</f>
        <v>#NAME?</v>
      </c>
      <c r="BG157" s="273" t="e">
        <f>IS!BG181</f>
        <v>#NAME?</v>
      </c>
      <c r="BH157" s="273" t="e">
        <f>IS!BH181</f>
        <v>#NAME?</v>
      </c>
      <c r="BI157" s="273" t="e">
        <f>IS!BI181</f>
        <v>#NAME?</v>
      </c>
      <c r="BJ157" s="273" t="e">
        <f>IS!BJ181</f>
        <v>#NAME?</v>
      </c>
      <c r="BK157" s="273" t="e">
        <f>IS!BK181</f>
        <v>#NAME?</v>
      </c>
      <c r="BL157" s="273" t="e">
        <f>IS!BL181</f>
        <v>#NAME?</v>
      </c>
      <c r="BM157" s="273" t="e">
        <f>IS!BM181</f>
        <v>#NAME?</v>
      </c>
      <c r="BN157" s="273" t="e">
        <f>IS!BN181</f>
        <v>#NAME?</v>
      </c>
      <c r="BO157" s="273" t="e">
        <f>IS!BO181</f>
        <v>#NAME?</v>
      </c>
      <c r="BP157" s="273" t="e">
        <f>IS!BP181</f>
        <v>#NAME?</v>
      </c>
      <c r="BQ157" s="273" t="e">
        <f>IS!BQ181</f>
        <v>#NAME?</v>
      </c>
      <c r="BR157" s="273" t="e">
        <f>IS!BR181</f>
        <v>#NAME?</v>
      </c>
      <c r="BS157" s="273" t="e">
        <f>IS!BS181</f>
        <v>#NAME?</v>
      </c>
      <c r="BT157" s="273" t="e">
        <f>IS!BT181</f>
        <v>#NAME?</v>
      </c>
      <c r="BU157" s="273" t="e">
        <f>IS!BU181</f>
        <v>#NAME?</v>
      </c>
      <c r="BV157" s="273" t="e">
        <f>IS!BV181</f>
        <v>#NAME?</v>
      </c>
      <c r="BW157" s="273" t="e">
        <f>IS!BW181</f>
        <v>#NAME?</v>
      </c>
      <c r="BX157" s="1"/>
      <c r="BY157" s="1" t="e">
        <f>IS!BY181</f>
        <v>#NAME?</v>
      </c>
      <c r="BZ157" s="1" t="e">
        <f>IS!BZ181</f>
        <v>#NAME?</v>
      </c>
      <c r="CA157" s="1" t="e">
        <f>IS!CA181</f>
        <v>#NAME?</v>
      </c>
      <c r="CB157" s="1" t="e">
        <f>IS!CB181</f>
        <v>#NAME?</v>
      </c>
      <c r="CC157" s="1" t="e">
        <f>IS!CC181</f>
        <v>#NAME?</v>
      </c>
      <c r="CD157" s="1" t="e">
        <f>IS!CD181</f>
        <v>#NAME?</v>
      </c>
      <c r="CE157" s="1" t="e">
        <f>IS!CE181</f>
        <v>#NAME?</v>
      </c>
      <c r="CF157" s="1" t="e">
        <f>IS!CF181</f>
        <v>#NAME?</v>
      </c>
      <c r="CG157" s="1" t="e">
        <f>IS!CG181</f>
        <v>#NAME?</v>
      </c>
      <c r="CH157" s="1" t="e">
        <f>IS!CH181</f>
        <v>#NAME?</v>
      </c>
      <c r="CI157" s="1" t="e">
        <f>IS!CI181</f>
        <v>#NAME?</v>
      </c>
      <c r="CJ157" s="1" t="e">
        <f>IS!CJ181</f>
        <v>#NAME?</v>
      </c>
      <c r="CK157" s="1" t="e">
        <f>IS!CK181</f>
        <v>#NAME?</v>
      </c>
      <c r="CL157" s="1" t="e">
        <f>IS!CL181</f>
        <v>#NAME?</v>
      </c>
      <c r="CM157" s="179" t="e">
        <f>IS!CM181</f>
        <v>#NAME?</v>
      </c>
      <c r="CN157" s="179" t="e">
        <f>IS!CN181</f>
        <v>#NAME?</v>
      </c>
      <c r="CO157" s="1" t="e">
        <f>IS!CO181</f>
        <v>#NAME?</v>
      </c>
      <c r="CP157" s="1" t="e">
        <f>IS!CP181</f>
        <v>#NAME?</v>
      </c>
      <c r="CQ157" s="1"/>
      <c r="CR157" s="1" t="e">
        <f>IS!CR181</f>
        <v>#NAME?</v>
      </c>
      <c r="CS157" s="1" t="e">
        <f>IS!CS181</f>
        <v>#NAME?</v>
      </c>
      <c r="CT157" s="1" t="e">
        <f>IS!CT181</f>
        <v>#NAME?</v>
      </c>
      <c r="CU157" s="1" t="e">
        <f>IS!CU181</f>
        <v>#NAME?</v>
      </c>
      <c r="CV157" s="1" t="e">
        <f>IS!CV181</f>
        <v>#NAME?</v>
      </c>
      <c r="CW157" s="1" t="e">
        <f>IS!CW181</f>
        <v>#NAME?</v>
      </c>
      <c r="CX157" s="1" t="e">
        <f>IS!CX181</f>
        <v>#NAME?</v>
      </c>
      <c r="CY157" s="1" t="e">
        <f>IS!CY181</f>
        <v>#NAME?</v>
      </c>
      <c r="CZ157" s="1" t="e">
        <f>IS!CZ181</f>
        <v>#NAME?</v>
      </c>
      <c r="DA157" s="1" t="e">
        <f>IS!DA181</f>
        <v>#NAME?</v>
      </c>
      <c r="DB157" s="1" t="str">
        <f>IS!DB181</f>
        <v>E</v>
      </c>
      <c r="DC157" s="1" t="e">
        <f>IS!DC181</f>
        <v>#NAME?</v>
      </c>
      <c r="DD157" s="1" t="e">
        <f>IS!DD181</f>
        <v>#NAME?</v>
      </c>
      <c r="DE157" s="1" t="e">
        <f>IS!DE181</f>
        <v>#NAME?</v>
      </c>
      <c r="DF157" s="1" t="e">
        <f>IS!DF181</f>
        <v>#NAME?</v>
      </c>
      <c r="DG157" s="1" t="e">
        <f>IS!DG181</f>
        <v>#NAME?</v>
      </c>
      <c r="DH157" s="1" t="e">
        <f>IS!DH181</f>
        <v>#NAME?</v>
      </c>
      <c r="DI157" s="1"/>
    </row>
    <row r="158" spans="1:113" ht="14.25" customHeight="1" outlineLevel="1">
      <c r="CM158" s="1174"/>
    </row>
    <row r="159" spans="1:113" ht="14.25" customHeight="1">
      <c r="CM159" s="1174"/>
    </row>
    <row r="160" spans="1:113" ht="14.25" customHeight="1">
      <c r="CM160" s="1174"/>
    </row>
    <row r="161" spans="91:91" ht="14.25" customHeight="1">
      <c r="CM161" s="1174"/>
    </row>
    <row r="162" spans="91:91" ht="14.25" customHeight="1">
      <c r="CM162" s="1174"/>
    </row>
  </sheetData>
  <phoneticPr fontId="34" type="noConversion"/>
  <pageMargins left="0" right="0" top="0" bottom="0" header="0" footer="0"/>
  <pageSetup paperSize="5" scale="26" orientation="landscape" r:id="rId1"/>
  <headerFooter alignWithMargins="0"/>
  <rowBreaks count="1" manualBreakCount="1">
    <brk id="69" max="56" man="1"/>
  </rowBreaks>
  <colBreaks count="1" manualBreakCount="1">
    <brk id="94" min="3" max="150" man="1"/>
  </colBreaks>
  <ignoredErrors>
    <ignoredError sqref="AJ3:AJ5 AN3:AN5 AR3:AR8 AW3:AY5 AK3:AL5 BD4:BD8 BY67:CA67 AK11:AL11 AN11 AS3:AT5 AU3:AU5 AZ3:AZ5 AV3:AV5 AQ3:AQ5 AM3:AM5 AS10:AT11 BA4:BC5 AJ11 AM11 AP3:AP8 AO3:AO8 CR67:CT67 H104 L104 BA3:BB3 AQ7:AQ8 AR10:AR11 AP10:AP11 AO10:AO11 AQ10:AQ11" formula="1"/>
    <ignoredError sqref="CQ6 B7:B10 CU6:DC8 C6:C10 P6:AI8 CU10:DC10 CB6:CK10 B33:C33 B23:C23 C118 B79:C86 C109 B14:C14 B26:B28 B104:C106 B120:C123 CL6 C124 C129:C133 B130:B133 B134:C134 B35:C39 C111:C116 B113:B115 B102:B103 C95:C103 B141:C155 C25:C28 B29:C29 B46:C76 P30:AI32 AM149 P22:AI22 AH131:AH133 AM151:AM152 AH121:AH123 AG52:AI52 P52:AE52 T67:V67 X67:Z67 P24:AI24 P67:R67 P12:AI19 AB67:AD67 CU52:CU63 B16:C21 AF51:AF52 AN149:AN154 AK145:AN148 AK149:AL154 P147:P155 DB148:DC155 P77:AI78 AA104 AJ145:AJ154 AR148:AT154 P106:AI120 P68:AI68 P65:AI66 Q134:AI155 P40:AI45 P124:AI130 P34:AI34 BX95:BX155 BX6:BX10 CB52:CB63 CB12:CB50 CB95:CH155 CI148:CL155 CQ95:CQ155 CI95:CL146 CV12:DC63 CU12:CU50 CU95:DA155 DB95:DC146 P134:P145 AO145:AQ154 AR145:AT146 BA153:BF155 BC145:BD146 CJ12:CL62 CI12:CI27 CI29:CI37 CC12:CG63 CH12:CH37 CH39:CI63 CU68:DC86 CB68:CL86 BX12:BX86 B97:B99 DD12:DE63 CM12:CM62 BC149:BD152 CQ48:CQ86 BG153:BG155 CB65:CB66 CC65:CG66 CH65:CI66 CJ65:CL66 CM65:CM155 CU65:CU66 CV65:DC66 DD65:DE152 CJ63:CK63 B157:C157 BX157 CQ157" formulaRange="1"/>
    <ignoredError sqref="W67 P51:AE51 CU67:DC67 AN155:AT155 AM150 AG51:AI51 AM153:AM155 P20:AI21 P131:AG133 AA105 AA95:AA103 AJ155:AL155 CB67:CL67 P23:AI23 AA67 S67 P79:AI86 P95:Z105 AB95:AN105 P121:AG123 AI121:AI123 P69:AI76 P46:AI50 P53:AI63 P35:AI39 P25:AI29 AJ68:AT86 AS6:AU8 AV59:AV61 AV95:AV102 AX58:AX61 AV6:AV7 AJ34:AT63 AY142:AY143 AJ106:AT130 BC148:BD148 AY121:AY123 AU153:AU155 AV154:AV155 AJ12:AT32 AW58:AW61 AV85:AV86 AW153:AW155 AO104:AT105 AJ6:AN8 BC10 AO95:AU103 AJ134:AT144 BC122:BC123 P10:AN10 AW84:AW86 BC121 BD67 AW6:BC7 AU58:AU61 P33:AT33 AY67 AI131:AT133 AE67:AT67 AU84:AU86 AV74:AV76 AU73:AU76 AW75:BC76 AX95:AX103 AW95:AW103 AX153:AX155 AX84:AX86 AY84:BD86 AY153:AZ155 AY95:BD103 AY145:AY146 AY58:BC58 AY114 AY131:AY133 AY69:AY72 BD81:BD83 BB55:BC57 AY60:BC61 AY59 BA59:BC59 AW8:AY8 BA8:BC8 BC67 BC69:BC72 BC142:BC143 AY148:AY152 AY104:AY105 BB104:BC105 BC114 BD55:BD58 AW73:BA73 BC73 AW74:BA74 BD75:BD76 BC131:BC133 BD69:BD73 BD60:BD61 AJ65:AT66" formula="1" formulaRange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51"/>
  </sheetPr>
  <dimension ref="A1:DH271"/>
  <sheetViews>
    <sheetView showGridLines="0" zoomScale="80" zoomScaleNormal="80" workbookViewId="0">
      <pane xSplit="3" ySplit="8" topLeftCell="BH9" activePane="bottomRight" state="frozen"/>
      <selection activeCell="H53" sqref="H53"/>
      <selection pane="topRight" activeCell="H53" sqref="H53"/>
      <selection pane="bottomLeft" activeCell="H53" sqref="H53"/>
      <selection pane="bottomRight" activeCell="B5" sqref="B5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customWidth="1"/>
    <col min="4" max="39" width="11.42578125" hidden="1" customWidth="1" outlineLevel="1"/>
    <col min="40" max="40" width="11.42578125" hidden="1" customWidth="1" outlineLevel="1" collapsed="1"/>
    <col min="41" max="47" width="11.42578125" hidden="1" customWidth="1" outlineLevel="1"/>
    <col min="48" max="48" width="11.42578125" hidden="1" customWidth="1" outlineLevel="1" collapsed="1"/>
    <col min="49" max="51" width="11.42578125" hidden="1" customWidth="1" outlineLevel="1"/>
    <col min="52" max="52" width="11.42578125" hidden="1" customWidth="1" outlineLevel="1" collapsed="1"/>
    <col min="53" max="55" width="11.42578125" hidden="1" customWidth="1" outlineLevel="1"/>
    <col min="56" max="56" width="11.42578125" hidden="1" customWidth="1" outlineLevel="1" collapsed="1"/>
    <col min="57" max="59" width="11.42578125" hidden="1" customWidth="1" outlineLevel="1"/>
    <col min="60" max="60" width="11.42578125" customWidth="1" collapsed="1"/>
    <col min="61" max="64" width="11.42578125" customWidth="1"/>
    <col min="65" max="65" width="11.42578125" style="1488" customWidth="1"/>
    <col min="66" max="71" width="11.42578125" customWidth="1"/>
    <col min="72" max="75" width="11.42578125" style="1431" customWidth="1" outlineLevel="1"/>
    <col min="76" max="76" width="3.5703125" customWidth="1"/>
    <col min="77" max="84" width="11.42578125" hidden="1" customWidth="1" outlineLevel="1"/>
    <col min="85" max="86" width="11.42578125" hidden="1" customWidth="1" outlineLevel="1" collapsed="1"/>
    <col min="87" max="90" width="11.42578125" hidden="1" customWidth="1" outlineLevel="1"/>
    <col min="91" max="91" width="11.42578125" customWidth="1" collapsed="1"/>
    <col min="92" max="92" width="11.42578125" customWidth="1"/>
    <col min="93" max="94" width="11.42578125" style="1474" customWidth="1"/>
    <col min="95" max="95" width="3" customWidth="1"/>
    <col min="96" max="96" width="1.28515625" customWidth="1"/>
    <col min="97" max="109" width="11.42578125" hidden="1" customWidth="1" outlineLevel="1"/>
    <col min="110" max="110" width="11.42578125" customWidth="1" collapsed="1"/>
    <col min="111" max="112" width="11.42578125" style="1474" customWidth="1"/>
  </cols>
  <sheetData>
    <row r="1" spans="1:112" ht="67.5" customHeight="1">
      <c r="A1" s="5"/>
      <c r="B1" s="602"/>
      <c r="C1" s="1"/>
      <c r="D1" s="2" t="str">
        <f>IF(SUM(BS)&lt;&gt;0,"BS BREAK","")</f>
        <v/>
      </c>
      <c r="E1" s="5"/>
      <c r="F1" s="2" t="str">
        <f>IF(SUM(BS)&lt;&gt;0,"BS BREAK","")</f>
        <v/>
      </c>
      <c r="G1" s="5"/>
      <c r="H1" s="2" t="str">
        <f>IF(SUM(BS)&lt;&gt;0,"BS BREAK","")</f>
        <v/>
      </c>
      <c r="I1" s="5"/>
      <c r="J1" s="2" t="str">
        <f>IF(SUM(BS)&lt;&gt;0,"BS BREAK","")</f>
        <v/>
      </c>
      <c r="K1" s="5"/>
      <c r="L1" s="2" t="str">
        <f>IF(SUM(BS)&lt;&gt;0,"BS BREAK","")</f>
        <v/>
      </c>
      <c r="M1" s="5"/>
      <c r="N1" s="2" t="str">
        <f>IF(SUM(BS)&lt;&gt;0,"BS BREAK","")</f>
        <v/>
      </c>
      <c r="O1" s="5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 t="s">
        <v>177</v>
      </c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513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/>
      <c r="BC1" s="1"/>
      <c r="BD1" s="2"/>
      <c r="BE1" s="1"/>
      <c r="BF1" s="2" t="str">
        <f>IF(SUM(BS)&lt;&gt;0,"BS BREAK","")</f>
        <v/>
      </c>
      <c r="BG1" s="1"/>
      <c r="BH1" s="2" t="str">
        <f>IF(SUM(BS)&lt;&gt;0,"BS BREAK","")</f>
        <v/>
      </c>
      <c r="BI1" s="1"/>
      <c r="BJ1" s="2" t="str">
        <f>IF(SUM(BS)&lt;&gt;0,"BS BREAK","")</f>
        <v/>
      </c>
      <c r="BK1" s="1"/>
      <c r="BL1" s="2" t="str">
        <f>IF(SUM(BS)&lt;&gt;0,"BS BREAK","")</f>
        <v/>
      </c>
      <c r="BM1" s="1"/>
      <c r="BN1" s="2" t="str">
        <f>IF(SUM(BS)&lt;&gt;0,"BS BREAK","")</f>
        <v/>
      </c>
      <c r="BO1" s="1"/>
      <c r="BP1" s="1"/>
      <c r="BQ1" s="1"/>
      <c r="BR1" s="1"/>
      <c r="BS1" s="1"/>
      <c r="BT1" s="1"/>
      <c r="BU1" s="1"/>
      <c r="BV1" s="1"/>
      <c r="BW1" s="1"/>
      <c r="BX1" s="2"/>
      <c r="BY1" s="5"/>
      <c r="BZ1" s="5"/>
      <c r="CA1" s="5"/>
      <c r="CB1" s="1" t="str">
        <f>IF(SUM(BS)&lt;&gt;0,"BS BREAK","")</f>
        <v/>
      </c>
      <c r="CC1" s="1"/>
      <c r="CD1" s="1"/>
      <c r="CE1" s="1"/>
      <c r="CF1" s="2" t="str">
        <f>IF(SUM(BS)&lt;&gt;0,"BS BREAK","")</f>
        <v/>
      </c>
      <c r="CG1" s="1"/>
      <c r="CH1" s="2" t="str">
        <f>IF(SUM(BS)&lt;&gt;0,"BS BREAK","")</f>
        <v/>
      </c>
      <c r="CI1" s="1"/>
      <c r="CJ1" s="2" t="str">
        <f>IF(SUM(BS)&lt;&gt;0,"BS BREAK","")</f>
        <v/>
      </c>
      <c r="CK1" s="1"/>
      <c r="CL1" s="2" t="str">
        <f>IF(SUM(BS)&lt;&gt;0,"BS BREAK","")</f>
        <v/>
      </c>
      <c r="CM1" s="1" t="str">
        <f>IF(SUM(BS)&lt;&gt;0,"BS BREAK","")</f>
        <v/>
      </c>
      <c r="CN1" s="1" t="str">
        <f>IF(SUM(BS)&lt;&gt;0,"BS BREAK","")</f>
        <v/>
      </c>
      <c r="CO1" s="1"/>
      <c r="CP1" s="1"/>
      <c r="CQ1" s="1"/>
      <c r="CR1" s="1"/>
      <c r="CS1" s="2"/>
      <c r="CT1" s="2"/>
      <c r="CU1" s="2"/>
      <c r="CV1" s="1"/>
      <c r="CW1" s="1"/>
      <c r="CX1" s="1"/>
      <c r="CY1" s="2" t="str">
        <f>IF(SUM(BS)&lt;&gt;0,"BS BREAK","")</f>
        <v/>
      </c>
      <c r="CZ1" s="1"/>
      <c r="DA1" s="2" t="str">
        <f>IF(SUM(BS)&lt;&gt;0,"BS BREAK","")</f>
        <v/>
      </c>
      <c r="DB1" s="1"/>
      <c r="DC1" s="2" t="str">
        <f>IF(SUM(BS)&lt;&gt;0,"BS BREAK","")</f>
        <v/>
      </c>
      <c r="DD1" s="2" t="str">
        <f>IF(SUM(BS)&lt;&gt;0,"BS BREAK","")</f>
        <v/>
      </c>
      <c r="DE1" s="2" t="str">
        <f>IF(SUM(BS)&lt;&gt;0,"BS BREAK","")</f>
        <v/>
      </c>
      <c r="DF1" s="2" t="str">
        <f>IF(SUM(BS)&lt;&gt;0,"BS BREAK","")</f>
        <v/>
      </c>
      <c r="DG1" s="2" t="str">
        <f>IF(SUM(BS)&lt;&gt;0,"BS BREAK","")</f>
        <v/>
      </c>
      <c r="DH1" s="2"/>
    </row>
    <row r="2" spans="1:112" ht="16.5" customHeight="1">
      <c r="A2" s="5"/>
      <c r="B2" s="602"/>
      <c r="C2" s="1"/>
      <c r="D2" s="2"/>
      <c r="E2" s="5"/>
      <c r="F2" s="2"/>
      <c r="G2" s="5"/>
      <c r="H2" s="2"/>
      <c r="I2" s="5"/>
      <c r="J2" s="2"/>
      <c r="K2" s="5"/>
      <c r="L2" s="2"/>
      <c r="M2" s="5"/>
      <c r="N2" s="2"/>
      <c r="O2" s="5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513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1245"/>
      <c r="BI2" s="1245"/>
      <c r="BJ2" s="1245"/>
      <c r="BK2" s="586"/>
      <c r="BL2" s="586"/>
      <c r="BM2" s="1245"/>
      <c r="BN2" s="586"/>
      <c r="BO2" s="586"/>
      <c r="BP2" s="586"/>
      <c r="BQ2" s="586"/>
      <c r="BR2" s="586"/>
      <c r="BS2" s="586"/>
      <c r="BT2" s="586"/>
      <c r="BU2" s="586"/>
      <c r="BV2" s="586"/>
      <c r="BW2" s="586"/>
      <c r="BX2" s="2"/>
      <c r="BY2" s="5"/>
      <c r="BZ2" s="5"/>
      <c r="CA2" s="5"/>
      <c r="CB2" s="1"/>
      <c r="CC2" s="1"/>
      <c r="CD2" s="1"/>
      <c r="CE2" s="1"/>
      <c r="CF2" s="2"/>
      <c r="CG2" s="1"/>
      <c r="CH2" s="2"/>
      <c r="CI2" s="1"/>
      <c r="CJ2" s="2"/>
      <c r="CK2" s="1"/>
      <c r="CL2" s="2"/>
      <c r="CM2" s="1"/>
      <c r="CN2" s="1"/>
      <c r="CO2" s="1"/>
      <c r="CP2" s="1"/>
      <c r="CQ2" s="1"/>
      <c r="CR2" s="1"/>
      <c r="CS2" s="2"/>
      <c r="CT2" s="2"/>
      <c r="CU2" s="2"/>
      <c r="CV2" s="1"/>
      <c r="CW2" s="1"/>
      <c r="CX2" s="1"/>
      <c r="CY2" s="2"/>
      <c r="CZ2" s="1"/>
      <c r="DA2" s="2"/>
      <c r="DB2" s="1"/>
      <c r="DC2" s="2"/>
      <c r="DD2" s="2"/>
      <c r="DE2" s="2"/>
      <c r="DF2" s="2"/>
      <c r="DG2" s="2"/>
      <c r="DH2" s="2"/>
    </row>
    <row r="3" spans="1:112" ht="18" customHeight="1">
      <c r="A3" s="1"/>
      <c r="B3" s="4" t="s">
        <v>344</v>
      </c>
      <c r="C3" s="4"/>
      <c r="Y3" t="s">
        <v>177</v>
      </c>
      <c r="AE3" s="1"/>
      <c r="AS3" t="s">
        <v>177</v>
      </c>
      <c r="AV3" s="1083"/>
      <c r="AX3" s="1083"/>
      <c r="AY3" s="1083"/>
      <c r="AZ3" s="1083"/>
      <c r="BA3" s="1083"/>
      <c r="BB3" s="1083"/>
      <c r="BC3" s="1083"/>
      <c r="BE3" s="586"/>
      <c r="BF3" s="1259"/>
      <c r="BG3" s="1083"/>
      <c r="BI3" s="587"/>
      <c r="BJ3" s="1259"/>
      <c r="BK3" s="586"/>
      <c r="BL3" s="586"/>
      <c r="BM3" s="587"/>
      <c r="BN3" s="1245"/>
      <c r="BO3" s="586"/>
      <c r="BP3" s="1245"/>
      <c r="BQ3" s="1245"/>
      <c r="BR3" s="1245"/>
      <c r="BS3" s="1245"/>
      <c r="BT3" s="1245"/>
      <c r="BU3" s="1245"/>
      <c r="BV3" s="1245"/>
      <c r="BW3" s="1245"/>
      <c r="CJ3" s="688"/>
      <c r="CK3" s="586"/>
    </row>
    <row r="4" spans="1:112" ht="14.25" customHeight="1">
      <c r="AC4" s="460"/>
      <c r="AN4" s="339"/>
      <c r="AO4" s="339"/>
      <c r="AP4" s="339"/>
      <c r="AQ4" s="1"/>
      <c r="AR4" s="339"/>
      <c r="AS4" s="339"/>
      <c r="AT4" s="339"/>
      <c r="AU4" s="339"/>
      <c r="AV4" s="586"/>
      <c r="AW4" s="339"/>
      <c r="AX4" s="586"/>
      <c r="AY4" s="586"/>
      <c r="AZ4" s="586"/>
      <c r="BA4" s="1185"/>
      <c r="BB4" s="587"/>
      <c r="BC4" s="586"/>
      <c r="BD4" s="1242"/>
      <c r="BE4" s="586"/>
      <c r="BF4" s="586"/>
      <c r="BG4" s="586"/>
      <c r="BI4" s="586"/>
      <c r="BJ4" s="586"/>
      <c r="BK4" s="586"/>
      <c r="BL4" s="586"/>
      <c r="BM4" s="586"/>
      <c r="BN4" s="586"/>
      <c r="BO4" s="586"/>
      <c r="BP4" s="586"/>
      <c r="BQ4" s="586"/>
      <c r="BR4" s="586"/>
      <c r="BS4" s="586"/>
      <c r="BT4" s="586"/>
      <c r="BU4" s="586"/>
      <c r="BV4" s="586"/>
      <c r="BW4" s="586"/>
      <c r="BX4" s="586"/>
      <c r="CK4" s="307"/>
      <c r="DE4" s="586"/>
      <c r="DF4" s="586"/>
      <c r="DG4" s="586"/>
    </row>
    <row r="5" spans="1:112" ht="14.25" customHeight="1">
      <c r="AN5" s="339"/>
      <c r="AO5" s="339"/>
      <c r="AP5" s="339"/>
      <c r="AQ5" s="339"/>
      <c r="AR5" s="339"/>
      <c r="AS5" s="339"/>
      <c r="AT5" s="339"/>
      <c r="AU5" s="339"/>
      <c r="AV5" s="339"/>
      <c r="AW5" s="339"/>
      <c r="AX5" s="339"/>
      <c r="AY5" s="339"/>
      <c r="AZ5" s="339"/>
      <c r="BA5" s="339"/>
      <c r="BB5" s="586"/>
      <c r="BC5" s="339"/>
      <c r="BD5" s="586"/>
      <c r="BG5" s="339"/>
      <c r="BH5" s="586"/>
      <c r="BI5" s="587"/>
      <c r="BJ5" s="586"/>
      <c r="BK5" s="586"/>
      <c r="BL5" s="586"/>
      <c r="BM5" s="587"/>
      <c r="BN5" s="586"/>
      <c r="BO5" s="586"/>
      <c r="BP5" s="586"/>
      <c r="BQ5" s="586"/>
      <c r="BR5" s="586"/>
      <c r="BS5" s="586"/>
      <c r="BT5" s="586"/>
      <c r="BU5" s="586"/>
      <c r="BV5" s="586"/>
      <c r="BW5" s="586"/>
      <c r="CN5" s="1188"/>
      <c r="CO5" s="1188"/>
      <c r="CP5" s="1188"/>
    </row>
    <row r="6" spans="1:112" ht="14.25" customHeight="1">
      <c r="A6" s="8"/>
      <c r="B6" s="9" t="s">
        <v>350</v>
      </c>
      <c r="C6" s="10"/>
      <c r="D6" s="560" t="str">
        <f>IS!D5</f>
        <v>C2Q02A</v>
      </c>
      <c r="E6" s="561" t="str">
        <f>IS!E5</f>
        <v>C3Q02A</v>
      </c>
      <c r="F6" s="561" t="str">
        <f>IS!F5</f>
        <v>C4Q02A</v>
      </c>
      <c r="G6" s="562" t="str">
        <f>IS!G5</f>
        <v>C1Q03A</v>
      </c>
      <c r="H6" s="560" t="str">
        <f>IS!H5</f>
        <v>C2Q03A</v>
      </c>
      <c r="I6" s="561" t="str">
        <f>IS!I5</f>
        <v>C3Q03A</v>
      </c>
      <c r="J6" s="561" t="str">
        <f>IS!J5</f>
        <v>C4Q03A</v>
      </c>
      <c r="K6" s="562" t="str">
        <f>IS!K5</f>
        <v>C1Q04A</v>
      </c>
      <c r="L6" s="560" t="str">
        <f>IS!L5</f>
        <v>C2Q04A</v>
      </c>
      <c r="M6" s="561" t="str">
        <f>IS!M5</f>
        <v>C3Q04A</v>
      </c>
      <c r="N6" s="561" t="str">
        <f>IS!N5</f>
        <v>C4Q04A</v>
      </c>
      <c r="O6" s="562" t="str">
        <f>IS!O5</f>
        <v>C1Q05A</v>
      </c>
      <c r="P6" s="560" t="str">
        <f>IS!P5</f>
        <v>C2Q05A</v>
      </c>
      <c r="Q6" s="561" t="str">
        <f>IS!Q5</f>
        <v>C3Q05A</v>
      </c>
      <c r="R6" s="561" t="str">
        <f>IS!R5</f>
        <v>C4Q05A</v>
      </c>
      <c r="S6" s="562" t="str">
        <f>IS!S5</f>
        <v>C1Q06A</v>
      </c>
      <c r="T6" s="560" t="str">
        <f>IS!T5</f>
        <v>C2Q06A</v>
      </c>
      <c r="U6" s="561" t="str">
        <f>IS!U5</f>
        <v>C3Q06A</v>
      </c>
      <c r="V6" s="561" t="str">
        <f>IS!V5</f>
        <v>C4Q06A</v>
      </c>
      <c r="W6" s="562" t="str">
        <f>IS!W5</f>
        <v>C1Q07A</v>
      </c>
      <c r="X6" s="560" t="str">
        <f>IS!X5</f>
        <v>C2Q07A</v>
      </c>
      <c r="Y6" s="561" t="str">
        <f>IS!Y5</f>
        <v>C3Q07A</v>
      </c>
      <c r="Z6" s="561" t="str">
        <f>IS!Z5</f>
        <v>C4Q07A</v>
      </c>
      <c r="AA6" s="562" t="str">
        <f>IS!AA5</f>
        <v>C1Q08A</v>
      </c>
      <c r="AB6" s="560" t="str">
        <f>IS!AB5</f>
        <v>C2Q08A</v>
      </c>
      <c r="AC6" s="561" t="str">
        <f>IS!AC5</f>
        <v>C3Q08A</v>
      </c>
      <c r="AD6" s="561" t="str">
        <f>IS!AD5</f>
        <v>C4Q08A</v>
      </c>
      <c r="AE6" s="562" t="str">
        <f>IS!AE5</f>
        <v>C1Q09A</v>
      </c>
      <c r="AF6" s="560" t="str">
        <f>IS!AF5</f>
        <v>C2Q09A</v>
      </c>
      <c r="AG6" s="561" t="str">
        <f>IS!AG5</f>
        <v>C3Q09A</v>
      </c>
      <c r="AH6" s="561" t="str">
        <f>IS!AH5</f>
        <v>C4Q09A</v>
      </c>
      <c r="AI6" s="562" t="str">
        <f>IS!AI5</f>
        <v>C1Q10A</v>
      </c>
      <c r="AJ6" s="560" t="str">
        <f>IS!AJ5</f>
        <v>C2Q10A</v>
      </c>
      <c r="AK6" s="561" t="str">
        <f>IS!AK5</f>
        <v>C3Q10A</v>
      </c>
      <c r="AL6" s="561" t="str">
        <f>IS!AL5</f>
        <v>C4Q10A</v>
      </c>
      <c r="AM6" s="562" t="str">
        <f>IS!AM5</f>
        <v>C1Q11A</v>
      </c>
      <c r="AN6" s="567" t="str">
        <f>IS!AN5</f>
        <v>C2Q11A</v>
      </c>
      <c r="AO6" s="568" t="str">
        <f>IS!AO5</f>
        <v>C3Q11A</v>
      </c>
      <c r="AP6" s="561" t="str">
        <f>IS!AP5</f>
        <v>C4Q11A</v>
      </c>
      <c r="AQ6" s="562" t="str">
        <f>IS!AQ5</f>
        <v>C1Q12A</v>
      </c>
      <c r="AR6" s="560" t="str">
        <f>IS!AR5</f>
        <v>C2Q12A</v>
      </c>
      <c r="AS6" s="561" t="str">
        <f>IS!AS5</f>
        <v>C3Q12A</v>
      </c>
      <c r="AT6" s="561" t="str">
        <f>IS!AT5</f>
        <v>C4Q12A</v>
      </c>
      <c r="AU6" s="562" t="str">
        <f>IS!AU5</f>
        <v>C1Q13A</v>
      </c>
      <c r="AV6" s="560" t="str">
        <f>IS!AV5</f>
        <v>C2Q13A</v>
      </c>
      <c r="AW6" s="561" t="str">
        <f>IS!AW5</f>
        <v>C3Q13E</v>
      </c>
      <c r="AX6" s="561" t="str">
        <f>IS!AX5</f>
        <v>C4Q13A</v>
      </c>
      <c r="AY6" s="562" t="str">
        <f>IS!AY5</f>
        <v>C1Q14E</v>
      </c>
      <c r="AZ6" s="560" t="str">
        <f>IS!AZ5</f>
        <v>C2Q14A</v>
      </c>
      <c r="BA6" s="561" t="str">
        <f>IS!BA5</f>
        <v>C3Q14A</v>
      </c>
      <c r="BB6" s="561" t="str">
        <f>IS!BB5</f>
        <v>C4Q14A</v>
      </c>
      <c r="BC6" s="1329" t="str">
        <f>IS!BC5</f>
        <v>C1Q15A</v>
      </c>
      <c r="BD6" s="1331" t="str">
        <f>IS!BD5</f>
        <v>C2Q15A</v>
      </c>
      <c r="BE6" s="1332" t="str">
        <f>IS!BE5</f>
        <v>C3Q15A</v>
      </c>
      <c r="BF6" s="1332" t="str">
        <f>IS!BF5</f>
        <v>C4Q15A</v>
      </c>
      <c r="BG6" s="1332" t="str">
        <f>IS!BG5</f>
        <v>C1Q16A</v>
      </c>
      <c r="BH6" s="1331" t="str">
        <f>IS!BH5</f>
        <v>C2Q16A</v>
      </c>
      <c r="BI6" s="1332" t="str">
        <f>IS!BI5</f>
        <v>C3Q16A</v>
      </c>
      <c r="BJ6" s="1332" t="str">
        <f>IS!BJ5</f>
        <v>C4Q16A</v>
      </c>
      <c r="BK6" s="1333" t="str">
        <f>IS!BK5</f>
        <v>C1Q17A</v>
      </c>
      <c r="BL6" s="1331" t="str">
        <f>IS!BL5</f>
        <v>C2Q17A</v>
      </c>
      <c r="BM6" s="1332" t="str">
        <f>IS!BM5</f>
        <v>C3Q17A</v>
      </c>
      <c r="BN6" s="1332" t="str">
        <f>IS!BN5</f>
        <v>C4Q17A</v>
      </c>
      <c r="BO6" s="1332" t="str">
        <f>IS!BO5</f>
        <v>C1Q18E</v>
      </c>
      <c r="BP6" s="1331" t="str">
        <f>IS!BP5</f>
        <v>C2Q18E</v>
      </c>
      <c r="BQ6" s="1332" t="str">
        <f>IS!BQ5</f>
        <v>C3Q18E</v>
      </c>
      <c r="BR6" s="1332" t="str">
        <f>IS!BR5</f>
        <v>C4Q18E</v>
      </c>
      <c r="BS6" s="1333" t="str">
        <f>IS!BS5</f>
        <v>C1Q19E</v>
      </c>
      <c r="BT6" s="1332" t="str">
        <f>IS!BT5</f>
        <v>C2Q19E</v>
      </c>
      <c r="BU6" s="1332" t="str">
        <f>IS!BU5</f>
        <v>C3Q19E</v>
      </c>
      <c r="BV6" s="1332" t="str">
        <f>IS!BV5</f>
        <v>C4Q19E</v>
      </c>
      <c r="BW6" s="1333" t="str">
        <f>IS!BW5</f>
        <v>C1Q20E</v>
      </c>
      <c r="BX6" s="8"/>
      <c r="BY6" s="8"/>
      <c r="BZ6" s="8"/>
      <c r="CA6" s="8"/>
      <c r="CB6" s="8"/>
      <c r="CC6" s="8"/>
      <c r="CD6" s="8"/>
      <c r="CE6" s="8"/>
      <c r="CF6" s="8"/>
      <c r="CG6" s="308"/>
      <c r="CH6" s="308"/>
      <c r="CI6" s="8"/>
      <c r="CJ6" s="8"/>
      <c r="CK6" s="14"/>
      <c r="CL6" s="1285"/>
      <c r="CM6" s="1285"/>
      <c r="CN6" s="1285"/>
      <c r="CO6" s="1285"/>
      <c r="CP6" s="1285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</row>
    <row r="7" spans="1:112" ht="14.25" customHeight="1">
      <c r="A7" s="8"/>
      <c r="B7" s="12" t="s">
        <v>354</v>
      </c>
      <c r="C7" s="279"/>
      <c r="D7" s="560">
        <f>IS!D6</f>
        <v>37437</v>
      </c>
      <c r="E7" s="561">
        <f>IS!E6</f>
        <v>37529</v>
      </c>
      <c r="F7" s="561">
        <f>IS!F6</f>
        <v>37621</v>
      </c>
      <c r="G7" s="562">
        <f>IS!G6</f>
        <v>37711</v>
      </c>
      <c r="H7" s="560">
        <f>IS!H6</f>
        <v>37802</v>
      </c>
      <c r="I7" s="561">
        <f>IS!I6</f>
        <v>37894</v>
      </c>
      <c r="J7" s="561">
        <f>IS!J6</f>
        <v>37986</v>
      </c>
      <c r="K7" s="562">
        <f>IS!K6</f>
        <v>38077</v>
      </c>
      <c r="L7" s="560">
        <f>IS!L6</f>
        <v>38168</v>
      </c>
      <c r="M7" s="561">
        <f>IS!M6</f>
        <v>38260</v>
      </c>
      <c r="N7" s="561">
        <f>IS!N6</f>
        <v>38352</v>
      </c>
      <c r="O7" s="562">
        <f>IS!O6</f>
        <v>38442</v>
      </c>
      <c r="P7" s="560">
        <f>IS!P6</f>
        <v>38533</v>
      </c>
      <c r="Q7" s="561">
        <f>IS!Q6</f>
        <v>38625</v>
      </c>
      <c r="R7" s="561">
        <f>IS!R6</f>
        <v>38717</v>
      </c>
      <c r="S7" s="562">
        <f>IS!S6</f>
        <v>38807</v>
      </c>
      <c r="T7" s="560">
        <f>IS!T6</f>
        <v>38898</v>
      </c>
      <c r="U7" s="561">
        <f>IS!U6</f>
        <v>38990</v>
      </c>
      <c r="V7" s="561">
        <f>IS!V6</f>
        <v>39082</v>
      </c>
      <c r="W7" s="562">
        <f>IS!W6</f>
        <v>39172</v>
      </c>
      <c r="X7" s="560">
        <f>IS!X6</f>
        <v>39263</v>
      </c>
      <c r="Y7" s="561">
        <f>IS!Y6</f>
        <v>39355</v>
      </c>
      <c r="Z7" s="561">
        <f>IS!Z6</f>
        <v>39447</v>
      </c>
      <c r="AA7" s="562">
        <f>IS!AA6</f>
        <v>39538</v>
      </c>
      <c r="AB7" s="560">
        <f>IS!AB6</f>
        <v>39629</v>
      </c>
      <c r="AC7" s="561">
        <f>IS!AC6</f>
        <v>39721</v>
      </c>
      <c r="AD7" s="561">
        <f>IS!AD6</f>
        <v>39813</v>
      </c>
      <c r="AE7" s="562">
        <f>IS!AE6</f>
        <v>39903</v>
      </c>
      <c r="AF7" s="560">
        <f>IS!AF6</f>
        <v>39994</v>
      </c>
      <c r="AG7" s="561">
        <f>IS!AG6</f>
        <v>40086</v>
      </c>
      <c r="AH7" s="561">
        <f>IS!AH6</f>
        <v>40178</v>
      </c>
      <c r="AI7" s="562">
        <f>IS!AI6</f>
        <v>40268</v>
      </c>
      <c r="AJ7" s="560">
        <f>IS!AJ6</f>
        <v>40359</v>
      </c>
      <c r="AK7" s="561">
        <f>IS!AK6</f>
        <v>40451</v>
      </c>
      <c r="AL7" s="561">
        <f>IS!AL6</f>
        <v>40543</v>
      </c>
      <c r="AM7" s="562">
        <f>IS!AM6</f>
        <v>40633</v>
      </c>
      <c r="AN7" s="567">
        <f>IS!AN6</f>
        <v>40724</v>
      </c>
      <c r="AO7" s="568">
        <f>IS!AO6</f>
        <v>40816</v>
      </c>
      <c r="AP7" s="561">
        <f>IS!AP6</f>
        <v>40908</v>
      </c>
      <c r="AQ7" s="562">
        <f>IS!AQ6</f>
        <v>40999</v>
      </c>
      <c r="AR7" s="560">
        <f>IS!AR6</f>
        <v>41090</v>
      </c>
      <c r="AS7" s="561">
        <f>IS!AS6</f>
        <v>41182</v>
      </c>
      <c r="AT7" s="561">
        <f>IS!AT6</f>
        <v>41274</v>
      </c>
      <c r="AU7" s="562">
        <f>IS!AU6</f>
        <v>41364</v>
      </c>
      <c r="AV7" s="560">
        <f>IS!AV6</f>
        <v>41455</v>
      </c>
      <c r="AW7" s="561">
        <f>IS!AW6</f>
        <v>41547</v>
      </c>
      <c r="AX7" s="561">
        <f>IS!AX6</f>
        <v>41639</v>
      </c>
      <c r="AY7" s="562">
        <f>IS!AY6</f>
        <v>41729</v>
      </c>
      <c r="AZ7" s="560">
        <f>IS!AZ6</f>
        <v>41820</v>
      </c>
      <c r="BA7" s="561">
        <f>IS!BA6</f>
        <v>41912</v>
      </c>
      <c r="BB7" s="561">
        <f>IS!BB6</f>
        <v>42004</v>
      </c>
      <c r="BC7" s="1329">
        <f>IS!BC6</f>
        <v>42094</v>
      </c>
      <c r="BD7" s="1328">
        <f>IS!BD6</f>
        <v>42185</v>
      </c>
      <c r="BE7" s="1329">
        <f>IS!BE6</f>
        <v>42277</v>
      </c>
      <c r="BF7" s="1329">
        <f>IS!BF6</f>
        <v>42369</v>
      </c>
      <c r="BG7" s="1329">
        <f>IS!BG6</f>
        <v>42460</v>
      </c>
      <c r="BH7" s="1328">
        <f>IS!BH6</f>
        <v>42551</v>
      </c>
      <c r="BI7" s="1329">
        <f>IS!BI6</f>
        <v>42643</v>
      </c>
      <c r="BJ7" s="1329">
        <f>IS!BJ6</f>
        <v>42735</v>
      </c>
      <c r="BK7" s="1330">
        <f>IS!BK6</f>
        <v>42825</v>
      </c>
      <c r="BL7" s="1328">
        <f>IS!BL6</f>
        <v>42916</v>
      </c>
      <c r="BM7" s="1355">
        <f>IS!BM6</f>
        <v>43008</v>
      </c>
      <c r="BN7" s="1329">
        <f>IS!BN6</f>
        <v>43100</v>
      </c>
      <c r="BO7" s="1355">
        <f>IS!BO6</f>
        <v>43190</v>
      </c>
      <c r="BP7" s="1354">
        <f>IS!BP6</f>
        <v>43281</v>
      </c>
      <c r="BQ7" s="1355">
        <f>IS!BQ6</f>
        <v>43373</v>
      </c>
      <c r="BR7" s="1355">
        <f>IS!BR6</f>
        <v>43465</v>
      </c>
      <c r="BS7" s="1356">
        <f>IS!BS6</f>
        <v>43555</v>
      </c>
      <c r="BT7" s="1355">
        <f>IS!BT6</f>
        <v>43646</v>
      </c>
      <c r="BU7" s="1355">
        <f>IS!BU6</f>
        <v>43738</v>
      </c>
      <c r="BV7" s="1355">
        <f>IS!BV6</f>
        <v>43830</v>
      </c>
      <c r="BW7" s="1356">
        <f>IS!BW6</f>
        <v>43921</v>
      </c>
      <c r="BX7" s="14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14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112" ht="14.25" customHeight="1">
      <c r="A8" s="8"/>
      <c r="B8" s="259"/>
      <c r="C8" s="278"/>
      <c r="D8" s="569" t="str">
        <f>IS!D7</f>
        <v>F1Q03A</v>
      </c>
      <c r="E8" s="570" t="str">
        <f>IS!E7</f>
        <v>F2Q03A</v>
      </c>
      <c r="F8" s="570" t="str">
        <f>IS!F7</f>
        <v>F3Q03A</v>
      </c>
      <c r="G8" s="570" t="str">
        <f>IS!G7</f>
        <v>F4Q03A</v>
      </c>
      <c r="H8" s="569" t="str">
        <f>IS!H7</f>
        <v>F1Q04A</v>
      </c>
      <c r="I8" s="570" t="str">
        <f>IS!I7</f>
        <v>F2Q04A</v>
      </c>
      <c r="J8" s="570" t="str">
        <f>IS!J7</f>
        <v>F3Q04A</v>
      </c>
      <c r="K8" s="570" t="str">
        <f>IS!K7</f>
        <v>F4Q04A</v>
      </c>
      <c r="L8" s="569" t="str">
        <f>IS!L7</f>
        <v>F1Q05A</v>
      </c>
      <c r="M8" s="570" t="str">
        <f>IS!M7</f>
        <v>F2Q05A</v>
      </c>
      <c r="N8" s="570" t="str">
        <f>IS!N7</f>
        <v>F3Q05A</v>
      </c>
      <c r="O8" s="570" t="str">
        <f>IS!O7</f>
        <v>F4Q05A</v>
      </c>
      <c r="P8" s="569" t="str">
        <f>IS!P7</f>
        <v>F1Q06A</v>
      </c>
      <c r="Q8" s="570" t="str">
        <f>IS!Q7</f>
        <v>F2Q06A</v>
      </c>
      <c r="R8" s="570" t="str">
        <f>IS!R7</f>
        <v>F3Q06A</v>
      </c>
      <c r="S8" s="570" t="str">
        <f>IS!S7</f>
        <v>F4Q06A</v>
      </c>
      <c r="T8" s="569" t="str">
        <f>IS!T7</f>
        <v>F1Q07A</v>
      </c>
      <c r="U8" s="570" t="str">
        <f>IS!U7</f>
        <v>F2Q07A</v>
      </c>
      <c r="V8" s="570" t="str">
        <f>IS!V7</f>
        <v>F3Q07A</v>
      </c>
      <c r="W8" s="570" t="str">
        <f>IS!W7</f>
        <v>F4Q07A</v>
      </c>
      <c r="X8" s="569" t="str">
        <f>IS!X7</f>
        <v>F1Q08A</v>
      </c>
      <c r="Y8" s="570" t="str">
        <f>IS!Y7</f>
        <v>F2Q08A</v>
      </c>
      <c r="Z8" s="570" t="str">
        <f>IS!Z7</f>
        <v>F3Q08A</v>
      </c>
      <c r="AA8" s="570" t="str">
        <f>IS!AA7</f>
        <v>F4Q08A</v>
      </c>
      <c r="AB8" s="569" t="str">
        <f>IS!AB7</f>
        <v>F1Q09A</v>
      </c>
      <c r="AC8" s="570" t="str">
        <f>IS!AC7</f>
        <v>F2Q09A</v>
      </c>
      <c r="AD8" s="570" t="str">
        <f>IS!AD7</f>
        <v>F3Q09A</v>
      </c>
      <c r="AE8" s="570" t="str">
        <f>IS!AE7</f>
        <v>F4Q09A</v>
      </c>
      <c r="AF8" s="569" t="str">
        <f>IS!AF7</f>
        <v>F1Q10A</v>
      </c>
      <c r="AG8" s="570" t="str">
        <f>IS!AG7</f>
        <v>F2Q10A</v>
      </c>
      <c r="AH8" s="570" t="str">
        <f>IS!AH7</f>
        <v>F3Q10A</v>
      </c>
      <c r="AI8" s="570" t="str">
        <f>IS!AI7</f>
        <v>F4Q10A</v>
      </c>
      <c r="AJ8" s="569" t="str">
        <f>IS!AJ7</f>
        <v>F1Q11A</v>
      </c>
      <c r="AK8" s="570" t="str">
        <f>IS!AK7</f>
        <v>F2Q11A</v>
      </c>
      <c r="AL8" s="570" t="str">
        <f>IS!AL7</f>
        <v>F3Q11A</v>
      </c>
      <c r="AM8" s="570" t="str">
        <f>IS!AM7</f>
        <v>F4Q11A</v>
      </c>
      <c r="AN8" s="571" t="str">
        <f>IS!AN7</f>
        <v>F1Q12A</v>
      </c>
      <c r="AO8" s="572" t="str">
        <f>IS!AO7</f>
        <v>F2Q12A</v>
      </c>
      <c r="AP8" s="570" t="str">
        <f>IS!AP7</f>
        <v>F3Q12A</v>
      </c>
      <c r="AQ8" s="570" t="str">
        <f>IS!AQ7</f>
        <v>F4Q12A</v>
      </c>
      <c r="AR8" s="569" t="str">
        <f>IS!AR7</f>
        <v>F1Q13A</v>
      </c>
      <c r="AS8" s="570" t="str">
        <f>IS!AS7</f>
        <v>F2Q13A</v>
      </c>
      <c r="AT8" s="570" t="str">
        <f>IS!AT7</f>
        <v>F3Q13A</v>
      </c>
      <c r="AU8" s="570" t="str">
        <f>IS!AU7</f>
        <v>F4Q13A</v>
      </c>
      <c r="AV8" s="569" t="str">
        <f>IS!AV7</f>
        <v>F1Q14A</v>
      </c>
      <c r="AW8" s="570" t="str">
        <f>IS!AW7</f>
        <v>F2Q14A</v>
      </c>
      <c r="AX8" s="570" t="str">
        <f>IS!AX7</f>
        <v>F3Q14A</v>
      </c>
      <c r="AY8" s="570" t="str">
        <f>IS!AY7</f>
        <v>F4Q14A</v>
      </c>
      <c r="AZ8" s="569" t="str">
        <f>IS!AZ7</f>
        <v>F1Q15A</v>
      </c>
      <c r="BA8" s="570" t="str">
        <f>IS!BA7</f>
        <v>F2Q15A</v>
      </c>
      <c r="BB8" s="570" t="str">
        <f>IS!BB7</f>
        <v>F3Q15A</v>
      </c>
      <c r="BC8" s="1321" t="str">
        <f>IS!BC7</f>
        <v>F4Q15A</v>
      </c>
      <c r="BD8" s="1326" t="str">
        <f>IS!BD7</f>
        <v>F1Q16A</v>
      </c>
      <c r="BE8" s="1325" t="str">
        <f>IS!BE7</f>
        <v>F2Q16A</v>
      </c>
      <c r="BF8" s="1325" t="str">
        <f>IS!BF7</f>
        <v>F3Q16A</v>
      </c>
      <c r="BG8" s="1325" t="str">
        <f>IS!BG7</f>
        <v>F4Q16A</v>
      </c>
      <c r="BH8" s="1326" t="str">
        <f>IS!BH7</f>
        <v>F1Q17A</v>
      </c>
      <c r="BI8" s="1325" t="str">
        <f>IS!BI7</f>
        <v>F2Q17A</v>
      </c>
      <c r="BJ8" s="1325" t="str">
        <f>IS!BJ7</f>
        <v>F3Q17A</v>
      </c>
      <c r="BK8" s="1324" t="str">
        <f>IS!BK7</f>
        <v>F4Q17A</v>
      </c>
      <c r="BL8" s="1326" t="str">
        <f>IS!BL7</f>
        <v>F1Q18A</v>
      </c>
      <c r="BM8" s="1325" t="str">
        <f>IS!BM7</f>
        <v>F2Q18A</v>
      </c>
      <c r="BN8" s="1325" t="str">
        <f>IS!BN7</f>
        <v>F3Q18A</v>
      </c>
      <c r="BO8" s="1325" t="str">
        <f>IS!BO7</f>
        <v>F4Q18E</v>
      </c>
      <c r="BP8" s="1326" t="str">
        <f>IS!BP7</f>
        <v>F1Q19E</v>
      </c>
      <c r="BQ8" s="1325" t="str">
        <f>IS!BQ7</f>
        <v>F2Q19E</v>
      </c>
      <c r="BR8" s="1325" t="str">
        <f>IS!BR7</f>
        <v>F3Q19E</v>
      </c>
      <c r="BS8" s="1324" t="str">
        <f>IS!BS7</f>
        <v>F4Q19E</v>
      </c>
      <c r="BT8" s="1325" t="str">
        <f>IS!BT7</f>
        <v>F1Q20E</v>
      </c>
      <c r="BU8" s="1325" t="str">
        <f>IS!BU7</f>
        <v>F2Q20E</v>
      </c>
      <c r="BV8" s="1325" t="str">
        <f>IS!BV7</f>
        <v>F3Q20E</v>
      </c>
      <c r="BW8" s="1324" t="str">
        <f>IS!BW7</f>
        <v>F4Q20E</v>
      </c>
      <c r="BX8" s="232"/>
      <c r="BY8" s="570" t="str">
        <f>IS!BY7</f>
        <v>FY2003A</v>
      </c>
      <c r="BZ8" s="570" t="str">
        <f>IS!BZ7</f>
        <v>FY2004A</v>
      </c>
      <c r="CA8" s="570" t="str">
        <f>IS!CA7</f>
        <v>FY2005A</v>
      </c>
      <c r="CB8" s="570" t="str">
        <f>IS!CB7</f>
        <v>FY2006A</v>
      </c>
      <c r="CC8" s="570" t="str">
        <f>IS!CC7</f>
        <v>FY2007A</v>
      </c>
      <c r="CD8" s="570" t="str">
        <f>IS!CD7</f>
        <v>FY2008A</v>
      </c>
      <c r="CE8" s="570" t="str">
        <f>IS!CE7</f>
        <v>FY2009A</v>
      </c>
      <c r="CF8" s="570" t="str">
        <f>IS!CF7</f>
        <v>FY2010A</v>
      </c>
      <c r="CG8" s="574" t="str">
        <f>IS!CG7</f>
        <v>FY2011A</v>
      </c>
      <c r="CH8" s="570" t="str">
        <f>IS!CH7</f>
        <v>FY2012A</v>
      </c>
      <c r="CI8" s="570" t="str">
        <f>IS!CI7</f>
        <v>FY2013A</v>
      </c>
      <c r="CJ8" s="1255" t="str">
        <f>IS!CJ7</f>
        <v>FY2014A</v>
      </c>
      <c r="CK8" s="574" t="str">
        <f>IS!CK7</f>
        <v>FY2015A</v>
      </c>
      <c r="CL8" s="570" t="str">
        <f>IS!CL7</f>
        <v>FY2016A</v>
      </c>
      <c r="CM8" s="574" t="str">
        <f>IS!CM7</f>
        <v>FY2017A</v>
      </c>
      <c r="CN8" s="574" t="str">
        <f>IS!CN7</f>
        <v>FY2018E</v>
      </c>
      <c r="CO8" s="574" t="str">
        <f>IS!CO7</f>
        <v>FY2019E</v>
      </c>
      <c r="CP8" s="1256" t="str">
        <f>IS!CP7</f>
        <v>FY2020E</v>
      </c>
      <c r="CQ8" s="22"/>
      <c r="CR8" s="232"/>
      <c r="CS8" s="599" t="str">
        <f>+IS!CS5</f>
        <v>CY2004</v>
      </c>
      <c r="CT8" s="600" t="str">
        <f>+IS!CT5</f>
        <v>CY2005</v>
      </c>
      <c r="CU8" s="600" t="str">
        <f>+IS!CU5</f>
        <v>CY2006</v>
      </c>
      <c r="CV8" s="600" t="str">
        <f>+IS!CV5</f>
        <v>CY2007</v>
      </c>
      <c r="CW8" s="600" t="str">
        <f>+IS!CW5</f>
        <v>CY2008</v>
      </c>
      <c r="CX8" s="600" t="str">
        <f>+IS!CX5</f>
        <v>CY2009</v>
      </c>
      <c r="CY8" s="600" t="str">
        <f>+IS!CY5</f>
        <v>CY2010</v>
      </c>
      <c r="CZ8" s="600" t="str">
        <f>+IS!CZ5</f>
        <v>CY2011</v>
      </c>
      <c r="DA8" s="599" t="str">
        <f>+IS!DA5</f>
        <v>CY2012</v>
      </c>
      <c r="DB8" s="600" t="str">
        <f>+IS!DB5</f>
        <v>CY2013</v>
      </c>
      <c r="DC8" s="599" t="str">
        <f>+IS!DC5</f>
        <v>CY2014</v>
      </c>
      <c r="DD8" s="600" t="str">
        <f>+IS!DD5</f>
        <v>CY2015</v>
      </c>
      <c r="DE8" s="600" t="str">
        <f>+IS!DE5</f>
        <v>CY2016</v>
      </c>
      <c r="DF8" s="600" t="str">
        <f>+IS!DF5</f>
        <v>CY2017</v>
      </c>
      <c r="DG8" s="600" t="str">
        <f>+IS!DG5</f>
        <v>CY2018</v>
      </c>
      <c r="DH8" s="601" t="str">
        <f>+IS!DH5</f>
        <v>CY2019</v>
      </c>
    </row>
    <row r="9" spans="1:112" ht="14.25" customHeight="1">
      <c r="A9" s="8"/>
      <c r="B9" s="316"/>
      <c r="C9" s="317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AD9" s="318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318"/>
      <c r="AP9" s="318"/>
      <c r="AQ9" s="318"/>
      <c r="AR9" s="318"/>
      <c r="AS9" s="318"/>
      <c r="AT9" s="318"/>
      <c r="AU9" s="318"/>
      <c r="AV9" s="318"/>
      <c r="AW9" s="318"/>
      <c r="AX9" s="318"/>
      <c r="AY9" s="318"/>
      <c r="AZ9" s="318"/>
      <c r="BA9" s="318"/>
      <c r="BB9" s="318"/>
      <c r="BC9" s="319"/>
      <c r="BD9" s="1337"/>
      <c r="BE9" s="1337"/>
      <c r="BF9" s="1337"/>
      <c r="BG9" s="1338"/>
      <c r="BH9" s="1339"/>
      <c r="BI9" s="1337"/>
      <c r="BJ9" s="1337"/>
      <c r="BK9" s="1337"/>
      <c r="BL9" s="1339"/>
      <c r="BM9" s="1337"/>
      <c r="BN9" s="1337"/>
      <c r="BO9" s="1337"/>
      <c r="BP9" s="1339"/>
      <c r="BQ9" s="1337"/>
      <c r="BR9" s="1337"/>
      <c r="BS9" s="1338"/>
      <c r="BT9" s="1337"/>
      <c r="BU9" s="1337"/>
      <c r="BV9" s="1337"/>
      <c r="BW9" s="1338"/>
      <c r="BX9" s="20"/>
      <c r="BY9" s="546"/>
      <c r="BZ9" s="546"/>
      <c r="CA9" s="546"/>
      <c r="CB9" s="546"/>
      <c r="CC9" s="546"/>
      <c r="CD9" s="546"/>
      <c r="CE9" s="546"/>
      <c r="CF9" s="320"/>
      <c r="CG9" s="320"/>
      <c r="CH9" s="546"/>
      <c r="CI9" s="546"/>
      <c r="CJ9" s="1280"/>
      <c r="CK9" s="1281"/>
      <c r="CL9" s="1278"/>
      <c r="CM9" s="1278"/>
      <c r="CN9" s="1278"/>
      <c r="CO9" s="1278"/>
      <c r="CP9" s="1279"/>
      <c r="CQ9" s="22"/>
      <c r="CR9" s="232"/>
      <c r="CS9" s="547"/>
      <c r="CT9" s="546"/>
      <c r="CU9" s="546"/>
      <c r="CV9" s="546"/>
      <c r="CW9" s="546"/>
      <c r="CX9" s="546"/>
      <c r="CY9" s="546"/>
      <c r="CZ9" s="546"/>
      <c r="DA9" s="547"/>
      <c r="DB9" s="546"/>
      <c r="DC9" s="1320"/>
      <c r="DD9" s="1311"/>
      <c r="DE9" s="1318"/>
      <c r="DF9" s="1318"/>
      <c r="DG9" s="1318"/>
      <c r="DH9" s="1319"/>
    </row>
    <row r="10" spans="1:112" ht="14.25" customHeight="1">
      <c r="A10" s="8"/>
      <c r="B10" s="461" t="s">
        <v>205</v>
      </c>
      <c r="C10" s="462"/>
      <c r="D10" s="463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3"/>
      <c r="Z10" s="463"/>
      <c r="AA10" s="463"/>
      <c r="AB10" s="463"/>
      <c r="AC10" s="463"/>
      <c r="AD10" s="463"/>
      <c r="AE10" s="463"/>
      <c r="AF10" s="463"/>
      <c r="AG10" s="463"/>
      <c r="AH10" s="463"/>
      <c r="AI10" s="463"/>
      <c r="AJ10" s="463"/>
      <c r="AK10" s="463"/>
      <c r="AL10" s="463"/>
      <c r="AM10" s="463"/>
      <c r="AN10" s="463"/>
      <c r="AO10" s="463"/>
      <c r="AP10" s="463"/>
      <c r="AQ10" s="463"/>
      <c r="AR10" s="463"/>
      <c r="AS10" s="463"/>
      <c r="AT10" s="463"/>
      <c r="AU10" s="463"/>
      <c r="AV10" s="463"/>
      <c r="AW10" s="463"/>
      <c r="AX10" s="463"/>
      <c r="AY10" s="463"/>
      <c r="AZ10" s="463"/>
      <c r="BA10" s="463"/>
      <c r="BB10" s="463"/>
      <c r="BC10" s="464"/>
      <c r="BD10" s="463"/>
      <c r="BE10" s="463"/>
      <c r="BF10" s="463"/>
      <c r="BG10" s="464"/>
      <c r="BH10" s="1170"/>
      <c r="BI10" s="463"/>
      <c r="BJ10" s="463"/>
      <c r="BK10" s="1312"/>
      <c r="BL10" s="1322"/>
      <c r="BM10" s="1312"/>
      <c r="BN10" s="1312"/>
      <c r="BO10" s="1312"/>
      <c r="BP10" s="1322"/>
      <c r="BQ10" s="1312"/>
      <c r="BR10" s="1312"/>
      <c r="BS10" s="1313"/>
      <c r="BT10" s="1312"/>
      <c r="BU10" s="1312"/>
      <c r="BV10" s="1312"/>
      <c r="BW10" s="1313"/>
      <c r="BX10" s="20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5"/>
      <c r="CK10" s="466"/>
      <c r="CL10" s="466"/>
      <c r="CM10" s="466"/>
      <c r="CN10" s="466"/>
      <c r="CO10" s="1315"/>
      <c r="CP10" s="1316"/>
      <c r="CQ10" s="22"/>
      <c r="CR10" s="232"/>
      <c r="CS10" s="465"/>
      <c r="CT10" s="466"/>
      <c r="CU10" s="466"/>
      <c r="CV10" s="466"/>
      <c r="CW10" s="466"/>
      <c r="CX10" s="466"/>
      <c r="CY10" s="466"/>
      <c r="CZ10" s="466"/>
      <c r="DA10" s="465"/>
      <c r="DB10" s="466"/>
      <c r="DC10" s="1314"/>
      <c r="DD10" s="1315"/>
      <c r="DE10" s="1315"/>
      <c r="DF10" s="1315"/>
      <c r="DG10" s="1315"/>
      <c r="DH10" s="1316"/>
    </row>
    <row r="11" spans="1:112" ht="14.25" customHeight="1">
      <c r="A11" s="785"/>
      <c r="B11" s="327" t="str">
        <f>$B$110&amp;" Revenue"</f>
        <v>Microcontrollers Revenue</v>
      </c>
      <c r="C11" s="471"/>
      <c r="D11" s="786">
        <f t="shared" ref="D11:S11" si="0">D$110</f>
        <v>123.15</v>
      </c>
      <c r="E11" s="787">
        <f t="shared" si="0"/>
        <v>130.53</v>
      </c>
      <c r="F11" s="787">
        <f t="shared" si="0"/>
        <v>133.80000000000001</v>
      </c>
      <c r="G11" s="788">
        <f t="shared" si="0"/>
        <v>128.90300000000002</v>
      </c>
      <c r="H11" s="786">
        <f t="shared" si="0"/>
        <v>129.37700000000001</v>
      </c>
      <c r="I11" s="787">
        <f t="shared" si="0"/>
        <v>133.41999999999999</v>
      </c>
      <c r="J11" s="787">
        <f t="shared" si="0"/>
        <v>141.39699999999999</v>
      </c>
      <c r="K11" s="788">
        <f t="shared" si="0"/>
        <v>152.57</v>
      </c>
      <c r="L11" s="786">
        <f t="shared" si="0"/>
        <v>166.691</v>
      </c>
      <c r="M11" s="787">
        <f t="shared" si="0"/>
        <v>176.316</v>
      </c>
      <c r="N11" s="787">
        <f t="shared" si="0"/>
        <v>166.06100000000001</v>
      </c>
      <c r="O11" s="788">
        <f t="shared" si="0"/>
        <v>165.83399999999997</v>
      </c>
      <c r="P11" s="786">
        <f t="shared" si="0"/>
        <v>174.6</v>
      </c>
      <c r="Q11" s="787">
        <f t="shared" si="0"/>
        <v>179.982</v>
      </c>
      <c r="R11" s="787">
        <f t="shared" si="0"/>
        <v>186.23500000000001</v>
      </c>
      <c r="S11" s="788">
        <f t="shared" si="0"/>
        <v>195.36199999999999</v>
      </c>
      <c r="T11" s="786">
        <f t="shared" ref="T11:BE11" si="1">T$110</f>
        <v>211.316</v>
      </c>
      <c r="U11" s="787">
        <f t="shared" si="1"/>
        <v>214.77799999999999</v>
      </c>
      <c r="V11" s="787">
        <f t="shared" si="1"/>
        <v>200.07300000000001</v>
      </c>
      <c r="W11" s="788">
        <f t="shared" si="1"/>
        <v>208.126</v>
      </c>
      <c r="X11" s="786">
        <f t="shared" si="1"/>
        <v>213.304</v>
      </c>
      <c r="Y11" s="787">
        <f t="shared" si="1"/>
        <v>205.529</v>
      </c>
      <c r="Z11" s="787">
        <f t="shared" si="1"/>
        <v>202.94200000000001</v>
      </c>
      <c r="AA11" s="788">
        <f t="shared" si="1"/>
        <v>211.14600000000004</v>
      </c>
      <c r="AB11" s="786">
        <f t="shared" si="1"/>
        <v>217.60300000000001</v>
      </c>
      <c r="AC11" s="787">
        <f t="shared" si="1"/>
        <v>217.089</v>
      </c>
      <c r="AD11" s="787">
        <f t="shared" si="1"/>
        <v>155.86600000000001</v>
      </c>
      <c r="AE11" s="788">
        <f t="shared" si="1"/>
        <v>141.09000000000003</v>
      </c>
      <c r="AF11" s="786">
        <f t="shared" si="1"/>
        <v>157.917</v>
      </c>
      <c r="AG11" s="787">
        <f t="shared" si="1"/>
        <v>184.14400000000001</v>
      </c>
      <c r="AH11" s="787">
        <f t="shared" si="1"/>
        <v>202.416</v>
      </c>
      <c r="AI11" s="788">
        <f t="shared" si="1"/>
        <v>223.24600000000001</v>
      </c>
      <c r="AJ11" s="786">
        <f t="shared" si="1"/>
        <v>245.18700000000001</v>
      </c>
      <c r="AK11" s="787">
        <f t="shared" si="1"/>
        <v>256.72000000000003</v>
      </c>
      <c r="AL11" s="787">
        <f t="shared" si="1"/>
        <v>251.01499999999999</v>
      </c>
      <c r="AM11" s="788">
        <f t="shared" si="1"/>
        <v>261.01499999999999</v>
      </c>
      <c r="AN11" s="786">
        <f t="shared" si="1"/>
        <v>255.75700000000001</v>
      </c>
      <c r="AO11" s="787">
        <f t="shared" si="1"/>
        <v>226.995</v>
      </c>
      <c r="AP11" s="787">
        <f t="shared" si="1"/>
        <v>216.91499999999999</v>
      </c>
      <c r="AQ11" s="788">
        <f t="shared" si="1"/>
        <v>228.84200000000004</v>
      </c>
      <c r="AR11" s="786">
        <f t="shared" si="1"/>
        <v>240.34200000000001</v>
      </c>
      <c r="AS11" s="787">
        <f t="shared" si="1"/>
        <v>253.315</v>
      </c>
      <c r="AT11" s="787">
        <f t="shared" si="1"/>
        <v>266.03300000000002</v>
      </c>
      <c r="AU11" s="788">
        <f t="shared" si="1"/>
        <v>275.8</v>
      </c>
      <c r="AV11" s="786">
        <f t="shared" si="1"/>
        <v>300.3</v>
      </c>
      <c r="AW11" s="787">
        <f t="shared" si="1"/>
        <v>321.00400000000002</v>
      </c>
      <c r="AX11" s="787">
        <f t="shared" si="1"/>
        <v>313.3</v>
      </c>
      <c r="AY11" s="788">
        <f t="shared" si="1"/>
        <v>326.38400000000007</v>
      </c>
      <c r="AZ11" s="1158">
        <f t="shared" si="1"/>
        <v>343.76100000000002</v>
      </c>
      <c r="BA11" s="789">
        <f t="shared" si="1"/>
        <v>361.8</v>
      </c>
      <c r="BB11" s="789">
        <f t="shared" si="1"/>
        <v>338.392</v>
      </c>
      <c r="BC11" s="1159">
        <f t="shared" si="1"/>
        <v>353.6</v>
      </c>
      <c r="BD11" s="1158">
        <f t="shared" si="1"/>
        <v>348.2</v>
      </c>
      <c r="BE11" s="789">
        <f t="shared" si="1"/>
        <v>334.3</v>
      </c>
      <c r="BF11" s="789">
        <f>BF$110</f>
        <v>322.66399999999999</v>
      </c>
      <c r="BG11" s="1159">
        <f>BG$110</f>
        <v>340.41</v>
      </c>
      <c r="BH11" s="1158">
        <f>BH$110</f>
        <v>537.97299999999996</v>
      </c>
      <c r="BI11" s="789">
        <f t="shared" ref="BI11:BN11" si="2">BI$110</f>
        <v>554.30299999999988</v>
      </c>
      <c r="BJ11" s="789">
        <f t="shared" si="2"/>
        <v>555.952</v>
      </c>
      <c r="BK11" s="789">
        <f t="shared" si="2"/>
        <v>580.45699999999999</v>
      </c>
      <c r="BL11" s="1158">
        <f>BL$110</f>
        <v>635.51300000000003</v>
      </c>
      <c r="BM11" s="789">
        <f t="shared" si="2"/>
        <v>665.23400000000004</v>
      </c>
      <c r="BN11" s="789">
        <f t="shared" si="2"/>
        <v>661.01400000000001</v>
      </c>
      <c r="BO11" s="431">
        <f t="shared" ref="BO11" si="3">BN11*(1+BO12)</f>
        <v>653.74284599999999</v>
      </c>
      <c r="BP11" s="514">
        <f t="shared" ref="BP11:BW11" si="4">BO11*(1+BP12)</f>
        <v>686.42998829999999</v>
      </c>
      <c r="BQ11" s="431">
        <f t="shared" si="4"/>
        <v>710.45503789049997</v>
      </c>
      <c r="BR11" s="431">
        <f t="shared" si="4"/>
        <v>694.1145720190184</v>
      </c>
      <c r="BS11" s="430">
        <f t="shared" si="4"/>
        <v>687.17342629882819</v>
      </c>
      <c r="BT11" s="431">
        <f t="shared" si="4"/>
        <v>718.09623048227536</v>
      </c>
      <c r="BU11" s="431">
        <f t="shared" si="4"/>
        <v>739.63911739674359</v>
      </c>
      <c r="BV11" s="431">
        <f t="shared" si="4"/>
        <v>727.80489151839572</v>
      </c>
      <c r="BW11" s="430">
        <f t="shared" si="4"/>
        <v>720.52684260321178</v>
      </c>
      <c r="BX11" s="312"/>
      <c r="BY11" s="362">
        <f>SUM(D11:G11)</f>
        <v>516.38300000000004</v>
      </c>
      <c r="BZ11" s="362">
        <f>SUM(H11:K11)</f>
        <v>556.76400000000001</v>
      </c>
      <c r="CA11" s="362">
        <f>SUM(L11:O11)</f>
        <v>674.90199999999993</v>
      </c>
      <c r="CB11" s="362">
        <f>SUM(P11:S11)</f>
        <v>736.17899999999997</v>
      </c>
      <c r="CC11" s="362">
        <f>SUM(T11:W11)</f>
        <v>834.29300000000001</v>
      </c>
      <c r="CD11" s="362">
        <f>SUM(X11:AA11)</f>
        <v>832.92100000000005</v>
      </c>
      <c r="CE11" s="362">
        <f>SUM(AB11:AE11)</f>
        <v>731.64800000000002</v>
      </c>
      <c r="CF11" s="362">
        <f>SUM(AF11:AI11)</f>
        <v>767.72300000000007</v>
      </c>
      <c r="CG11" s="362">
        <f>SUM(AJ11:AM11)</f>
        <v>1013.937</v>
      </c>
      <c r="CH11" s="362">
        <f>SUM(AN11:AQ11)</f>
        <v>928.50900000000001</v>
      </c>
      <c r="CI11" s="362">
        <f>SUM(AR11:AU11)</f>
        <v>1035.49</v>
      </c>
      <c r="CJ11" s="366">
        <f>SUM(AV11:AY11)</f>
        <v>1260.9880000000001</v>
      </c>
      <c r="CK11" s="362">
        <f>SUM(AZ11:BC11)</f>
        <v>1397.5529999999999</v>
      </c>
      <c r="CL11" s="362">
        <f>SUM(BD11:BG11)</f>
        <v>1345.5740000000001</v>
      </c>
      <c r="CM11" s="362">
        <f>SUM(BH11:BK11)</f>
        <v>2228.6849999999999</v>
      </c>
      <c r="CN11" s="362">
        <f>SUM(BL11:BO11)</f>
        <v>2615.5038460000001</v>
      </c>
      <c r="CO11" s="362">
        <f>SUM(BP11:BS11)</f>
        <v>2778.1730245083463</v>
      </c>
      <c r="CP11" s="363">
        <f>SUM(BT11:BW11)</f>
        <v>2906.0670820006262</v>
      </c>
      <c r="CQ11" s="467"/>
      <c r="CR11" s="471"/>
      <c r="CS11" s="366">
        <f>SUM(K11:N11)</f>
        <v>661.63800000000003</v>
      </c>
      <c r="CT11" s="362">
        <f>SUM(O11:R11)</f>
        <v>706.65099999999995</v>
      </c>
      <c r="CU11" s="362">
        <f>SUM(S11:V11)</f>
        <v>821.529</v>
      </c>
      <c r="CV11" s="362">
        <f>SUM(W11:Z11)</f>
        <v>829.90100000000007</v>
      </c>
      <c r="CW11" s="362">
        <f>SUM(AA11:AD11)</f>
        <v>801.70399999999995</v>
      </c>
      <c r="CX11" s="362">
        <f>SUM(AE11:AH11)</f>
        <v>685.56700000000001</v>
      </c>
      <c r="CY11" s="362">
        <f>SUM(AI11:AL11)</f>
        <v>976.16800000000001</v>
      </c>
      <c r="CZ11" s="362">
        <f>SUM(AM11:AP11)</f>
        <v>960.6819999999999</v>
      </c>
      <c r="DA11" s="366">
        <f>SUM(AQ11:AT11)</f>
        <v>988.53200000000004</v>
      </c>
      <c r="DB11" s="362">
        <f>SUM(AU11:AX11)</f>
        <v>1210.404</v>
      </c>
      <c r="DC11" s="366">
        <f>SUM(AY11:BB11)</f>
        <v>1370.3370000000002</v>
      </c>
      <c r="DD11" s="362">
        <f>SUM(BC11:BF11)</f>
        <v>1358.7639999999999</v>
      </c>
      <c r="DE11" s="362">
        <f>SUM(BG11:BJ11)</f>
        <v>1988.6379999999999</v>
      </c>
      <c r="DF11" s="362">
        <f>SUM(BK11:BN11)</f>
        <v>2542.2180000000003</v>
      </c>
      <c r="DG11" s="362">
        <f>SUM(BO11:BR11)</f>
        <v>2744.7424442095185</v>
      </c>
      <c r="DH11" s="363">
        <f>SUM(BS11:BV11)</f>
        <v>2872.713665696243</v>
      </c>
    </row>
    <row r="12" spans="1:112" ht="14.25" customHeight="1">
      <c r="A12" s="472"/>
      <c r="B12" s="34" t="s">
        <v>98</v>
      </c>
      <c r="C12" s="239"/>
      <c r="D12" s="144"/>
      <c r="E12" s="90">
        <f t="shared" ref="E12:S12" si="5">E11/D11-1</f>
        <v>5.9926918392204653E-2</v>
      </c>
      <c r="F12" s="90">
        <f t="shared" si="5"/>
        <v>2.5051712250057534E-2</v>
      </c>
      <c r="G12" s="91">
        <f t="shared" si="5"/>
        <v>-3.6599402092675537E-2</v>
      </c>
      <c r="H12" s="144">
        <f t="shared" si="5"/>
        <v>3.6771836186899609E-3</v>
      </c>
      <c r="I12" s="90">
        <f t="shared" si="5"/>
        <v>3.1249758457840171E-2</v>
      </c>
      <c r="J12" s="90">
        <f t="shared" si="5"/>
        <v>5.9788637385699284E-2</v>
      </c>
      <c r="K12" s="91">
        <f t="shared" si="5"/>
        <v>7.9018649617742964E-2</v>
      </c>
      <c r="L12" s="144">
        <f t="shared" si="5"/>
        <v>9.2554237399226746E-2</v>
      </c>
      <c r="M12" s="90">
        <f t="shared" si="5"/>
        <v>5.7741569730819231E-2</v>
      </c>
      <c r="N12" s="90">
        <f t="shared" si="5"/>
        <v>-5.8162617119263071E-2</v>
      </c>
      <c r="O12" s="91">
        <f t="shared" si="5"/>
        <v>-1.3669675601136744E-3</v>
      </c>
      <c r="P12" s="144">
        <f t="shared" si="5"/>
        <v>5.2860089004667543E-2</v>
      </c>
      <c r="Q12" s="90">
        <f t="shared" si="5"/>
        <v>3.0824742268041216E-2</v>
      </c>
      <c r="R12" s="90">
        <f t="shared" si="5"/>
        <v>3.4742363125201514E-2</v>
      </c>
      <c r="S12" s="91">
        <f t="shared" si="5"/>
        <v>4.90079737965472E-2</v>
      </c>
      <c r="T12" s="144">
        <f>T11/S11-1</f>
        <v>8.1663783130803358E-2</v>
      </c>
      <c r="U12" s="90">
        <f>U11/T11-1</f>
        <v>1.6383047189990396E-2</v>
      </c>
      <c r="V12" s="90">
        <f>V11/U11-1</f>
        <v>-6.8466044008231641E-2</v>
      </c>
      <c r="W12" s="91">
        <f>W11/V11-1</f>
        <v>4.0250308637347354E-2</v>
      </c>
      <c r="X12" s="144">
        <f t="shared" ref="X12:AO12" si="6">X11/W11-1</f>
        <v>2.487915973977306E-2</v>
      </c>
      <c r="Y12" s="90">
        <f t="shared" si="6"/>
        <v>-3.6450324419607716E-2</v>
      </c>
      <c r="Z12" s="90">
        <f t="shared" si="6"/>
        <v>-1.2587031513800917E-2</v>
      </c>
      <c r="AA12" s="91">
        <f t="shared" si="6"/>
        <v>4.0425343201506037E-2</v>
      </c>
      <c r="AB12" s="144">
        <f t="shared" si="6"/>
        <v>3.0580735604747167E-2</v>
      </c>
      <c r="AC12" s="90">
        <f t="shared" si="6"/>
        <v>-2.3620997872272342E-3</v>
      </c>
      <c r="AD12" s="90">
        <f t="shared" si="6"/>
        <v>-0.28201797419491537</v>
      </c>
      <c r="AE12" s="91">
        <f t="shared" si="6"/>
        <v>-9.4799378953716484E-2</v>
      </c>
      <c r="AF12" s="144">
        <f t="shared" si="6"/>
        <v>0.11926429938337213</v>
      </c>
      <c r="AG12" s="90">
        <f t="shared" si="6"/>
        <v>0.16608091592418806</v>
      </c>
      <c r="AH12" s="90">
        <f t="shared" si="6"/>
        <v>9.92266921539664E-2</v>
      </c>
      <c r="AI12" s="91">
        <f t="shared" si="6"/>
        <v>0.10290688483123867</v>
      </c>
      <c r="AJ12" s="144">
        <f t="shared" si="6"/>
        <v>9.8281716133771679E-2</v>
      </c>
      <c r="AK12" s="90">
        <f t="shared" si="6"/>
        <v>4.703756724459307E-2</v>
      </c>
      <c r="AL12" s="90">
        <f t="shared" si="6"/>
        <v>-2.2222655032720584E-2</v>
      </c>
      <c r="AM12" s="91">
        <f t="shared" si="6"/>
        <v>3.9838256677887873E-2</v>
      </c>
      <c r="AN12" s="515">
        <f t="shared" si="6"/>
        <v>-2.0144436143516575E-2</v>
      </c>
      <c r="AO12" s="429">
        <f t="shared" si="6"/>
        <v>-0.11245831003647999</v>
      </c>
      <c r="AP12" s="90">
        <f t="shared" ref="AP12:BN12" si="7">AP11/AO11-1</f>
        <v>-4.4406264455164268E-2</v>
      </c>
      <c r="AQ12" s="91">
        <f t="shared" si="7"/>
        <v>5.4984671415070574E-2</v>
      </c>
      <c r="AR12" s="515">
        <f t="shared" si="7"/>
        <v>5.0253012995866042E-2</v>
      </c>
      <c r="AS12" s="429">
        <f t="shared" si="7"/>
        <v>5.3977249086718082E-2</v>
      </c>
      <c r="AT12" s="429">
        <f t="shared" si="7"/>
        <v>5.0206264927067146E-2</v>
      </c>
      <c r="AU12" s="91">
        <f t="shared" si="7"/>
        <v>3.6713490431638185E-2</v>
      </c>
      <c r="AV12" s="515">
        <f t="shared" si="7"/>
        <v>8.8832487309644659E-2</v>
      </c>
      <c r="AW12" s="429">
        <f t="shared" si="7"/>
        <v>6.8944388944389035E-2</v>
      </c>
      <c r="AX12" s="429">
        <f t="shared" si="7"/>
        <v>-2.3999700938306057E-2</v>
      </c>
      <c r="AY12" s="91">
        <f t="shared" si="7"/>
        <v>4.1761889562719645E-2</v>
      </c>
      <c r="AZ12" s="515">
        <f t="shared" si="7"/>
        <v>5.3240967694494712E-2</v>
      </c>
      <c r="BA12" s="429">
        <f t="shared" si="7"/>
        <v>5.2475411695916518E-2</v>
      </c>
      <c r="BB12" s="429">
        <f t="shared" si="7"/>
        <v>-6.4698728579325682E-2</v>
      </c>
      <c r="BC12" s="367">
        <f t="shared" si="7"/>
        <v>4.494196080285584E-2</v>
      </c>
      <c r="BD12" s="515">
        <f t="shared" si="7"/>
        <v>-1.527149321266974E-2</v>
      </c>
      <c r="BE12" s="429">
        <f t="shared" si="7"/>
        <v>-3.9919586444572053E-2</v>
      </c>
      <c r="BF12" s="429">
        <f t="shared" si="7"/>
        <v>-3.4807059527370732E-2</v>
      </c>
      <c r="BG12" s="367">
        <f t="shared" si="7"/>
        <v>5.4998388416433341E-2</v>
      </c>
      <c r="BH12" s="515">
        <f t="shared" si="7"/>
        <v>0.58036779178049969</v>
      </c>
      <c r="BI12" s="429">
        <f t="shared" si="7"/>
        <v>3.0354683227596713E-2</v>
      </c>
      <c r="BJ12" s="429">
        <f t="shared" si="7"/>
        <v>2.9749072258316023E-3</v>
      </c>
      <c r="BK12" s="429">
        <f t="shared" si="7"/>
        <v>4.4077546262986766E-2</v>
      </c>
      <c r="BL12" s="515">
        <f t="shared" si="7"/>
        <v>9.4849403142696298E-2</v>
      </c>
      <c r="BM12" s="429">
        <f t="shared" si="7"/>
        <v>4.6766942611716766E-2</v>
      </c>
      <c r="BN12" s="429">
        <f t="shared" si="7"/>
        <v>-6.3436324661698684E-3</v>
      </c>
      <c r="BO12" s="1490">
        <v>-1.0999999999999999E-2</v>
      </c>
      <c r="BP12" s="954">
        <v>0.05</v>
      </c>
      <c r="BQ12" s="1490">
        <v>3.5000000000000003E-2</v>
      </c>
      <c r="BR12" s="1490">
        <v>-2.3E-2</v>
      </c>
      <c r="BS12" s="1350">
        <v>-0.01</v>
      </c>
      <c r="BT12" s="1426">
        <v>4.4999999999999998E-2</v>
      </c>
      <c r="BU12" s="1426">
        <v>0.03</v>
      </c>
      <c r="BV12" s="1426">
        <v>-1.6E-2</v>
      </c>
      <c r="BW12" s="1350">
        <v>-0.01</v>
      </c>
      <c r="BX12" s="2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1028"/>
      <c r="CK12" s="240"/>
      <c r="CL12" s="240"/>
      <c r="CM12" s="240"/>
      <c r="CN12" s="240"/>
      <c r="CO12" s="240"/>
      <c r="CP12" s="282"/>
      <c r="CQ12" s="22"/>
      <c r="CR12" s="232"/>
      <c r="CS12" s="22"/>
      <c r="CT12" s="14"/>
      <c r="CU12" s="14"/>
      <c r="CV12" s="14"/>
      <c r="CW12" s="14"/>
      <c r="CX12" s="14"/>
      <c r="CY12" s="14"/>
      <c r="CZ12" s="14"/>
      <c r="DA12" s="22"/>
      <c r="DB12" s="14"/>
      <c r="DC12" s="22"/>
      <c r="DD12" s="14"/>
      <c r="DE12" s="14"/>
      <c r="DF12" s="14"/>
      <c r="DG12" s="14"/>
      <c r="DH12" s="232"/>
    </row>
    <row r="13" spans="1:112" ht="14.25" customHeight="1">
      <c r="A13" s="472"/>
      <c r="B13" s="34" t="s">
        <v>220</v>
      </c>
      <c r="C13" s="239"/>
      <c r="D13" s="144"/>
      <c r="E13" s="90"/>
      <c r="F13" s="90"/>
      <c r="G13" s="91"/>
      <c r="H13" s="144"/>
      <c r="I13" s="90"/>
      <c r="J13" s="90"/>
      <c r="K13" s="91"/>
      <c r="L13" s="144"/>
      <c r="M13" s="90"/>
      <c r="N13" s="90"/>
      <c r="O13" s="91"/>
      <c r="P13" s="144"/>
      <c r="Q13" s="90"/>
      <c r="R13" s="90"/>
      <c r="S13" s="91"/>
      <c r="T13" s="144"/>
      <c r="U13" s="90"/>
      <c r="V13" s="90"/>
      <c r="W13" s="91"/>
      <c r="X13" s="144"/>
      <c r="Y13" s="90">
        <f t="shared" ref="Y13:AK13" si="8">AVERAGE(U12,Q12,M12,I12,E12)</f>
        <v>3.9225207207779132E-2</v>
      </c>
      <c r="Z13" s="90">
        <f t="shared" si="8"/>
        <v>-1.4091896733072762E-3</v>
      </c>
      <c r="AA13" s="91">
        <f t="shared" si="8"/>
        <v>2.606211247976966E-2</v>
      </c>
      <c r="AB13" s="144">
        <f t="shared" si="8"/>
        <v>5.1126890578632136E-2</v>
      </c>
      <c r="AC13" s="90">
        <f t="shared" si="8"/>
        <v>1.9949758645416659E-2</v>
      </c>
      <c r="AD13" s="90">
        <f t="shared" si="8"/>
        <v>-8.9369384260789657E-3</v>
      </c>
      <c r="AE13" s="91">
        <f t="shared" si="8"/>
        <v>4.1467061538605979E-2</v>
      </c>
      <c r="AF13" s="144">
        <f t="shared" si="8"/>
        <v>5.6507600975843578E-2</v>
      </c>
      <c r="AG13" s="90">
        <f t="shared" si="8"/>
        <v>1.3227386996403179E-2</v>
      </c>
      <c r="AH13" s="90">
        <f t="shared" si="8"/>
        <v>-7.7298260742201891E-2</v>
      </c>
      <c r="AI13" s="91">
        <f t="shared" si="8"/>
        <v>6.7034558243140863E-3</v>
      </c>
      <c r="AJ13" s="144">
        <f t="shared" si="8"/>
        <v>6.1849613372672654E-2</v>
      </c>
      <c r="AK13" s="90">
        <f t="shared" si="8"/>
        <v>3.4895256235076944E-2</v>
      </c>
      <c r="AL13" s="90">
        <f t="shared" ref="AL13:BN13" si="9">AVERAGE(AH12,AD12,Z12,V12,R12)</f>
        <v>-4.5820398887555999E-2</v>
      </c>
      <c r="AM13" s="91">
        <f t="shared" si="9"/>
        <v>2.7558226302584553E-2</v>
      </c>
      <c r="AN13" s="90">
        <f t="shared" si="9"/>
        <v>7.0933938798493482E-2</v>
      </c>
      <c r="AO13" s="90">
        <f t="shared" si="9"/>
        <v>3.8137821230387316E-2</v>
      </c>
      <c r="AP13" s="90">
        <f t="shared" si="9"/>
        <v>-5.7213402519140422E-2</v>
      </c>
      <c r="AQ13" s="91">
        <f t="shared" si="9"/>
        <v>2.572428287885269E-2</v>
      </c>
      <c r="AR13" s="90">
        <f t="shared" si="9"/>
        <v>5.0572294943629491E-2</v>
      </c>
      <c r="AS13" s="90">
        <f t="shared" si="9"/>
        <v>1.2369549785093237E-2</v>
      </c>
      <c r="AT13" s="90">
        <f t="shared" si="9"/>
        <v>-5.2401446608526948E-2</v>
      </c>
      <c r="AU13" s="91">
        <f t="shared" si="9"/>
        <v>2.8671155434397334E-2</v>
      </c>
      <c r="AV13" s="90">
        <f t="shared" si="9"/>
        <v>5.564706559484809E-2</v>
      </c>
      <c r="AW13" s="90">
        <f t="shared" si="9"/>
        <v>3.0455064486358395E-2</v>
      </c>
      <c r="AX13" s="90">
        <f t="shared" si="9"/>
        <v>-3.9842787320353332E-2</v>
      </c>
      <c r="AY13" s="91">
        <f t="shared" si="9"/>
        <v>2.7928784880423763E-2</v>
      </c>
      <c r="AZ13" s="144">
        <f t="shared" si="9"/>
        <v>6.7297415935827581E-2</v>
      </c>
      <c r="BA13" s="90">
        <f t="shared" si="9"/>
        <v>4.4716362232681647E-2</v>
      </c>
      <c r="BB13" s="90">
        <f t="shared" si="9"/>
        <v>1.1760867330968528E-2</v>
      </c>
      <c r="BC13" s="91">
        <f t="shared" si="9"/>
        <v>5.5241038583710989E-2</v>
      </c>
      <c r="BD13" s="144">
        <f t="shared" si="9"/>
        <v>5.4092749598052103E-2</v>
      </c>
      <c r="BE13" s="90">
        <f t="shared" si="9"/>
        <v>2.1995261387027343E-2</v>
      </c>
      <c r="BF13" s="90">
        <f t="shared" si="9"/>
        <v>-2.1024216815689889E-2</v>
      </c>
      <c r="BG13" s="91">
        <f t="shared" si="9"/>
        <v>4.3648053778034421E-2</v>
      </c>
      <c r="BH13" s="144">
        <f t="shared" si="9"/>
        <v>3.1382107728763819E-2</v>
      </c>
      <c r="BI13" s="90">
        <f t="shared" si="9"/>
        <v>4.6038306491943178E-3</v>
      </c>
      <c r="BJ13" s="1347">
        <f t="shared" si="9"/>
        <v>-2.3541097714619919E-2</v>
      </c>
      <c r="BK13" s="1347">
        <f t="shared" si="9"/>
        <v>4.6680080125743519E-2</v>
      </c>
      <c r="BL13" s="1351">
        <f t="shared" si="9"/>
        <v>0.15148455331356708</v>
      </c>
      <c r="BM13" s="1347">
        <f t="shared" si="9"/>
        <v>3.3166429302009658E-2</v>
      </c>
      <c r="BN13" s="1347">
        <f t="shared" si="9"/>
        <v>-1.4064863378420745E-2</v>
      </c>
      <c r="BO13" s="1347">
        <f t="shared" ref="BO13" si="10">AVERAGE(BK12,BG12,BC12,AY12,AU12)</f>
        <v>4.4498655095326758E-2</v>
      </c>
      <c r="BP13" s="1351">
        <f t="shared" ref="BP13:BW13" si="11">AVERAGE(BL12,BH12,BD12,AZ12,AV12)</f>
        <v>0.16040383134293312</v>
      </c>
      <c r="BQ13" s="1347">
        <f t="shared" si="11"/>
        <v>3.1724368007009396E-2</v>
      </c>
      <c r="BR13" s="1347">
        <f t="shared" si="11"/>
        <v>-2.5374842857068147E-2</v>
      </c>
      <c r="BS13" s="1348">
        <f t="shared" si="11"/>
        <v>3.4955957008999117E-2</v>
      </c>
      <c r="BT13" s="1347">
        <f t="shared" si="11"/>
        <v>0.1526373338810042</v>
      </c>
      <c r="BU13" s="1347">
        <f t="shared" si="11"/>
        <v>2.493549021813159E-2</v>
      </c>
      <c r="BV13" s="1347">
        <f t="shared" si="11"/>
        <v>-2.5174902669406935E-2</v>
      </c>
      <c r="BW13" s="1348">
        <f t="shared" si="11"/>
        <v>2.4603579096455191E-2</v>
      </c>
      <c r="BX13" s="20"/>
      <c r="BY13" s="240"/>
      <c r="BZ13" s="240"/>
      <c r="CA13" s="240"/>
      <c r="CB13" s="240"/>
      <c r="CC13" s="240"/>
      <c r="CD13" s="240"/>
      <c r="CE13" s="240"/>
      <c r="CF13" s="240"/>
      <c r="CG13" s="240"/>
      <c r="CH13" s="240"/>
      <c r="CI13" s="240"/>
      <c r="CJ13" s="1028"/>
      <c r="CK13" s="240"/>
      <c r="CL13" s="240"/>
      <c r="CM13" s="240"/>
      <c r="CN13" s="240"/>
      <c r="CO13" s="240"/>
      <c r="CP13" s="282"/>
      <c r="CQ13" s="22"/>
      <c r="CR13" s="232"/>
      <c r="CS13" s="22"/>
      <c r="CT13" s="14"/>
      <c r="CU13" s="14"/>
      <c r="CV13" s="14"/>
      <c r="CW13" s="14"/>
      <c r="CX13" s="14"/>
      <c r="CY13" s="14"/>
      <c r="CZ13" s="14"/>
      <c r="DA13" s="22"/>
      <c r="DB13" s="14"/>
      <c r="DC13" s="22"/>
      <c r="DD13" s="14"/>
      <c r="DE13" s="14"/>
      <c r="DF13" s="14"/>
      <c r="DG13" s="14"/>
      <c r="DH13" s="232"/>
    </row>
    <row r="14" spans="1:112" ht="14.25" customHeight="1">
      <c r="A14" s="790"/>
      <c r="B14" s="791" t="s">
        <v>99</v>
      </c>
      <c r="C14" s="792"/>
      <c r="D14" s="515"/>
      <c r="E14" s="429"/>
      <c r="F14" s="429"/>
      <c r="G14" s="367"/>
      <c r="H14" s="515">
        <f t="shared" ref="H14:W14" si="12">H11/D11-1</f>
        <v>5.0564352415753078E-2</v>
      </c>
      <c r="I14" s="429">
        <f t="shared" si="12"/>
        <v>2.2140504098674629E-2</v>
      </c>
      <c r="J14" s="429">
        <f t="shared" si="12"/>
        <v>5.677877428998479E-2</v>
      </c>
      <c r="K14" s="367">
        <f t="shared" si="12"/>
        <v>0.18360317448003505</v>
      </c>
      <c r="L14" s="515">
        <f t="shared" si="12"/>
        <v>0.28841293274693336</v>
      </c>
      <c r="M14" s="429">
        <f t="shared" si="12"/>
        <v>0.32151101783840508</v>
      </c>
      <c r="N14" s="429">
        <f t="shared" si="12"/>
        <v>0.17443085779754886</v>
      </c>
      <c r="O14" s="367">
        <f t="shared" si="12"/>
        <v>8.6937143606213407E-2</v>
      </c>
      <c r="P14" s="515">
        <f t="shared" si="12"/>
        <v>4.7447072727381689E-2</v>
      </c>
      <c r="Q14" s="429">
        <f t="shared" si="12"/>
        <v>2.0792213979446084E-2</v>
      </c>
      <c r="R14" s="429">
        <f t="shared" si="12"/>
        <v>0.12148547822788025</v>
      </c>
      <c r="S14" s="367">
        <f t="shared" si="12"/>
        <v>0.17805757564793723</v>
      </c>
      <c r="T14" s="515">
        <f t="shared" si="12"/>
        <v>0.21028636884306984</v>
      </c>
      <c r="U14" s="429">
        <f t="shared" si="12"/>
        <v>0.19333044415552658</v>
      </c>
      <c r="V14" s="429">
        <f t="shared" si="12"/>
        <v>7.4303970789593832E-2</v>
      </c>
      <c r="W14" s="367">
        <f t="shared" si="12"/>
        <v>6.5335121466815416E-2</v>
      </c>
      <c r="X14" s="515">
        <f t="shared" ref="X14:AO14" si="13">X11/T11-1</f>
        <v>9.4077116735127309E-3</v>
      </c>
      <c r="Y14" s="429">
        <f t="shared" si="13"/>
        <v>-4.3063069774371687E-2</v>
      </c>
      <c r="Z14" s="429">
        <f t="shared" si="13"/>
        <v>1.433976598541542E-2</v>
      </c>
      <c r="AA14" s="367">
        <f t="shared" si="13"/>
        <v>1.4510440790675094E-2</v>
      </c>
      <c r="AB14" s="515">
        <f t="shared" si="13"/>
        <v>2.0154333720886708E-2</v>
      </c>
      <c r="AC14" s="429">
        <f t="shared" si="13"/>
        <v>5.6245104097232046E-2</v>
      </c>
      <c r="AD14" s="429">
        <f t="shared" si="13"/>
        <v>-0.2319677543337505</v>
      </c>
      <c r="AE14" s="367">
        <f t="shared" si="13"/>
        <v>-0.3317893779659572</v>
      </c>
      <c r="AF14" s="515">
        <f t="shared" si="13"/>
        <v>-0.27428849786078324</v>
      </c>
      <c r="AG14" s="429">
        <f t="shared" si="13"/>
        <v>-0.15175803472308591</v>
      </c>
      <c r="AH14" s="429">
        <f t="shared" si="13"/>
        <v>0.29865397200159105</v>
      </c>
      <c r="AI14" s="367">
        <f t="shared" si="13"/>
        <v>0.58229498901410426</v>
      </c>
      <c r="AJ14" s="515">
        <f t="shared" si="13"/>
        <v>0.55263207887687837</v>
      </c>
      <c r="AK14" s="429">
        <f t="shared" si="13"/>
        <v>0.3941263359110263</v>
      </c>
      <c r="AL14" s="429">
        <f t="shared" si="13"/>
        <v>0.24009465654888928</v>
      </c>
      <c r="AM14" s="367">
        <f t="shared" si="13"/>
        <v>0.16918108275176258</v>
      </c>
      <c r="AN14" s="515">
        <f t="shared" si="13"/>
        <v>4.3109952811527519E-2</v>
      </c>
      <c r="AO14" s="429">
        <f t="shared" si="13"/>
        <v>-0.11578762854471802</v>
      </c>
      <c r="AP14" s="429">
        <f t="shared" ref="AP14:BN14" si="14">AP11/AL11-1</f>
        <v>-0.13584845527159728</v>
      </c>
      <c r="AQ14" s="367">
        <f t="shared" si="14"/>
        <v>-0.12326111526157479</v>
      </c>
      <c r="AR14" s="515">
        <f t="shared" si="14"/>
        <v>-6.0272055114816037E-2</v>
      </c>
      <c r="AS14" s="429">
        <f t="shared" si="14"/>
        <v>0.11594969052181758</v>
      </c>
      <c r="AT14" s="429">
        <f t="shared" si="14"/>
        <v>0.22643892769057006</v>
      </c>
      <c r="AU14" s="367">
        <f t="shared" si="14"/>
        <v>0.205198346457381</v>
      </c>
      <c r="AV14" s="515">
        <f t="shared" si="14"/>
        <v>0.24946950595401551</v>
      </c>
      <c r="AW14" s="429">
        <f t="shared" si="14"/>
        <v>0.26721275881807238</v>
      </c>
      <c r="AX14" s="429">
        <f t="shared" si="14"/>
        <v>0.17767344652731043</v>
      </c>
      <c r="AY14" s="367">
        <f t="shared" si="14"/>
        <v>0.18340826686004363</v>
      </c>
      <c r="AZ14" s="515">
        <f t="shared" si="14"/>
        <v>0.14472527472527474</v>
      </c>
      <c r="BA14" s="429">
        <f t="shared" si="14"/>
        <v>0.12708875901857919</v>
      </c>
      <c r="BB14" s="429">
        <f t="shared" si="14"/>
        <v>8.0089371209703053E-2</v>
      </c>
      <c r="BC14" s="367">
        <f t="shared" si="14"/>
        <v>8.3386440511789672E-2</v>
      </c>
      <c r="BD14" s="515">
        <f t="shared" si="14"/>
        <v>1.291304132813198E-2</v>
      </c>
      <c r="BE14" s="429">
        <f t="shared" si="14"/>
        <v>-7.6008844665561126E-2</v>
      </c>
      <c r="BF14" s="429">
        <f t="shared" si="14"/>
        <v>-4.647864015697778E-2</v>
      </c>
      <c r="BG14" s="367">
        <f t="shared" si="14"/>
        <v>-3.7302036199095001E-2</v>
      </c>
      <c r="BH14" s="515">
        <f t="shared" si="14"/>
        <v>0.54501148765077545</v>
      </c>
      <c r="BI14" s="429">
        <f t="shared" si="14"/>
        <v>0.65810050852527624</v>
      </c>
      <c r="BJ14" s="429">
        <f t="shared" si="14"/>
        <v>0.72300597525599386</v>
      </c>
      <c r="BK14" s="429">
        <f t="shared" si="14"/>
        <v>0.70517023589201244</v>
      </c>
      <c r="BL14" s="515">
        <f t="shared" si="14"/>
        <v>0.18131021445314177</v>
      </c>
      <c r="BM14" s="429">
        <f t="shared" si="14"/>
        <v>0.20012700634851366</v>
      </c>
      <c r="BN14" s="429">
        <f t="shared" si="14"/>
        <v>0.18897674619391602</v>
      </c>
      <c r="BO14" s="429">
        <f t="shared" ref="BO14" si="15">BO11/BK11-1</f>
        <v>0.12625542632787612</v>
      </c>
      <c r="BP14" s="515">
        <f t="shared" ref="BP14:BW14" si="16">BP11/BL11-1</f>
        <v>8.0119507075386176E-2</v>
      </c>
      <c r="BQ14" s="429">
        <f t="shared" si="16"/>
        <v>6.7977640785798599E-2</v>
      </c>
      <c r="BR14" s="429">
        <f t="shared" si="16"/>
        <v>5.0075447749999835E-2</v>
      </c>
      <c r="BS14" s="367">
        <f t="shared" si="16"/>
        <v>5.1137202499999868E-2</v>
      </c>
      <c r="BT14" s="429">
        <f t="shared" si="16"/>
        <v>4.6131787249999778E-2</v>
      </c>
      <c r="BU14" s="429">
        <f t="shared" si="16"/>
        <v>4.1078010499999706E-2</v>
      </c>
      <c r="BV14" s="429">
        <f t="shared" si="16"/>
        <v>4.853711599999988E-2</v>
      </c>
      <c r="BW14" s="367">
        <f t="shared" si="16"/>
        <v>4.853711599999988E-2</v>
      </c>
      <c r="BX14" s="793"/>
      <c r="BY14" s="369"/>
      <c r="BZ14" s="369">
        <f>BZ11/BY11-1</f>
        <v>7.8199708356007092E-2</v>
      </c>
      <c r="CA14" s="369">
        <f>CA11/BZ11-1</f>
        <v>0.21218685116135361</v>
      </c>
      <c r="CB14" s="369">
        <f>CB11/CA11-1</f>
        <v>9.0793922673217731E-2</v>
      </c>
      <c r="CC14" s="369">
        <f>CC11/CB11-1</f>
        <v>0.13327465195285382</v>
      </c>
      <c r="CD14" s="369">
        <f t="shared" ref="CD14:CK14" si="17">CD11/CC11-1</f>
        <v>-1.6445061866753319E-3</v>
      </c>
      <c r="CE14" s="369">
        <f t="shared" si="17"/>
        <v>-0.12158776162445184</v>
      </c>
      <c r="CF14" s="369">
        <f t="shared" si="17"/>
        <v>4.9306497113366099E-2</v>
      </c>
      <c r="CG14" s="369">
        <f t="shared" si="17"/>
        <v>0.32070681743285001</v>
      </c>
      <c r="CH14" s="369">
        <f t="shared" si="17"/>
        <v>-8.4253755410839126E-2</v>
      </c>
      <c r="CI14" s="369">
        <f t="shared" si="17"/>
        <v>0.11521805389069995</v>
      </c>
      <c r="CJ14" s="1054">
        <f t="shared" si="17"/>
        <v>0.21776936522805634</v>
      </c>
      <c r="CK14" s="369">
        <f t="shared" si="17"/>
        <v>0.10829999968278825</v>
      </c>
      <c r="CL14" s="369">
        <f>CL11/CK11-1</f>
        <v>-3.7192864957536376E-2</v>
      </c>
      <c r="CM14" s="369">
        <f>CM11/CL11-1</f>
        <v>0.65630801427494867</v>
      </c>
      <c r="CN14" s="369">
        <f>CN11/CM11-1</f>
        <v>0.1735637140286761</v>
      </c>
      <c r="CO14" s="369">
        <f>CO11/CN11-1</f>
        <v>6.2194203521100944E-2</v>
      </c>
      <c r="CP14" s="368">
        <f>CP11/CO11-1</f>
        <v>4.603531038708919E-2</v>
      </c>
      <c r="CQ14" s="794"/>
      <c r="CR14" s="1523"/>
      <c r="CS14" s="794"/>
      <c r="CT14" s="369">
        <f>+CT11/CS11-1</f>
        <v>6.8032670433076481E-2</v>
      </c>
      <c r="CU14" s="369">
        <f>+CU11/CT11-1</f>
        <v>0.16256681162271058</v>
      </c>
      <c r="CV14" s="369">
        <f>+CV11/CU11-1</f>
        <v>1.019075406954606E-2</v>
      </c>
      <c r="CW14" s="369">
        <f>+CW11/CV11-1</f>
        <v>-3.3976341756426498E-2</v>
      </c>
      <c r="CX14" s="369">
        <f t="shared" ref="CX14:DH14" si="18">+CX11/CW11-1</f>
        <v>-0.14486269246504935</v>
      </c>
      <c r="CY14" s="369">
        <f t="shared" si="18"/>
        <v>0.42388417178773197</v>
      </c>
      <c r="CZ14" s="369">
        <f t="shared" si="18"/>
        <v>-1.5864072577671195E-2</v>
      </c>
      <c r="DA14" s="1054">
        <f t="shared" si="18"/>
        <v>2.8989821814086492E-2</v>
      </c>
      <c r="DB14" s="369">
        <f t="shared" si="18"/>
        <v>0.22444594610998925</v>
      </c>
      <c r="DC14" s="1054">
        <f t="shared" si="18"/>
        <v>0.13213191628580234</v>
      </c>
      <c r="DD14" s="369">
        <f t="shared" si="18"/>
        <v>-8.445367818281424E-3</v>
      </c>
      <c r="DE14" s="369">
        <f t="shared" si="18"/>
        <v>0.46356394487931674</v>
      </c>
      <c r="DF14" s="369">
        <f t="shared" si="18"/>
        <v>0.27837142808293946</v>
      </c>
      <c r="DG14" s="369">
        <f t="shared" si="18"/>
        <v>7.9664467881793932E-2</v>
      </c>
      <c r="DH14" s="368">
        <f t="shared" si="18"/>
        <v>4.6624127431956541E-2</v>
      </c>
    </row>
    <row r="15" spans="1:112" ht="14.25" customHeight="1">
      <c r="A15" s="472"/>
      <c r="B15" s="34" t="s">
        <v>100</v>
      </c>
      <c r="C15" s="239"/>
      <c r="D15" s="144">
        <f t="shared" ref="D15:O15" si="19">D11/D66</f>
        <v>0.78168638602549123</v>
      </c>
      <c r="E15" s="90">
        <f t="shared" si="19"/>
        <v>0.78266187783687202</v>
      </c>
      <c r="F15" s="90">
        <f t="shared" si="19"/>
        <v>0.79892998316156538</v>
      </c>
      <c r="G15" s="91">
        <f t="shared" si="19"/>
        <v>0.80732399306055724</v>
      </c>
      <c r="H15" s="144">
        <f t="shared" si="19"/>
        <v>0.80217381869136861</v>
      </c>
      <c r="I15" s="90">
        <f t="shared" si="19"/>
        <v>0.79187588286267108</v>
      </c>
      <c r="J15" s="90">
        <f t="shared" si="19"/>
        <v>0.7945124657942203</v>
      </c>
      <c r="K15" s="91">
        <f t="shared" si="19"/>
        <v>0.79661034648399154</v>
      </c>
      <c r="L15" s="144">
        <f t="shared" si="19"/>
        <v>0.78341440488779224</v>
      </c>
      <c r="M15" s="90">
        <f t="shared" si="19"/>
        <v>0.79891614633836894</v>
      </c>
      <c r="N15" s="90">
        <f t="shared" si="19"/>
        <v>0.80853912670899386</v>
      </c>
      <c r="O15" s="91">
        <f t="shared" si="19"/>
        <v>0.79696082813108227</v>
      </c>
      <c r="P15" s="144">
        <f t="shared" ref="P15:W15" si="20">P11/P66</f>
        <v>0.79898593766445336</v>
      </c>
      <c r="Q15" s="90">
        <f t="shared" si="20"/>
        <v>0.79183274819840033</v>
      </c>
      <c r="R15" s="90">
        <f t="shared" si="20"/>
        <v>0.79284023567876849</v>
      </c>
      <c r="S15" s="91">
        <f t="shared" si="20"/>
        <v>0.79070878124595256</v>
      </c>
      <c r="T15" s="144">
        <f t="shared" si="20"/>
        <v>0.80483856838705492</v>
      </c>
      <c r="U15" s="90">
        <f t="shared" si="20"/>
        <v>0.80160785865175754</v>
      </c>
      <c r="V15" s="90">
        <f t="shared" si="20"/>
        <v>0.79709088301381648</v>
      </c>
      <c r="W15" s="91">
        <f t="shared" si="20"/>
        <v>0.80613999752107091</v>
      </c>
      <c r="X15" s="144">
        <f t="shared" ref="X15:AO15" si="21">X11/X66</f>
        <v>0.8077494016783302</v>
      </c>
      <c r="Y15" s="90">
        <f t="shared" si="21"/>
        <v>0.79463129284314149</v>
      </c>
      <c r="Z15" s="90">
        <f t="shared" si="21"/>
        <v>0.80341250989707047</v>
      </c>
      <c r="AA15" s="91">
        <f t="shared" si="21"/>
        <v>0.81079648872197774</v>
      </c>
      <c r="AB15" s="144">
        <f t="shared" si="21"/>
        <v>0.81143072356547286</v>
      </c>
      <c r="AC15" s="90">
        <f t="shared" si="21"/>
        <v>0.80490979066094182</v>
      </c>
      <c r="AD15" s="90">
        <f t="shared" si="21"/>
        <v>0.81110081908350085</v>
      </c>
      <c r="AE15" s="91">
        <f t="shared" si="21"/>
        <v>0.81435819293172407</v>
      </c>
      <c r="AF15" s="144">
        <f t="shared" si="21"/>
        <v>0.81843906939139355</v>
      </c>
      <c r="AG15" s="90">
        <f t="shared" si="21"/>
        <v>0.81242031050776276</v>
      </c>
      <c r="AH15" s="90">
        <f t="shared" si="21"/>
        <v>0.80934349997401034</v>
      </c>
      <c r="AI15" s="91">
        <f t="shared" si="21"/>
        <v>0.80298539673404801</v>
      </c>
      <c r="AJ15" s="144">
        <f t="shared" si="21"/>
        <v>0.6865579278963948</v>
      </c>
      <c r="AK15" s="90">
        <f t="shared" si="21"/>
        <v>0.67156546010552731</v>
      </c>
      <c r="AL15" s="90">
        <f t="shared" si="21"/>
        <v>0.68243235895428256</v>
      </c>
      <c r="AM15" s="91">
        <f t="shared" si="21"/>
        <v>0.68690869376422747</v>
      </c>
      <c r="AN15" s="515">
        <f t="shared" si="21"/>
        <v>0.68291647419140367</v>
      </c>
      <c r="AO15" s="429">
        <f t="shared" si="21"/>
        <v>0.66645234026811362</v>
      </c>
      <c r="AP15" s="90">
        <f t="shared" ref="AP15:AU15" si="22">AP11/AP66</f>
        <v>0.65900363353546654</v>
      </c>
      <c r="AQ15" s="91">
        <f t="shared" si="22"/>
        <v>0.67522741958803356</v>
      </c>
      <c r="AR15" s="515">
        <f t="shared" si="22"/>
        <v>0.6825299459864711</v>
      </c>
      <c r="AS15" s="429">
        <f t="shared" si="22"/>
        <v>0.66088265527083367</v>
      </c>
      <c r="AT15" s="429">
        <f t="shared" si="22"/>
        <v>0.63943016053474733</v>
      </c>
      <c r="AU15" s="91">
        <f t="shared" si="22"/>
        <v>0.6410971641097164</v>
      </c>
      <c r="AV15" s="515">
        <f t="shared" ref="AV15:BA15" si="23">AV11/AV66</f>
        <v>0.648876404494382</v>
      </c>
      <c r="AW15" s="429">
        <f t="shared" si="23"/>
        <v>0.65156119017027658</v>
      </c>
      <c r="AX15" s="429">
        <f t="shared" si="23"/>
        <v>0.6494610281923715</v>
      </c>
      <c r="AY15" s="91">
        <f t="shared" si="23"/>
        <v>0.6615695209061353</v>
      </c>
      <c r="AZ15" s="515">
        <f t="shared" si="23"/>
        <v>0.65008122209467911</v>
      </c>
      <c r="BA15" s="429">
        <f t="shared" si="23"/>
        <v>0.66227347611202647</v>
      </c>
      <c r="BB15" s="429">
        <f t="shared" ref="BB15:BG15" si="24">BB11/BB66</f>
        <v>0.64003328857029373</v>
      </c>
      <c r="BC15" s="367">
        <f t="shared" si="24"/>
        <v>0.64619883040935666</v>
      </c>
      <c r="BD15" s="515">
        <f t="shared" si="24"/>
        <v>0.65193783935592575</v>
      </c>
      <c r="BE15" s="429">
        <f t="shared" si="24"/>
        <v>0.59749776586237713</v>
      </c>
      <c r="BF15" s="429">
        <f t="shared" si="24"/>
        <v>0.58452246595641766</v>
      </c>
      <c r="BG15" s="367">
        <f t="shared" si="24"/>
        <v>0.59885158979519315</v>
      </c>
      <c r="BH15" s="515">
        <f>BH11/BH66</f>
        <v>0.63741027822340801</v>
      </c>
      <c r="BI15" s="429">
        <f t="shared" ref="BI15:BJ15" si="25">BI11/BI66</f>
        <v>0.63433371288629992</v>
      </c>
      <c r="BJ15" s="429">
        <f t="shared" si="25"/>
        <v>0.63091262127108094</v>
      </c>
      <c r="BK15" s="429">
        <f t="shared" ref="BK15" si="26">BK11/BK66</f>
        <v>0.64304737300396819</v>
      </c>
      <c r="BL15" s="515">
        <f>BL11/BL66</f>
        <v>0.65372512835072272</v>
      </c>
      <c r="BM15" s="429">
        <f t="shared" ref="BM15:BN15" si="27">BM11/BM66</f>
        <v>0.65725557458017136</v>
      </c>
      <c r="BN15" s="429">
        <f t="shared" si="27"/>
        <v>0.66483814903323923</v>
      </c>
      <c r="BO15" s="1347">
        <f t="shared" ref="BO15" si="28">BO11/BO66</f>
        <v>0.66333993811014791</v>
      </c>
      <c r="BP15" s="1351">
        <f t="shared" ref="BP15:BW15" si="29">BP11/BP66</f>
        <v>0.66701851454204675</v>
      </c>
      <c r="BQ15" s="1347">
        <f t="shared" si="29"/>
        <v>0.66940286767872714</v>
      </c>
      <c r="BR15" s="1347">
        <f t="shared" si="29"/>
        <v>0.66758641043784706</v>
      </c>
      <c r="BS15" s="1348">
        <f t="shared" si="29"/>
        <v>0.66692406571782115</v>
      </c>
      <c r="BT15" s="1347">
        <f t="shared" si="29"/>
        <v>0.67023500280386694</v>
      </c>
      <c r="BU15" s="1347">
        <f t="shared" si="29"/>
        <v>0.67304391499684824</v>
      </c>
      <c r="BV15" s="1347">
        <f t="shared" si="29"/>
        <v>0.67201937881581852</v>
      </c>
      <c r="BW15" s="1348">
        <f t="shared" si="29"/>
        <v>0.67136693730423169</v>
      </c>
      <c r="BX15" s="20"/>
      <c r="BY15" s="369">
        <f>BY11/BY66</f>
        <v>0.79265252616422766</v>
      </c>
      <c r="BZ15" s="369">
        <f>BZ11/BZ66</f>
        <v>0.7962188599376484</v>
      </c>
      <c r="CA15" s="369">
        <f>CA11/CA66</f>
        <v>0.7968748524091549</v>
      </c>
      <c r="CB15" s="369">
        <f t="shared" ref="CB15:CK15" si="30">CB11/CB66</f>
        <v>0.79347332864119469</v>
      </c>
      <c r="CC15" s="369">
        <f t="shared" si="30"/>
        <v>0.80245866240377961</v>
      </c>
      <c r="CD15" s="369">
        <f t="shared" si="30"/>
        <v>0.80418194966482803</v>
      </c>
      <c r="CE15" s="369">
        <f t="shared" si="30"/>
        <v>0.80997501375516578</v>
      </c>
      <c r="CF15" s="369">
        <f t="shared" si="30"/>
        <v>0.81006595767355438</v>
      </c>
      <c r="CG15" s="369">
        <f t="shared" si="30"/>
        <v>0.68177352819550763</v>
      </c>
      <c r="CH15" s="369">
        <f t="shared" si="30"/>
        <v>0.67128767416438695</v>
      </c>
      <c r="CI15" s="369">
        <f t="shared" si="30"/>
        <v>0.65467771905677441</v>
      </c>
      <c r="CJ15" s="1054">
        <f t="shared" si="30"/>
        <v>0.65294992742918057</v>
      </c>
      <c r="CK15" s="369">
        <f t="shared" si="30"/>
        <v>0.64972034028713055</v>
      </c>
      <c r="CL15" s="369">
        <f>CL11/CL66</f>
        <v>0.60774300140330995</v>
      </c>
      <c r="CM15" s="369">
        <f>CM11/CM66</f>
        <v>0.63646055071756857</v>
      </c>
      <c r="CN15" s="369">
        <f>CN11/CN66</f>
        <v>0.65980427553379373</v>
      </c>
      <c r="CO15" s="369">
        <f>CO11/CO66</f>
        <v>0.66774527886032498</v>
      </c>
      <c r="CP15" s="368">
        <f>CP11/CP66</f>
        <v>0.67167589755807611</v>
      </c>
      <c r="CQ15" s="22"/>
      <c r="CR15" s="232"/>
      <c r="CS15" s="353">
        <f>CS11/CS$66</f>
        <v>0.796792300364774</v>
      </c>
      <c r="CT15" s="314">
        <f>CT11/CT$66</f>
        <v>0.79505830306794301</v>
      </c>
      <c r="CU15" s="314">
        <f>CU11/CU$66</f>
        <v>0.79871218889970219</v>
      </c>
      <c r="CV15" s="314">
        <f t="shared" ref="CV15:DC15" si="31">CV11/CV$66</f>
        <v>0.80300436867135305</v>
      </c>
      <c r="CW15" s="314">
        <f t="shared" si="31"/>
        <v>0.80942428886721551</v>
      </c>
      <c r="CX15" s="314">
        <f t="shared" si="31"/>
        <v>0.81328339830265184</v>
      </c>
      <c r="CY15" s="314">
        <f t="shared" si="31"/>
        <v>0.70469232768328949</v>
      </c>
      <c r="CZ15" s="314">
        <f t="shared" si="31"/>
        <v>0.67451781639459363</v>
      </c>
      <c r="DA15" s="353">
        <f t="shared" si="31"/>
        <v>0.6632706875381611</v>
      </c>
      <c r="DB15" s="314">
        <f t="shared" si="31"/>
        <v>0.64794394639598429</v>
      </c>
      <c r="DC15" s="353">
        <f t="shared" si="31"/>
        <v>0.65342666612625189</v>
      </c>
      <c r="DD15" s="314">
        <f>DD11/DD$66</f>
        <v>0.61964426515165671</v>
      </c>
      <c r="DE15" s="314">
        <f>DE11/DE$66</f>
        <v>0.62783405494248068</v>
      </c>
      <c r="DF15" s="314">
        <f>DF11/DF$66</f>
        <v>0.6550092574604619</v>
      </c>
      <c r="DG15" s="314">
        <f>DG11/DG$66</f>
        <v>0.66689597992178629</v>
      </c>
      <c r="DH15" s="315">
        <f>DH11/DH$66</f>
        <v>0.67061034836698064</v>
      </c>
    </row>
    <row r="16" spans="1:112" ht="14.25" customHeight="1">
      <c r="A16" s="472"/>
      <c r="B16" s="34"/>
      <c r="C16" s="239"/>
      <c r="D16" s="144"/>
      <c r="E16" s="90"/>
      <c r="F16" s="90"/>
      <c r="G16" s="91"/>
      <c r="H16" s="144"/>
      <c r="I16" s="90"/>
      <c r="J16" s="90"/>
      <c r="K16" s="91"/>
      <c r="L16" s="144"/>
      <c r="M16" s="90"/>
      <c r="N16" s="90"/>
      <c r="O16" s="91"/>
      <c r="P16" s="144"/>
      <c r="Q16" s="90"/>
      <c r="R16" s="90"/>
      <c r="S16" s="91"/>
      <c r="T16" s="144"/>
      <c r="U16" s="90"/>
      <c r="V16" s="90"/>
      <c r="W16" s="91"/>
      <c r="X16" s="144"/>
      <c r="Y16" s="90"/>
      <c r="Z16" s="90"/>
      <c r="AA16" s="91"/>
      <c r="AB16" s="144"/>
      <c r="AC16" s="90"/>
      <c r="AD16" s="90"/>
      <c r="AE16" s="91"/>
      <c r="AF16" s="144"/>
      <c r="AG16" s="90"/>
      <c r="AH16" s="90"/>
      <c r="AI16" s="91"/>
      <c r="AJ16" s="144"/>
      <c r="AK16" s="90"/>
      <c r="AL16" s="90"/>
      <c r="AM16" s="91"/>
      <c r="AN16" s="144"/>
      <c r="AO16" s="90"/>
      <c r="AP16" s="90"/>
      <c r="AQ16" s="91"/>
      <c r="AR16" s="144"/>
      <c r="AS16" s="90"/>
      <c r="AT16" s="90"/>
      <c r="AU16" s="91"/>
      <c r="AV16" s="144"/>
      <c r="AW16" s="90"/>
      <c r="AX16" s="92"/>
      <c r="AY16" s="91"/>
      <c r="AZ16" s="144"/>
      <c r="BA16" s="90"/>
      <c r="BB16" s="90"/>
      <c r="BC16" s="91"/>
      <c r="BD16" s="144"/>
      <c r="BE16" s="90"/>
      <c r="BF16" s="90"/>
      <c r="BG16" s="91"/>
      <c r="BH16" s="144"/>
      <c r="BI16" s="90"/>
      <c r="BJ16" s="1347"/>
      <c r="BK16" s="1347"/>
      <c r="BL16" s="1351"/>
      <c r="BM16" s="1347"/>
      <c r="BN16" s="1347"/>
      <c r="BO16" s="1490"/>
      <c r="BP16" s="954"/>
      <c r="BQ16" s="1490"/>
      <c r="BR16" s="1490"/>
      <c r="BS16" s="1350"/>
      <c r="BT16" s="1426"/>
      <c r="BU16" s="1426"/>
      <c r="BV16" s="1426"/>
      <c r="BW16" s="1350"/>
      <c r="BX16" s="20"/>
      <c r="BY16" s="240"/>
      <c r="BZ16" s="240"/>
      <c r="CA16" s="240"/>
      <c r="CB16" s="240"/>
      <c r="CC16" s="240"/>
      <c r="CD16" s="240"/>
      <c r="CE16" s="240"/>
      <c r="CF16" s="240"/>
      <c r="CG16" s="240"/>
      <c r="CH16" s="240"/>
      <c r="CI16" s="240"/>
      <c r="CJ16" s="1028"/>
      <c r="CK16" s="240"/>
      <c r="CL16" s="240"/>
      <c r="CM16" s="240"/>
      <c r="CN16" s="240"/>
      <c r="CO16" s="240"/>
      <c r="CP16" s="282"/>
      <c r="CQ16" s="22"/>
      <c r="CR16" s="232"/>
      <c r="CS16" s="22"/>
      <c r="CT16" s="14"/>
      <c r="CU16" s="14"/>
      <c r="CV16" s="14"/>
      <c r="CW16" s="14"/>
      <c r="CX16" s="14"/>
      <c r="CY16" s="14"/>
      <c r="CZ16" s="14"/>
      <c r="DA16" s="22"/>
      <c r="DB16" s="14"/>
      <c r="DC16" s="22"/>
      <c r="DD16" s="14"/>
      <c r="DE16" s="14"/>
      <c r="DF16" s="14"/>
      <c r="DG16" s="14"/>
      <c r="DH16" s="232"/>
    </row>
    <row r="17" spans="1:112" ht="14.25" customHeight="1">
      <c r="A17" s="472"/>
      <c r="B17" s="44" t="str">
        <f>$B$110&amp;" Gross Margin"</f>
        <v>Microcontrollers Gross Margin</v>
      </c>
      <c r="C17" s="239"/>
      <c r="D17" s="433">
        <f t="shared" ref="D17:O17" si="32">D88*D15</f>
        <v>64.385162557761646</v>
      </c>
      <c r="E17" s="370">
        <f t="shared" si="32"/>
        <v>70.674367568669538</v>
      </c>
      <c r="F17" s="370">
        <f t="shared" si="32"/>
        <v>74.215801855810454</v>
      </c>
      <c r="G17" s="371">
        <f t="shared" si="32"/>
        <v>69.973999774530782</v>
      </c>
      <c r="H17" s="433">
        <f t="shared" si="32"/>
        <v>44.537492587563463</v>
      </c>
      <c r="I17" s="370">
        <f t="shared" si="32"/>
        <v>72.214329261778417</v>
      </c>
      <c r="J17" s="370">
        <f t="shared" si="32"/>
        <v>77.082804918889479</v>
      </c>
      <c r="K17" s="371">
        <f t="shared" si="32"/>
        <v>84.619934055262021</v>
      </c>
      <c r="L17" s="433">
        <f t="shared" si="32"/>
        <v>95.152730203266358</v>
      </c>
      <c r="M17" s="370">
        <f t="shared" si="32"/>
        <v>100.96462582580405</v>
      </c>
      <c r="N17" s="370">
        <f t="shared" si="32"/>
        <v>94.427667530089963</v>
      </c>
      <c r="O17" s="371">
        <f t="shared" si="32"/>
        <v>95.118071798272851</v>
      </c>
      <c r="P17" s="433">
        <f t="shared" ref="P17:AT17" si="33">P88*P15</f>
        <v>101.87470198190611</v>
      </c>
      <c r="Q17" s="370">
        <f t="shared" si="33"/>
        <v>106.54584726658395</v>
      </c>
      <c r="R17" s="370">
        <f t="shared" si="33"/>
        <v>111.21169985866084</v>
      </c>
      <c r="S17" s="371">
        <f t="shared" si="33"/>
        <v>117.45662661896127</v>
      </c>
      <c r="T17" s="433">
        <f t="shared" si="33"/>
        <v>127.55403567225405</v>
      </c>
      <c r="U17" s="370">
        <f t="shared" si="33"/>
        <v>129.82921039509731</v>
      </c>
      <c r="V17" s="370">
        <f t="shared" si="33"/>
        <v>119.33247609599844</v>
      </c>
      <c r="W17" s="371">
        <f t="shared" si="33"/>
        <v>124.63004975675508</v>
      </c>
      <c r="X17" s="433">
        <f t="shared" si="33"/>
        <v>128.06462888909087</v>
      </c>
      <c r="Y17" s="370">
        <f t="shared" si="33"/>
        <v>122.9389965783481</v>
      </c>
      <c r="Z17" s="370">
        <f t="shared" si="33"/>
        <v>122.95987440221694</v>
      </c>
      <c r="AA17" s="371">
        <f t="shared" si="33"/>
        <v>128.61989019192222</v>
      </c>
      <c r="AB17" s="433">
        <f t="shared" si="33"/>
        <v>132.7476320831407</v>
      </c>
      <c r="AC17" s="370">
        <f t="shared" si="33"/>
        <v>132.12835686636561</v>
      </c>
      <c r="AD17" s="370">
        <f t="shared" si="33"/>
        <v>84.992821529302802</v>
      </c>
      <c r="AE17" s="371">
        <f t="shared" si="33"/>
        <v>68.379214385898067</v>
      </c>
      <c r="AF17" s="433">
        <f t="shared" si="33"/>
        <v>78.926171656759053</v>
      </c>
      <c r="AG17" s="370">
        <f t="shared" si="33"/>
        <v>100.20392109802746</v>
      </c>
      <c r="AH17" s="370">
        <f t="shared" si="33"/>
        <v>118.1609136222056</v>
      </c>
      <c r="AI17" s="371">
        <f t="shared" si="33"/>
        <v>135.27975277318185</v>
      </c>
      <c r="AJ17" s="433">
        <f t="shared" si="33"/>
        <v>142.42163623661185</v>
      </c>
      <c r="AK17" s="370">
        <f t="shared" si="33"/>
        <v>151.1055863510442</v>
      </c>
      <c r="AL17" s="370">
        <f t="shared" si="33"/>
        <v>147.6763151806299</v>
      </c>
      <c r="AM17" s="371">
        <f t="shared" si="33"/>
        <v>154.96041913496575</v>
      </c>
      <c r="AN17" s="514">
        <f t="shared" si="33"/>
        <v>150.0695293706126</v>
      </c>
      <c r="AO17" s="431">
        <f t="shared" si="33"/>
        <v>131.09317468775873</v>
      </c>
      <c r="AP17" s="370">
        <f t="shared" si="33"/>
        <v>122.23726597722661</v>
      </c>
      <c r="AQ17" s="371">
        <f t="shared" si="33"/>
        <v>128.60043819763891</v>
      </c>
      <c r="AR17" s="514">
        <f t="shared" si="33"/>
        <v>138.60749890098657</v>
      </c>
      <c r="AS17" s="431">
        <f t="shared" si="33"/>
        <v>128.34010724031955</v>
      </c>
      <c r="AT17" s="431">
        <f t="shared" si="33"/>
        <v>128.15970821565836</v>
      </c>
      <c r="AU17" s="371">
        <f t="shared" ref="AU17:AZ17" si="34">AU88*AU15</f>
        <v>154.34862993956304</v>
      </c>
      <c r="AV17" s="514">
        <f t="shared" si="34"/>
        <v>172.97357865168536</v>
      </c>
      <c r="AW17" s="431">
        <f t="shared" si="34"/>
        <v>188.21192007615656</v>
      </c>
      <c r="AX17" s="431">
        <f t="shared" si="34"/>
        <v>183.61562189054729</v>
      </c>
      <c r="AY17" s="371">
        <f t="shared" si="34"/>
        <v>192.24284080203032</v>
      </c>
      <c r="AZ17" s="514">
        <f t="shared" si="34"/>
        <v>199.26224611523895</v>
      </c>
      <c r="BA17" s="431">
        <f t="shared" ref="BA17:BF17" si="35">BA88*BA15</f>
        <v>203.61862932454702</v>
      </c>
      <c r="BB17" s="431">
        <f t="shared" si="35"/>
        <v>193.26381178339736</v>
      </c>
      <c r="BC17" s="430">
        <f t="shared" si="35"/>
        <v>202.66863157894736</v>
      </c>
      <c r="BD17" s="514">
        <f t="shared" si="35"/>
        <v>201.45987530425012</v>
      </c>
      <c r="BE17" s="431">
        <f t="shared" si="35"/>
        <v>179.81695263628237</v>
      </c>
      <c r="BF17" s="431">
        <f t="shared" si="35"/>
        <v>171.1002471898307</v>
      </c>
      <c r="BG17" s="430">
        <f>BG88*BG15</f>
        <v>181.29153948187843</v>
      </c>
      <c r="BH17" s="514">
        <f>BH88*BH15</f>
        <v>222.13110785807544</v>
      </c>
      <c r="BI17" s="431">
        <f t="shared" ref="BI17:BJ17" si="36">BI88*BI15</f>
        <v>260.47074351908537</v>
      </c>
      <c r="BJ17" s="431">
        <f t="shared" si="36"/>
        <v>293.53777525996185</v>
      </c>
      <c r="BK17" s="431">
        <f t="shared" ref="BK17" si="37">BK88*BK15</f>
        <v>342.63235956821239</v>
      </c>
      <c r="BL17" s="514">
        <f>BL88*BL15</f>
        <v>382.06246028816798</v>
      </c>
      <c r="BM17" s="431">
        <f t="shared" ref="BM17:BN17" si="38">BM88*BM15</f>
        <v>403.61670481623577</v>
      </c>
      <c r="BN17" s="431">
        <f t="shared" si="38"/>
        <v>403.59598191396918</v>
      </c>
      <c r="BO17" s="370">
        <f t="shared" ref="BO17" si="39">BO20*BO11</f>
        <v>400.090621752</v>
      </c>
      <c r="BP17" s="433">
        <f t="shared" ref="BP17:BW17" si="40">BP20*BP11</f>
        <v>422.15444280449998</v>
      </c>
      <c r="BQ17" s="370">
        <f t="shared" si="40"/>
        <v>438.35075837843846</v>
      </c>
      <c r="BR17" s="370">
        <f t="shared" si="40"/>
        <v>426.88046179169629</v>
      </c>
      <c r="BS17" s="371">
        <f t="shared" si="40"/>
        <v>422.61165717377935</v>
      </c>
      <c r="BT17" s="370">
        <f t="shared" si="40"/>
        <v>443.06537420756388</v>
      </c>
      <c r="BU17" s="370">
        <f t="shared" si="40"/>
        <v>457.83661366858428</v>
      </c>
      <c r="BV17" s="370">
        <f t="shared" si="40"/>
        <v>449.05561806685017</v>
      </c>
      <c r="BW17" s="371">
        <f t="shared" si="40"/>
        <v>445.28558872878489</v>
      </c>
      <c r="BX17" s="286"/>
      <c r="BY17" s="362">
        <f>SUM(D17:G17)</f>
        <v>279.24933175677245</v>
      </c>
      <c r="BZ17" s="362">
        <f>SUM(H17:K17)</f>
        <v>278.45456082349341</v>
      </c>
      <c r="CA17" s="362">
        <f>SUM(L17:O17)</f>
        <v>385.66309535743324</v>
      </c>
      <c r="CB17" s="362">
        <f>SUM(P17:S17)</f>
        <v>437.08887572611212</v>
      </c>
      <c r="CC17" s="362">
        <f>SUM(T17:W17)</f>
        <v>501.34577192010488</v>
      </c>
      <c r="CD17" s="362">
        <f>SUM(X17:AA17)</f>
        <v>502.58339006157814</v>
      </c>
      <c r="CE17" s="362">
        <f>SUM(AB17:AE17)</f>
        <v>418.24802486470719</v>
      </c>
      <c r="CF17" s="362">
        <f>SUM(AF17:AI17)</f>
        <v>432.57075915017401</v>
      </c>
      <c r="CG17" s="362">
        <f>SUM(AJ17:AM17)</f>
        <v>596.16395690325169</v>
      </c>
      <c r="CH17" s="362">
        <f>SUM(AN17:AQ17)</f>
        <v>532.00040823323684</v>
      </c>
      <c r="CI17" s="362">
        <f>SUM(AR17:AU17)</f>
        <v>549.45594429652749</v>
      </c>
      <c r="CJ17" s="366">
        <f>SUM(AV17:AY17)</f>
        <v>737.04396142041946</v>
      </c>
      <c r="CK17" s="362">
        <f>SUM(AZ17:BC17)</f>
        <v>798.81331880213077</v>
      </c>
      <c r="CL17" s="362">
        <f>SUM(BD17:BG17)</f>
        <v>733.66861461224164</v>
      </c>
      <c r="CM17" s="362">
        <f>SUM(BH17:BK17)</f>
        <v>1118.771986205335</v>
      </c>
      <c r="CN17" s="362">
        <f>SUM(BL17:BO17)</f>
        <v>1589.3657687703731</v>
      </c>
      <c r="CO17" s="362">
        <f>SUM(BP17:BS17)</f>
        <v>1709.997320148414</v>
      </c>
      <c r="CP17" s="363">
        <f>SUM(BT17:BW17)</f>
        <v>1795.2431946717832</v>
      </c>
      <c r="CQ17" s="22"/>
      <c r="CR17" s="232"/>
      <c r="CS17" s="22"/>
      <c r="CT17" s="14"/>
      <c r="CU17" s="14"/>
      <c r="CV17" s="14"/>
      <c r="CW17" s="14"/>
      <c r="CX17" s="14"/>
      <c r="CY17" s="14"/>
      <c r="CZ17" s="14"/>
      <c r="DA17" s="22"/>
      <c r="DB17" s="14"/>
      <c r="DC17" s="22"/>
      <c r="DD17" s="14"/>
      <c r="DE17" s="14"/>
      <c r="DF17" s="14"/>
      <c r="DG17" s="14"/>
      <c r="DH17" s="232"/>
    </row>
    <row r="18" spans="1:112" ht="14.25" customHeight="1">
      <c r="A18" s="472"/>
      <c r="B18" s="34" t="s">
        <v>98</v>
      </c>
      <c r="C18" s="239"/>
      <c r="D18" s="144"/>
      <c r="E18" s="90">
        <f t="shared" ref="E18:S18" si="41">E17/D17-1</f>
        <v>9.7680968115374078E-2</v>
      </c>
      <c r="F18" s="90">
        <f t="shared" si="41"/>
        <v>5.0109175489967406E-2</v>
      </c>
      <c r="G18" s="91">
        <f t="shared" si="41"/>
        <v>-5.7154972057309572E-2</v>
      </c>
      <c r="H18" s="144">
        <f t="shared" si="41"/>
        <v>-0.36351369464270256</v>
      </c>
      <c r="I18" s="90">
        <f t="shared" si="41"/>
        <v>0.62142781432521343</v>
      </c>
      <c r="J18" s="90">
        <f t="shared" si="41"/>
        <v>6.7417030759404195E-2</v>
      </c>
      <c r="K18" s="91">
        <f t="shared" si="41"/>
        <v>9.7779642869813888E-2</v>
      </c>
      <c r="L18" s="144">
        <f t="shared" si="41"/>
        <v>0.12447180756635623</v>
      </c>
      <c r="M18" s="90">
        <f t="shared" si="41"/>
        <v>6.1079651735922447E-2</v>
      </c>
      <c r="N18" s="90">
        <f t="shared" si="41"/>
        <v>-6.4745035622599256E-2</v>
      </c>
      <c r="O18" s="91">
        <f t="shared" si="41"/>
        <v>7.3114616323959325E-3</v>
      </c>
      <c r="P18" s="144">
        <f t="shared" si="41"/>
        <v>7.1034137424093036E-2</v>
      </c>
      <c r="Q18" s="90">
        <f t="shared" si="41"/>
        <v>4.5851866987620449E-2</v>
      </c>
      <c r="R18" s="90">
        <f t="shared" si="41"/>
        <v>4.3791970421922288E-2</v>
      </c>
      <c r="S18" s="91">
        <f t="shared" si="41"/>
        <v>5.6153505145925431E-2</v>
      </c>
      <c r="T18" s="144">
        <f>T17/S17-1</f>
        <v>8.5967129688217403E-2</v>
      </c>
      <c r="U18" s="90">
        <f>U17/T17-1</f>
        <v>1.7836948167514244E-2</v>
      </c>
      <c r="V18" s="90">
        <f>V17/U17-1</f>
        <v>-8.0850328421124273E-2</v>
      </c>
      <c r="W18" s="91">
        <f>W17/V17-1</f>
        <v>4.4393394271773357E-2</v>
      </c>
      <c r="X18" s="144">
        <f t="shared" ref="X18:AO18" si="42">X17/W17-1</f>
        <v>2.7558194344294851E-2</v>
      </c>
      <c r="Y18" s="90">
        <f t="shared" si="42"/>
        <v>-4.0023793885989978E-2</v>
      </c>
      <c r="Z18" s="90">
        <f t="shared" si="42"/>
        <v>1.6982263114151408E-4</v>
      </c>
      <c r="AA18" s="91">
        <f t="shared" si="42"/>
        <v>4.6031405100420697E-2</v>
      </c>
      <c r="AB18" s="144">
        <f t="shared" si="42"/>
        <v>3.2092562705964056E-2</v>
      </c>
      <c r="AC18" s="90">
        <f t="shared" si="42"/>
        <v>-4.6650565969209579E-3</v>
      </c>
      <c r="AD18" s="90">
        <f t="shared" si="42"/>
        <v>-0.35674049428114518</v>
      </c>
      <c r="AE18" s="91">
        <f t="shared" si="42"/>
        <v>-0.19547070969607583</v>
      </c>
      <c r="AF18" s="144">
        <f t="shared" si="42"/>
        <v>0.15424215334413227</v>
      </c>
      <c r="AG18" s="90">
        <f t="shared" si="42"/>
        <v>0.26959054258710191</v>
      </c>
      <c r="AH18" s="90">
        <f t="shared" si="42"/>
        <v>0.17920448947912093</v>
      </c>
      <c r="AI18" s="91">
        <f t="shared" si="42"/>
        <v>0.14487734248323525</v>
      </c>
      <c r="AJ18" s="144">
        <f t="shared" si="42"/>
        <v>5.2793439646541263E-2</v>
      </c>
      <c r="AK18" s="90">
        <f t="shared" si="42"/>
        <v>6.0973531437353401E-2</v>
      </c>
      <c r="AL18" s="90">
        <f t="shared" si="42"/>
        <v>-2.2694536007739075E-2</v>
      </c>
      <c r="AM18" s="91">
        <f t="shared" si="42"/>
        <v>4.9324794876052458E-2</v>
      </c>
      <c r="AN18" s="515">
        <f t="shared" si="42"/>
        <v>-3.156218724533344E-2</v>
      </c>
      <c r="AO18" s="429">
        <f t="shared" si="42"/>
        <v>-0.12645041776595267</v>
      </c>
      <c r="AP18" s="90">
        <f t="shared" ref="AP18:BN18" si="43">AP17/AO17-1</f>
        <v>-6.7554308083737857E-2</v>
      </c>
      <c r="AQ18" s="91">
        <f t="shared" si="43"/>
        <v>5.2055910851260156E-2</v>
      </c>
      <c r="AR18" s="515">
        <f t="shared" si="43"/>
        <v>7.7815136896877135E-2</v>
      </c>
      <c r="AS18" s="429">
        <f t="shared" si="43"/>
        <v>-7.4075297094866932E-2</v>
      </c>
      <c r="AT18" s="429">
        <f t="shared" si="43"/>
        <v>-1.4056324912008478E-3</v>
      </c>
      <c r="AU18" s="91">
        <f t="shared" si="43"/>
        <v>0.2043459843076092</v>
      </c>
      <c r="AV18" s="515">
        <f t="shared" si="43"/>
        <v>0.12066805335049047</v>
      </c>
      <c r="AW18" s="429">
        <f t="shared" si="43"/>
        <v>8.8096352883791917E-2</v>
      </c>
      <c r="AX18" s="429">
        <f t="shared" si="43"/>
        <v>-2.4420866562274379E-2</v>
      </c>
      <c r="AY18" s="91">
        <f t="shared" si="43"/>
        <v>4.6985211947955463E-2</v>
      </c>
      <c r="AZ18" s="515">
        <f t="shared" si="43"/>
        <v>3.6513220902915977E-2</v>
      </c>
      <c r="BA18" s="429">
        <f t="shared" si="43"/>
        <v>2.1862561996760066E-2</v>
      </c>
      <c r="BB18" s="429">
        <f t="shared" si="43"/>
        <v>-5.0853979203666855E-2</v>
      </c>
      <c r="BC18" s="367">
        <f t="shared" si="43"/>
        <v>4.8663118608519129E-2</v>
      </c>
      <c r="BD18" s="515">
        <f t="shared" si="43"/>
        <v>-5.9642001097065522E-3</v>
      </c>
      <c r="BE18" s="429">
        <f t="shared" si="43"/>
        <v>-0.10743043812214237</v>
      </c>
      <c r="BF18" s="429">
        <f t="shared" si="43"/>
        <v>-4.8475437486047546E-2</v>
      </c>
      <c r="BG18" s="367">
        <f t="shared" si="43"/>
        <v>5.9563282107598647E-2</v>
      </c>
      <c r="BH18" s="515">
        <f t="shared" si="43"/>
        <v>0.22527012839603167</v>
      </c>
      <c r="BI18" s="429">
        <f t="shared" si="43"/>
        <v>0.17259912864390881</v>
      </c>
      <c r="BJ18" s="429">
        <f t="shared" si="43"/>
        <v>0.12695103985240319</v>
      </c>
      <c r="BK18" s="429">
        <f t="shared" si="43"/>
        <v>0.1672513333753094</v>
      </c>
      <c r="BL18" s="515">
        <f t="shared" si="43"/>
        <v>0.11507990888439634</v>
      </c>
      <c r="BM18" s="429">
        <f t="shared" si="43"/>
        <v>5.6415499475689579E-2</v>
      </c>
      <c r="BN18" s="429">
        <f t="shared" si="43"/>
        <v>-5.1343024258687642E-5</v>
      </c>
      <c r="BO18" s="1347">
        <f t="shared" ref="BO18" si="44">BO17/BN17-1</f>
        <v>-8.6853197728722353E-3</v>
      </c>
      <c r="BP18" s="1351">
        <f t="shared" ref="BP18:BW18" si="45">BP17/BO17-1</f>
        <v>5.5147058823529438E-2</v>
      </c>
      <c r="BQ18" s="1347">
        <f t="shared" si="45"/>
        <v>3.8365853658536508E-2</v>
      </c>
      <c r="BR18" s="1347">
        <f t="shared" si="45"/>
        <v>-2.6166936790923967E-2</v>
      </c>
      <c r="BS18" s="1348">
        <f t="shared" si="45"/>
        <v>-9.9999999999998979E-3</v>
      </c>
      <c r="BT18" s="1347">
        <f t="shared" si="45"/>
        <v>4.8398373983739695E-2</v>
      </c>
      <c r="BU18" s="1347">
        <f t="shared" si="45"/>
        <v>3.3338735818476462E-2</v>
      </c>
      <c r="BV18" s="1347">
        <f t="shared" si="45"/>
        <v>-1.9179321486268108E-2</v>
      </c>
      <c r="BW18" s="1348">
        <f t="shared" si="45"/>
        <v>-8.3954619124797514E-3</v>
      </c>
      <c r="BX18" s="20"/>
      <c r="BY18" s="240"/>
      <c r="BZ18" s="240"/>
      <c r="CA18" s="240"/>
      <c r="CB18" s="240"/>
      <c r="CC18" s="240"/>
      <c r="CD18" s="240"/>
      <c r="CE18" s="240"/>
      <c r="CF18" s="240"/>
      <c r="CG18" s="240"/>
      <c r="CH18" s="240"/>
      <c r="CI18" s="240"/>
      <c r="CJ18" s="1028"/>
      <c r="CK18" s="240"/>
      <c r="CL18" s="240"/>
      <c r="CM18" s="240"/>
      <c r="CN18" s="240"/>
      <c r="CO18" s="240"/>
      <c r="CP18" s="282"/>
      <c r="CQ18" s="22"/>
      <c r="CR18" s="232"/>
      <c r="CS18" s="22"/>
      <c r="CT18" s="14"/>
      <c r="CU18" s="14"/>
      <c r="CV18" s="14"/>
      <c r="CW18" s="14"/>
      <c r="CX18" s="14"/>
      <c r="CY18" s="14"/>
      <c r="CZ18" s="14"/>
      <c r="DA18" s="22"/>
      <c r="DB18" s="14"/>
      <c r="DC18" s="22"/>
      <c r="DD18" s="14"/>
      <c r="DE18" s="14"/>
      <c r="DF18" s="14"/>
      <c r="DG18" s="14"/>
      <c r="DH18" s="232"/>
    </row>
    <row r="19" spans="1:112" ht="14.25" customHeight="1">
      <c r="A19" s="472"/>
      <c r="B19" s="34" t="s">
        <v>99</v>
      </c>
      <c r="C19" s="239"/>
      <c r="D19" s="144"/>
      <c r="E19" s="90"/>
      <c r="F19" s="90"/>
      <c r="G19" s="91"/>
      <c r="H19" s="144">
        <f t="shared" ref="H19:W19" si="46">H17/D17-1</f>
        <v>-0.30826465573325701</v>
      </c>
      <c r="I19" s="90">
        <f t="shared" si="46"/>
        <v>2.1789536236211715E-2</v>
      </c>
      <c r="J19" s="90">
        <f t="shared" si="46"/>
        <v>3.8630628402414269E-2</v>
      </c>
      <c r="K19" s="91">
        <f t="shared" si="46"/>
        <v>0.20930537525256754</v>
      </c>
      <c r="L19" s="144">
        <f t="shared" si="46"/>
        <v>1.136463565302654</v>
      </c>
      <c r="M19" s="90">
        <f t="shared" si="46"/>
        <v>0.39812453924213886</v>
      </c>
      <c r="N19" s="90">
        <f t="shared" si="46"/>
        <v>0.22501597638347026</v>
      </c>
      <c r="O19" s="91">
        <f t="shared" si="46"/>
        <v>0.12406223025599261</v>
      </c>
      <c r="P19" s="144">
        <f t="shared" si="46"/>
        <v>7.0644024236406144E-2</v>
      </c>
      <c r="Q19" s="90">
        <f t="shared" si="46"/>
        <v>5.527897909916768E-2</v>
      </c>
      <c r="R19" s="90">
        <f t="shared" si="46"/>
        <v>0.17774485770521165</v>
      </c>
      <c r="S19" s="91">
        <f t="shared" si="46"/>
        <v>0.23485079542049792</v>
      </c>
      <c r="T19" s="144">
        <f t="shared" si="46"/>
        <v>0.25206781655085297</v>
      </c>
      <c r="U19" s="90">
        <f t="shared" si="46"/>
        <v>0.21852905322773419</v>
      </c>
      <c r="V19" s="90">
        <f t="shared" si="46"/>
        <v>7.3020880425875401E-2</v>
      </c>
      <c r="W19" s="91">
        <f t="shared" si="46"/>
        <v>6.1072953857809864E-2</v>
      </c>
      <c r="X19" s="144">
        <f t="shared" ref="X19:AO19" si="47">X17/T17-1</f>
        <v>4.002956191435425E-3</v>
      </c>
      <c r="Y19" s="90">
        <f t="shared" si="47"/>
        <v>-5.3071368113391859E-2</v>
      </c>
      <c r="Z19" s="90">
        <f t="shared" si="47"/>
        <v>3.0397410871625619E-2</v>
      </c>
      <c r="AA19" s="91">
        <f t="shared" si="47"/>
        <v>3.2013470611255146E-2</v>
      </c>
      <c r="AB19" s="144">
        <f t="shared" si="47"/>
        <v>3.6567499040703222E-2</v>
      </c>
      <c r="AC19" s="90">
        <f t="shared" si="47"/>
        <v>7.4747318131567875E-2</v>
      </c>
      <c r="AD19" s="90">
        <f t="shared" si="47"/>
        <v>-0.30877595685173864</v>
      </c>
      <c r="AE19" s="91">
        <f t="shared" si="47"/>
        <v>-0.46836205283751264</v>
      </c>
      <c r="AF19" s="144">
        <f t="shared" si="47"/>
        <v>-0.40544196217882755</v>
      </c>
      <c r="AG19" s="90">
        <f t="shared" si="47"/>
        <v>-0.24161683778922993</v>
      </c>
      <c r="AH19" s="90">
        <f t="shared" si="47"/>
        <v>0.39024580542331444</v>
      </c>
      <c r="AI19" s="91">
        <f t="shared" si="47"/>
        <v>0.97837535847853752</v>
      </c>
      <c r="AJ19" s="144">
        <f t="shared" si="47"/>
        <v>0.80449188459295029</v>
      </c>
      <c r="AK19" s="90">
        <f t="shared" si="47"/>
        <v>0.50798077256099261</v>
      </c>
      <c r="AL19" s="90">
        <f t="shared" si="47"/>
        <v>0.24978988951281744</v>
      </c>
      <c r="AM19" s="91">
        <f t="shared" si="47"/>
        <v>0.14548124134127938</v>
      </c>
      <c r="AN19" s="515">
        <f t="shared" si="47"/>
        <v>5.3698955693044725E-2</v>
      </c>
      <c r="AO19" s="429">
        <f t="shared" si="47"/>
        <v>-0.13243991930776933</v>
      </c>
      <c r="AP19" s="90">
        <f t="shared" ref="AP19:BN19" si="48">AP17/AL17-1</f>
        <v>-0.17226221532063268</v>
      </c>
      <c r="AQ19" s="91">
        <f t="shared" si="48"/>
        <v>-0.17010783195138435</v>
      </c>
      <c r="AR19" s="515">
        <f t="shared" si="48"/>
        <v>-7.6378132974078472E-2</v>
      </c>
      <c r="AS19" s="429">
        <f t="shared" si="48"/>
        <v>-2.1000845040151872E-2</v>
      </c>
      <c r="AT19" s="429">
        <f t="shared" si="48"/>
        <v>4.8450382058897734E-2</v>
      </c>
      <c r="AU19" s="91">
        <f t="shared" si="48"/>
        <v>0.20021853815422586</v>
      </c>
      <c r="AV19" s="515">
        <f t="shared" si="48"/>
        <v>0.24793809875501749</v>
      </c>
      <c r="AW19" s="429">
        <f t="shared" si="48"/>
        <v>0.46650898244713002</v>
      </c>
      <c r="AX19" s="429">
        <f t="shared" si="48"/>
        <v>0.43270942519291267</v>
      </c>
      <c r="AY19" s="91">
        <f t="shared" si="48"/>
        <v>0.24551051005315161</v>
      </c>
      <c r="AZ19" s="515">
        <f t="shared" si="48"/>
        <v>0.15198082660063794</v>
      </c>
      <c r="BA19" s="429">
        <f t="shared" si="48"/>
        <v>8.1858307604302682E-2</v>
      </c>
      <c r="BB19" s="429">
        <f t="shared" si="48"/>
        <v>5.2545582960263237E-2</v>
      </c>
      <c r="BC19" s="367">
        <f t="shared" si="48"/>
        <v>5.4232400714746998E-2</v>
      </c>
      <c r="BD19" s="515">
        <f t="shared" si="48"/>
        <v>1.1028828751334041E-2</v>
      </c>
      <c r="BE19" s="429">
        <f t="shared" si="48"/>
        <v>-0.1168934137668084</v>
      </c>
      <c r="BF19" s="429">
        <f t="shared" si="48"/>
        <v>-0.11468036560515904</v>
      </c>
      <c r="BG19" s="367">
        <f t="shared" si="48"/>
        <v>-0.10547805020700363</v>
      </c>
      <c r="BH19" s="515">
        <f t="shared" si="48"/>
        <v>0.10260719422469156</v>
      </c>
      <c r="BI19" s="429">
        <f t="shared" si="48"/>
        <v>0.44853274232681661</v>
      </c>
      <c r="BJ19" s="429">
        <f t="shared" si="48"/>
        <v>0.71558942830918482</v>
      </c>
      <c r="BK19" s="429">
        <f t="shared" si="48"/>
        <v>0.88995228650734304</v>
      </c>
      <c r="BL19" s="515">
        <f t="shared" si="48"/>
        <v>0.71998629085430155</v>
      </c>
      <c r="BM19" s="429">
        <f t="shared" si="48"/>
        <v>0.54956637111400464</v>
      </c>
      <c r="BN19" s="429">
        <f t="shared" si="48"/>
        <v>0.37493711518573036</v>
      </c>
      <c r="BO19" s="1347">
        <f t="shared" ref="BO19" si="49">BO17/BK17-1</f>
        <v>0.16769654289570579</v>
      </c>
      <c r="BP19" s="1351">
        <f t="shared" ref="BP19:BW19" si="50">BP17/BL17-1</f>
        <v>0.1049356759261113</v>
      </c>
      <c r="BQ19" s="1347">
        <f t="shared" si="50"/>
        <v>8.605702674773319E-2</v>
      </c>
      <c r="BR19" s="1347">
        <f t="shared" si="50"/>
        <v>5.7692546311549853E-2</v>
      </c>
      <c r="BS19" s="1348">
        <f t="shared" si="50"/>
        <v>5.628983584558811E-2</v>
      </c>
      <c r="BT19" s="1347">
        <f t="shared" si="50"/>
        <v>4.9533841842682502E-2</v>
      </c>
      <c r="BU19" s="1347">
        <f t="shared" si="50"/>
        <v>4.4452655590761392E-2</v>
      </c>
      <c r="BV19" s="1347">
        <f t="shared" si="50"/>
        <v>5.1946992799999814E-2</v>
      </c>
      <c r="BW19" s="1348">
        <f t="shared" si="50"/>
        <v>5.3651931199999892E-2</v>
      </c>
      <c r="BX19" s="20"/>
      <c r="BY19" s="429"/>
      <c r="BZ19" s="369">
        <f>BZ17/BY17-1</f>
        <v>-2.8460978877875576E-3</v>
      </c>
      <c r="CA19" s="369">
        <f>CA17/BZ17-1</f>
        <v>0.38501267214616419</v>
      </c>
      <c r="CB19" s="369">
        <f>CB17/CA17-1</f>
        <v>0.13334379407243357</v>
      </c>
      <c r="CC19" s="369">
        <f>CC17/CB17-1</f>
        <v>0.14701105372962475</v>
      </c>
      <c r="CD19" s="369">
        <f t="shared" ref="CD19:CK19" si="51">CD17/CC17-1</f>
        <v>2.4685919594640282E-3</v>
      </c>
      <c r="CE19" s="369">
        <f t="shared" si="51"/>
        <v>-0.16780372544054412</v>
      </c>
      <c r="CF19" s="369">
        <f t="shared" si="51"/>
        <v>3.4244595154035329E-2</v>
      </c>
      <c r="CG19" s="369">
        <f t="shared" si="51"/>
        <v>0.37818829473002724</v>
      </c>
      <c r="CH19" s="369">
        <f t="shared" si="51"/>
        <v>-0.10762735305788973</v>
      </c>
      <c r="CI19" s="369">
        <f t="shared" si="51"/>
        <v>3.2811132835894208E-2</v>
      </c>
      <c r="CJ19" s="1054">
        <f t="shared" si="51"/>
        <v>0.34140683902157498</v>
      </c>
      <c r="CK19" s="369">
        <f t="shared" si="51"/>
        <v>8.3806883462786086E-2</v>
      </c>
      <c r="CL19" s="369">
        <f>CL17/CK17-1</f>
        <v>-8.1551850296609496E-2</v>
      </c>
      <c r="CM19" s="369">
        <f>CM17/CL17-1</f>
        <v>0.52490097562184546</v>
      </c>
      <c r="CN19" s="369">
        <f>CN17/CM17-1</f>
        <v>0.42063422070586887</v>
      </c>
      <c r="CO19" s="369">
        <f>CO17/CN17-1</f>
        <v>7.5899175475113267E-2</v>
      </c>
      <c r="CP19" s="368">
        <f>CP17/CO17-1</f>
        <v>4.9851466735614913E-2</v>
      </c>
      <c r="CQ19" s="22"/>
      <c r="CR19" s="232"/>
      <c r="CS19" s="22"/>
      <c r="CT19" s="14"/>
      <c r="CU19" s="14"/>
      <c r="CV19" s="14"/>
      <c r="CW19" s="14"/>
      <c r="CX19" s="14"/>
      <c r="CY19" s="14"/>
      <c r="CZ19" s="14"/>
      <c r="DA19" s="22"/>
      <c r="DB19" s="14"/>
      <c r="DC19" s="22"/>
      <c r="DD19" s="14"/>
      <c r="DE19" s="14"/>
      <c r="DF19" s="14"/>
      <c r="DG19" s="14"/>
      <c r="DH19" s="232"/>
    </row>
    <row r="20" spans="1:112" ht="14.25" customHeight="1">
      <c r="A20" s="472"/>
      <c r="B20" s="34" t="s">
        <v>126</v>
      </c>
      <c r="C20" s="239"/>
      <c r="D20" s="144">
        <f t="shared" ref="D20:O20" si="52">D17/D11</f>
        <v>0.52281902198750829</v>
      </c>
      <c r="E20" s="90">
        <f t="shared" si="52"/>
        <v>0.54144156568351753</v>
      </c>
      <c r="F20" s="90">
        <f t="shared" si="52"/>
        <v>0.55467714391487632</v>
      </c>
      <c r="G20" s="91">
        <f t="shared" si="52"/>
        <v>0.54284229051713906</v>
      </c>
      <c r="H20" s="144">
        <f t="shared" si="52"/>
        <v>0.34424582876062559</v>
      </c>
      <c r="I20" s="90">
        <f t="shared" si="52"/>
        <v>0.54125565328870051</v>
      </c>
      <c r="J20" s="90">
        <f t="shared" si="52"/>
        <v>0.54515162923463356</v>
      </c>
      <c r="K20" s="91">
        <f t="shared" si="52"/>
        <v>0.55463022910966786</v>
      </c>
      <c r="L20" s="144">
        <f t="shared" si="52"/>
        <v>0.5708330395958171</v>
      </c>
      <c r="M20" s="90">
        <f t="shared" si="52"/>
        <v>0.57263450750813338</v>
      </c>
      <c r="N20" s="90">
        <f t="shared" si="52"/>
        <v>0.56863241537802345</v>
      </c>
      <c r="O20" s="91">
        <f t="shared" si="52"/>
        <v>0.57357400652624235</v>
      </c>
      <c r="P20" s="144">
        <f t="shared" ref="P20:W20" si="53">P17/P11</f>
        <v>0.58347481089293307</v>
      </c>
      <c r="Q20" s="90">
        <f t="shared" si="53"/>
        <v>0.59198057176042018</v>
      </c>
      <c r="R20" s="90">
        <f t="shared" si="53"/>
        <v>0.59715789115182871</v>
      </c>
      <c r="S20" s="91">
        <f t="shared" si="53"/>
        <v>0.60122555368475583</v>
      </c>
      <c r="T20" s="144">
        <f t="shared" si="53"/>
        <v>0.60361750019995664</v>
      </c>
      <c r="U20" s="90">
        <f t="shared" si="53"/>
        <v>0.60448095426485637</v>
      </c>
      <c r="V20" s="90">
        <f t="shared" si="53"/>
        <v>0.59644467817245927</v>
      </c>
      <c r="W20" s="91">
        <f t="shared" si="53"/>
        <v>0.59882018468021814</v>
      </c>
      <c r="X20" s="144">
        <f t="shared" ref="X20:AO20" si="54">X17/X11</f>
        <v>0.60038550092399046</v>
      </c>
      <c r="Y20" s="90">
        <f t="shared" si="54"/>
        <v>0.59815888063654321</v>
      </c>
      <c r="Z20" s="90">
        <f t="shared" si="54"/>
        <v>0.60588677751385589</v>
      </c>
      <c r="AA20" s="91">
        <f t="shared" si="54"/>
        <v>0.60915144114462128</v>
      </c>
      <c r="AB20" s="144">
        <f t="shared" si="54"/>
        <v>0.61004504571692808</v>
      </c>
      <c r="AC20" s="90">
        <f t="shared" si="54"/>
        <v>0.60863681193595998</v>
      </c>
      <c r="AD20" s="90">
        <f t="shared" si="54"/>
        <v>0.54529417274647962</v>
      </c>
      <c r="AE20" s="91">
        <f t="shared" si="54"/>
        <v>0.48464961645685767</v>
      </c>
      <c r="AF20" s="144">
        <f t="shared" si="54"/>
        <v>0.49979528269128121</v>
      </c>
      <c r="AG20" s="90">
        <f t="shared" si="54"/>
        <v>0.54416066284010045</v>
      </c>
      <c r="AH20" s="90">
        <f t="shared" si="54"/>
        <v>0.58375283387778432</v>
      </c>
      <c r="AI20" s="91">
        <f t="shared" si="54"/>
        <v>0.60596719660456111</v>
      </c>
      <c r="AJ20" s="144">
        <f t="shared" si="54"/>
        <v>0.58086944347217362</v>
      </c>
      <c r="AK20" s="90">
        <f t="shared" si="54"/>
        <v>0.58860075705455039</v>
      </c>
      <c r="AL20" s="90">
        <f t="shared" si="54"/>
        <v>0.58831669494105898</v>
      </c>
      <c r="AM20" s="91">
        <f t="shared" si="54"/>
        <v>0.59368396120899469</v>
      </c>
      <c r="AN20" s="515">
        <f t="shared" si="54"/>
        <v>0.58676606845799961</v>
      </c>
      <c r="AO20" s="429">
        <f t="shared" si="54"/>
        <v>0.5775156928027434</v>
      </c>
      <c r="AP20" s="90">
        <f t="shared" ref="AP20:AU20" si="55">AP17/AP11</f>
        <v>0.56352610920050072</v>
      </c>
      <c r="AQ20" s="91">
        <f t="shared" si="55"/>
        <v>0.56196169495826331</v>
      </c>
      <c r="AR20" s="515">
        <f t="shared" si="55"/>
        <v>0.57670943447664813</v>
      </c>
      <c r="AS20" s="429">
        <f t="shared" si="55"/>
        <v>0.50664235138195357</v>
      </c>
      <c r="AT20" s="429">
        <f t="shared" si="55"/>
        <v>0.48174364915502343</v>
      </c>
      <c r="AU20" s="91">
        <f t="shared" si="55"/>
        <v>0.55963970246397043</v>
      </c>
      <c r="AV20" s="515">
        <f t="shared" ref="AV20:BA20" si="56">AV17/AV11</f>
        <v>0.57600259291270517</v>
      </c>
      <c r="AW20" s="429">
        <f t="shared" si="56"/>
        <v>0.58632266288319324</v>
      </c>
      <c r="AX20" s="429">
        <f t="shared" si="56"/>
        <v>0.58606965174129355</v>
      </c>
      <c r="AY20" s="91">
        <f t="shared" si="56"/>
        <v>0.58900816462213301</v>
      </c>
      <c r="AZ20" s="515">
        <f t="shared" si="56"/>
        <v>0.57965343978880368</v>
      </c>
      <c r="BA20" s="429">
        <f t="shared" si="56"/>
        <v>0.56279333699432565</v>
      </c>
      <c r="BB20" s="429">
        <f t="shared" ref="BB20:BG20" si="57">BB17/BB11</f>
        <v>0.57112405666622545</v>
      </c>
      <c r="BC20" s="367">
        <f t="shared" si="57"/>
        <v>0.57315789473684198</v>
      </c>
      <c r="BD20" s="515">
        <f t="shared" si="57"/>
        <v>0.57857517318854146</v>
      </c>
      <c r="BE20" s="429">
        <f t="shared" si="57"/>
        <v>0.53789097408400344</v>
      </c>
      <c r="BF20" s="429">
        <f t="shared" si="57"/>
        <v>0.53027374355314105</v>
      </c>
      <c r="BG20" s="367">
        <f t="shared" si="57"/>
        <v>0.53256819565194446</v>
      </c>
      <c r="BH20" s="515">
        <f>BH17/BH11</f>
        <v>0.41290382204697162</v>
      </c>
      <c r="BI20" s="429">
        <f t="shared" ref="BI20:BJ20" si="58">BI17/BI11</f>
        <v>0.46990679018350151</v>
      </c>
      <c r="BJ20" s="429">
        <f t="shared" si="58"/>
        <v>0.52799122093267381</v>
      </c>
      <c r="BK20" s="429">
        <f t="shared" ref="BK20" si="59">BK17/BK11</f>
        <v>0.59028034732669676</v>
      </c>
      <c r="BL20" s="515">
        <f>BL17/BL11</f>
        <v>0.60118748206278705</v>
      </c>
      <c r="BM20" s="429">
        <f t="shared" ref="BM20:BN20" si="60">BM17/BM11</f>
        <v>0.60672891766842307</v>
      </c>
      <c r="BN20" s="429">
        <f t="shared" si="60"/>
        <v>0.61057100441740897</v>
      </c>
      <c r="BO20" s="1490">
        <v>0.61199999999999999</v>
      </c>
      <c r="BP20" s="954">
        <f>BO20+0.3%</f>
        <v>0.61499999999999999</v>
      </c>
      <c r="BQ20" s="1490">
        <f>BP20+0.2%</f>
        <v>0.61699999999999999</v>
      </c>
      <c r="BR20" s="1490">
        <f>BQ20-0.2%</f>
        <v>0.61499999999999999</v>
      </c>
      <c r="BS20" s="1350">
        <f>BR20</f>
        <v>0.61499999999999999</v>
      </c>
      <c r="BT20" s="1490">
        <f>BS20+0.2%</f>
        <v>0.61699999999999999</v>
      </c>
      <c r="BU20" s="1490">
        <f>BT20+0.2%</f>
        <v>0.61899999999999999</v>
      </c>
      <c r="BV20" s="1490">
        <f>BU20-0.2%</f>
        <v>0.61699999999999999</v>
      </c>
      <c r="BW20" s="1350">
        <f>BV20+0.1%</f>
        <v>0.61799999999999999</v>
      </c>
      <c r="BX20" s="20"/>
      <c r="BY20" s="369">
        <f>BY17/BY11</f>
        <v>0.54077948297440548</v>
      </c>
      <c r="BZ20" s="369">
        <f>BZ17/BZ11</f>
        <v>0.5001303259971791</v>
      </c>
      <c r="CA20" s="369">
        <f>CA17/CA11</f>
        <v>0.57143569786047943</v>
      </c>
      <c r="CB20" s="369">
        <f t="shared" ref="CB20:CK20" si="61">CB17/CB11</f>
        <v>0.59372635694051601</v>
      </c>
      <c r="CC20" s="369">
        <f t="shared" si="61"/>
        <v>0.60092290348846855</v>
      </c>
      <c r="CD20" s="369">
        <f t="shared" si="61"/>
        <v>0.6033986297158771</v>
      </c>
      <c r="CE20" s="369">
        <f t="shared" si="61"/>
        <v>0.57165197590194627</v>
      </c>
      <c r="CF20" s="369">
        <f t="shared" si="61"/>
        <v>0.5634463981802994</v>
      </c>
      <c r="CG20" s="369">
        <f t="shared" si="61"/>
        <v>0.58796942699916432</v>
      </c>
      <c r="CH20" s="369">
        <f t="shared" si="61"/>
        <v>0.57296203723737393</v>
      </c>
      <c r="CI20" s="369">
        <f t="shared" si="61"/>
        <v>0.53062409515932307</v>
      </c>
      <c r="CJ20" s="1054">
        <f t="shared" si="61"/>
        <v>0.58449720490632695</v>
      </c>
      <c r="CK20" s="369">
        <f t="shared" si="61"/>
        <v>0.57157998215604766</v>
      </c>
      <c r="CL20" s="369">
        <f>CL17/CL11</f>
        <v>0.54524583160215756</v>
      </c>
      <c r="CM20" s="369">
        <f>CM17/CM11</f>
        <v>0.50198748867845167</v>
      </c>
      <c r="CN20" s="369">
        <f>CN17/CN11</f>
        <v>0.60767097368297007</v>
      </c>
      <c r="CO20" s="369">
        <f>CO17/CO11</f>
        <v>0.6155114548529721</v>
      </c>
      <c r="CP20" s="368">
        <f>CP17/CP11</f>
        <v>0.617756969820491</v>
      </c>
      <c r="CQ20" s="22"/>
      <c r="CR20" s="232"/>
      <c r="CS20" s="22"/>
      <c r="CT20" s="14"/>
      <c r="CU20" s="14"/>
      <c r="CV20" s="14"/>
      <c r="CW20" s="14"/>
      <c r="CX20" s="14"/>
      <c r="CY20" s="14"/>
      <c r="CZ20" s="14"/>
      <c r="DA20" s="22"/>
      <c r="DB20" s="14"/>
      <c r="DC20" s="22"/>
      <c r="DD20" s="14"/>
      <c r="DE20" s="14"/>
      <c r="DF20" s="14"/>
      <c r="DG20" s="14"/>
      <c r="DH20" s="232"/>
    </row>
    <row r="21" spans="1:112" ht="14.25" customHeight="1">
      <c r="A21" s="472"/>
      <c r="B21" s="328"/>
      <c r="C21" s="260"/>
      <c r="D21" s="351"/>
      <c r="E21" s="241"/>
      <c r="F21" s="241"/>
      <c r="G21" s="242"/>
      <c r="H21" s="351"/>
      <c r="I21" s="241"/>
      <c r="J21" s="241"/>
      <c r="K21" s="242"/>
      <c r="L21" s="351"/>
      <c r="M21" s="241"/>
      <c r="N21" s="241"/>
      <c r="O21" s="242"/>
      <c r="P21" s="351"/>
      <c r="Q21" s="241"/>
      <c r="R21" s="241"/>
      <c r="S21" s="242"/>
      <c r="T21" s="351"/>
      <c r="U21" s="241"/>
      <c r="V21" s="241"/>
      <c r="W21" s="242"/>
      <c r="X21" s="351"/>
      <c r="Y21" s="241"/>
      <c r="Z21" s="241"/>
      <c r="AA21" s="242"/>
      <c r="AB21" s="351"/>
      <c r="AC21" s="241"/>
      <c r="AD21" s="241"/>
      <c r="AE21" s="242"/>
      <c r="AF21" s="351"/>
      <c r="AG21" s="241"/>
      <c r="AH21" s="241"/>
      <c r="AI21" s="242"/>
      <c r="AJ21" s="351"/>
      <c r="AK21" s="241"/>
      <c r="AL21" s="241"/>
      <c r="AM21" s="242"/>
      <c r="AN21" s="351"/>
      <c r="AO21" s="241"/>
      <c r="AP21" s="241"/>
      <c r="AQ21" s="242"/>
      <c r="AR21" s="351"/>
      <c r="AS21" s="241"/>
      <c r="AT21" s="241"/>
      <c r="AU21" s="242"/>
      <c r="AV21" s="351"/>
      <c r="AW21" s="241"/>
      <c r="AX21" s="72"/>
      <c r="AY21" s="242"/>
      <c r="AZ21" s="62"/>
      <c r="BA21" s="72"/>
      <c r="BB21" s="72"/>
      <c r="BC21" s="63"/>
      <c r="BD21" s="72"/>
      <c r="BE21" s="72"/>
      <c r="BF21" s="72"/>
      <c r="BG21" s="63"/>
      <c r="BH21" s="62"/>
      <c r="BI21" s="72"/>
      <c r="BJ21" s="72"/>
      <c r="BK21" s="72"/>
      <c r="BL21" s="62"/>
      <c r="BM21" s="72"/>
      <c r="BN21" s="72"/>
      <c r="BO21" s="72"/>
      <c r="BP21" s="62"/>
      <c r="BQ21" s="72"/>
      <c r="BR21" s="72"/>
      <c r="BS21" s="63"/>
      <c r="BT21" s="72"/>
      <c r="BU21" s="72"/>
      <c r="BV21" s="72"/>
      <c r="BW21" s="63"/>
      <c r="BX21" s="20"/>
      <c r="BY21" s="223"/>
      <c r="BZ21" s="223"/>
      <c r="CA21" s="223"/>
      <c r="CB21" s="223"/>
      <c r="CC21" s="223"/>
      <c r="CD21" s="223"/>
      <c r="CE21" s="223"/>
      <c r="CF21" s="223"/>
      <c r="CG21" s="223"/>
      <c r="CH21" s="223"/>
      <c r="CI21" s="223"/>
      <c r="CJ21" s="22"/>
      <c r="CK21" s="14"/>
      <c r="CL21" s="14"/>
      <c r="CM21" s="14"/>
      <c r="CN21" s="14"/>
      <c r="CO21" s="14"/>
      <c r="CP21" s="232"/>
      <c r="CQ21" s="22"/>
      <c r="CR21" s="232"/>
      <c r="CS21" s="15"/>
      <c r="CT21" s="223"/>
      <c r="CU21" s="223"/>
      <c r="CV21" s="223"/>
      <c r="CW21" s="223"/>
      <c r="CX21" s="223"/>
      <c r="CY21" s="223"/>
      <c r="CZ21" s="223"/>
      <c r="DA21" s="15"/>
      <c r="DB21" s="223"/>
      <c r="DC21" s="15"/>
      <c r="DD21" s="223"/>
      <c r="DE21" s="223"/>
      <c r="DF21" s="223"/>
      <c r="DG21" s="223"/>
      <c r="DH21" s="16"/>
    </row>
    <row r="22" spans="1:112" ht="14.25" customHeight="1">
      <c r="A22" s="785"/>
      <c r="B22" s="327" t="str">
        <f>$B$111&amp;" Revenue"</f>
        <v>Memory Revenue</v>
      </c>
      <c r="C22" s="471"/>
      <c r="D22" s="787">
        <f t="shared" ref="D22:S22" si="62">D$111</f>
        <v>22.588000000000001</v>
      </c>
      <c r="E22" s="787">
        <f t="shared" si="62"/>
        <v>23.905999999999999</v>
      </c>
      <c r="F22" s="787">
        <f t="shared" si="62"/>
        <v>20.83</v>
      </c>
      <c r="G22" s="788">
        <f t="shared" si="62"/>
        <v>19.834000000000003</v>
      </c>
      <c r="H22" s="787">
        <f t="shared" si="62"/>
        <v>20.143000000000001</v>
      </c>
      <c r="I22" s="787">
        <f t="shared" si="62"/>
        <v>22.614000000000001</v>
      </c>
      <c r="J22" s="787">
        <f t="shared" si="62"/>
        <v>23.736999999999998</v>
      </c>
      <c r="K22" s="788">
        <f t="shared" si="62"/>
        <v>25.146000000000001</v>
      </c>
      <c r="L22" s="787">
        <f t="shared" si="62"/>
        <v>30.138999999999999</v>
      </c>
      <c r="M22" s="787">
        <f t="shared" si="62"/>
        <v>29.2</v>
      </c>
      <c r="N22" s="787">
        <f t="shared" si="62"/>
        <v>26.902000000000001</v>
      </c>
      <c r="O22" s="788">
        <f t="shared" si="62"/>
        <v>28.879000000000001</v>
      </c>
      <c r="P22" s="787">
        <f t="shared" si="62"/>
        <v>29.981000000000002</v>
      </c>
      <c r="Q22" s="787">
        <f t="shared" si="62"/>
        <v>32.603000000000002</v>
      </c>
      <c r="R22" s="787">
        <f t="shared" si="62"/>
        <v>31.323</v>
      </c>
      <c r="S22" s="788">
        <f t="shared" si="62"/>
        <v>31.328000000000003</v>
      </c>
      <c r="T22" s="787">
        <f t="shared" ref="T22:BN22" si="63">T$111</f>
        <v>30.606999999999999</v>
      </c>
      <c r="U22" s="787">
        <f t="shared" si="63"/>
        <v>32.131</v>
      </c>
      <c r="V22" s="787">
        <f t="shared" si="63"/>
        <v>30.105</v>
      </c>
      <c r="W22" s="788">
        <f t="shared" si="63"/>
        <v>29.905000000000001</v>
      </c>
      <c r="X22" s="787">
        <f t="shared" si="63"/>
        <v>30.291</v>
      </c>
      <c r="Y22" s="787">
        <f t="shared" si="63"/>
        <v>32.637</v>
      </c>
      <c r="Z22" s="787">
        <f t="shared" si="63"/>
        <v>29.672000000000001</v>
      </c>
      <c r="AA22" s="788">
        <f t="shared" si="63"/>
        <v>27.680000000000003</v>
      </c>
      <c r="AB22" s="787">
        <f t="shared" si="63"/>
        <v>28.437000000000001</v>
      </c>
      <c r="AC22" s="787">
        <f t="shared" si="63"/>
        <v>27.893000000000001</v>
      </c>
      <c r="AD22" s="787">
        <f t="shared" si="63"/>
        <v>17.341000000000001</v>
      </c>
      <c r="AE22" s="788">
        <f t="shared" si="63"/>
        <v>15.665000000000003</v>
      </c>
      <c r="AF22" s="787">
        <f t="shared" si="63"/>
        <v>16.523</v>
      </c>
      <c r="AG22" s="787">
        <f t="shared" si="63"/>
        <v>19.294</v>
      </c>
      <c r="AH22" s="787">
        <f t="shared" si="63"/>
        <v>21.181999999999999</v>
      </c>
      <c r="AI22" s="788">
        <f t="shared" si="63"/>
        <v>23.159000000000002</v>
      </c>
      <c r="AJ22" s="787">
        <f t="shared" si="63"/>
        <v>55.01</v>
      </c>
      <c r="AK22" s="787">
        <f t="shared" si="63"/>
        <v>61.878</v>
      </c>
      <c r="AL22" s="787">
        <f t="shared" si="63"/>
        <v>53.512</v>
      </c>
      <c r="AM22" s="788">
        <f t="shared" si="63"/>
        <v>75.568999999999988</v>
      </c>
      <c r="AN22" s="787">
        <f t="shared" si="63"/>
        <v>51.14</v>
      </c>
      <c r="AO22" s="787">
        <f t="shared" si="63"/>
        <v>44.671999999999997</v>
      </c>
      <c r="AP22" s="787">
        <f t="shared" si="63"/>
        <v>41.704999999999998</v>
      </c>
      <c r="AQ22" s="788">
        <f t="shared" si="63"/>
        <v>41.7</v>
      </c>
      <c r="AR22" s="787">
        <f t="shared" si="63"/>
        <v>40.718000000000004</v>
      </c>
      <c r="AS22" s="787">
        <f t="shared" si="63"/>
        <v>36.57</v>
      </c>
      <c r="AT22" s="787">
        <f t="shared" si="63"/>
        <v>32.475999999999999</v>
      </c>
      <c r="AU22" s="788">
        <f t="shared" si="63"/>
        <v>32.799999999999997</v>
      </c>
      <c r="AV22" s="787">
        <f t="shared" si="63"/>
        <v>34</v>
      </c>
      <c r="AW22" s="787">
        <f t="shared" si="63"/>
        <v>34.987000000000002</v>
      </c>
      <c r="AX22" s="787">
        <f t="shared" si="63"/>
        <v>32.5</v>
      </c>
      <c r="AY22" s="788">
        <f t="shared" si="63"/>
        <v>33.137</v>
      </c>
      <c r="AZ22" s="1158">
        <f t="shared" si="63"/>
        <v>33.378999999999998</v>
      </c>
      <c r="BA22" s="789">
        <f t="shared" si="63"/>
        <v>32.5</v>
      </c>
      <c r="BB22" s="789">
        <f t="shared" si="63"/>
        <v>33.174999999999997</v>
      </c>
      <c r="BC22" s="1159">
        <f t="shared" si="63"/>
        <v>33.200000000000003</v>
      </c>
      <c r="BD22" s="1158">
        <f t="shared" si="63"/>
        <v>31.8</v>
      </c>
      <c r="BE22" s="789">
        <f t="shared" si="63"/>
        <v>30.2</v>
      </c>
      <c r="BF22" s="789">
        <f t="shared" si="63"/>
        <v>27.715</v>
      </c>
      <c r="BG22" s="1159">
        <f t="shared" si="63"/>
        <v>27.216999999999999</v>
      </c>
      <c r="BH22" s="1158">
        <f t="shared" si="63"/>
        <v>47.573999999999998</v>
      </c>
      <c r="BI22" s="789">
        <f t="shared" si="63"/>
        <v>46.63</v>
      </c>
      <c r="BJ22" s="789">
        <f t="shared" si="63"/>
        <v>46.585999999999999</v>
      </c>
      <c r="BK22" s="789">
        <f t="shared" si="63"/>
        <v>45.496000000000002</v>
      </c>
      <c r="BL22" s="1158">
        <f t="shared" si="63"/>
        <v>49.48</v>
      </c>
      <c r="BM22" s="789">
        <f t="shared" si="63"/>
        <v>52.106999999999999</v>
      </c>
      <c r="BN22" s="789">
        <f t="shared" si="63"/>
        <v>48.155999999999999</v>
      </c>
      <c r="BO22" s="431">
        <f t="shared" ref="BO22" si="64">BN22*(1+BO23)</f>
        <v>46.711320000000001</v>
      </c>
      <c r="BP22" s="514">
        <f t="shared" ref="BP22:BW22" si="65">BO22*(1+BP23)</f>
        <v>47.178433200000001</v>
      </c>
      <c r="BQ22" s="431">
        <f t="shared" si="65"/>
        <v>48.122001864000005</v>
      </c>
      <c r="BR22" s="431">
        <f t="shared" si="65"/>
        <v>48.603221882640007</v>
      </c>
      <c r="BS22" s="430">
        <f t="shared" si="65"/>
        <v>48.603221882640007</v>
      </c>
      <c r="BT22" s="431">
        <f t="shared" si="65"/>
        <v>49.089254101466409</v>
      </c>
      <c r="BU22" s="431">
        <f t="shared" si="65"/>
        <v>50.071039183495735</v>
      </c>
      <c r="BV22" s="431">
        <f t="shared" si="65"/>
        <v>50.571749575330692</v>
      </c>
      <c r="BW22" s="430">
        <f t="shared" si="65"/>
        <v>50.571749575330692</v>
      </c>
      <c r="BX22" s="312"/>
      <c r="BY22" s="362">
        <f>SUM(D22:G22)</f>
        <v>87.158000000000001</v>
      </c>
      <c r="BZ22" s="362">
        <f>SUM(H22:K22)</f>
        <v>91.64</v>
      </c>
      <c r="CA22" s="362">
        <f>SUM(L22:O22)</f>
        <v>115.12</v>
      </c>
      <c r="CB22" s="362">
        <f>SUM(P22:S22)</f>
        <v>125.23500000000001</v>
      </c>
      <c r="CC22" s="362">
        <f>SUM(T22:W22)</f>
        <v>122.748</v>
      </c>
      <c r="CD22" s="362">
        <f>SUM(X22:AA22)</f>
        <v>120.28</v>
      </c>
      <c r="CE22" s="362">
        <f>SUM(AB22:AE22)</f>
        <v>89.335999999999999</v>
      </c>
      <c r="CF22" s="362">
        <f>SUM(AF22:AI22)</f>
        <v>80.158000000000001</v>
      </c>
      <c r="CG22" s="362">
        <f>SUM(AJ22:AM22)</f>
        <v>245.96899999999999</v>
      </c>
      <c r="CH22" s="362">
        <f>SUM(AN22:AQ22)</f>
        <v>179.21699999999998</v>
      </c>
      <c r="CI22" s="362">
        <f>SUM(AR22:AU22)</f>
        <v>142.56400000000002</v>
      </c>
      <c r="CJ22" s="1257">
        <f>SUM(AV22:AY22)</f>
        <v>134.624</v>
      </c>
      <c r="CK22" s="434">
        <f>SUM(AZ22:BC22)</f>
        <v>132.25399999999999</v>
      </c>
      <c r="CL22" s="434">
        <f>SUM(BD22:BG22)</f>
        <v>116.932</v>
      </c>
      <c r="CM22" s="434">
        <f>SUM(BH22:BK22)</f>
        <v>186.28600000000003</v>
      </c>
      <c r="CN22" s="434">
        <f>SUM(BL22:BO22)</f>
        <v>196.45432</v>
      </c>
      <c r="CO22" s="434">
        <f>SUM(BP22:BS22)</f>
        <v>192.50687882928003</v>
      </c>
      <c r="CP22" s="435">
        <f>SUM(BT22:BW22)</f>
        <v>200.30379243562354</v>
      </c>
      <c r="CQ22" s="467"/>
      <c r="CR22" s="471"/>
      <c r="CS22" s="366">
        <f>SUM(K22:N22)</f>
        <v>111.387</v>
      </c>
      <c r="CT22" s="362">
        <f>SUM(O22:R22)</f>
        <v>122.786</v>
      </c>
      <c r="CU22" s="362">
        <f>SUM(S22:V22)</f>
        <v>124.17100000000001</v>
      </c>
      <c r="CV22" s="362">
        <f>SUM(W22:Z22)</f>
        <v>122.505</v>
      </c>
      <c r="CW22" s="362">
        <f>SUM(AA22:AD22)</f>
        <v>101.351</v>
      </c>
      <c r="CX22" s="362">
        <f>SUM(AE22:AH22)</f>
        <v>72.664000000000001</v>
      </c>
      <c r="CY22" s="362">
        <f>SUM(AI22:AL22)</f>
        <v>193.559</v>
      </c>
      <c r="CZ22" s="362">
        <f>SUM(AM22:AP22)</f>
        <v>213.08599999999996</v>
      </c>
      <c r="DA22" s="366">
        <f>SUM(AQ22:AT22)</f>
        <v>151.464</v>
      </c>
      <c r="DB22" s="362">
        <f>SUM(AU22:AX22)</f>
        <v>134.28700000000001</v>
      </c>
      <c r="DC22" s="366">
        <f>SUM(AY22:BB22)</f>
        <v>132.19099999999997</v>
      </c>
      <c r="DD22" s="362">
        <f>SUM(BC22:BF22)</f>
        <v>122.91500000000001</v>
      </c>
      <c r="DE22" s="362">
        <f>SUM(BG22:BJ22)</f>
        <v>168.00700000000001</v>
      </c>
      <c r="DF22" s="362">
        <f>SUM(BK22:BN22)</f>
        <v>195.239</v>
      </c>
      <c r="DG22" s="362">
        <f>SUM(BO22:BR22)</f>
        <v>190.61497694664001</v>
      </c>
      <c r="DH22" s="363">
        <f>SUM(BS22:BV22)</f>
        <v>198.33526474293285</v>
      </c>
    </row>
    <row r="23" spans="1:112" ht="14.25" customHeight="1">
      <c r="A23" s="472"/>
      <c r="B23" s="34" t="s">
        <v>98</v>
      </c>
      <c r="C23" s="239"/>
      <c r="D23" s="144"/>
      <c r="E23" s="90">
        <f t="shared" ref="E23:S23" si="66">E22/D22-1</f>
        <v>5.8349566141313813E-2</v>
      </c>
      <c r="F23" s="90">
        <f t="shared" si="66"/>
        <v>-0.12867062662093198</v>
      </c>
      <c r="G23" s="91">
        <f t="shared" si="66"/>
        <v>-4.7815650504080431E-2</v>
      </c>
      <c r="H23" s="144">
        <f t="shared" si="66"/>
        <v>1.557930825854581E-2</v>
      </c>
      <c r="I23" s="90">
        <f t="shared" si="66"/>
        <v>0.12267288884475991</v>
      </c>
      <c r="J23" s="90">
        <f t="shared" si="66"/>
        <v>4.9659502962766222E-2</v>
      </c>
      <c r="K23" s="91">
        <f t="shared" si="66"/>
        <v>5.9358806925896346E-2</v>
      </c>
      <c r="L23" s="144">
        <f t="shared" si="66"/>
        <v>0.19856040722182455</v>
      </c>
      <c r="M23" s="90">
        <f t="shared" si="66"/>
        <v>-3.1155645509140961E-2</v>
      </c>
      <c r="N23" s="90">
        <f t="shared" si="66"/>
        <v>-7.8698630136986192E-2</v>
      </c>
      <c r="O23" s="91">
        <f t="shared" si="66"/>
        <v>7.3488959928629916E-2</v>
      </c>
      <c r="P23" s="144">
        <f t="shared" si="66"/>
        <v>3.8159216039336474E-2</v>
      </c>
      <c r="Q23" s="90">
        <f t="shared" si="66"/>
        <v>8.7455388412661428E-2</v>
      </c>
      <c r="R23" s="90">
        <f t="shared" si="66"/>
        <v>-3.9260190779989657E-2</v>
      </c>
      <c r="S23" s="91">
        <f t="shared" si="66"/>
        <v>1.596271110686498E-4</v>
      </c>
      <c r="T23" s="144">
        <f>T22/S22-1</f>
        <v>-2.3014555669050196E-2</v>
      </c>
      <c r="U23" s="90">
        <f>U22/T22-1</f>
        <v>4.9792531120331995E-2</v>
      </c>
      <c r="V23" s="90">
        <f>V22/U22-1</f>
        <v>-6.305437116803092E-2</v>
      </c>
      <c r="W23" s="91">
        <f>W22/V22-1</f>
        <v>-6.6434147151636092E-3</v>
      </c>
      <c r="X23" s="144">
        <f t="shared" ref="X23:AO23" si="67">X22/W22-1</f>
        <v>1.2907540545059382E-2</v>
      </c>
      <c r="Y23" s="90">
        <f t="shared" si="67"/>
        <v>7.7448747152619513E-2</v>
      </c>
      <c r="Z23" s="90">
        <f t="shared" si="67"/>
        <v>-9.0847810766920944E-2</v>
      </c>
      <c r="AA23" s="91">
        <f t="shared" si="67"/>
        <v>-6.7133998382313154E-2</v>
      </c>
      <c r="AB23" s="144">
        <f t="shared" si="67"/>
        <v>2.7348265895953627E-2</v>
      </c>
      <c r="AC23" s="90">
        <f t="shared" si="67"/>
        <v>-1.9130006681436162E-2</v>
      </c>
      <c r="AD23" s="90">
        <f t="shared" si="67"/>
        <v>-0.37830279998565941</v>
      </c>
      <c r="AE23" s="91">
        <f t="shared" si="67"/>
        <v>-9.6649558848970529E-2</v>
      </c>
      <c r="AF23" s="144">
        <f t="shared" si="67"/>
        <v>5.4771784232364951E-2</v>
      </c>
      <c r="AG23" s="90">
        <f t="shared" si="67"/>
        <v>0.1677056224656539</v>
      </c>
      <c r="AH23" s="90">
        <f t="shared" si="67"/>
        <v>9.7854255208873031E-2</v>
      </c>
      <c r="AI23" s="91">
        <f t="shared" si="67"/>
        <v>9.3333962798602732E-2</v>
      </c>
      <c r="AJ23" s="144">
        <f t="shared" si="67"/>
        <v>1.3753184507103065</v>
      </c>
      <c r="AK23" s="90">
        <f t="shared" si="67"/>
        <v>0.1248500272677695</v>
      </c>
      <c r="AL23" s="90">
        <f t="shared" si="67"/>
        <v>-0.13520152558259801</v>
      </c>
      <c r="AM23" s="91">
        <f t="shared" si="67"/>
        <v>0.41218792046643715</v>
      </c>
      <c r="AN23" s="515">
        <f t="shared" si="67"/>
        <v>-0.32326747740475581</v>
      </c>
      <c r="AO23" s="429">
        <f t="shared" si="67"/>
        <v>-0.12647633946030512</v>
      </c>
      <c r="AP23" s="90">
        <f t="shared" ref="AP23:BN23" si="68">AP22/AO22-1</f>
        <v>-6.6417442693409767E-2</v>
      </c>
      <c r="AQ23" s="91">
        <f t="shared" si="68"/>
        <v>-1.1988970147458478E-4</v>
      </c>
      <c r="AR23" s="515">
        <f t="shared" si="68"/>
        <v>-2.3549160671462843E-2</v>
      </c>
      <c r="AS23" s="429">
        <f t="shared" si="68"/>
        <v>-0.10187140822240781</v>
      </c>
      <c r="AT23" s="429">
        <f t="shared" si="68"/>
        <v>-0.11194968553459128</v>
      </c>
      <c r="AU23" s="91">
        <f t="shared" si="68"/>
        <v>9.9765981032147177E-3</v>
      </c>
      <c r="AV23" s="515">
        <f t="shared" si="68"/>
        <v>3.6585365853658569E-2</v>
      </c>
      <c r="AW23" s="429">
        <f t="shared" si="68"/>
        <v>2.9029411764705859E-2</v>
      </c>
      <c r="AX23" s="429">
        <f t="shared" si="68"/>
        <v>-7.1083545316832031E-2</v>
      </c>
      <c r="AY23" s="91">
        <f t="shared" si="68"/>
        <v>1.9600000000000062E-2</v>
      </c>
      <c r="AZ23" s="515">
        <f t="shared" si="68"/>
        <v>7.3030147569181914E-3</v>
      </c>
      <c r="BA23" s="429">
        <f t="shared" si="68"/>
        <v>-2.6333922526139086E-2</v>
      </c>
      <c r="BB23" s="429">
        <f t="shared" si="68"/>
        <v>2.0769230769230651E-2</v>
      </c>
      <c r="BC23" s="367">
        <f t="shared" si="68"/>
        <v>7.5357950263765794E-4</v>
      </c>
      <c r="BD23" s="515">
        <f t="shared" si="68"/>
        <v>-4.2168674698795261E-2</v>
      </c>
      <c r="BE23" s="429">
        <f t="shared" si="68"/>
        <v>-5.031446540880502E-2</v>
      </c>
      <c r="BF23" s="429">
        <f t="shared" si="68"/>
        <v>-8.2284768211920545E-2</v>
      </c>
      <c r="BG23" s="367">
        <f t="shared" si="68"/>
        <v>-1.7968609056467688E-2</v>
      </c>
      <c r="BH23" s="515">
        <f t="shared" si="68"/>
        <v>0.74795164786714197</v>
      </c>
      <c r="BI23" s="429">
        <f t="shared" si="68"/>
        <v>-1.9842771261613379E-2</v>
      </c>
      <c r="BJ23" s="429">
        <f t="shared" si="68"/>
        <v>-9.4359854171144342E-4</v>
      </c>
      <c r="BK23" s="429">
        <f t="shared" si="68"/>
        <v>-2.3397587257974473E-2</v>
      </c>
      <c r="BL23" s="515">
        <f t="shared" si="68"/>
        <v>8.756813785827311E-2</v>
      </c>
      <c r="BM23" s="429">
        <f t="shared" si="68"/>
        <v>5.3092158447857862E-2</v>
      </c>
      <c r="BN23" s="429">
        <f t="shared" si="68"/>
        <v>-7.5824745235764879E-2</v>
      </c>
      <c r="BO23" s="1490">
        <v>-0.03</v>
      </c>
      <c r="BP23" s="954">
        <v>0.01</v>
      </c>
      <c r="BQ23" s="1490">
        <v>0.02</v>
      </c>
      <c r="BR23" s="1490">
        <v>0.01</v>
      </c>
      <c r="BS23" s="1350">
        <v>0</v>
      </c>
      <c r="BT23" s="1426">
        <v>0.01</v>
      </c>
      <c r="BU23" s="1426">
        <v>0.02</v>
      </c>
      <c r="BV23" s="1426">
        <v>0.01</v>
      </c>
      <c r="BW23" s="1350">
        <v>0</v>
      </c>
      <c r="BX23" s="20"/>
      <c r="BY23" s="240"/>
      <c r="BZ23" s="240"/>
      <c r="CA23" s="240"/>
      <c r="CB23" s="240"/>
      <c r="CC23" s="240"/>
      <c r="CD23" s="240"/>
      <c r="CE23" s="240"/>
      <c r="CF23" s="240"/>
      <c r="CG23" s="240"/>
      <c r="CH23" s="240"/>
      <c r="CI23" s="240"/>
      <c r="CJ23" s="1028"/>
      <c r="CK23" s="240"/>
      <c r="CL23" s="240"/>
      <c r="CM23" s="240"/>
      <c r="CN23" s="240"/>
      <c r="CO23" s="240"/>
      <c r="CP23" s="282"/>
      <c r="CQ23" s="22"/>
      <c r="CR23" s="232"/>
      <c r="CS23" s="22"/>
      <c r="CT23" s="14"/>
      <c r="CU23" s="14"/>
      <c r="CV23" s="14"/>
      <c r="CW23" s="14"/>
      <c r="CX23" s="14"/>
      <c r="CY23" s="14"/>
      <c r="CZ23" s="14"/>
      <c r="DA23" s="22"/>
      <c r="DB23" s="14"/>
      <c r="DC23" s="22"/>
      <c r="DD23" s="14"/>
      <c r="DE23" s="14"/>
      <c r="DF23" s="14"/>
      <c r="DG23" s="14"/>
      <c r="DH23" s="232"/>
    </row>
    <row r="24" spans="1:112" ht="14.25" customHeight="1">
      <c r="A24" s="472"/>
      <c r="B24" s="34" t="s">
        <v>220</v>
      </c>
      <c r="C24" s="239"/>
      <c r="D24" s="144"/>
      <c r="E24" s="90"/>
      <c r="F24" s="90"/>
      <c r="G24" s="91"/>
      <c r="H24" s="144"/>
      <c r="I24" s="90"/>
      <c r="J24" s="90"/>
      <c r="K24" s="91"/>
      <c r="L24" s="144"/>
      <c r="M24" s="90"/>
      <c r="N24" s="90"/>
      <c r="O24" s="91"/>
      <c r="P24" s="144"/>
      <c r="Q24" s="90"/>
      <c r="R24" s="90"/>
      <c r="S24" s="91"/>
      <c r="T24" s="144"/>
      <c r="U24" s="90"/>
      <c r="V24" s="90"/>
      <c r="W24" s="91"/>
      <c r="X24" s="144"/>
      <c r="Y24" s="90">
        <f t="shared" ref="Y24:AJ24" si="69">AVERAGE(U23,Q23,M23,I23,E23)</f>
        <v>5.7422945801985238E-2</v>
      </c>
      <c r="Z24" s="90">
        <f t="shared" si="69"/>
        <v>-5.2004863148634506E-2</v>
      </c>
      <c r="AA24" s="91">
        <f t="shared" si="69"/>
        <v>1.5709665749270175E-2</v>
      </c>
      <c r="AB24" s="144">
        <f t="shared" si="69"/>
        <v>4.8438383279143203E-2</v>
      </c>
      <c r="AC24" s="90">
        <f t="shared" si="69"/>
        <v>6.1242782004246377E-2</v>
      </c>
      <c r="AD24" s="90">
        <f t="shared" si="69"/>
        <v>-4.4440299977832297E-2</v>
      </c>
      <c r="AE24" s="91">
        <f t="shared" si="69"/>
        <v>1.184599617362363E-2</v>
      </c>
      <c r="AF24" s="144">
        <f t="shared" si="69"/>
        <v>5.0792174806624769E-2</v>
      </c>
      <c r="AG24" s="90">
        <f t="shared" si="69"/>
        <v>3.288220289900716E-2</v>
      </c>
      <c r="AH24" s="90">
        <f t="shared" si="69"/>
        <v>-0.13003276056751742</v>
      </c>
      <c r="AI24" s="91">
        <f t="shared" si="69"/>
        <v>-1.9355676981349747E-2</v>
      </c>
      <c r="AJ24" s="144">
        <f t="shared" si="69"/>
        <v>2.2034450208732848E-2</v>
      </c>
      <c r="AK24" s="90">
        <f t="shared" ref="AK24:BN24" si="70">AVERAGE(AG23,AC23,Y23,U23,Q23)</f>
        <v>7.2654456493966138E-2</v>
      </c>
      <c r="AL24" s="90">
        <f t="shared" si="70"/>
        <v>-9.4722183498345575E-2</v>
      </c>
      <c r="AM24" s="91">
        <f t="shared" si="70"/>
        <v>-1.5386676407355183E-2</v>
      </c>
      <c r="AN24" s="90">
        <f t="shared" si="70"/>
        <v>0.28946629714292682</v>
      </c>
      <c r="AO24" s="90">
        <f t="shared" si="70"/>
        <v>8.0133384264987756E-2</v>
      </c>
      <c r="AP24" s="90">
        <f t="shared" si="70"/>
        <v>-0.11391045045886725</v>
      </c>
      <c r="AQ24" s="91">
        <f t="shared" si="70"/>
        <v>6.7018982263718524E-2</v>
      </c>
      <c r="AR24" s="90">
        <f t="shared" si="70"/>
        <v>0.22941571279578574</v>
      </c>
      <c r="AS24" s="90">
        <f t="shared" si="70"/>
        <v>4.4879610148860327E-2</v>
      </c>
      <c r="AT24" s="90">
        <f t="shared" si="70"/>
        <v>-0.11458306476394302</v>
      </c>
      <c r="AU24" s="91">
        <f t="shared" si="70"/>
        <v>6.8323687266456323E-2</v>
      </c>
      <c r="AV24" s="90">
        <f t="shared" si="70"/>
        <v>0.2221243725524813</v>
      </c>
      <c r="AW24" s="90">
        <f t="shared" si="70"/>
        <v>9.0155790738548625E-3</v>
      </c>
      <c r="AX24" s="90">
        <f t="shared" si="70"/>
        <v>-0.11880343971747709</v>
      </c>
      <c r="AY24" s="91">
        <f t="shared" si="70"/>
        <v>8.3745806563561898E-2</v>
      </c>
      <c r="AZ24" s="144">
        <f t="shared" si="70"/>
        <v>0.22397179254402227</v>
      </c>
      <c r="BA24" s="90">
        <f t="shared" si="70"/>
        <v>1.8647462763083267E-2</v>
      </c>
      <c r="BB24" s="90">
        <f t="shared" si="70"/>
        <v>-5.7359588783711613E-2</v>
      </c>
      <c r="BC24" s="91">
        <f t="shared" si="70"/>
        <v>0.10699571833335601</v>
      </c>
      <c r="BD24" s="144">
        <f t="shared" si="70"/>
        <v>0.21447803864893294</v>
      </c>
      <c r="BE24" s="90">
        <f t="shared" si="70"/>
        <v>-2.0160446235275332E-2</v>
      </c>
      <c r="BF24" s="90">
        <f t="shared" si="70"/>
        <v>-7.2776593671640091E-2</v>
      </c>
      <c r="BG24" s="91">
        <f t="shared" si="70"/>
        <v>8.8479641674163001E-2</v>
      </c>
      <c r="BH24" s="144">
        <f t="shared" si="70"/>
        <v>-6.9019386432887436E-2</v>
      </c>
      <c r="BI24" s="90">
        <f t="shared" si="70"/>
        <v>-5.5193344770590236E-2</v>
      </c>
      <c r="BJ24" s="1347">
        <f t="shared" si="70"/>
        <v>-6.2193242197504592E-2</v>
      </c>
      <c r="BK24" s="1347">
        <f t="shared" si="70"/>
        <v>2.4483357695820329E-3</v>
      </c>
      <c r="BL24" s="1351">
        <f t="shared" si="70"/>
        <v>0.14522443862149212</v>
      </c>
      <c r="BM24" s="1347">
        <f t="shared" si="70"/>
        <v>-3.3866631130851886E-2</v>
      </c>
      <c r="BN24" s="1347">
        <f t="shared" si="70"/>
        <v>-4.9098473367164927E-2</v>
      </c>
      <c r="BO24" s="1347">
        <f t="shared" ref="BO24" si="71">AVERAGE(BK23,BG23,BC23,AY23,AU23)</f>
        <v>-2.2072037417179445E-3</v>
      </c>
      <c r="BP24" s="1351">
        <f t="shared" ref="BP24:BW24" si="72">AVERAGE(BL23,BH23,BD23,AZ23,AV23)</f>
        <v>0.16744789832743931</v>
      </c>
      <c r="BQ24" s="1347">
        <f t="shared" si="72"/>
        <v>-2.873917796798753E-3</v>
      </c>
      <c r="BR24" s="1347">
        <f t="shared" si="72"/>
        <v>-4.1873485307399649E-2</v>
      </c>
      <c r="BS24" s="1348">
        <f t="shared" si="72"/>
        <v>-1.0202523362360888E-2</v>
      </c>
      <c r="BT24" s="1347">
        <f t="shared" si="72"/>
        <v>0.1621308251567076</v>
      </c>
      <c r="BU24" s="1347">
        <f t="shared" si="72"/>
        <v>-4.679800149739924E-3</v>
      </c>
      <c r="BV24" s="1347">
        <f t="shared" si="72"/>
        <v>-2.5656776244033241E-2</v>
      </c>
      <c r="BW24" s="1348">
        <f t="shared" si="72"/>
        <v>-1.41225233623609E-2</v>
      </c>
      <c r="BX24" s="20"/>
      <c r="BY24" s="240"/>
      <c r="BZ24" s="240"/>
      <c r="CA24" s="240"/>
      <c r="CB24" s="240"/>
      <c r="CC24" s="240"/>
      <c r="CD24" s="240"/>
      <c r="CE24" s="240"/>
      <c r="CF24" s="240"/>
      <c r="CG24" s="240"/>
      <c r="CH24" s="240"/>
      <c r="CI24" s="240"/>
      <c r="CJ24" s="1028"/>
      <c r="CK24" s="240"/>
      <c r="CL24" s="240"/>
      <c r="CM24" s="240"/>
      <c r="CN24" s="240"/>
      <c r="CO24" s="240"/>
      <c r="CP24" s="282"/>
      <c r="CQ24" s="22"/>
      <c r="CR24" s="232"/>
      <c r="CS24" s="22"/>
      <c r="CT24" s="14"/>
      <c r="CU24" s="14"/>
      <c r="CV24" s="14"/>
      <c r="CW24" s="14"/>
      <c r="CX24" s="14"/>
      <c r="CY24" s="14"/>
      <c r="CZ24" s="14"/>
      <c r="DA24" s="22"/>
      <c r="DB24" s="14"/>
      <c r="DC24" s="22"/>
      <c r="DD24" s="14"/>
      <c r="DE24" s="14"/>
      <c r="DF24" s="14"/>
      <c r="DG24" s="14"/>
      <c r="DH24" s="232"/>
    </row>
    <row r="25" spans="1:112" ht="14.25" customHeight="1">
      <c r="A25" s="790"/>
      <c r="B25" s="791" t="s">
        <v>99</v>
      </c>
      <c r="C25" s="792"/>
      <c r="D25" s="515"/>
      <c r="E25" s="429"/>
      <c r="F25" s="429"/>
      <c r="G25" s="367"/>
      <c r="H25" s="515">
        <f t="shared" ref="H25:W25" si="73">H22/D22-1</f>
        <v>-0.10824331503453166</v>
      </c>
      <c r="I25" s="429">
        <f t="shared" si="73"/>
        <v>-5.404500962101555E-2</v>
      </c>
      <c r="J25" s="429">
        <f t="shared" si="73"/>
        <v>0.13955832933269319</v>
      </c>
      <c r="K25" s="367">
        <f t="shared" si="73"/>
        <v>0.26782293032166971</v>
      </c>
      <c r="L25" s="515">
        <f t="shared" si="73"/>
        <v>0.49625179963262656</v>
      </c>
      <c r="M25" s="429">
        <f t="shared" si="73"/>
        <v>0.2912355178208188</v>
      </c>
      <c r="N25" s="429">
        <f t="shared" si="73"/>
        <v>0.13333614188819154</v>
      </c>
      <c r="O25" s="367">
        <f t="shared" si="73"/>
        <v>0.14845303427980605</v>
      </c>
      <c r="P25" s="515">
        <f t="shared" si="73"/>
        <v>-5.2423769866285497E-3</v>
      </c>
      <c r="Q25" s="429">
        <f t="shared" si="73"/>
        <v>0.11654109589041095</v>
      </c>
      <c r="R25" s="429">
        <f t="shared" si="73"/>
        <v>0.16433722399821571</v>
      </c>
      <c r="S25" s="367">
        <f t="shared" si="73"/>
        <v>8.4802105336057476E-2</v>
      </c>
      <c r="T25" s="515">
        <f t="shared" si="73"/>
        <v>2.0879890597378159E-2</v>
      </c>
      <c r="U25" s="429">
        <f t="shared" si="73"/>
        <v>-1.4477195350121153E-2</v>
      </c>
      <c r="V25" s="429">
        <f t="shared" si="73"/>
        <v>-3.8885164256297289E-2</v>
      </c>
      <c r="W25" s="367">
        <f t="shared" si="73"/>
        <v>-4.542262512768136E-2</v>
      </c>
      <c r="X25" s="515">
        <f t="shared" ref="X25:AO25" si="74">X22/T22-1</f>
        <v>-1.0324435586630432E-2</v>
      </c>
      <c r="Y25" s="429">
        <f t="shared" si="74"/>
        <v>1.5748031496062964E-2</v>
      </c>
      <c r="Z25" s="429">
        <f t="shared" si="74"/>
        <v>-1.4382992858329224E-2</v>
      </c>
      <c r="AA25" s="367">
        <f t="shared" si="74"/>
        <v>-7.4402273867246183E-2</v>
      </c>
      <c r="AB25" s="515">
        <f t="shared" si="74"/>
        <v>-6.1206298900663536E-2</v>
      </c>
      <c r="AC25" s="429">
        <f t="shared" si="74"/>
        <v>-0.14535649722707356</v>
      </c>
      <c r="AD25" s="429">
        <f t="shared" si="74"/>
        <v>-0.41557697492585599</v>
      </c>
      <c r="AE25" s="367">
        <f t="shared" si="74"/>
        <v>-0.43406791907514453</v>
      </c>
      <c r="AF25" s="515">
        <f t="shared" si="74"/>
        <v>-0.41896121250483531</v>
      </c>
      <c r="AG25" s="429">
        <f t="shared" si="74"/>
        <v>-0.30828523285412113</v>
      </c>
      <c r="AH25" s="429">
        <f t="shared" si="74"/>
        <v>0.22149818349576123</v>
      </c>
      <c r="AI25" s="367">
        <f t="shared" si="74"/>
        <v>0.47839131822534298</v>
      </c>
      <c r="AJ25" s="515">
        <f t="shared" si="74"/>
        <v>2.3292985535314408</v>
      </c>
      <c r="AK25" s="429">
        <f t="shared" si="74"/>
        <v>2.2071110189696279</v>
      </c>
      <c r="AL25" s="429">
        <f t="shared" si="74"/>
        <v>1.5262959116230763</v>
      </c>
      <c r="AM25" s="367">
        <f t="shared" si="74"/>
        <v>2.2630510816529203</v>
      </c>
      <c r="AN25" s="515">
        <f t="shared" si="74"/>
        <v>-7.0350845300854337E-2</v>
      </c>
      <c r="AO25" s="429">
        <f t="shared" si="74"/>
        <v>-0.27806328582048556</v>
      </c>
      <c r="AP25" s="429">
        <f t="shared" ref="AP25:BN25" si="75">AP22/AL22-1</f>
        <v>-0.22064209896845566</v>
      </c>
      <c r="AQ25" s="367">
        <f t="shared" si="75"/>
        <v>-0.44818642565072964</v>
      </c>
      <c r="AR25" s="515">
        <f t="shared" si="75"/>
        <v>-0.20379350801720764</v>
      </c>
      <c r="AS25" s="429">
        <f t="shared" si="75"/>
        <v>-0.18136640401146131</v>
      </c>
      <c r="AT25" s="429">
        <f t="shared" si="75"/>
        <v>-0.22129241098189667</v>
      </c>
      <c r="AU25" s="367">
        <f t="shared" si="75"/>
        <v>-0.21342925659472434</v>
      </c>
      <c r="AV25" s="515">
        <f t="shared" si="75"/>
        <v>-0.16498845719337896</v>
      </c>
      <c r="AW25" s="429">
        <f t="shared" si="75"/>
        <v>-4.3286847142466445E-2</v>
      </c>
      <c r="AX25" s="429">
        <f t="shared" si="75"/>
        <v>7.3900726690490082E-4</v>
      </c>
      <c r="AY25" s="367">
        <f t="shared" si="75"/>
        <v>1.0274390243902642E-2</v>
      </c>
      <c r="AZ25" s="515">
        <f t="shared" si="75"/>
        <v>-1.8264705882352961E-2</v>
      </c>
      <c r="BA25" s="429">
        <f t="shared" si="75"/>
        <v>-7.1083545316832031E-2</v>
      </c>
      <c r="BB25" s="429">
        <f t="shared" si="75"/>
        <v>2.0769230769230651E-2</v>
      </c>
      <c r="BC25" s="367">
        <f t="shared" si="75"/>
        <v>1.9011980565530884E-3</v>
      </c>
      <c r="BD25" s="515">
        <f t="shared" si="75"/>
        <v>-4.7305191887114573E-2</v>
      </c>
      <c r="BE25" s="429">
        <f t="shared" si="75"/>
        <v>-7.0769230769230806E-2</v>
      </c>
      <c r="BF25" s="429">
        <f t="shared" si="75"/>
        <v>-0.16458176337603614</v>
      </c>
      <c r="BG25" s="367">
        <f t="shared" si="75"/>
        <v>-0.18021084337349413</v>
      </c>
      <c r="BH25" s="515">
        <f t="shared" si="75"/>
        <v>0.49603773584905642</v>
      </c>
      <c r="BI25" s="429">
        <f t="shared" si="75"/>
        <v>0.54403973509933778</v>
      </c>
      <c r="BJ25" s="429">
        <f t="shared" si="75"/>
        <v>0.68089482229839438</v>
      </c>
      <c r="BK25" s="429">
        <f t="shared" si="75"/>
        <v>0.67160230738141613</v>
      </c>
      <c r="BL25" s="515">
        <f t="shared" si="75"/>
        <v>4.0063900449825551E-2</v>
      </c>
      <c r="BM25" s="429">
        <f t="shared" si="75"/>
        <v>0.1174565730216599</v>
      </c>
      <c r="BN25" s="429">
        <f t="shared" si="75"/>
        <v>3.3701111922036731E-2</v>
      </c>
      <c r="BO25" s="429">
        <f t="shared" ref="BO25" si="76">BO22/BK22-1</f>
        <v>2.6712678037629667E-2</v>
      </c>
      <c r="BP25" s="515">
        <f t="shared" ref="BP25:BW25" si="77">BP22/BL22-1</f>
        <v>-4.6515092966855187E-2</v>
      </c>
      <c r="BQ25" s="429">
        <f t="shared" si="77"/>
        <v>-7.6477212965628261E-2</v>
      </c>
      <c r="BR25" s="429">
        <f t="shared" si="77"/>
        <v>9.2869400000001878E-3</v>
      </c>
      <c r="BS25" s="367">
        <f t="shared" si="77"/>
        <v>4.0502000000000038E-2</v>
      </c>
      <c r="BT25" s="429">
        <f t="shared" si="77"/>
        <v>4.050200000000026E-2</v>
      </c>
      <c r="BU25" s="429">
        <f t="shared" si="77"/>
        <v>4.0502000000000038E-2</v>
      </c>
      <c r="BV25" s="429">
        <f t="shared" si="77"/>
        <v>4.0502000000000038E-2</v>
      </c>
      <c r="BW25" s="367">
        <f t="shared" si="77"/>
        <v>4.0502000000000038E-2</v>
      </c>
      <c r="BX25" s="793"/>
      <c r="BY25" s="429"/>
      <c r="BZ25" s="369">
        <f>BZ22/BY22-1</f>
        <v>5.1423850937378113E-2</v>
      </c>
      <c r="CA25" s="369">
        <f>CA22/BZ22-1</f>
        <v>0.25621999127018769</v>
      </c>
      <c r="CB25" s="369">
        <f>CB22/CA22-1</f>
        <v>8.7864836692147508E-2</v>
      </c>
      <c r="CC25" s="369">
        <f>CC22/CB22-1</f>
        <v>-1.9858665708468171E-2</v>
      </c>
      <c r="CD25" s="369">
        <f t="shared" ref="CD25:CK25" si="78">CD22/CC22-1</f>
        <v>-2.0106233910124782E-2</v>
      </c>
      <c r="CE25" s="369">
        <f t="shared" si="78"/>
        <v>-0.25726637845028266</v>
      </c>
      <c r="CF25" s="369">
        <f t="shared" si="78"/>
        <v>-0.10273573923166468</v>
      </c>
      <c r="CG25" s="369">
        <f t="shared" si="78"/>
        <v>2.0685521095835724</v>
      </c>
      <c r="CH25" s="369">
        <f t="shared" si="78"/>
        <v>-0.27138379226650522</v>
      </c>
      <c r="CI25" s="369">
        <f t="shared" si="78"/>
        <v>-0.20451742859215349</v>
      </c>
      <c r="CJ25" s="1054">
        <f t="shared" si="78"/>
        <v>-5.5694284672147432E-2</v>
      </c>
      <c r="CK25" s="369">
        <f t="shared" si="78"/>
        <v>-1.7604587592108478E-2</v>
      </c>
      <c r="CL25" s="369">
        <f>CL22/CK22-1</f>
        <v>-0.11585282864790469</v>
      </c>
      <c r="CM25" s="369">
        <f>CM22/CL22-1</f>
        <v>0.59311394656723593</v>
      </c>
      <c r="CN25" s="369">
        <f>CN22/CM22-1</f>
        <v>5.4584456158809358E-2</v>
      </c>
      <c r="CO25" s="369">
        <f>CO22/CN22-1</f>
        <v>-2.0093430221946651E-2</v>
      </c>
      <c r="CP25" s="368">
        <f>CP22/CO22-1</f>
        <v>4.0502000000000038E-2</v>
      </c>
      <c r="CQ25" s="794"/>
      <c r="CR25" s="1523"/>
      <c r="CS25" s="794"/>
      <c r="CT25" s="369">
        <f>+CT22/CS22-1</f>
        <v>0.10233689748354835</v>
      </c>
      <c r="CU25" s="369">
        <f>+CU22/CT22-1</f>
        <v>1.1279787597934687E-2</v>
      </c>
      <c r="CV25" s="369">
        <f>+CV22/CU22-1</f>
        <v>-1.3416981420782736E-2</v>
      </c>
      <c r="CW25" s="369">
        <f>+CW22/CV22-1</f>
        <v>-0.17267866617689076</v>
      </c>
      <c r="CX25" s="369">
        <f t="shared" ref="CX25:DH25" si="79">+CX22/CW22-1</f>
        <v>-0.28304604789296606</v>
      </c>
      <c r="CY25" s="369">
        <f t="shared" si="79"/>
        <v>1.6637537157326872</v>
      </c>
      <c r="CZ25" s="369">
        <f t="shared" si="79"/>
        <v>0.10088396819574363</v>
      </c>
      <c r="DA25" s="1054">
        <f t="shared" si="79"/>
        <v>-0.28918840280450131</v>
      </c>
      <c r="DB25" s="369">
        <f t="shared" si="79"/>
        <v>-0.11340648602968362</v>
      </c>
      <c r="DC25" s="1054">
        <f t="shared" si="79"/>
        <v>-1.5608361196541964E-2</v>
      </c>
      <c r="DD25" s="369">
        <f t="shared" si="79"/>
        <v>-7.0171191684758938E-2</v>
      </c>
      <c r="DE25" s="369">
        <f t="shared" si="79"/>
        <v>0.36685514379855988</v>
      </c>
      <c r="DF25" s="369">
        <f t="shared" si="79"/>
        <v>0.16208848440838763</v>
      </c>
      <c r="DG25" s="369">
        <f t="shared" si="79"/>
        <v>-2.3683910762501315E-2</v>
      </c>
      <c r="DH25" s="368">
        <f t="shared" si="79"/>
        <v>4.0502000000000038E-2</v>
      </c>
    </row>
    <row r="26" spans="1:112" ht="14.25" customHeight="1">
      <c r="A26" s="472"/>
      <c r="B26" s="34" t="s">
        <v>100</v>
      </c>
      <c r="C26" s="239"/>
      <c r="D26" s="90">
        <f t="shared" ref="D26:O26" si="80">D22/D66</f>
        <v>0.14337581881886965</v>
      </c>
      <c r="E26" s="90">
        <f t="shared" si="80"/>
        <v>0.14334110818638063</v>
      </c>
      <c r="F26" s="90">
        <f t="shared" si="80"/>
        <v>0.12437751531581019</v>
      </c>
      <c r="G26" s="91">
        <f t="shared" si="80"/>
        <v>0.12422103502915442</v>
      </c>
      <c r="H26" s="90">
        <f t="shared" si="80"/>
        <v>0.12489227010906294</v>
      </c>
      <c r="I26" s="90">
        <f t="shared" si="80"/>
        <v>0.13421886684947118</v>
      </c>
      <c r="J26" s="90">
        <f t="shared" si="80"/>
        <v>0.13337866008866814</v>
      </c>
      <c r="K26" s="91">
        <f t="shared" si="80"/>
        <v>0.13129425032894051</v>
      </c>
      <c r="L26" s="90">
        <f t="shared" si="80"/>
        <v>0.14164727999060039</v>
      </c>
      <c r="M26" s="90">
        <f t="shared" si="80"/>
        <v>0.13230989514893923</v>
      </c>
      <c r="N26" s="90">
        <f t="shared" si="80"/>
        <v>0.13098391306041365</v>
      </c>
      <c r="O26" s="91">
        <f t="shared" si="80"/>
        <v>0.13878596521580333</v>
      </c>
      <c r="P26" s="90">
        <f t="shared" ref="P26:W26" si="81">P22/P66</f>
        <v>0.13719586138097353</v>
      </c>
      <c r="Q26" s="90">
        <f t="shared" si="81"/>
        <v>0.14343724977782471</v>
      </c>
      <c r="R26" s="90">
        <f t="shared" si="81"/>
        <v>0.13334837545126352</v>
      </c>
      <c r="S26" s="91">
        <f t="shared" si="81"/>
        <v>0.12679704701463543</v>
      </c>
      <c r="T26" s="90">
        <f t="shared" si="81"/>
        <v>0.11657278229108345</v>
      </c>
      <c r="U26" s="90">
        <f t="shared" si="81"/>
        <v>0.11992132390812664</v>
      </c>
      <c r="V26" s="90">
        <f t="shared" si="81"/>
        <v>0.11993832767605296</v>
      </c>
      <c r="W26" s="91">
        <f t="shared" si="81"/>
        <v>0.1158318356470005</v>
      </c>
      <c r="X26" s="90">
        <f t="shared" ref="X26:AO26" si="82">X22/X66</f>
        <v>0.1147073525402163</v>
      </c>
      <c r="Y26" s="90">
        <f t="shared" si="82"/>
        <v>0.12618356292553171</v>
      </c>
      <c r="Z26" s="90">
        <f t="shared" si="82"/>
        <v>0.11746634996041171</v>
      </c>
      <c r="AA26" s="91">
        <f t="shared" si="82"/>
        <v>0.10629065579184233</v>
      </c>
      <c r="AB26" s="90">
        <f t="shared" si="82"/>
        <v>0.10604015333442715</v>
      </c>
      <c r="AC26" s="90">
        <f t="shared" si="82"/>
        <v>0.10342002031842079</v>
      </c>
      <c r="AD26" s="90">
        <f t="shared" si="82"/>
        <v>9.0239688602562373E-2</v>
      </c>
      <c r="AE26" s="91">
        <f t="shared" si="82"/>
        <v>9.0416904757781968E-2</v>
      </c>
      <c r="AF26" s="90">
        <f t="shared" si="82"/>
        <v>8.5634027644610741E-2</v>
      </c>
      <c r="AG26" s="90">
        <f t="shared" si="82"/>
        <v>8.5122716303201701E-2</v>
      </c>
      <c r="AH26" s="90">
        <f t="shared" si="82"/>
        <v>8.4694460993446588E-2</v>
      </c>
      <c r="AI26" s="91">
        <f t="shared" si="82"/>
        <v>8.3299762607006708E-2</v>
      </c>
      <c r="AJ26" s="90">
        <f t="shared" si="82"/>
        <v>0.15403570178508924</v>
      </c>
      <c r="AK26" s="90">
        <f t="shared" si="82"/>
        <v>0.16186945910100425</v>
      </c>
      <c r="AL26" s="90">
        <f t="shared" si="82"/>
        <v>0.14548262212362437</v>
      </c>
      <c r="AM26" s="91">
        <f t="shared" si="82"/>
        <v>0.19887363974893743</v>
      </c>
      <c r="AN26" s="429">
        <f t="shared" si="82"/>
        <v>0.13655285481980309</v>
      </c>
      <c r="AO26" s="429">
        <f t="shared" si="82"/>
        <v>0.13115601200227833</v>
      </c>
      <c r="AP26" s="90">
        <f t="shared" ref="AP26:AU26" si="83">AP22/AP66</f>
        <v>0.12670283999076426</v>
      </c>
      <c r="AQ26" s="91">
        <f t="shared" si="83"/>
        <v>0.12304115239694198</v>
      </c>
      <c r="AR26" s="429">
        <f t="shared" si="83"/>
        <v>0.11563211731897517</v>
      </c>
      <c r="AS26" s="429">
        <f t="shared" si="83"/>
        <v>9.5408794201900349E-2</v>
      </c>
      <c r="AT26" s="429">
        <f t="shared" si="83"/>
        <v>7.8058488584222444E-2</v>
      </c>
      <c r="AU26" s="91">
        <f t="shared" si="83"/>
        <v>7.6243607624360749E-2</v>
      </c>
      <c r="AV26" s="429">
        <f t="shared" ref="AV26:BA26" si="84">AV22/AV66</f>
        <v>7.3465859982713919E-2</v>
      </c>
      <c r="AW26" s="429">
        <f t="shared" si="84"/>
        <v>7.1015225232356816E-2</v>
      </c>
      <c r="AX26" s="429">
        <f t="shared" si="84"/>
        <v>6.7371475953565504E-2</v>
      </c>
      <c r="AY26" s="91">
        <f t="shared" si="84"/>
        <v>6.7167597720067779E-2</v>
      </c>
      <c r="AZ26" s="515">
        <f t="shared" si="84"/>
        <v>6.3122521496907127E-2</v>
      </c>
      <c r="BA26" s="429">
        <f t="shared" si="84"/>
        <v>5.9491122094087502E-2</v>
      </c>
      <c r="BB26" s="429">
        <f t="shared" ref="BB26:BG26" si="85">BB22/BB66</f>
        <v>6.2747063607648798E-2</v>
      </c>
      <c r="BC26" s="367">
        <f t="shared" si="85"/>
        <v>6.0672514619883045E-2</v>
      </c>
      <c r="BD26" s="515">
        <f t="shared" si="85"/>
        <v>5.9539412095113271E-2</v>
      </c>
      <c r="BE26" s="429">
        <f t="shared" si="85"/>
        <v>5.3976764968722071E-2</v>
      </c>
      <c r="BF26" s="429">
        <f t="shared" si="85"/>
        <v>5.0207150918547203E-2</v>
      </c>
      <c r="BG26" s="367">
        <f t="shared" si="85"/>
        <v>4.7880331716035875E-2</v>
      </c>
      <c r="BH26" s="515">
        <f>BH22/BH66</f>
        <v>5.6367432150313146E-2</v>
      </c>
      <c r="BI26" s="429">
        <f t="shared" ref="BI26:BJ26" si="86">BI22/BI66</f>
        <v>5.3362476897812525E-2</v>
      </c>
      <c r="BJ26" s="429">
        <f t="shared" si="86"/>
        <v>5.286732555064929E-2</v>
      </c>
      <c r="BK26" s="429">
        <f t="shared" ref="BK26" si="87">BK22/BK66</f>
        <v>5.0401809750228767E-2</v>
      </c>
      <c r="BL26" s="515">
        <f>BL22/BL66</f>
        <v>5.0897966447254042E-2</v>
      </c>
      <c r="BM26" s="429">
        <f t="shared" ref="BM26:BN26" si="88">BM22/BM66</f>
        <v>5.1482059282371297E-2</v>
      </c>
      <c r="BN26" s="429">
        <f t="shared" si="88"/>
        <v>4.8434595795012914E-2</v>
      </c>
      <c r="BO26" s="1347">
        <f t="shared" ref="BO26" si="89">BO22/BO66</f>
        <v>4.7397052690414165E-2</v>
      </c>
      <c r="BP26" s="1351">
        <f t="shared" ref="BP26:BW26" si="90">BP22/BP66</f>
        <v>4.5844279777782521E-2</v>
      </c>
      <c r="BQ26" s="1347">
        <f t="shared" si="90"/>
        <v>4.5341371836633435E-2</v>
      </c>
      <c r="BR26" s="1347">
        <f t="shared" si="90"/>
        <v>4.6745669577236353E-2</v>
      </c>
      <c r="BS26" s="1348">
        <f t="shared" si="90"/>
        <v>4.71710009502894E-2</v>
      </c>
      <c r="BT26" s="1347">
        <f t="shared" si="90"/>
        <v>4.5817447528222574E-2</v>
      </c>
      <c r="BU26" s="1347">
        <f t="shared" si="90"/>
        <v>4.5562771691459662E-2</v>
      </c>
      <c r="BV26" s="1347">
        <f t="shared" si="90"/>
        <v>4.6695475849771573E-2</v>
      </c>
      <c r="BW26" s="1348">
        <f t="shared" si="90"/>
        <v>4.7121354291034437E-2</v>
      </c>
      <c r="BX26" s="20"/>
      <c r="BY26" s="369">
        <f>BY22/BY66</f>
        <v>0.13378830998584723</v>
      </c>
      <c r="BZ26" s="369">
        <f>BZ22/BZ66</f>
        <v>0.13105282727454737</v>
      </c>
      <c r="CA26" s="369">
        <f>CA22/CA66</f>
        <v>0.13592526471893981</v>
      </c>
      <c r="CB26" s="369">
        <f t="shared" ref="CB26:CK26" si="91">CB22/CB66</f>
        <v>0.13498161766687183</v>
      </c>
      <c r="CC26" s="369">
        <f t="shared" si="91"/>
        <v>0.11806427225535771</v>
      </c>
      <c r="CD26" s="369">
        <f t="shared" si="91"/>
        <v>0.11612986694498699</v>
      </c>
      <c r="CE26" s="369">
        <f t="shared" si="91"/>
        <v>9.8899918852824703E-2</v>
      </c>
      <c r="CF26" s="369">
        <f t="shared" si="91"/>
        <v>8.4579030503445604E-2</v>
      </c>
      <c r="CG26" s="369">
        <f t="shared" si="91"/>
        <v>0.16539011097999265</v>
      </c>
      <c r="CH26" s="369">
        <f t="shared" si="91"/>
        <v>0.12956919437584227</v>
      </c>
      <c r="CI26" s="369">
        <f t="shared" si="91"/>
        <v>9.0134597475214642E-2</v>
      </c>
      <c r="CJ26" s="1054">
        <f t="shared" si="91"/>
        <v>6.9709411215829173E-2</v>
      </c>
      <c r="CK26" s="369">
        <f t="shared" si="91"/>
        <v>6.1484690658840248E-2</v>
      </c>
      <c r="CL26" s="369">
        <f>CL22/CL66</f>
        <v>5.281359824141358E-2</v>
      </c>
      <c r="CM26" s="369">
        <f>CM22/CM66</f>
        <v>5.3198944736906742E-2</v>
      </c>
      <c r="CN26" s="369">
        <f>CN22/CN66</f>
        <v>4.9558864339396609E-2</v>
      </c>
      <c r="CO26" s="369">
        <f>CO22/CO66</f>
        <v>4.6269817737193353E-2</v>
      </c>
      <c r="CP26" s="368">
        <f>CP22/CP66</f>
        <v>4.6295982085817186E-2</v>
      </c>
      <c r="CQ26" s="22"/>
      <c r="CR26" s="232"/>
      <c r="CS26" s="353">
        <f>CS22/CS$66</f>
        <v>0.13414027604329118</v>
      </c>
      <c r="CT26" s="314">
        <f>CT22/CT$66</f>
        <v>0.13814744308081423</v>
      </c>
      <c r="CU26" s="314">
        <f>CU22/CU$66</f>
        <v>0.12072232533223408</v>
      </c>
      <c r="CV26" s="314">
        <f t="shared" ref="CV26:DC26" si="92">CV22/CV$66</f>
        <v>0.11853468086444538</v>
      </c>
      <c r="CW26" s="314">
        <f t="shared" si="92"/>
        <v>0.10232699487713814</v>
      </c>
      <c r="CX26" s="314">
        <f t="shared" si="92"/>
        <v>8.620080145961502E-2</v>
      </c>
      <c r="CY26" s="314">
        <f t="shared" si="92"/>
        <v>0.13972957754612919</v>
      </c>
      <c r="CZ26" s="314">
        <f t="shared" si="92"/>
        <v>0.14961277865543265</v>
      </c>
      <c r="DA26" s="353">
        <f t="shared" si="92"/>
        <v>0.1016270908956716</v>
      </c>
      <c r="DB26" s="314">
        <f t="shared" si="92"/>
        <v>7.1885460333638643E-2</v>
      </c>
      <c r="DC26" s="353">
        <f t="shared" si="92"/>
        <v>6.3033490609897658E-2</v>
      </c>
      <c r="DD26" s="314">
        <f>DD22/DD$66</f>
        <v>5.6053571371567024E-2</v>
      </c>
      <c r="DE26" s="314">
        <f>DE22/DE$66</f>
        <v>5.3041587291765196E-2</v>
      </c>
      <c r="DF26" s="314">
        <f>DF22/DF$66</f>
        <v>5.0303849794676579E-2</v>
      </c>
      <c r="DG26" s="314">
        <f>DG22/DG$66</f>
        <v>4.6314131260941922E-2</v>
      </c>
      <c r="DH26" s="315">
        <f>DH22/DH$66</f>
        <v>4.6299665215843819E-2</v>
      </c>
    </row>
    <row r="27" spans="1:112" ht="14.25" customHeight="1">
      <c r="A27" s="472"/>
      <c r="B27" s="34"/>
      <c r="C27" s="239"/>
      <c r="D27" s="90"/>
      <c r="E27" s="90"/>
      <c r="F27" s="90"/>
      <c r="G27" s="91"/>
      <c r="H27" s="90"/>
      <c r="I27" s="90"/>
      <c r="J27" s="90"/>
      <c r="K27" s="91"/>
      <c r="L27" s="90"/>
      <c r="M27" s="90"/>
      <c r="N27" s="90"/>
      <c r="O27" s="91"/>
      <c r="P27" s="90"/>
      <c r="Q27" s="90"/>
      <c r="R27" s="90"/>
      <c r="S27" s="91"/>
      <c r="T27" s="90"/>
      <c r="U27" s="90"/>
      <c r="V27" s="90"/>
      <c r="W27" s="91"/>
      <c r="X27" s="90"/>
      <c r="Y27" s="90"/>
      <c r="Z27" s="90"/>
      <c r="AA27" s="91"/>
      <c r="AB27" s="90"/>
      <c r="AC27" s="90"/>
      <c r="AD27" s="90"/>
      <c r="AE27" s="91"/>
      <c r="AF27" s="90"/>
      <c r="AG27" s="90"/>
      <c r="AH27" s="90"/>
      <c r="AI27" s="91"/>
      <c r="AJ27" s="90"/>
      <c r="AK27" s="90"/>
      <c r="AL27" s="90"/>
      <c r="AM27" s="91"/>
      <c r="AN27" s="90"/>
      <c r="AO27" s="90"/>
      <c r="AP27" s="90"/>
      <c r="AQ27" s="91"/>
      <c r="AR27" s="90"/>
      <c r="AS27" s="90"/>
      <c r="AT27" s="90"/>
      <c r="AU27" s="91"/>
      <c r="AV27" s="90"/>
      <c r="AW27" s="90"/>
      <c r="AX27" s="90"/>
      <c r="AY27" s="91"/>
      <c r="AZ27" s="144"/>
      <c r="BA27" s="90"/>
      <c r="BB27" s="90"/>
      <c r="BC27" s="91"/>
      <c r="BD27" s="144"/>
      <c r="BE27" s="90"/>
      <c r="BF27" s="90"/>
      <c r="BG27" s="91"/>
      <c r="BH27" s="144"/>
      <c r="BI27" s="90"/>
      <c r="BJ27" s="1347"/>
      <c r="BK27" s="1347"/>
      <c r="BL27" s="1351"/>
      <c r="BM27" s="1347"/>
      <c r="BN27" s="1347"/>
      <c r="BO27" s="1490"/>
      <c r="BP27" s="954"/>
      <c r="BQ27" s="1490"/>
      <c r="BR27" s="1490"/>
      <c r="BS27" s="1350"/>
      <c r="BT27" s="1426"/>
      <c r="BU27" s="1426"/>
      <c r="BV27" s="1426"/>
      <c r="BW27" s="1350"/>
      <c r="BX27" s="20"/>
      <c r="BY27" s="240"/>
      <c r="BZ27" s="240"/>
      <c r="CA27" s="240"/>
      <c r="CB27" s="240"/>
      <c r="CC27" s="240"/>
      <c r="CD27" s="240"/>
      <c r="CE27" s="240"/>
      <c r="CF27" s="240"/>
      <c r="CG27" s="240"/>
      <c r="CH27" s="240"/>
      <c r="CI27" s="240"/>
      <c r="CJ27" s="1028"/>
      <c r="CK27" s="240"/>
      <c r="CL27" s="240"/>
      <c r="CM27" s="240"/>
      <c r="CN27" s="240"/>
      <c r="CO27" s="240"/>
      <c r="CP27" s="282"/>
      <c r="CQ27" s="22"/>
      <c r="CR27" s="232"/>
      <c r="CS27" s="22"/>
      <c r="CT27" s="14"/>
      <c r="CU27" s="14"/>
      <c r="CV27" s="14"/>
      <c r="CW27" s="14"/>
      <c r="CX27" s="14"/>
      <c r="CY27" s="14"/>
      <c r="CZ27" s="14"/>
      <c r="DA27" s="22"/>
      <c r="DB27" s="14"/>
      <c r="DC27" s="22"/>
      <c r="DD27" s="14"/>
      <c r="DE27" s="14"/>
      <c r="DF27" s="14"/>
      <c r="DG27" s="14"/>
      <c r="DH27" s="232"/>
    </row>
    <row r="28" spans="1:112" ht="14.25" customHeight="1">
      <c r="A28" s="472"/>
      <c r="B28" s="44" t="str">
        <f>$B$111&amp;" Gross Margin"</f>
        <v>Memory Gross Margin</v>
      </c>
      <c r="C28" s="239"/>
      <c r="D28" s="433">
        <f t="shared" ref="D28:O28" si="93">D88*D26</f>
        <v>11.809436068653838</v>
      </c>
      <c r="E28" s="370">
        <f t="shared" si="93"/>
        <v>12.94370206923017</v>
      </c>
      <c r="F28" s="370">
        <f t="shared" si="93"/>
        <v>11.55392490774687</v>
      </c>
      <c r="G28" s="371">
        <f t="shared" si="93"/>
        <v>10.766733990116936</v>
      </c>
      <c r="H28" s="433">
        <f t="shared" si="93"/>
        <v>6.9341437287252816</v>
      </c>
      <c r="I28" s="370">
        <f t="shared" si="93"/>
        <v>12.239955343470672</v>
      </c>
      <c r="J28" s="370">
        <f t="shared" si="93"/>
        <v>12.940264223142497</v>
      </c>
      <c r="K28" s="371">
        <f t="shared" si="93"/>
        <v>13.946731741191709</v>
      </c>
      <c r="L28" s="433">
        <f t="shared" si="93"/>
        <v>17.204336980378333</v>
      </c>
      <c r="M28" s="370">
        <f t="shared" si="93"/>
        <v>16.720927619237493</v>
      </c>
      <c r="N28" s="370">
        <f t="shared" si="93"/>
        <v>15.297349238499587</v>
      </c>
      <c r="O28" s="371">
        <f t="shared" si="93"/>
        <v>16.564243734471351</v>
      </c>
      <c r="P28" s="433">
        <f t="shared" ref="P28:AT28" si="94">P88*P26</f>
        <v>17.493158305381026</v>
      </c>
      <c r="Q28" s="370">
        <f t="shared" si="94"/>
        <v>19.300342581104978</v>
      </c>
      <c r="R28" s="370">
        <f t="shared" si="94"/>
        <v>18.704776624548732</v>
      </c>
      <c r="S28" s="371">
        <f t="shared" si="94"/>
        <v>18.835194145836034</v>
      </c>
      <c r="T28" s="433">
        <f t="shared" si="94"/>
        <v>18.474920828620075</v>
      </c>
      <c r="U28" s="370">
        <f t="shared" si="94"/>
        <v>19.422577541484099</v>
      </c>
      <c r="V28" s="370">
        <f t="shared" si="94"/>
        <v>17.955967036381885</v>
      </c>
      <c r="W28" s="371">
        <f t="shared" si="94"/>
        <v>17.907717622861924</v>
      </c>
      <c r="X28" s="433">
        <f t="shared" si="94"/>
        <v>18.186277208488594</v>
      </c>
      <c r="Y28" s="370">
        <f t="shared" si="94"/>
        <v>19.52211138733486</v>
      </c>
      <c r="Z28" s="370">
        <f t="shared" si="94"/>
        <v>17.977872462391129</v>
      </c>
      <c r="AA28" s="371">
        <f t="shared" si="94"/>
        <v>16.861311890883115</v>
      </c>
      <c r="AB28" s="433">
        <f t="shared" si="94"/>
        <v>17.347850965052281</v>
      </c>
      <c r="AC28" s="370">
        <f t="shared" si="94"/>
        <v>16.97670659532973</v>
      </c>
      <c r="AD28" s="370">
        <f t="shared" si="94"/>
        <v>9.4559462495967033</v>
      </c>
      <c r="AE28" s="371">
        <f t="shared" si="94"/>
        <v>7.5920362417966771</v>
      </c>
      <c r="AF28" s="433">
        <f t="shared" si="94"/>
        <v>8.2581174559080388</v>
      </c>
      <c r="AG28" s="370">
        <f t="shared" si="94"/>
        <v>10.499035828836899</v>
      </c>
      <c r="AH28" s="370">
        <f t="shared" si="94"/>
        <v>12.365052527199227</v>
      </c>
      <c r="AI28" s="371">
        <f t="shared" si="94"/>
        <v>14.033594306165032</v>
      </c>
      <c r="AJ28" s="433">
        <f t="shared" si="94"/>
        <v>31.953628085404269</v>
      </c>
      <c r="AK28" s="370">
        <f t="shared" si="94"/>
        <v>36.421437645021463</v>
      </c>
      <c r="AL28" s="370">
        <f t="shared" si="94"/>
        <v>31.482002979685944</v>
      </c>
      <c r="AM28" s="371">
        <f t="shared" si="94"/>
        <v>44.86410326460252</v>
      </c>
      <c r="AN28" s="514">
        <f t="shared" si="94"/>
        <v>30.007216740942091</v>
      </c>
      <c r="AO28" s="431">
        <f t="shared" si="94"/>
        <v>25.79878102888415</v>
      </c>
      <c r="AP28" s="370">
        <f t="shared" si="94"/>
        <v>23.501856384206882</v>
      </c>
      <c r="AQ28" s="371">
        <f t="shared" si="94"/>
        <v>23.43380267975958</v>
      </c>
      <c r="AR28" s="514">
        <f t="shared" si="94"/>
        <v>23.482454753020161</v>
      </c>
      <c r="AS28" s="431">
        <f t="shared" si="94"/>
        <v>18.527910790038039</v>
      </c>
      <c r="AT28" s="431">
        <f t="shared" si="94"/>
        <v>15.645106749958538</v>
      </c>
      <c r="AU28" s="371">
        <f t="shared" ref="AU28:AZ28" si="95">AU88*AU26</f>
        <v>18.356182240818228</v>
      </c>
      <c r="AV28" s="514">
        <f t="shared" si="95"/>
        <v>19.584088159031978</v>
      </c>
      <c r="AW28" s="431">
        <f t="shared" si="95"/>
        <v>20.513671006294281</v>
      </c>
      <c r="AX28" s="431">
        <f t="shared" si="95"/>
        <v>19.047263681592042</v>
      </c>
      <c r="AY28" s="371">
        <f t="shared" si="95"/>
        <v>19.517963551083625</v>
      </c>
      <c r="AZ28" s="514">
        <f t="shared" si="95"/>
        <v>19.348252166710477</v>
      </c>
      <c r="BA28" s="431">
        <f t="shared" ref="BA28:BF28" si="96">BA88*BA26</f>
        <v>18.290783452315583</v>
      </c>
      <c r="BB28" s="431">
        <f t="shared" si="96"/>
        <v>18.947040579902026</v>
      </c>
      <c r="BC28" s="430">
        <f t="shared" si="96"/>
        <v>19.028842105263159</v>
      </c>
      <c r="BD28" s="514">
        <f t="shared" si="96"/>
        <v>18.398690507395617</v>
      </c>
      <c r="BE28" s="431">
        <f t="shared" si="96"/>
        <v>16.244307417336902</v>
      </c>
      <c r="BF28" s="431">
        <f t="shared" si="96"/>
        <v>14.696536802575304</v>
      </c>
      <c r="BG28" s="430">
        <f>BG88*BG26</f>
        <v>14.494908581058974</v>
      </c>
      <c r="BH28" s="514">
        <f>BH88*BH26</f>
        <v>19.643486430062627</v>
      </c>
      <c r="BI28" s="431">
        <f t="shared" ref="BI28:BJ28" si="97">BI88*BI26</f>
        <v>21.911753626256679</v>
      </c>
      <c r="BJ28" s="431">
        <f t="shared" si="97"/>
        <v>24.596999018369537</v>
      </c>
      <c r="BK28" s="431">
        <f t="shared" ref="BK28" si="98">BK88*BK26</f>
        <v>26.855394681975394</v>
      </c>
      <c r="BL28" s="514">
        <f>BL88*BL26</f>
        <v>29.746756612466704</v>
      </c>
      <c r="BM28" s="431">
        <f t="shared" ref="BM28:BN28" si="99">BM88*BM26</f>
        <v>31.614823712948521</v>
      </c>
      <c r="BN28" s="431">
        <f t="shared" si="99"/>
        <v>29.402657288724743</v>
      </c>
      <c r="BO28" s="370">
        <f t="shared" ref="BO28" si="100">BO31*BO22</f>
        <v>17.61016764</v>
      </c>
      <c r="BP28" s="433">
        <f t="shared" ref="BP28:BW28" si="101">BP31*BP22</f>
        <v>17.833447749600001</v>
      </c>
      <c r="BQ28" s="370">
        <f t="shared" si="101"/>
        <v>18.238238706456002</v>
      </c>
      <c r="BR28" s="370">
        <f t="shared" si="101"/>
        <v>18.420621093520563</v>
      </c>
      <c r="BS28" s="371">
        <f t="shared" si="101"/>
        <v>18.274811427872642</v>
      </c>
      <c r="BT28" s="370">
        <f t="shared" si="101"/>
        <v>18.506648796252836</v>
      </c>
      <c r="BU28" s="370">
        <f t="shared" si="101"/>
        <v>18.926852811361389</v>
      </c>
      <c r="BV28" s="370">
        <f t="shared" si="101"/>
        <v>19.116121339475001</v>
      </c>
      <c r="BW28" s="371">
        <f t="shared" si="101"/>
        <v>18.964406090749009</v>
      </c>
      <c r="BX28" s="286"/>
      <c r="BY28" s="362">
        <f>SUM(D28:G28)</f>
        <v>47.073797035747816</v>
      </c>
      <c r="BZ28" s="362">
        <f>SUM(H28:K28)</f>
        <v>46.061095036530162</v>
      </c>
      <c r="CA28" s="362">
        <f>SUM(L28:O28)</f>
        <v>65.786857572586769</v>
      </c>
      <c r="CB28" s="362">
        <f>SUM(P28:S28)</f>
        <v>74.333471656870756</v>
      </c>
      <c r="CC28" s="362">
        <f>SUM(T28:W28)</f>
        <v>73.76118302934799</v>
      </c>
      <c r="CD28" s="362">
        <f>SUM(X28:AA28)</f>
        <v>72.547572949097699</v>
      </c>
      <c r="CE28" s="362">
        <f>SUM(AB28:AE28)</f>
        <v>51.372540051775388</v>
      </c>
      <c r="CF28" s="362">
        <f>SUM(AF28:AI28)</f>
        <v>45.155800118109198</v>
      </c>
      <c r="CG28" s="362">
        <f>SUM(AJ28:AM28)</f>
        <v>144.7211719747142</v>
      </c>
      <c r="CH28" s="362">
        <f>SUM(AN28:AQ28)</f>
        <v>102.7416568337927</v>
      </c>
      <c r="CI28" s="362">
        <f>SUM(AR28:AU28)</f>
        <v>76.011654533834957</v>
      </c>
      <c r="CJ28" s="366">
        <f>SUM(AV28:AY28)</f>
        <v>78.662986398001919</v>
      </c>
      <c r="CK28" s="362">
        <f>SUM(AZ28:BC28)</f>
        <v>75.614918304191235</v>
      </c>
      <c r="CL28" s="362">
        <f>SUM(BD28:BG28)</f>
        <v>63.834443308366794</v>
      </c>
      <c r="CM28" s="362">
        <f>SUM(BH28:BK28)</f>
        <v>93.007633756664248</v>
      </c>
      <c r="CN28" s="362">
        <f>SUM(BL28:BO28)</f>
        <v>108.37440525413997</v>
      </c>
      <c r="CO28" s="362">
        <f>SUM(BP28:BS28)</f>
        <v>72.767118977449201</v>
      </c>
      <c r="CP28" s="363">
        <f>SUM(BT28:BW28)</f>
        <v>75.514029037838242</v>
      </c>
      <c r="CQ28" s="22"/>
      <c r="CR28" s="232"/>
      <c r="CS28" s="22"/>
      <c r="CT28" s="14"/>
      <c r="CU28" s="14"/>
      <c r="CV28" s="14"/>
      <c r="CW28" s="14"/>
      <c r="CX28" s="14"/>
      <c r="CY28" s="14"/>
      <c r="CZ28" s="14"/>
      <c r="DA28" s="22"/>
      <c r="DB28" s="14"/>
      <c r="DC28" s="22"/>
      <c r="DD28" s="14"/>
      <c r="DE28" s="14"/>
      <c r="DF28" s="14"/>
      <c r="DG28" s="14"/>
      <c r="DH28" s="232"/>
    </row>
    <row r="29" spans="1:112" ht="14.25" customHeight="1">
      <c r="A29" s="472"/>
      <c r="B29" s="34" t="s">
        <v>98</v>
      </c>
      <c r="C29" s="239"/>
      <c r="D29" s="144"/>
      <c r="E29" s="90">
        <f t="shared" ref="E29:S29" si="102">E28/D28-1</f>
        <v>9.6047431391499849E-2</v>
      </c>
      <c r="F29" s="90">
        <f t="shared" si="102"/>
        <v>-0.10737091707225588</v>
      </c>
      <c r="G29" s="91">
        <f t="shared" si="102"/>
        <v>-6.8131905297577733E-2</v>
      </c>
      <c r="H29" s="144">
        <f t="shared" si="102"/>
        <v>-0.35596590989520949</v>
      </c>
      <c r="I29" s="90">
        <f t="shared" si="102"/>
        <v>0.76517185427893764</v>
      </c>
      <c r="J29" s="90">
        <f t="shared" si="102"/>
        <v>5.7214986494652509E-2</v>
      </c>
      <c r="K29" s="91">
        <f t="shared" si="102"/>
        <v>7.7777972744114132E-2</v>
      </c>
      <c r="L29" s="144">
        <f t="shared" si="102"/>
        <v>0.23357481162165605</v>
      </c>
      <c r="M29" s="90">
        <f t="shared" si="102"/>
        <v>-2.8098110475990534E-2</v>
      </c>
      <c r="N29" s="90">
        <f t="shared" si="102"/>
        <v>-8.5137524254340624E-2</v>
      </c>
      <c r="O29" s="91">
        <f t="shared" si="102"/>
        <v>8.2817910228741409E-2</v>
      </c>
      <c r="P29" s="144">
        <f t="shared" si="102"/>
        <v>5.6079503888036841E-2</v>
      </c>
      <c r="Q29" s="90">
        <f t="shared" si="102"/>
        <v>0.10330806159617545</v>
      </c>
      <c r="R29" s="90">
        <f t="shared" si="102"/>
        <v>-3.0857791982371596E-2</v>
      </c>
      <c r="S29" s="91">
        <f t="shared" si="102"/>
        <v>6.9724180034387295E-3</v>
      </c>
      <c r="T29" s="144">
        <f>T28/S28-1</f>
        <v>-1.9127666772450369E-2</v>
      </c>
      <c r="U29" s="90">
        <f>U28/T28-1</f>
        <v>5.1294223215072154E-2</v>
      </c>
      <c r="V29" s="90">
        <f>V28/U28-1</f>
        <v>-7.5510601101719033E-2</v>
      </c>
      <c r="W29" s="91">
        <f>W28/V28-1</f>
        <v>-2.6870963519926017E-3</v>
      </c>
      <c r="X29" s="144">
        <f t="shared" ref="X29:AO29" si="103">X28/W28-1</f>
        <v>1.5555281331387949E-2</v>
      </c>
      <c r="Y29" s="90">
        <f t="shared" si="103"/>
        <v>7.3452865780730292E-2</v>
      </c>
      <c r="Z29" s="90">
        <f t="shared" si="103"/>
        <v>-7.9102044563969076E-2</v>
      </c>
      <c r="AA29" s="91">
        <f t="shared" si="103"/>
        <v>-6.2107492076373672E-2</v>
      </c>
      <c r="AB29" s="144">
        <f t="shared" si="103"/>
        <v>2.8855351073378666E-2</v>
      </c>
      <c r="AC29" s="90">
        <f t="shared" si="103"/>
        <v>-2.1394256295504843E-2</v>
      </c>
      <c r="AD29" s="90">
        <f t="shared" si="103"/>
        <v>-0.44300467252005038</v>
      </c>
      <c r="AE29" s="91">
        <f t="shared" si="103"/>
        <v>-0.19711512297138134</v>
      </c>
      <c r="AF29" s="144">
        <f t="shared" si="103"/>
        <v>8.7734198428132348E-2</v>
      </c>
      <c r="AG29" s="90">
        <f t="shared" si="103"/>
        <v>0.27135946962411595</v>
      </c>
      <c r="AH29" s="90">
        <f t="shared" si="103"/>
        <v>0.17773219644008487</v>
      </c>
      <c r="AI29" s="91">
        <f t="shared" si="103"/>
        <v>0.13494012866468119</v>
      </c>
      <c r="AJ29" s="144">
        <f t="shared" si="103"/>
        <v>1.2769382802641567</v>
      </c>
      <c r="AK29" s="90">
        <f t="shared" si="103"/>
        <v>0.13982166743869673</v>
      </c>
      <c r="AL29" s="90">
        <f t="shared" si="103"/>
        <v>-0.13561888230435359</v>
      </c>
      <c r="AM29" s="91">
        <f t="shared" si="103"/>
        <v>0.42507143822937499</v>
      </c>
      <c r="AN29" s="515">
        <f t="shared" si="103"/>
        <v>-0.33115309217341282</v>
      </c>
      <c r="AO29" s="429">
        <f t="shared" si="103"/>
        <v>-0.14024745275078832</v>
      </c>
      <c r="AP29" s="90">
        <f t="shared" ref="AP29:BN29" si="104">AP28/AO28-1</f>
        <v>-8.9032293506644655E-2</v>
      </c>
      <c r="AQ29" s="91">
        <f t="shared" si="104"/>
        <v>-2.8956735729621652E-3</v>
      </c>
      <c r="AR29" s="515">
        <f t="shared" si="104"/>
        <v>2.0761493098431227E-3</v>
      </c>
      <c r="AS29" s="429">
        <f t="shared" si="104"/>
        <v>-0.2109891838435205</v>
      </c>
      <c r="AT29" s="429">
        <f t="shared" si="104"/>
        <v>-0.15559250434374428</v>
      </c>
      <c r="AU29" s="91">
        <f t="shared" si="104"/>
        <v>0.17328584164929883</v>
      </c>
      <c r="AV29" s="515">
        <f t="shared" si="104"/>
        <v>6.6893317036441413E-2</v>
      </c>
      <c r="AW29" s="429">
        <f t="shared" si="104"/>
        <v>4.7466230733524739E-2</v>
      </c>
      <c r="AX29" s="429">
        <f t="shared" si="104"/>
        <v>-7.1484393225000775E-2</v>
      </c>
      <c r="AY29" s="91">
        <f t="shared" si="104"/>
        <v>2.4712204196893905E-2</v>
      </c>
      <c r="AZ29" s="515">
        <f t="shared" si="104"/>
        <v>-8.6951378881802155E-3</v>
      </c>
      <c r="BA29" s="429">
        <f t="shared" si="104"/>
        <v>-5.4654482755518097E-2</v>
      </c>
      <c r="BB29" s="429">
        <f t="shared" si="104"/>
        <v>3.5879115254812133E-2</v>
      </c>
      <c r="BC29" s="367">
        <f t="shared" si="104"/>
        <v>4.3173774297977641E-3</v>
      </c>
      <c r="BD29" s="515">
        <f t="shared" si="104"/>
        <v>-3.3115603901787027E-2</v>
      </c>
      <c r="BE29" s="429">
        <f t="shared" si="104"/>
        <v>-0.1170943708843154</v>
      </c>
      <c r="BF29" s="429">
        <f t="shared" si="104"/>
        <v>-9.5280800528911636E-2</v>
      </c>
      <c r="BG29" s="367">
        <f t="shared" si="104"/>
        <v>-1.3719437730458917E-2</v>
      </c>
      <c r="BH29" s="515">
        <f t="shared" si="104"/>
        <v>0.35519905629011594</v>
      </c>
      <c r="BI29" s="429">
        <f t="shared" si="104"/>
        <v>0.11547172159432306</v>
      </c>
      <c r="BJ29" s="429">
        <f t="shared" si="104"/>
        <v>0.12254817382097394</v>
      </c>
      <c r="BK29" s="429">
        <f t="shared" si="104"/>
        <v>9.1815902497668134E-2</v>
      </c>
      <c r="BL29" s="515">
        <f t="shared" si="104"/>
        <v>0.10766410118827685</v>
      </c>
      <c r="BM29" s="429">
        <f t="shared" si="104"/>
        <v>6.2799017883479857E-2</v>
      </c>
      <c r="BN29" s="429">
        <f t="shared" si="104"/>
        <v>-6.9972442178057648E-2</v>
      </c>
      <c r="BO29" s="1347">
        <f t="shared" ref="BO29" si="105">BO28/BN28-1</f>
        <v>-0.40106883989859299</v>
      </c>
      <c r="BP29" s="1351">
        <f t="shared" ref="BP29:BW29" si="106">BP28/BO28-1</f>
        <v>1.2679045092838237E-2</v>
      </c>
      <c r="BQ29" s="1347">
        <f t="shared" si="106"/>
        <v>2.2698412698412662E-2</v>
      </c>
      <c r="BR29" s="1347">
        <f t="shared" si="106"/>
        <v>1.0000000000000009E-2</v>
      </c>
      <c r="BS29" s="1348">
        <f t="shared" si="106"/>
        <v>-7.9155672823219003E-3</v>
      </c>
      <c r="BT29" s="1347">
        <f t="shared" si="106"/>
        <v>1.2686170212766079E-2</v>
      </c>
      <c r="BU29" s="1347">
        <f t="shared" si="106"/>
        <v>2.2705570291777111E-2</v>
      </c>
      <c r="BV29" s="1347">
        <f t="shared" si="106"/>
        <v>9.9999999999997868E-3</v>
      </c>
      <c r="BW29" s="1348">
        <f t="shared" si="106"/>
        <v>-7.9365079365079083E-3</v>
      </c>
      <c r="BX29" s="20"/>
      <c r="BY29" s="240"/>
      <c r="BZ29" s="240"/>
      <c r="CA29" s="240"/>
      <c r="CB29" s="240"/>
      <c r="CC29" s="240"/>
      <c r="CD29" s="240"/>
      <c r="CE29" s="240"/>
      <c r="CF29" s="240"/>
      <c r="CG29" s="240"/>
      <c r="CH29" s="240"/>
      <c r="CI29" s="240"/>
      <c r="CJ29" s="1028"/>
      <c r="CK29" s="240"/>
      <c r="CL29" s="240"/>
      <c r="CM29" s="240"/>
      <c r="CN29" s="240"/>
      <c r="CO29" s="240"/>
      <c r="CP29" s="282"/>
      <c r="CQ29" s="22"/>
      <c r="CR29" s="232"/>
      <c r="CS29" s="22"/>
      <c r="CT29" s="14"/>
      <c r="CU29" s="14"/>
      <c r="CV29" s="14"/>
      <c r="CW29" s="14"/>
      <c r="CX29" s="14"/>
      <c r="CY29" s="14"/>
      <c r="CZ29" s="14"/>
      <c r="DA29" s="22"/>
      <c r="DB29" s="14"/>
      <c r="DC29" s="22"/>
      <c r="DD29" s="14"/>
      <c r="DE29" s="14"/>
      <c r="DF29" s="14"/>
      <c r="DG29" s="14"/>
      <c r="DH29" s="232"/>
    </row>
    <row r="30" spans="1:112" ht="14.25" customHeight="1">
      <c r="A30" s="472"/>
      <c r="B30" s="34" t="s">
        <v>99</v>
      </c>
      <c r="C30" s="239"/>
      <c r="D30" s="144"/>
      <c r="E30" s="90"/>
      <c r="F30" s="90"/>
      <c r="G30" s="91"/>
      <c r="H30" s="144">
        <f t="shared" ref="H30:W30" si="107">H28/D28-1</f>
        <v>-0.41283024113820299</v>
      </c>
      <c r="I30" s="90">
        <f t="shared" si="107"/>
        <v>-5.4369818000713055E-2</v>
      </c>
      <c r="J30" s="90">
        <f t="shared" si="107"/>
        <v>0.11998860356674901</v>
      </c>
      <c r="K30" s="91">
        <f t="shared" si="107"/>
        <v>0.29535398143891878</v>
      </c>
      <c r="L30" s="144">
        <f t="shared" si="107"/>
        <v>1.4811047554592647</v>
      </c>
      <c r="M30" s="90">
        <f t="shared" si="107"/>
        <v>0.36609384185026195</v>
      </c>
      <c r="N30" s="90">
        <f t="shared" si="107"/>
        <v>0.18215122772699299</v>
      </c>
      <c r="O30" s="91">
        <f t="shared" si="107"/>
        <v>0.18767923853793023</v>
      </c>
      <c r="P30" s="144">
        <f t="shared" si="107"/>
        <v>1.6787704480102583E-2</v>
      </c>
      <c r="Q30" s="90">
        <f t="shared" si="107"/>
        <v>0.1542626713424593</v>
      </c>
      <c r="R30" s="90">
        <f t="shared" si="107"/>
        <v>0.22274626361235872</v>
      </c>
      <c r="S30" s="91">
        <f t="shared" si="107"/>
        <v>0.137099552974983</v>
      </c>
      <c r="T30" s="144">
        <f t="shared" si="107"/>
        <v>5.6122656989678665E-2</v>
      </c>
      <c r="U30" s="90">
        <f t="shared" si="107"/>
        <v>6.3333052180529759E-3</v>
      </c>
      <c r="V30" s="90">
        <f t="shared" si="107"/>
        <v>-4.0033067659524191E-2</v>
      </c>
      <c r="W30" s="91">
        <f t="shared" si="107"/>
        <v>-4.9241675758311843E-2</v>
      </c>
      <c r="X30" s="144">
        <f t="shared" ref="X30:AO30" si="108">X28/T28-1</f>
        <v>-1.5623537595047976E-2</v>
      </c>
      <c r="Y30" s="90">
        <f t="shared" si="108"/>
        <v>5.1246465943137753E-3</v>
      </c>
      <c r="Z30" s="90">
        <f t="shared" si="108"/>
        <v>1.2199524517315652E-3</v>
      </c>
      <c r="AA30" s="91">
        <f t="shared" si="108"/>
        <v>-5.8433227171446611E-2</v>
      </c>
      <c r="AB30" s="144">
        <f t="shared" si="108"/>
        <v>-4.6102137002781984E-2</v>
      </c>
      <c r="AC30" s="90">
        <f t="shared" si="108"/>
        <v>-0.13038573243960094</v>
      </c>
      <c r="AD30" s="90">
        <f t="shared" si="108"/>
        <v>-0.47402306533333671</v>
      </c>
      <c r="AE30" s="91">
        <f t="shared" si="108"/>
        <v>-0.54973632592006805</v>
      </c>
      <c r="AF30" s="144">
        <f t="shared" si="108"/>
        <v>-0.52396884936674626</v>
      </c>
      <c r="AG30" s="90">
        <f t="shared" si="108"/>
        <v>-0.38156227358460859</v>
      </c>
      <c r="AH30" s="90">
        <f t="shared" si="108"/>
        <v>0.30764835171589477</v>
      </c>
      <c r="AI30" s="91">
        <f t="shared" si="108"/>
        <v>0.84846250191818662</v>
      </c>
      <c r="AJ30" s="144">
        <f t="shared" si="108"/>
        <v>2.8693598457532157</v>
      </c>
      <c r="AK30" s="90">
        <f t="shared" si="108"/>
        <v>2.4690268934015336</v>
      </c>
      <c r="AL30" s="90">
        <f t="shared" si="108"/>
        <v>1.5460468453680596</v>
      </c>
      <c r="AM30" s="91">
        <f t="shared" si="108"/>
        <v>2.1969075267405644</v>
      </c>
      <c r="AN30" s="515">
        <f t="shared" si="108"/>
        <v>-6.0913625809873362E-2</v>
      </c>
      <c r="AO30" s="429">
        <f t="shared" si="108"/>
        <v>-0.29165945396417792</v>
      </c>
      <c r="AP30" s="90">
        <f t="shared" ref="AP30:BN30" si="109">AP28/AL28-1</f>
        <v>-0.25348281050060018</v>
      </c>
      <c r="AQ30" s="91">
        <f t="shared" si="109"/>
        <v>-0.47767143496549735</v>
      </c>
      <c r="AR30" s="515">
        <f t="shared" si="109"/>
        <v>-0.21743975938359827</v>
      </c>
      <c r="AS30" s="429">
        <f t="shared" si="109"/>
        <v>-0.28182999152966537</v>
      </c>
      <c r="AT30" s="429">
        <f t="shared" si="109"/>
        <v>-0.33430336335167277</v>
      </c>
      <c r="AU30" s="91">
        <f t="shared" si="109"/>
        <v>-0.21667932039587556</v>
      </c>
      <c r="AV30" s="515">
        <f t="shared" si="109"/>
        <v>-0.16601188568187486</v>
      </c>
      <c r="AW30" s="429">
        <f t="shared" si="109"/>
        <v>0.10717669351710901</v>
      </c>
      <c r="AX30" s="429">
        <f t="shared" si="109"/>
        <v>0.21745821143997768</v>
      </c>
      <c r="AY30" s="91">
        <f t="shared" si="109"/>
        <v>6.3291009809325782E-2</v>
      </c>
      <c r="AZ30" s="515">
        <f t="shared" si="109"/>
        <v>-1.2042224810591251E-2</v>
      </c>
      <c r="BA30" s="429">
        <f t="shared" si="109"/>
        <v>-0.10836127542928042</v>
      </c>
      <c r="BB30" s="429">
        <f t="shared" si="109"/>
        <v>-5.2618110068416435E-3</v>
      </c>
      <c r="BC30" s="367">
        <f t="shared" si="109"/>
        <v>-2.5060065541177345E-2</v>
      </c>
      <c r="BD30" s="515">
        <f t="shared" si="109"/>
        <v>-4.9077386997706363E-2</v>
      </c>
      <c r="BE30" s="429">
        <f t="shared" si="109"/>
        <v>-0.11188564122001021</v>
      </c>
      <c r="BF30" s="429">
        <f t="shared" si="109"/>
        <v>-0.22433602542844722</v>
      </c>
      <c r="BG30" s="367">
        <f t="shared" si="109"/>
        <v>-0.23826639052042753</v>
      </c>
      <c r="BH30" s="515">
        <f t="shared" si="109"/>
        <v>6.7656767320839695E-2</v>
      </c>
      <c r="BI30" s="429">
        <f t="shared" si="109"/>
        <v>0.34888814052306949</v>
      </c>
      <c r="BJ30" s="429">
        <f t="shared" si="109"/>
        <v>0.67365953957665425</v>
      </c>
      <c r="BK30" s="429">
        <f t="shared" si="109"/>
        <v>0.85274674426497032</v>
      </c>
      <c r="BL30" s="515">
        <f t="shared" si="109"/>
        <v>0.51433182283476486</v>
      </c>
      <c r="BM30" s="429">
        <f t="shared" si="109"/>
        <v>0.44282489901058075</v>
      </c>
      <c r="BN30" s="429">
        <f t="shared" si="109"/>
        <v>0.19537579632239854</v>
      </c>
      <c r="BO30" s="1347">
        <f t="shared" ref="BO30" si="110">BO28/BK28-1</f>
        <v>-0.34425958551190228</v>
      </c>
      <c r="BP30" s="1351">
        <f t="shared" ref="BP30:BW30" si="111">BP28/BL28-1</f>
        <v>-0.40049101883846727</v>
      </c>
      <c r="BQ30" s="1347">
        <f t="shared" si="111"/>
        <v>-0.42311116860708142</v>
      </c>
      <c r="BR30" s="1347">
        <f t="shared" si="111"/>
        <v>-0.37350488724077135</v>
      </c>
      <c r="BS30" s="1348">
        <f t="shared" si="111"/>
        <v>3.7742047745358276E-2</v>
      </c>
      <c r="BT30" s="1347">
        <f t="shared" si="111"/>
        <v>3.7749349206349425E-2</v>
      </c>
      <c r="BU30" s="1347">
        <f t="shared" si="111"/>
        <v>3.7756612137203271E-2</v>
      </c>
      <c r="BV30" s="1347">
        <f t="shared" si="111"/>
        <v>3.7756612137203049E-2</v>
      </c>
      <c r="BW30" s="1348">
        <f t="shared" si="111"/>
        <v>3.7734707446808402E-2</v>
      </c>
      <c r="BX30" s="20"/>
      <c r="BY30" s="429"/>
      <c r="BZ30" s="369">
        <f>BZ28/BY28-1</f>
        <v>-2.151307230323074E-2</v>
      </c>
      <c r="CA30" s="369">
        <f>CA28/BZ28-1</f>
        <v>0.42825214034561032</v>
      </c>
      <c r="CB30" s="369">
        <f>CB28/CA28-1</f>
        <v>0.12991370008597802</v>
      </c>
      <c r="CC30" s="369">
        <f>CC28/CB28-1</f>
        <v>-7.6989358194448076E-3</v>
      </c>
      <c r="CD30" s="369">
        <f t="shared" ref="CD30:CK30" si="112">CD28/CC28-1</f>
        <v>-1.6453235026984592E-2</v>
      </c>
      <c r="CE30" s="369">
        <f t="shared" si="112"/>
        <v>-0.29187789524233387</v>
      </c>
      <c r="CF30" s="369">
        <f t="shared" si="112"/>
        <v>-0.12101289769594226</v>
      </c>
      <c r="CG30" s="369">
        <f t="shared" si="112"/>
        <v>2.2049298561022614</v>
      </c>
      <c r="CH30" s="369">
        <f t="shared" si="112"/>
        <v>-0.29007169143334599</v>
      </c>
      <c r="CI30" s="369">
        <f t="shared" si="112"/>
        <v>-0.26016713301790939</v>
      </c>
      <c r="CJ30" s="1054">
        <f t="shared" si="112"/>
        <v>3.4880596672011377E-2</v>
      </c>
      <c r="CK30" s="369">
        <f t="shared" si="112"/>
        <v>-3.8748441082426366E-2</v>
      </c>
      <c r="CL30" s="369">
        <f>CL28/CK28-1</f>
        <v>-0.15579564535708113</v>
      </c>
      <c r="CM30" s="369">
        <f>CM28/CL28-1</f>
        <v>0.45701331344537177</v>
      </c>
      <c r="CN30" s="369">
        <f>CN28/CM28-1</f>
        <v>0.16522054025887578</v>
      </c>
      <c r="CO30" s="369">
        <f>CO28/CN28-1</f>
        <v>-0.32855807783388546</v>
      </c>
      <c r="CP30" s="368">
        <f>CP28/CO28-1</f>
        <v>3.7749331002651321E-2</v>
      </c>
      <c r="CQ30" s="22"/>
      <c r="CR30" s="232"/>
      <c r="CS30" s="22"/>
      <c r="CT30" s="14"/>
      <c r="CU30" s="14"/>
      <c r="CV30" s="14"/>
      <c r="CW30" s="14"/>
      <c r="CX30" s="14"/>
      <c r="CY30" s="14"/>
      <c r="CZ30" s="14"/>
      <c r="DA30" s="22"/>
      <c r="DB30" s="14"/>
      <c r="DC30" s="22"/>
      <c r="DD30" s="14"/>
      <c r="DE30" s="14"/>
      <c r="DF30" s="14"/>
      <c r="DG30" s="14"/>
      <c r="DH30" s="232"/>
    </row>
    <row r="31" spans="1:112" ht="14.25" customHeight="1">
      <c r="A31" s="472"/>
      <c r="B31" s="34" t="s">
        <v>126</v>
      </c>
      <c r="C31" s="239"/>
      <c r="D31" s="144">
        <f t="shared" ref="D31:O31" si="113">D28/D22</f>
        <v>0.52281902198750829</v>
      </c>
      <c r="E31" s="90">
        <f t="shared" si="113"/>
        <v>0.54144156568351753</v>
      </c>
      <c r="F31" s="90">
        <f t="shared" si="113"/>
        <v>0.55467714391487621</v>
      </c>
      <c r="G31" s="91">
        <f t="shared" si="113"/>
        <v>0.54284229051713895</v>
      </c>
      <c r="H31" s="144">
        <f t="shared" si="113"/>
        <v>0.34424582876062559</v>
      </c>
      <c r="I31" s="90">
        <f t="shared" si="113"/>
        <v>0.5412556532887004</v>
      </c>
      <c r="J31" s="90">
        <f t="shared" si="113"/>
        <v>0.54515162923463367</v>
      </c>
      <c r="K31" s="91">
        <f t="shared" si="113"/>
        <v>0.55463022910966786</v>
      </c>
      <c r="L31" s="144">
        <f t="shared" si="113"/>
        <v>0.5708330395958171</v>
      </c>
      <c r="M31" s="90">
        <f t="shared" si="113"/>
        <v>0.57263450750813338</v>
      </c>
      <c r="N31" s="90">
        <f t="shared" si="113"/>
        <v>0.56863241537802345</v>
      </c>
      <c r="O31" s="91">
        <f t="shared" si="113"/>
        <v>0.57357400652624224</v>
      </c>
      <c r="P31" s="144">
        <f t="shared" ref="P31:W31" si="114">P28/P22</f>
        <v>0.58347481089293307</v>
      </c>
      <c r="Q31" s="90">
        <f t="shared" si="114"/>
        <v>0.59198057176042007</v>
      </c>
      <c r="R31" s="90">
        <f t="shared" si="114"/>
        <v>0.59715789115182871</v>
      </c>
      <c r="S31" s="91">
        <f t="shared" si="114"/>
        <v>0.60122555368475594</v>
      </c>
      <c r="T31" s="144">
        <f t="shared" si="114"/>
        <v>0.60361750019995675</v>
      </c>
      <c r="U31" s="90">
        <f t="shared" si="114"/>
        <v>0.60448095426485637</v>
      </c>
      <c r="V31" s="90">
        <f t="shared" si="114"/>
        <v>0.59644467817245927</v>
      </c>
      <c r="W31" s="91">
        <f t="shared" si="114"/>
        <v>0.59882018468021814</v>
      </c>
      <c r="X31" s="144">
        <f t="shared" ref="X31:AO31" si="115">X28/X22</f>
        <v>0.60038550092399046</v>
      </c>
      <c r="Y31" s="90">
        <f t="shared" si="115"/>
        <v>0.59815888063654321</v>
      </c>
      <c r="Z31" s="90">
        <f t="shared" si="115"/>
        <v>0.60588677751385578</v>
      </c>
      <c r="AA31" s="91">
        <f t="shared" si="115"/>
        <v>0.60915144114462116</v>
      </c>
      <c r="AB31" s="144">
        <f t="shared" si="115"/>
        <v>0.61004504571692797</v>
      </c>
      <c r="AC31" s="90">
        <f t="shared" si="115"/>
        <v>0.60863681193595986</v>
      </c>
      <c r="AD31" s="90">
        <f t="shared" si="115"/>
        <v>0.54529417274647962</v>
      </c>
      <c r="AE31" s="91">
        <f t="shared" si="115"/>
        <v>0.48464961645685772</v>
      </c>
      <c r="AF31" s="144">
        <f t="shared" si="115"/>
        <v>0.49979528269128121</v>
      </c>
      <c r="AG31" s="90">
        <f t="shared" si="115"/>
        <v>0.54416066284010045</v>
      </c>
      <c r="AH31" s="90">
        <f t="shared" si="115"/>
        <v>0.58375283387778432</v>
      </c>
      <c r="AI31" s="91">
        <f t="shared" si="115"/>
        <v>0.60596719660456111</v>
      </c>
      <c r="AJ31" s="144">
        <f t="shared" si="115"/>
        <v>0.58086944347217362</v>
      </c>
      <c r="AK31" s="90">
        <f t="shared" si="115"/>
        <v>0.58860075705455028</v>
      </c>
      <c r="AL31" s="90">
        <f t="shared" si="115"/>
        <v>0.58831669494105887</v>
      </c>
      <c r="AM31" s="91">
        <f t="shared" si="115"/>
        <v>0.5936839612089948</v>
      </c>
      <c r="AN31" s="515">
        <f t="shared" si="115"/>
        <v>0.58676606845799939</v>
      </c>
      <c r="AO31" s="429">
        <f t="shared" si="115"/>
        <v>0.5775156928027434</v>
      </c>
      <c r="AP31" s="90">
        <f t="shared" ref="AP31:AU31" si="116">AP28/AP22</f>
        <v>0.56352610920050072</v>
      </c>
      <c r="AQ31" s="91">
        <f t="shared" si="116"/>
        <v>0.56196169495826331</v>
      </c>
      <c r="AR31" s="515">
        <f t="shared" si="116"/>
        <v>0.57670943447664813</v>
      </c>
      <c r="AS31" s="429">
        <f t="shared" si="116"/>
        <v>0.50664235138195346</v>
      </c>
      <c r="AT31" s="429">
        <f t="shared" si="116"/>
        <v>0.48174364915502338</v>
      </c>
      <c r="AU31" s="91">
        <f t="shared" si="116"/>
        <v>0.55963970246397043</v>
      </c>
      <c r="AV31" s="515">
        <f t="shared" ref="AV31:BA31" si="117">AV28/AV22</f>
        <v>0.57600259291270528</v>
      </c>
      <c r="AW31" s="429">
        <f t="shared" si="117"/>
        <v>0.58632266288319324</v>
      </c>
      <c r="AX31" s="429">
        <f t="shared" si="117"/>
        <v>0.58606965174129366</v>
      </c>
      <c r="AY31" s="91">
        <f t="shared" si="117"/>
        <v>0.58900816462213312</v>
      </c>
      <c r="AZ31" s="515">
        <f t="shared" si="117"/>
        <v>0.57965343978880368</v>
      </c>
      <c r="BA31" s="429">
        <f t="shared" si="117"/>
        <v>0.56279333699432565</v>
      </c>
      <c r="BB31" s="429">
        <f t="shared" ref="BB31:BG31" si="118">BB28/BB22</f>
        <v>0.57112405666622545</v>
      </c>
      <c r="BC31" s="367">
        <f t="shared" si="118"/>
        <v>0.57315789473684209</v>
      </c>
      <c r="BD31" s="515">
        <f t="shared" si="118"/>
        <v>0.57857517318854146</v>
      </c>
      <c r="BE31" s="429">
        <f t="shared" si="118"/>
        <v>0.53789097408400344</v>
      </c>
      <c r="BF31" s="429">
        <f t="shared" si="118"/>
        <v>0.53027374355314105</v>
      </c>
      <c r="BG31" s="367">
        <f t="shared" si="118"/>
        <v>0.53256819565194458</v>
      </c>
      <c r="BH31" s="515">
        <f>BH28/BH22</f>
        <v>0.41290382204697162</v>
      </c>
      <c r="BI31" s="429">
        <f t="shared" ref="BI31:BJ31" si="119">BI28/BI22</f>
        <v>0.46990679018350157</v>
      </c>
      <c r="BJ31" s="429">
        <f t="shared" si="119"/>
        <v>0.5279912209326737</v>
      </c>
      <c r="BK31" s="429">
        <f t="shared" ref="BK31" si="120">BK28/BK22</f>
        <v>0.59028034732669665</v>
      </c>
      <c r="BL31" s="515">
        <f>BL28/BL22</f>
        <v>0.60118748206278716</v>
      </c>
      <c r="BM31" s="429">
        <f t="shared" ref="BM31:BN31" si="121">BM28/BM22</f>
        <v>0.60672891766842307</v>
      </c>
      <c r="BN31" s="429">
        <f t="shared" si="121"/>
        <v>0.61057100441740897</v>
      </c>
      <c r="BO31" s="1490">
        <v>0.377</v>
      </c>
      <c r="BP31" s="954">
        <f>BO31+0.1%</f>
        <v>0.378</v>
      </c>
      <c r="BQ31" s="1586">
        <f>BP31+0.1%</f>
        <v>0.379</v>
      </c>
      <c r="BR31" s="1490">
        <f>BQ31</f>
        <v>0.379</v>
      </c>
      <c r="BS31" s="1350">
        <f>BR31-0.3%</f>
        <v>0.376</v>
      </c>
      <c r="BT31" s="1426">
        <f>BS31+0.1%</f>
        <v>0.377</v>
      </c>
      <c r="BU31" s="1188">
        <f>BT31+0.1%</f>
        <v>0.378</v>
      </c>
      <c r="BV31" s="1426">
        <f>BU31</f>
        <v>0.378</v>
      </c>
      <c r="BW31" s="1350">
        <f>BV31-0.3%</f>
        <v>0.375</v>
      </c>
      <c r="BX31" s="20"/>
      <c r="BY31" s="369">
        <f>BY28/BY22</f>
        <v>0.54009726055838614</v>
      </c>
      <c r="BZ31" s="369">
        <f>BZ28/BZ22</f>
        <v>0.50263089302193542</v>
      </c>
      <c r="CA31" s="369">
        <f>CA28/CA22</f>
        <v>0.57146332151308865</v>
      </c>
      <c r="CB31" s="369">
        <f t="shared" ref="CB31:CK31" si="122">CB28/CB22</f>
        <v>0.59355189569106681</v>
      </c>
      <c r="CC31" s="369">
        <f t="shared" si="122"/>
        <v>0.60091555894473214</v>
      </c>
      <c r="CD31" s="369">
        <f t="shared" si="122"/>
        <v>0.60315574450530174</v>
      </c>
      <c r="CE31" s="369">
        <f t="shared" si="122"/>
        <v>0.57504858121894187</v>
      </c>
      <c r="CF31" s="369">
        <f t="shared" si="122"/>
        <v>0.56333491501920208</v>
      </c>
      <c r="CG31" s="369">
        <f t="shared" si="122"/>
        <v>0.5883715914392228</v>
      </c>
      <c r="CH31" s="369">
        <f t="shared" si="122"/>
        <v>0.57328075368850451</v>
      </c>
      <c r="CI31" s="369">
        <f t="shared" si="122"/>
        <v>0.53317565818744528</v>
      </c>
      <c r="CJ31" s="1054">
        <f t="shared" si="122"/>
        <v>0.58431621700441172</v>
      </c>
      <c r="CK31" s="369">
        <f t="shared" si="122"/>
        <v>0.57174012358182924</v>
      </c>
      <c r="CL31" s="369">
        <f>CL28/CL22</f>
        <v>0.54591081404890696</v>
      </c>
      <c r="CM31" s="369">
        <f>CM28/CM22</f>
        <v>0.49927334183279598</v>
      </c>
      <c r="CN31" s="369">
        <f>CN28/CN22</f>
        <v>0.55165193238886256</v>
      </c>
      <c r="CO31" s="369">
        <f>CO28/CO22</f>
        <v>0.37799750024507395</v>
      </c>
      <c r="CP31" s="368">
        <f>CP28/CP22</f>
        <v>0.37699750024507406</v>
      </c>
      <c r="CQ31" s="22"/>
      <c r="CR31" s="232"/>
      <c r="CS31" s="22"/>
      <c r="CT31" s="14"/>
      <c r="CU31" s="14"/>
      <c r="CV31" s="14"/>
      <c r="CW31" s="14"/>
      <c r="CX31" s="14"/>
      <c r="CY31" s="14"/>
      <c r="CZ31" s="14"/>
      <c r="DA31" s="22"/>
      <c r="DB31" s="14"/>
      <c r="DC31" s="22"/>
      <c r="DD31" s="14"/>
      <c r="DE31" s="14"/>
      <c r="DF31" s="14"/>
      <c r="DG31" s="14"/>
      <c r="DH31" s="232"/>
    </row>
    <row r="32" spans="1:112" ht="14.25" customHeight="1">
      <c r="A32" s="472"/>
      <c r="B32" s="328"/>
      <c r="C32" s="260"/>
      <c r="D32" s="351"/>
      <c r="E32" s="241"/>
      <c r="F32" s="241"/>
      <c r="G32" s="242"/>
      <c r="H32" s="351"/>
      <c r="I32" s="241"/>
      <c r="J32" s="241"/>
      <c r="K32" s="242"/>
      <c r="L32" s="351"/>
      <c r="M32" s="241"/>
      <c r="N32" s="241"/>
      <c r="O32" s="242"/>
      <c r="P32" s="351"/>
      <c r="Q32" s="241"/>
      <c r="R32" s="241"/>
      <c r="S32" s="242"/>
      <c r="T32" s="351"/>
      <c r="U32" s="241"/>
      <c r="V32" s="241"/>
      <c r="W32" s="242"/>
      <c r="X32" s="351"/>
      <c r="Y32" s="241"/>
      <c r="Z32" s="241"/>
      <c r="AA32" s="242"/>
      <c r="AB32" s="351"/>
      <c r="AC32" s="241"/>
      <c r="AD32" s="241"/>
      <c r="AE32" s="242"/>
      <c r="AF32" s="351"/>
      <c r="AG32" s="241"/>
      <c r="AH32" s="241"/>
      <c r="AI32" s="242"/>
      <c r="AJ32" s="351"/>
      <c r="AK32" s="241"/>
      <c r="AL32" s="241"/>
      <c r="AM32" s="242"/>
      <c r="AN32" s="351"/>
      <c r="AO32" s="241"/>
      <c r="AP32" s="241"/>
      <c r="AQ32" s="242"/>
      <c r="AR32" s="351"/>
      <c r="AS32" s="241"/>
      <c r="AT32" s="241"/>
      <c r="AU32" s="242"/>
      <c r="AV32" s="351"/>
      <c r="AW32" s="241"/>
      <c r="AX32" s="72"/>
      <c r="AY32" s="242"/>
      <c r="AZ32" s="62"/>
      <c r="BA32" s="72"/>
      <c r="BB32" s="72"/>
      <c r="BC32" s="63"/>
      <c r="BD32" s="72"/>
      <c r="BE32" s="72"/>
      <c r="BF32" s="72"/>
      <c r="BG32" s="63"/>
      <c r="BH32" s="62"/>
      <c r="BI32" s="72"/>
      <c r="BJ32" s="72"/>
      <c r="BK32" s="72"/>
      <c r="BL32" s="62"/>
      <c r="BM32" s="72"/>
      <c r="BN32" s="72"/>
      <c r="BO32" s="72"/>
      <c r="BP32" s="62"/>
      <c r="BQ32" s="72"/>
      <c r="BR32" s="72"/>
      <c r="BS32" s="63"/>
      <c r="BT32" s="72"/>
      <c r="BU32" s="72"/>
      <c r="BV32" s="72"/>
      <c r="BW32" s="63"/>
      <c r="BX32" s="20"/>
      <c r="BY32" s="223"/>
      <c r="BZ32" s="223"/>
      <c r="CA32" s="223"/>
      <c r="CB32" s="223"/>
      <c r="CC32" s="223"/>
      <c r="CD32" s="223"/>
      <c r="CE32" s="223"/>
      <c r="CF32" s="223"/>
      <c r="CG32" s="223"/>
      <c r="CH32" s="223"/>
      <c r="CI32" s="223"/>
      <c r="CJ32" s="15"/>
      <c r="CK32" s="223"/>
      <c r="CL32" s="223"/>
      <c r="CM32" s="223"/>
      <c r="CN32" s="223"/>
      <c r="CO32" s="223"/>
      <c r="CP32" s="16"/>
      <c r="CQ32" s="22"/>
      <c r="CR32" s="232"/>
      <c r="CS32" s="15"/>
      <c r="CT32" s="223"/>
      <c r="CU32" s="223"/>
      <c r="CV32" s="223"/>
      <c r="CW32" s="223"/>
      <c r="CX32" s="223"/>
      <c r="CY32" s="223"/>
      <c r="CZ32" s="223"/>
      <c r="DA32" s="15"/>
      <c r="DB32" s="223"/>
      <c r="DC32" s="15"/>
      <c r="DD32" s="223"/>
      <c r="DE32" s="223"/>
      <c r="DF32" s="223"/>
      <c r="DG32" s="223"/>
      <c r="DH32" s="16"/>
    </row>
    <row r="33" spans="1:112" ht="14.25" customHeight="1">
      <c r="A33" s="785"/>
      <c r="B33" s="327" t="str">
        <f>$B$112&amp;" Revenue"</f>
        <v>Analog and interface Revenue</v>
      </c>
      <c r="C33" s="471"/>
      <c r="D33" s="787">
        <f t="shared" ref="D33:O33" si="123">D$112</f>
        <v>11.805999999999999</v>
      </c>
      <c r="E33" s="787">
        <f t="shared" si="123"/>
        <v>12.340999999999999</v>
      </c>
      <c r="F33" s="787">
        <f t="shared" si="123"/>
        <v>12.843999999999999</v>
      </c>
      <c r="G33" s="788">
        <f t="shared" si="123"/>
        <v>10.929999999999998</v>
      </c>
      <c r="H33" s="787">
        <f t="shared" si="123"/>
        <v>11.763</v>
      </c>
      <c r="I33" s="787">
        <f t="shared" si="123"/>
        <v>12.452</v>
      </c>
      <c r="J33" s="787">
        <f t="shared" si="123"/>
        <v>12.833</v>
      </c>
      <c r="K33" s="788">
        <f t="shared" si="123"/>
        <v>13.808000000000005</v>
      </c>
      <c r="L33" s="787">
        <f t="shared" si="123"/>
        <v>15.945</v>
      </c>
      <c r="M33" s="787">
        <f t="shared" si="123"/>
        <v>15.178000000000001</v>
      </c>
      <c r="N33" s="787">
        <f t="shared" si="123"/>
        <v>12.420999999999999</v>
      </c>
      <c r="O33" s="788">
        <f t="shared" si="123"/>
        <v>13.370000000000001</v>
      </c>
      <c r="P33" s="787">
        <f t="shared" ref="P33:BN33" si="124">P$112</f>
        <v>13.946</v>
      </c>
      <c r="Q33" s="787">
        <f t="shared" si="124"/>
        <v>14.712999999999999</v>
      </c>
      <c r="R33" s="787">
        <f t="shared" si="124"/>
        <v>17.338000000000001</v>
      </c>
      <c r="S33" s="788">
        <f t="shared" si="124"/>
        <v>20.382000000000005</v>
      </c>
      <c r="T33" s="787">
        <f t="shared" si="124"/>
        <v>20.634</v>
      </c>
      <c r="U33" s="787">
        <f t="shared" si="124"/>
        <v>21.024999999999999</v>
      </c>
      <c r="V33" s="787">
        <f t="shared" si="124"/>
        <v>20.826000000000001</v>
      </c>
      <c r="W33" s="788">
        <f t="shared" si="124"/>
        <v>20.144999999999996</v>
      </c>
      <c r="X33" s="787">
        <f t="shared" si="124"/>
        <v>20.477</v>
      </c>
      <c r="Y33" s="787">
        <f t="shared" si="124"/>
        <v>20.481000000000002</v>
      </c>
      <c r="Z33" s="787">
        <f t="shared" si="124"/>
        <v>19.986000000000001</v>
      </c>
      <c r="AA33" s="788">
        <f t="shared" si="124"/>
        <v>21.591999999999995</v>
      </c>
      <c r="AB33" s="787">
        <f t="shared" si="124"/>
        <v>22.132000000000001</v>
      </c>
      <c r="AC33" s="787">
        <f t="shared" si="124"/>
        <v>24.724</v>
      </c>
      <c r="AD33" s="787">
        <f t="shared" si="124"/>
        <v>18.959</v>
      </c>
      <c r="AE33" s="788">
        <f t="shared" si="124"/>
        <v>16.497999999999994</v>
      </c>
      <c r="AF33" s="787">
        <f t="shared" si="124"/>
        <v>18.509</v>
      </c>
      <c r="AG33" s="787">
        <f t="shared" si="124"/>
        <v>23.222999999999999</v>
      </c>
      <c r="AH33" s="787">
        <f t="shared" si="124"/>
        <v>26.501000000000001</v>
      </c>
      <c r="AI33" s="788">
        <f t="shared" si="124"/>
        <v>31.614999999999995</v>
      </c>
      <c r="AJ33" s="787">
        <f t="shared" si="124"/>
        <v>41.570999999999998</v>
      </c>
      <c r="AK33" s="787">
        <f t="shared" si="124"/>
        <v>46.401000000000003</v>
      </c>
      <c r="AL33" s="787">
        <f t="shared" si="124"/>
        <v>44.238999999999997</v>
      </c>
      <c r="AM33" s="788">
        <f t="shared" si="124"/>
        <v>21.033000000000001</v>
      </c>
      <c r="AN33" s="787">
        <f t="shared" si="124"/>
        <v>42.575000000000003</v>
      </c>
      <c r="AO33" s="787">
        <f t="shared" si="124"/>
        <v>42.274999999999999</v>
      </c>
      <c r="AP33" s="787">
        <f t="shared" si="124"/>
        <v>43.014000000000003</v>
      </c>
      <c r="AQ33" s="788">
        <f t="shared" si="124"/>
        <v>43.300999999999974</v>
      </c>
      <c r="AR33" s="787">
        <f t="shared" si="124"/>
        <v>47.183999999999997</v>
      </c>
      <c r="AS33" s="787">
        <f t="shared" si="124"/>
        <v>70.069000000000003</v>
      </c>
      <c r="AT33" s="787">
        <f t="shared" si="124"/>
        <v>93.305000000000007</v>
      </c>
      <c r="AU33" s="788">
        <f t="shared" si="124"/>
        <v>97.2</v>
      </c>
      <c r="AV33" s="787">
        <f t="shared" si="124"/>
        <v>103.2</v>
      </c>
      <c r="AW33" s="787">
        <f t="shared" si="124"/>
        <v>108.46</v>
      </c>
      <c r="AX33" s="787">
        <f t="shared" si="124"/>
        <v>108.9</v>
      </c>
      <c r="AY33" s="788">
        <f t="shared" si="124"/>
        <v>107.52800000000001</v>
      </c>
      <c r="AZ33" s="1158">
        <f t="shared" si="124"/>
        <v>125.357</v>
      </c>
      <c r="BA33" s="789">
        <f t="shared" si="124"/>
        <v>122.6</v>
      </c>
      <c r="BB33" s="789">
        <f t="shared" si="124"/>
        <v>125.542</v>
      </c>
      <c r="BC33" s="1159">
        <f t="shared" si="124"/>
        <v>127.6</v>
      </c>
      <c r="BD33" s="1158">
        <f t="shared" si="124"/>
        <v>127.1</v>
      </c>
      <c r="BE33" s="789">
        <f t="shared" si="124"/>
        <v>165.3</v>
      </c>
      <c r="BF33" s="789">
        <f t="shared" si="124"/>
        <v>171.96</v>
      </c>
      <c r="BG33" s="1159">
        <f t="shared" si="124"/>
        <v>171.68600000000001</v>
      </c>
      <c r="BH33" s="1158">
        <f t="shared" si="124"/>
        <v>214.91200000000001</v>
      </c>
      <c r="BI33" s="789">
        <f t="shared" si="124"/>
        <v>224.958</v>
      </c>
      <c r="BJ33" s="789">
        <f t="shared" si="124"/>
        <v>228.07599999999999</v>
      </c>
      <c r="BK33" s="789">
        <f t="shared" si="124"/>
        <v>230.482</v>
      </c>
      <c r="BL33" s="1158">
        <f t="shared" si="124"/>
        <v>239.05500000000001</v>
      </c>
      <c r="BM33" s="789">
        <f t="shared" si="124"/>
        <v>239.18899999999999</v>
      </c>
      <c r="BN33" s="789">
        <f t="shared" si="124"/>
        <v>231.45400000000001</v>
      </c>
      <c r="BO33" s="431">
        <f t="shared" ref="BO33" si="125">BN33*(1+BO34)</f>
        <v>231.45400000000001</v>
      </c>
      <c r="BP33" s="514">
        <f t="shared" ref="BP33:BW33" si="126">BO33*(1+BP34)</f>
        <v>241.86942999999999</v>
      </c>
      <c r="BQ33" s="431">
        <f t="shared" si="126"/>
        <v>249.12551289999999</v>
      </c>
      <c r="BR33" s="431">
        <f t="shared" si="126"/>
        <v>243.39562610329997</v>
      </c>
      <c r="BS33" s="430">
        <f t="shared" si="126"/>
        <v>240.96166984226699</v>
      </c>
      <c r="BT33" s="431">
        <f t="shared" si="126"/>
        <v>250.60013663595768</v>
      </c>
      <c r="BU33" s="431">
        <f t="shared" si="126"/>
        <v>255.61213936867685</v>
      </c>
      <c r="BV33" s="431">
        <f t="shared" si="126"/>
        <v>251.01112086004065</v>
      </c>
      <c r="BW33" s="430">
        <f t="shared" si="126"/>
        <v>248.50100965144023</v>
      </c>
      <c r="BX33" s="312"/>
      <c r="BY33" s="362">
        <f>SUM(D33:G33)</f>
        <v>47.920999999999999</v>
      </c>
      <c r="BZ33" s="362">
        <f>SUM(H33:K33)</f>
        <v>50.856000000000009</v>
      </c>
      <c r="CA33" s="362">
        <f>SUM(L33:O33)</f>
        <v>56.914000000000001</v>
      </c>
      <c r="CB33" s="362">
        <f>SUM(P33:S33)</f>
        <v>66.379000000000005</v>
      </c>
      <c r="CC33" s="362">
        <f>SUM(T33:W33)</f>
        <v>82.63</v>
      </c>
      <c r="CD33" s="362">
        <f>SUM(X33:AA33)</f>
        <v>82.536000000000001</v>
      </c>
      <c r="CE33" s="362">
        <f>SUM(AB33:AE33)</f>
        <v>82.312999999999988</v>
      </c>
      <c r="CF33" s="362">
        <f>SUM(AF33:AI33)</f>
        <v>99.847999999999999</v>
      </c>
      <c r="CG33" s="362">
        <f>SUM(AJ33:AM33)</f>
        <v>153.24400000000003</v>
      </c>
      <c r="CH33" s="362">
        <f>SUM(AN33:AQ33)</f>
        <v>171.16499999999996</v>
      </c>
      <c r="CI33" s="362">
        <f>SUM(AR33:AU33)</f>
        <v>307.75799999999998</v>
      </c>
      <c r="CJ33" s="366">
        <f>SUM(AV33:AY33)</f>
        <v>428.08800000000002</v>
      </c>
      <c r="CK33" s="362">
        <f>SUM(AZ33:BC33)</f>
        <v>501.09900000000005</v>
      </c>
      <c r="CL33" s="362">
        <f>SUM(BD33:BG33)</f>
        <v>636.04600000000005</v>
      </c>
      <c r="CM33" s="362">
        <f>SUM(BH33:BK33)</f>
        <v>898.428</v>
      </c>
      <c r="CN33" s="362">
        <f>SUM(BL33:BO33)</f>
        <v>941.15200000000004</v>
      </c>
      <c r="CO33" s="362">
        <f>SUM(BP33:BS33)</f>
        <v>975.35223884556694</v>
      </c>
      <c r="CP33" s="363">
        <f>SUM(BT33:BW33)</f>
        <v>1005.7244065161153</v>
      </c>
      <c r="CQ33" s="467"/>
      <c r="CR33" s="471"/>
      <c r="CS33" s="366">
        <f>SUM(K33:N33)</f>
        <v>57.352000000000011</v>
      </c>
      <c r="CT33" s="362">
        <f>SUM(O33:R33)</f>
        <v>59.367000000000004</v>
      </c>
      <c r="CU33" s="362">
        <f>SUM(S33:V33)</f>
        <v>82.867000000000004</v>
      </c>
      <c r="CV33" s="362">
        <f>SUM(W33:Z33)</f>
        <v>81.088999999999999</v>
      </c>
      <c r="CW33" s="362">
        <f>SUM(AA33:AD33)</f>
        <v>87.406999999999996</v>
      </c>
      <c r="CX33" s="362">
        <f>SUM(AE33:AH33)</f>
        <v>84.730999999999995</v>
      </c>
      <c r="CY33" s="362">
        <f>SUM(AI33:AL33)</f>
        <v>163.82599999999999</v>
      </c>
      <c r="CZ33" s="362">
        <f>SUM(AM33:AP33)</f>
        <v>148.89700000000002</v>
      </c>
      <c r="DA33" s="366">
        <f>SUM(AQ33:AT33)</f>
        <v>253.85899999999998</v>
      </c>
      <c r="DB33" s="362">
        <f>SUM(AU33:AX33)</f>
        <v>417.76</v>
      </c>
      <c r="DC33" s="366">
        <f>SUM(AY33:BB33)</f>
        <v>481.02700000000004</v>
      </c>
      <c r="DD33" s="362">
        <f>SUM(BC33:BF33)</f>
        <v>591.96</v>
      </c>
      <c r="DE33" s="362">
        <f>SUM(BG33:BJ33)</f>
        <v>839.63200000000006</v>
      </c>
      <c r="DF33" s="362">
        <f>SUM(BK33:BN33)</f>
        <v>940.18000000000006</v>
      </c>
      <c r="DG33" s="362">
        <f>SUM(BO33:BR33)</f>
        <v>965.84456900329997</v>
      </c>
      <c r="DH33" s="363">
        <f>SUM(BS33:BV33)</f>
        <v>998.18506670694205</v>
      </c>
    </row>
    <row r="34" spans="1:112" ht="14.25" customHeight="1">
      <c r="A34" s="472"/>
      <c r="B34" s="34" t="s">
        <v>98</v>
      </c>
      <c r="C34" s="239"/>
      <c r="D34" s="144"/>
      <c r="E34" s="90">
        <f t="shared" ref="E34:O34" si="127">E33/D33-1</f>
        <v>4.5315941046925268E-2</v>
      </c>
      <c r="F34" s="90">
        <f t="shared" si="127"/>
        <v>4.0758447451584079E-2</v>
      </c>
      <c r="G34" s="91">
        <f t="shared" si="127"/>
        <v>-0.14901899719713496</v>
      </c>
      <c r="H34" s="144">
        <f t="shared" si="127"/>
        <v>7.6212259835315876E-2</v>
      </c>
      <c r="I34" s="90">
        <f t="shared" si="127"/>
        <v>5.8573493156507617E-2</v>
      </c>
      <c r="J34" s="90">
        <f t="shared" si="127"/>
        <v>3.0597494378413082E-2</v>
      </c>
      <c r="K34" s="91">
        <f t="shared" si="127"/>
        <v>7.5975999376607595E-2</v>
      </c>
      <c r="L34" s="144">
        <f t="shared" si="127"/>
        <v>0.15476535341830777</v>
      </c>
      <c r="M34" s="90">
        <f t="shared" si="127"/>
        <v>-4.8102853559109371E-2</v>
      </c>
      <c r="N34" s="90">
        <f t="shared" si="127"/>
        <v>-0.18164448543945189</v>
      </c>
      <c r="O34" s="91">
        <f t="shared" si="127"/>
        <v>7.6402866113839618E-2</v>
      </c>
      <c r="P34" s="144">
        <f t="shared" ref="P34:W34" si="128">P33/O33-1</f>
        <v>4.30815258040389E-2</v>
      </c>
      <c r="Q34" s="90">
        <f t="shared" si="128"/>
        <v>5.4997848845547148E-2</v>
      </c>
      <c r="R34" s="90">
        <f t="shared" si="128"/>
        <v>0.17841364779446756</v>
      </c>
      <c r="S34" s="91">
        <f t="shared" si="128"/>
        <v>0.17556811627638735</v>
      </c>
      <c r="T34" s="144">
        <f t="shared" si="128"/>
        <v>1.2363850456284631E-2</v>
      </c>
      <c r="U34" s="90">
        <f t="shared" si="128"/>
        <v>1.8949306969080038E-2</v>
      </c>
      <c r="V34" s="90">
        <f t="shared" si="128"/>
        <v>-9.4649227110581435E-3</v>
      </c>
      <c r="W34" s="91">
        <f t="shared" si="128"/>
        <v>-3.2699510227600315E-2</v>
      </c>
      <c r="X34" s="144">
        <f t="shared" ref="X34:AO34" si="129">X33/W33-1</f>
        <v>1.648051625713598E-2</v>
      </c>
      <c r="Y34" s="90">
        <f t="shared" si="129"/>
        <v>1.9534111442109925E-4</v>
      </c>
      <c r="Z34" s="90">
        <f t="shared" si="129"/>
        <v>-2.4168741760656309E-2</v>
      </c>
      <c r="AA34" s="91">
        <f t="shared" si="129"/>
        <v>8.0356249374561983E-2</v>
      </c>
      <c r="AB34" s="144">
        <f t="shared" si="129"/>
        <v>2.5009262689885459E-2</v>
      </c>
      <c r="AC34" s="90">
        <f t="shared" si="129"/>
        <v>0.11711548888487244</v>
      </c>
      <c r="AD34" s="90">
        <f t="shared" si="129"/>
        <v>-0.23317424364989481</v>
      </c>
      <c r="AE34" s="91">
        <f t="shared" si="129"/>
        <v>-0.12980642438947232</v>
      </c>
      <c r="AF34" s="144">
        <f t="shared" si="129"/>
        <v>0.1218935628561042</v>
      </c>
      <c r="AG34" s="90">
        <f t="shared" si="129"/>
        <v>0.25468690907126246</v>
      </c>
      <c r="AH34" s="90">
        <f t="shared" si="129"/>
        <v>0.14115316711880466</v>
      </c>
      <c r="AI34" s="91">
        <f t="shared" si="129"/>
        <v>0.1929738500433944</v>
      </c>
      <c r="AJ34" s="144">
        <f t="shared" si="129"/>
        <v>0.31491380673730829</v>
      </c>
      <c r="AK34" s="90">
        <f t="shared" si="129"/>
        <v>0.11618676481200851</v>
      </c>
      <c r="AL34" s="90">
        <f t="shared" si="129"/>
        <v>-4.659382340897833E-2</v>
      </c>
      <c r="AM34" s="91">
        <f t="shared" si="129"/>
        <v>-0.5245597775718257</v>
      </c>
      <c r="AN34" s="515">
        <f t="shared" si="129"/>
        <v>1.0242000665620692</v>
      </c>
      <c r="AO34" s="429">
        <f t="shared" si="129"/>
        <v>-7.0463887257781188E-3</v>
      </c>
      <c r="AP34" s="90">
        <f t="shared" ref="AP34:BN34" si="130">AP33/AO33-1</f>
        <v>1.748078060319358E-2</v>
      </c>
      <c r="AQ34" s="91">
        <f t="shared" si="130"/>
        <v>6.6722462454078535E-3</v>
      </c>
      <c r="AR34" s="515">
        <f t="shared" si="130"/>
        <v>8.9674603357890792E-2</v>
      </c>
      <c r="AS34" s="429">
        <f t="shared" si="130"/>
        <v>0.4850161071549679</v>
      </c>
      <c r="AT34" s="429">
        <f t="shared" si="130"/>
        <v>0.33161597853544378</v>
      </c>
      <c r="AU34" s="91">
        <f t="shared" si="130"/>
        <v>4.1744815390386325E-2</v>
      </c>
      <c r="AV34" s="515">
        <f t="shared" si="130"/>
        <v>6.1728395061728447E-2</v>
      </c>
      <c r="AW34" s="429">
        <f t="shared" si="130"/>
        <v>5.096899224806184E-2</v>
      </c>
      <c r="AX34" s="429">
        <f t="shared" si="130"/>
        <v>4.0567951318459805E-3</v>
      </c>
      <c r="AY34" s="91">
        <f t="shared" si="130"/>
        <v>-1.2598714416896195E-2</v>
      </c>
      <c r="AZ34" s="515">
        <f t="shared" si="130"/>
        <v>0.16580797559705363</v>
      </c>
      <c r="BA34" s="429">
        <f t="shared" si="130"/>
        <v>-2.199318745662393E-2</v>
      </c>
      <c r="BB34" s="429">
        <f t="shared" si="130"/>
        <v>2.3996737357259379E-2</v>
      </c>
      <c r="BC34" s="367">
        <f t="shared" si="130"/>
        <v>1.6392920297589653E-2</v>
      </c>
      <c r="BD34" s="515">
        <f t="shared" si="130"/>
        <v>-3.9184952978056353E-3</v>
      </c>
      <c r="BE34" s="429">
        <f t="shared" si="130"/>
        <v>0.30055074744295851</v>
      </c>
      <c r="BF34" s="429">
        <f t="shared" si="130"/>
        <v>4.0290381125226871E-2</v>
      </c>
      <c r="BG34" s="367">
        <f t="shared" si="130"/>
        <v>-1.5933938125145541E-3</v>
      </c>
      <c r="BH34" s="515">
        <f t="shared" si="130"/>
        <v>0.25177358666402627</v>
      </c>
      <c r="BI34" s="429">
        <f t="shared" si="130"/>
        <v>4.6744714115545039E-2</v>
      </c>
      <c r="BJ34" s="429">
        <f t="shared" si="130"/>
        <v>1.3860365045919698E-2</v>
      </c>
      <c r="BK34" s="429">
        <f t="shared" si="130"/>
        <v>1.054911520721169E-2</v>
      </c>
      <c r="BL34" s="515">
        <f t="shared" si="130"/>
        <v>3.7195963242248942E-2</v>
      </c>
      <c r="BM34" s="429">
        <f t="shared" si="130"/>
        <v>5.6054046139997205E-4</v>
      </c>
      <c r="BN34" s="429">
        <f t="shared" si="130"/>
        <v>-3.2338443657526028E-2</v>
      </c>
      <c r="BO34" s="1490">
        <v>0</v>
      </c>
      <c r="BP34" s="954">
        <v>4.4999999999999998E-2</v>
      </c>
      <c r="BQ34" s="1490">
        <v>0.03</v>
      </c>
      <c r="BR34" s="1490">
        <v>-2.3E-2</v>
      </c>
      <c r="BS34" s="1350">
        <v>-0.01</v>
      </c>
      <c r="BT34" s="1426">
        <v>0.04</v>
      </c>
      <c r="BU34" s="1426">
        <v>0.02</v>
      </c>
      <c r="BV34" s="1490">
        <v>-1.7999999999999999E-2</v>
      </c>
      <c r="BW34" s="1350">
        <v>-0.01</v>
      </c>
      <c r="BX34" s="20"/>
      <c r="BY34" s="240"/>
      <c r="BZ34" s="240"/>
      <c r="CA34" s="240"/>
      <c r="CB34" s="240"/>
      <c r="CC34" s="240"/>
      <c r="CD34" s="240"/>
      <c r="CE34" s="240"/>
      <c r="CF34" s="240"/>
      <c r="CG34" s="576"/>
      <c r="CH34" s="240"/>
      <c r="CI34" s="240"/>
      <c r="CJ34" s="1028"/>
      <c r="CK34" s="240"/>
      <c r="CL34" s="240"/>
      <c r="CM34" s="240"/>
      <c r="CN34" s="240"/>
      <c r="CO34" s="240"/>
      <c r="CP34" s="282"/>
      <c r="CQ34" s="22"/>
      <c r="CR34" s="232"/>
      <c r="CS34" s="22"/>
      <c r="CT34" s="14"/>
      <c r="CU34" s="14"/>
      <c r="CV34" s="14"/>
      <c r="CW34" s="14"/>
      <c r="CX34" s="14"/>
      <c r="CY34" s="14"/>
      <c r="CZ34" s="14"/>
      <c r="DA34" s="22"/>
      <c r="DB34" s="14"/>
      <c r="DC34" s="22"/>
      <c r="DD34" s="14"/>
      <c r="DE34" s="14"/>
      <c r="DF34" s="14"/>
      <c r="DG34" s="14"/>
      <c r="DH34" s="232"/>
    </row>
    <row r="35" spans="1:112" ht="14.25" customHeight="1">
      <c r="A35" s="472"/>
      <c r="B35" s="34" t="s">
        <v>220</v>
      </c>
      <c r="C35" s="239"/>
      <c r="D35" s="144"/>
      <c r="E35" s="90"/>
      <c r="F35" s="90"/>
      <c r="G35" s="91"/>
      <c r="H35" s="144"/>
      <c r="I35" s="90"/>
      <c r="J35" s="90"/>
      <c r="K35" s="91"/>
      <c r="L35" s="144"/>
      <c r="M35" s="90"/>
      <c r="N35" s="90"/>
      <c r="O35" s="91"/>
      <c r="P35" s="144"/>
      <c r="Q35" s="90" t="s">
        <v>177</v>
      </c>
      <c r="R35" s="90"/>
      <c r="S35" s="91"/>
      <c r="T35" s="144"/>
      <c r="U35" s="90" t="s">
        <v>177</v>
      </c>
      <c r="V35" s="90"/>
      <c r="W35" s="91"/>
      <c r="X35" s="144"/>
      <c r="Y35" s="90">
        <f t="shared" ref="Y35:AJ35" si="131">AVERAGE(U34,Q34,M34,I34,E34)</f>
        <v>2.594674729179014E-2</v>
      </c>
      <c r="Z35" s="90">
        <f t="shared" si="131"/>
        <v>1.1732036294790938E-2</v>
      </c>
      <c r="AA35" s="91">
        <f t="shared" si="131"/>
        <v>2.9245694868419859E-2</v>
      </c>
      <c r="AB35" s="144">
        <f t="shared" si="131"/>
        <v>6.0580701154216633E-2</v>
      </c>
      <c r="AC35" s="90">
        <f t="shared" si="131"/>
        <v>1.6922627305289307E-2</v>
      </c>
      <c r="AD35" s="90">
        <f t="shared" si="131"/>
        <v>-1.2534015476571402E-3</v>
      </c>
      <c r="AE35" s="91">
        <f t="shared" si="131"/>
        <v>7.5120744182759241E-2</v>
      </c>
      <c r="AF35" s="144">
        <f t="shared" si="131"/>
        <v>5.0340101725130551E-2</v>
      </c>
      <c r="AG35" s="90">
        <f t="shared" si="131"/>
        <v>2.8631026450962271E-2</v>
      </c>
      <c r="AH35" s="90">
        <f t="shared" si="131"/>
        <v>-5.400774915331872E-2</v>
      </c>
      <c r="AI35" s="91">
        <f t="shared" si="131"/>
        <v>3.3964259429543266E-2</v>
      </c>
      <c r="AJ35" s="144">
        <f t="shared" si="131"/>
        <v>4.3765743612689832E-2</v>
      </c>
      <c r="AK35" s="90">
        <f t="shared" ref="AK35:BN35" si="132">AVERAGE(AG34,AC34,Y34,U34,Q34)</f>
        <v>8.9188978977036634E-2</v>
      </c>
      <c r="AL35" s="90">
        <f t="shared" si="132"/>
        <v>1.0551781358332591E-2</v>
      </c>
      <c r="AM35" s="91">
        <f t="shared" si="132"/>
        <v>5.7278456215454222E-2</v>
      </c>
      <c r="AN35" s="90">
        <f t="shared" si="132"/>
        <v>9.8132199799343706E-2</v>
      </c>
      <c r="AO35" s="90">
        <f t="shared" si="132"/>
        <v>0.10142676217032891</v>
      </c>
      <c r="AP35" s="90">
        <f t="shared" si="132"/>
        <v>-3.4449712882356584E-2</v>
      </c>
      <c r="AQ35" s="91">
        <f t="shared" si="132"/>
        <v>-8.2747122554188396E-2</v>
      </c>
      <c r="AR35" s="90">
        <f t="shared" si="132"/>
        <v>0.30049944302050063</v>
      </c>
      <c r="AS35" s="90">
        <f t="shared" si="132"/>
        <v>9.6227623031357276E-2</v>
      </c>
      <c r="AT35" s="90">
        <f t="shared" si="132"/>
        <v>-2.9060572219506243E-2</v>
      </c>
      <c r="AU35" s="91">
        <f t="shared" si="132"/>
        <v>-7.4872771259586759E-2</v>
      </c>
      <c r="AV35" s="90">
        <f t="shared" si="132"/>
        <v>0.31513826044065157</v>
      </c>
      <c r="AW35" s="90">
        <f t="shared" si="132"/>
        <v>0.19319177623946665</v>
      </c>
      <c r="AX35" s="90">
        <f t="shared" si="132"/>
        <v>4.2096371839713778E-2</v>
      </c>
      <c r="AY35" s="91">
        <f t="shared" si="132"/>
        <v>-8.2595058056421894E-2</v>
      </c>
      <c r="AZ35" s="144">
        <f t="shared" si="132"/>
        <v>0.32248208691502017</v>
      </c>
      <c r="BA35" s="90">
        <f t="shared" si="132"/>
        <v>0.17996247691210451</v>
      </c>
      <c r="BB35" s="90">
        <f t="shared" si="132"/>
        <v>8.9542579596061933E-2</v>
      </c>
      <c r="BC35" s="91">
        <f t="shared" si="132"/>
        <v>-5.9153516061906664E-2</v>
      </c>
      <c r="BD35" s="144">
        <f t="shared" si="132"/>
        <v>0.33126496946321005</v>
      </c>
      <c r="BE35" s="90">
        <f t="shared" si="132"/>
        <v>0.12462645760652724</v>
      </c>
      <c r="BF35" s="90">
        <f t="shared" si="132"/>
        <v>6.6111293643752872E-2</v>
      </c>
      <c r="BG35" s="91">
        <f t="shared" si="132"/>
        <v>-9.4469702011067608E-2</v>
      </c>
      <c r="BH35" s="144">
        <f t="shared" si="132"/>
        <v>0.26749850905618733</v>
      </c>
      <c r="BI35" s="90">
        <f t="shared" si="132"/>
        <v>0.16149925413271723</v>
      </c>
      <c r="BJ35" s="1347">
        <f t="shared" si="132"/>
        <v>8.3488134550593923E-2</v>
      </c>
      <c r="BK35" s="1347">
        <f t="shared" si="132"/>
        <v>1.0123574740794616E-2</v>
      </c>
      <c r="BL35" s="1351">
        <f t="shared" si="132"/>
        <v>0.1130132130765787</v>
      </c>
      <c r="BM35" s="1347">
        <f t="shared" si="132"/>
        <v>0.17225747470098188</v>
      </c>
      <c r="BN35" s="1347">
        <f t="shared" si="132"/>
        <v>8.2764051439139147E-2</v>
      </c>
      <c r="BO35" s="1347">
        <f t="shared" ref="BO35" si="133">AVERAGE(BK34,BG34,BC34,AY34,AU34)</f>
        <v>1.0898948533155383E-2</v>
      </c>
      <c r="BP35" s="1351">
        <f t="shared" ref="BP35:BW35" si="134">AVERAGE(BL34,BH34,BD34,AZ34,AV34)</f>
        <v>0.10251748505345033</v>
      </c>
      <c r="BQ35" s="1347">
        <f t="shared" si="134"/>
        <v>7.5366361362268292E-2</v>
      </c>
      <c r="BR35" s="1347">
        <f t="shared" si="134"/>
        <v>9.97316700054518E-3</v>
      </c>
      <c r="BS35" s="1348">
        <f t="shared" si="134"/>
        <v>2.5499854550781187E-3</v>
      </c>
      <c r="BT35" s="1347">
        <f t="shared" si="134"/>
        <v>9.9171806041104635E-2</v>
      </c>
      <c r="BU35" s="1347">
        <f t="shared" si="134"/>
        <v>7.1172562912655918E-2</v>
      </c>
      <c r="BV35" s="1347">
        <f t="shared" si="134"/>
        <v>4.561807974175984E-3</v>
      </c>
      <c r="BW35" s="1348">
        <f t="shared" si="134"/>
        <v>3.0697283384573575E-3</v>
      </c>
      <c r="BX35" s="20"/>
      <c r="BY35" s="240"/>
      <c r="BZ35" s="240"/>
      <c r="CA35" s="240"/>
      <c r="CB35" s="240"/>
      <c r="CC35" s="240"/>
      <c r="CD35" s="240"/>
      <c r="CE35" s="240"/>
      <c r="CF35" s="240"/>
      <c r="CG35" s="240"/>
      <c r="CH35" s="240"/>
      <c r="CI35" s="240"/>
      <c r="CJ35" s="1028"/>
      <c r="CK35" s="240"/>
      <c r="CL35" s="240"/>
      <c r="CM35" s="240"/>
      <c r="CN35" s="240"/>
      <c r="CO35" s="240"/>
      <c r="CP35" s="282"/>
      <c r="CQ35" s="22"/>
      <c r="CR35" s="232"/>
      <c r="CS35" s="22"/>
      <c r="CT35" s="14"/>
      <c r="CU35" s="14"/>
      <c r="CV35" s="14"/>
      <c r="CW35" s="14"/>
      <c r="CX35" s="14"/>
      <c r="CY35" s="14"/>
      <c r="CZ35" s="14"/>
      <c r="DA35" s="22"/>
      <c r="DB35" s="14"/>
      <c r="DC35" s="22"/>
      <c r="DD35" s="14"/>
      <c r="DE35" s="14"/>
      <c r="DF35" s="14"/>
      <c r="DG35" s="14"/>
      <c r="DH35" s="232"/>
    </row>
    <row r="36" spans="1:112" ht="14.25" customHeight="1">
      <c r="A36" s="790"/>
      <c r="B36" s="791" t="s">
        <v>99</v>
      </c>
      <c r="C36" s="792"/>
      <c r="D36" s="515"/>
      <c r="E36" s="429"/>
      <c r="F36" s="429"/>
      <c r="G36" s="367"/>
      <c r="H36" s="515">
        <f t="shared" ref="H36:W36" si="135">H33/D33-1</f>
        <v>-3.6422158224630463E-3</v>
      </c>
      <c r="I36" s="429">
        <f t="shared" si="135"/>
        <v>8.9944088809659206E-3</v>
      </c>
      <c r="J36" s="429">
        <f t="shared" si="135"/>
        <v>-8.5643101837429292E-4</v>
      </c>
      <c r="K36" s="367">
        <f t="shared" si="135"/>
        <v>0.26331198536139144</v>
      </c>
      <c r="L36" s="515">
        <f t="shared" si="135"/>
        <v>0.35552155062484059</v>
      </c>
      <c r="M36" s="429">
        <f t="shared" si="135"/>
        <v>0.21892065531641514</v>
      </c>
      <c r="N36" s="429">
        <f t="shared" si="135"/>
        <v>-3.2104729992986858E-2</v>
      </c>
      <c r="O36" s="367">
        <f t="shared" si="135"/>
        <v>-3.1720741599073343E-2</v>
      </c>
      <c r="P36" s="515">
        <f t="shared" si="135"/>
        <v>-0.12536845406083419</v>
      </c>
      <c r="Q36" s="429">
        <f t="shared" si="135"/>
        <v>-3.0636447489787999E-2</v>
      </c>
      <c r="R36" s="429">
        <f t="shared" si="135"/>
        <v>0.39586184687223258</v>
      </c>
      <c r="S36" s="367">
        <f t="shared" si="135"/>
        <v>0.52445774121166822</v>
      </c>
      <c r="T36" s="515">
        <f t="shared" si="135"/>
        <v>0.47956403269754766</v>
      </c>
      <c r="U36" s="429">
        <f t="shared" si="135"/>
        <v>0.42900835995378239</v>
      </c>
      <c r="V36" s="429">
        <f t="shared" si="135"/>
        <v>0.20117660629830425</v>
      </c>
      <c r="W36" s="367">
        <f t="shared" si="135"/>
        <v>-1.1627906976744651E-2</v>
      </c>
      <c r="X36" s="515">
        <f t="shared" ref="X36:AO36" si="136">X33/T33-1</f>
        <v>-7.608801008044952E-3</v>
      </c>
      <c r="Y36" s="429">
        <f t="shared" si="136"/>
        <v>-2.5873959571938054E-2</v>
      </c>
      <c r="Z36" s="429">
        <f t="shared" si="136"/>
        <v>-4.0334197637568403E-2</v>
      </c>
      <c r="AA36" s="367">
        <f t="shared" si="136"/>
        <v>7.1829238024323727E-2</v>
      </c>
      <c r="AB36" s="515">
        <f t="shared" si="136"/>
        <v>8.0822386091712772E-2</v>
      </c>
      <c r="AC36" s="429">
        <f t="shared" si="136"/>
        <v>0.20716761876861467</v>
      </c>
      <c r="AD36" s="429">
        <f t="shared" si="136"/>
        <v>-5.1385970179125384E-2</v>
      </c>
      <c r="AE36" s="367">
        <f t="shared" si="136"/>
        <v>-0.23592071137458326</v>
      </c>
      <c r="AF36" s="515">
        <f t="shared" si="136"/>
        <v>-0.16369962045906383</v>
      </c>
      <c r="AG36" s="429">
        <f t="shared" si="136"/>
        <v>-6.071024106131695E-2</v>
      </c>
      <c r="AH36" s="429">
        <f t="shared" si="136"/>
        <v>0.39780579144469663</v>
      </c>
      <c r="AI36" s="367">
        <f t="shared" si="136"/>
        <v>0.91629288398593811</v>
      </c>
      <c r="AJ36" s="515">
        <f t="shared" si="136"/>
        <v>1.2459884380571613</v>
      </c>
      <c r="AK36" s="429">
        <f t="shared" si="136"/>
        <v>0.99806226585712454</v>
      </c>
      <c r="AL36" s="429">
        <f t="shared" si="136"/>
        <v>0.66933323270819955</v>
      </c>
      <c r="AM36" s="367">
        <f t="shared" si="136"/>
        <v>-0.3347145342400758</v>
      </c>
      <c r="AN36" s="515">
        <f t="shared" si="136"/>
        <v>2.4151451733179563E-2</v>
      </c>
      <c r="AO36" s="429">
        <f t="shared" si="136"/>
        <v>-8.8920497403073284E-2</v>
      </c>
      <c r="AP36" s="429">
        <f t="shared" ref="AP36:BN36" si="137">AP33/AL33-1</f>
        <v>-2.7690499333167473E-2</v>
      </c>
      <c r="AQ36" s="367">
        <f t="shared" si="137"/>
        <v>1.0587172538392036</v>
      </c>
      <c r="AR36" s="515">
        <f t="shared" si="137"/>
        <v>0.10825601879036983</v>
      </c>
      <c r="AS36" s="429">
        <f t="shared" si="137"/>
        <v>0.65745712596097006</v>
      </c>
      <c r="AT36" s="429">
        <f t="shared" si="137"/>
        <v>1.169177477100479</v>
      </c>
      <c r="AU36" s="367">
        <f t="shared" si="137"/>
        <v>1.2447518533059299</v>
      </c>
      <c r="AV36" s="515">
        <f t="shared" si="137"/>
        <v>1.1871820956256358</v>
      </c>
      <c r="AW36" s="429">
        <f t="shared" si="137"/>
        <v>0.54790278154390659</v>
      </c>
      <c r="AX36" s="429">
        <f t="shared" si="137"/>
        <v>0.16714002465034028</v>
      </c>
      <c r="AY36" s="367">
        <f t="shared" si="137"/>
        <v>0.1062551440329218</v>
      </c>
      <c r="AZ36" s="515">
        <f t="shared" si="137"/>
        <v>0.21469961240310065</v>
      </c>
      <c r="BA36" s="429">
        <f t="shared" si="137"/>
        <v>0.13037064355522765</v>
      </c>
      <c r="BB36" s="429">
        <f t="shared" si="137"/>
        <v>0.15281910009182731</v>
      </c>
      <c r="BC36" s="367">
        <f t="shared" si="137"/>
        <v>0.18666765865634982</v>
      </c>
      <c r="BD36" s="515">
        <f t="shared" si="137"/>
        <v>1.3904289349617516E-2</v>
      </c>
      <c r="BE36" s="429">
        <f t="shared" si="137"/>
        <v>0.34828711256117462</v>
      </c>
      <c r="BF36" s="429">
        <f t="shared" si="137"/>
        <v>0.36974080387440056</v>
      </c>
      <c r="BG36" s="367">
        <f t="shared" si="137"/>
        <v>0.34550156739811921</v>
      </c>
      <c r="BH36" s="515">
        <f t="shared" si="137"/>
        <v>0.690889063729347</v>
      </c>
      <c r="BI36" s="429">
        <f t="shared" si="137"/>
        <v>0.36090744101633376</v>
      </c>
      <c r="BJ36" s="429">
        <f t="shared" si="137"/>
        <v>0.32633170504768549</v>
      </c>
      <c r="BK36" s="429">
        <f t="shared" si="137"/>
        <v>0.34246240229255731</v>
      </c>
      <c r="BL36" s="515">
        <f t="shared" si="137"/>
        <v>0.11233900387135209</v>
      </c>
      <c r="BM36" s="429">
        <f t="shared" si="137"/>
        <v>6.326069755243191E-2</v>
      </c>
      <c r="BN36" s="429">
        <f t="shared" si="137"/>
        <v>1.4810852522843421E-2</v>
      </c>
      <c r="BO36" s="429">
        <f t="shared" ref="BO36" si="138">BO33/BK33-1</f>
        <v>4.217249069341733E-3</v>
      </c>
      <c r="BP36" s="515">
        <f t="shared" ref="BP36:BW36" si="139">BP33/BL33-1</f>
        <v>1.1773148438643855E-2</v>
      </c>
      <c r="BQ36" s="429">
        <f t="shared" si="139"/>
        <v>4.1542516169221777E-2</v>
      </c>
      <c r="BR36" s="429">
        <f t="shared" si="139"/>
        <v>5.1593949999999777E-2</v>
      </c>
      <c r="BS36" s="367">
        <f t="shared" si="139"/>
        <v>4.1078010499999928E-2</v>
      </c>
      <c r="BT36" s="429">
        <f t="shared" si="139"/>
        <v>3.6096775999999942E-2</v>
      </c>
      <c r="BU36" s="429">
        <f t="shared" si="139"/>
        <v>2.6037584000000003E-2</v>
      </c>
      <c r="BV36" s="429">
        <f t="shared" si="139"/>
        <v>3.128854400000014E-2</v>
      </c>
      <c r="BW36" s="367">
        <f t="shared" si="139"/>
        <v>3.1288543999999918E-2</v>
      </c>
      <c r="BX36" s="793"/>
      <c r="BY36" s="429"/>
      <c r="BZ36" s="369">
        <f>BZ33/BY33-1</f>
        <v>6.1246635086914081E-2</v>
      </c>
      <c r="CA36" s="369">
        <f>CA33/BZ33-1</f>
        <v>0.11912065439672781</v>
      </c>
      <c r="CB36" s="369">
        <f>CB33/CA33-1</f>
        <v>0.16630354570053063</v>
      </c>
      <c r="CC36" s="369">
        <f>CC33/CB33-1</f>
        <v>0.24482140435981248</v>
      </c>
      <c r="CD36" s="369">
        <f t="shared" ref="CD36:CK36" si="140">CD33/CC33-1</f>
        <v>-1.1376013554398323E-3</v>
      </c>
      <c r="CE36" s="369">
        <f t="shared" si="140"/>
        <v>-2.7018513133664213E-3</v>
      </c>
      <c r="CF36" s="369">
        <f t="shared" si="140"/>
        <v>0.2130283187345865</v>
      </c>
      <c r="CG36" s="369">
        <f t="shared" si="140"/>
        <v>0.53477285473920388</v>
      </c>
      <c r="CH36" s="369">
        <f t="shared" si="140"/>
        <v>0.11694421967581059</v>
      </c>
      <c r="CI36" s="369">
        <f t="shared" si="140"/>
        <v>0.79801945491192727</v>
      </c>
      <c r="CJ36" s="1054">
        <f t="shared" si="140"/>
        <v>0.3909890238434095</v>
      </c>
      <c r="CK36" s="369">
        <f t="shared" si="140"/>
        <v>0.17055138195884956</v>
      </c>
      <c r="CL36" s="369">
        <f>CL33/CK33-1</f>
        <v>0.26930207404125728</v>
      </c>
      <c r="CM36" s="369">
        <f>CM33/CL33-1</f>
        <v>0.41252047807862935</v>
      </c>
      <c r="CN36" s="369">
        <f>CN33/CM33-1</f>
        <v>4.7554172398901251E-2</v>
      </c>
      <c r="CO36" s="369">
        <f>CO33/CN33-1</f>
        <v>3.6338698579577944E-2</v>
      </c>
      <c r="CP36" s="368">
        <f>CP33/CO33-1</f>
        <v>3.1139691345248854E-2</v>
      </c>
      <c r="CQ36" s="794"/>
      <c r="CR36" s="1523"/>
      <c r="CS36" s="794"/>
      <c r="CT36" s="369">
        <f>+CT33/CS33-1</f>
        <v>3.5133909889803139E-2</v>
      </c>
      <c r="CU36" s="369">
        <f>+CU33/CT33-1</f>
        <v>0.39584280829417007</v>
      </c>
      <c r="CV36" s="369">
        <f>+CV33/CU33-1</f>
        <v>-2.145606815740897E-2</v>
      </c>
      <c r="CW36" s="369">
        <f>+CW33/CV33-1</f>
        <v>7.7914390361208063E-2</v>
      </c>
      <c r="CX36" s="369">
        <f t="shared" ref="CX36:DH36" si="141">+CX33/CW33-1</f>
        <v>-3.0615396936172212E-2</v>
      </c>
      <c r="CY36" s="369">
        <f t="shared" si="141"/>
        <v>0.93348361284535764</v>
      </c>
      <c r="CZ36" s="369">
        <f t="shared" si="141"/>
        <v>-9.1127171511237393E-2</v>
      </c>
      <c r="DA36" s="1054">
        <f t="shared" si="141"/>
        <v>0.70493025379960605</v>
      </c>
      <c r="DB36" s="369">
        <f t="shared" si="141"/>
        <v>0.64563793286824578</v>
      </c>
      <c r="DC36" s="1054">
        <f t="shared" si="141"/>
        <v>0.15144341248563786</v>
      </c>
      <c r="DD36" s="369">
        <f t="shared" si="141"/>
        <v>0.23061699239335831</v>
      </c>
      <c r="DE36" s="369">
        <f t="shared" si="141"/>
        <v>0.41839313467126149</v>
      </c>
      <c r="DF36" s="369">
        <f t="shared" si="141"/>
        <v>0.11975246298378339</v>
      </c>
      <c r="DG36" s="369">
        <f t="shared" si="141"/>
        <v>2.7297505800272237E-2</v>
      </c>
      <c r="DH36" s="368">
        <f t="shared" si="141"/>
        <v>3.3484163748019879E-2</v>
      </c>
    </row>
    <row r="37" spans="1:112" ht="14.25" customHeight="1">
      <c r="A37" s="472"/>
      <c r="B37" s="34" t="s">
        <v>100</v>
      </c>
      <c r="C37" s="239"/>
      <c r="D37" s="90">
        <f t="shared" ref="D37:O37" si="142">D33/D66</f>
        <v>7.4937795155639045E-2</v>
      </c>
      <c r="E37" s="90">
        <f t="shared" si="142"/>
        <v>7.3997013976747392E-2</v>
      </c>
      <c r="F37" s="90">
        <f t="shared" si="142"/>
        <v>7.6692501522624398E-2</v>
      </c>
      <c r="G37" s="91">
        <f t="shared" si="142"/>
        <v>6.8454971910288265E-2</v>
      </c>
      <c r="H37" s="90">
        <f t="shared" si="142"/>
        <v>7.2933911199568449E-2</v>
      </c>
      <c r="I37" s="90">
        <f t="shared" si="142"/>
        <v>7.3905250287857743E-2</v>
      </c>
      <c r="J37" s="90">
        <f t="shared" si="142"/>
        <v>7.2108874117111602E-2</v>
      </c>
      <c r="K37" s="91">
        <f t="shared" si="142"/>
        <v>7.2095403187067961E-2</v>
      </c>
      <c r="L37" s="90">
        <f t="shared" si="142"/>
        <v>7.4938315121607327E-2</v>
      </c>
      <c r="M37" s="90">
        <f t="shared" si="142"/>
        <v>6.8773958512691774E-2</v>
      </c>
      <c r="N37" s="90">
        <f t="shared" si="142"/>
        <v>6.0476960230592444E-2</v>
      </c>
      <c r="O37" s="91">
        <f t="shared" si="142"/>
        <v>6.4253206653114403E-2</v>
      </c>
      <c r="P37" s="90">
        <f t="shared" ref="P37:W37" si="143">P33/P66</f>
        <v>6.381820095457312E-2</v>
      </c>
      <c r="Q37" s="90">
        <f t="shared" si="143"/>
        <v>6.4730002023774949E-2</v>
      </c>
      <c r="R37" s="90">
        <f t="shared" si="143"/>
        <v>7.3811388869967992E-2</v>
      </c>
      <c r="S37" s="91">
        <f t="shared" si="143"/>
        <v>8.2494171739412009E-2</v>
      </c>
      <c r="T37" s="90">
        <f t="shared" si="143"/>
        <v>7.8588649321861534E-2</v>
      </c>
      <c r="U37" s="90">
        <f t="shared" si="143"/>
        <v>7.8470817440115859E-2</v>
      </c>
      <c r="V37" s="90">
        <f t="shared" si="143"/>
        <v>8.2970789310130508E-2</v>
      </c>
      <c r="W37" s="91">
        <f t="shared" si="143"/>
        <v>7.8028166831928591E-2</v>
      </c>
      <c r="X37" s="90">
        <f t="shared" ref="X37:AO37" si="144">X33/X66</f>
        <v>7.7543245781453538E-2</v>
      </c>
      <c r="Y37" s="90">
        <f t="shared" si="144"/>
        <v>7.9185144231326873E-2</v>
      </c>
      <c r="Z37" s="90">
        <f t="shared" si="144"/>
        <v>7.912114014251781E-2</v>
      </c>
      <c r="AA37" s="91">
        <f t="shared" si="144"/>
        <v>8.2912855486179868E-2</v>
      </c>
      <c r="AB37" s="90">
        <f t="shared" si="144"/>
        <v>8.2529123100099938E-2</v>
      </c>
      <c r="AC37" s="90">
        <f t="shared" si="144"/>
        <v>9.1670189020637283E-2</v>
      </c>
      <c r="AD37" s="90">
        <f t="shared" si="144"/>
        <v>9.8659492313936906E-2</v>
      </c>
      <c r="AE37" s="91">
        <f t="shared" si="144"/>
        <v>9.5224902310493839E-2</v>
      </c>
      <c r="AF37" s="90">
        <f t="shared" si="144"/>
        <v>9.5926902963995669E-2</v>
      </c>
      <c r="AG37" s="90">
        <f t="shared" si="144"/>
        <v>0.1024569731890356</v>
      </c>
      <c r="AH37" s="90">
        <f t="shared" si="144"/>
        <v>0.10596203903254313</v>
      </c>
      <c r="AI37" s="91">
        <f t="shared" si="144"/>
        <v>0.11371484065894538</v>
      </c>
      <c r="AJ37" s="90">
        <f t="shared" si="144"/>
        <v>0.11640462023101154</v>
      </c>
      <c r="AK37" s="90">
        <f t="shared" si="144"/>
        <v>0.12138247473650893</v>
      </c>
      <c r="AL37" s="90">
        <f t="shared" si="144"/>
        <v>0.12027219539779896</v>
      </c>
      <c r="AM37" s="91">
        <f t="shared" si="144"/>
        <v>5.5352184954669266E-2</v>
      </c>
      <c r="AN37" s="429">
        <f t="shared" si="144"/>
        <v>0.11368278830569256</v>
      </c>
      <c r="AO37" s="429">
        <f t="shared" si="144"/>
        <v>0.12411847258677283</v>
      </c>
      <c r="AP37" s="90">
        <f t="shared" ref="AP37:AU37" si="145">AP33/AP66</f>
        <v>0.13067967772120215</v>
      </c>
      <c r="AQ37" s="91">
        <f t="shared" si="145"/>
        <v>0.12776510647338085</v>
      </c>
      <c r="AR37" s="429">
        <f t="shared" si="145"/>
        <v>0.13399444529639284</v>
      </c>
      <c r="AS37" s="429">
        <f t="shared" si="145"/>
        <v>0.18280554555463374</v>
      </c>
      <c r="AT37" s="429">
        <f t="shared" si="145"/>
        <v>0.22426552769278471</v>
      </c>
      <c r="AU37" s="91">
        <f t="shared" si="145"/>
        <v>0.22594142259414224</v>
      </c>
      <c r="AV37" s="429">
        <f t="shared" ref="AV37:BA37" si="146">AV33/AV66</f>
        <v>0.222990492653414</v>
      </c>
      <c r="AW37" s="429">
        <f t="shared" si="146"/>
        <v>0.22014780714840995</v>
      </c>
      <c r="AX37" s="429">
        <f t="shared" si="146"/>
        <v>0.2257462686567164</v>
      </c>
      <c r="AY37" s="91">
        <f t="shared" si="146"/>
        <v>0.21795568239863136</v>
      </c>
      <c r="AZ37" s="515">
        <f t="shared" si="146"/>
        <v>0.23706072462589611</v>
      </c>
      <c r="BA37" s="429">
        <f t="shared" si="146"/>
        <v>0.22441881749954237</v>
      </c>
      <c r="BB37" s="429">
        <f t="shared" ref="BB37:BG37" si="147">BB33/BB66</f>
        <v>0.23744964158045051</v>
      </c>
      <c r="BC37" s="367">
        <f t="shared" si="147"/>
        <v>0.23318713450292394</v>
      </c>
      <c r="BD37" s="515">
        <f t="shared" si="147"/>
        <v>0.23797041752480808</v>
      </c>
      <c r="BE37" s="429">
        <f t="shared" si="147"/>
        <v>0.29544235924932977</v>
      </c>
      <c r="BF37" s="429">
        <f t="shared" si="147"/>
        <v>0.31151440274051517</v>
      </c>
      <c r="BG37" s="367">
        <f t="shared" si="147"/>
        <v>0.30203118018147979</v>
      </c>
      <c r="BH37" s="515">
        <f>BH33/BH66</f>
        <v>0.25463567449211966</v>
      </c>
      <c r="BI37" s="429">
        <f t="shared" ref="BI37:BJ37" si="148">BI33/BI66</f>
        <v>0.25743761694141343</v>
      </c>
      <c r="BJ37" s="429">
        <f t="shared" si="148"/>
        <v>0.25882814884922267</v>
      </c>
      <c r="BK37" s="429">
        <f t="shared" ref="BK37" si="149">BK33/BK66</f>
        <v>0.25533475283216606</v>
      </c>
      <c r="BL37" s="515">
        <f>BL33/BL66</f>
        <v>0.24590568652078246</v>
      </c>
      <c r="BM37" s="429">
        <f t="shared" ref="BM37:BN37" si="150">BM33/BM66</f>
        <v>0.2363203077838123</v>
      </c>
      <c r="BN37" s="429">
        <f t="shared" si="150"/>
        <v>0.2327930254825758</v>
      </c>
      <c r="BO37" s="1347">
        <f t="shared" ref="BO37" si="151">BO33/(BO66)</f>
        <v>0.2348517968108613</v>
      </c>
      <c r="BP37" s="1351">
        <f t="shared" ref="BP37:BW37" si="152">BP33/(BP66)</f>
        <v>0.23502963253584233</v>
      </c>
      <c r="BQ37" s="1347">
        <f t="shared" si="152"/>
        <v>0.23473031205796968</v>
      </c>
      <c r="BR37" s="1347">
        <f t="shared" si="152"/>
        <v>0.23409335993903077</v>
      </c>
      <c r="BS37" s="1348">
        <f t="shared" si="152"/>
        <v>0.23386110461069504</v>
      </c>
      <c r="BT37" s="1347">
        <f t="shared" si="152"/>
        <v>0.23389759777467078</v>
      </c>
      <c r="BU37" s="1347">
        <f t="shared" si="152"/>
        <v>0.23259748025080818</v>
      </c>
      <c r="BV37" s="1347">
        <f t="shared" si="152"/>
        <v>0.23177137098420186</v>
      </c>
      <c r="BW37" s="1348">
        <f t="shared" si="152"/>
        <v>0.23154635178327648</v>
      </c>
      <c r="BX37" s="20"/>
      <c r="BY37" s="369">
        <f>BY33/(BY66)</f>
        <v>7.3559163849925252E-2</v>
      </c>
      <c r="BZ37" s="369">
        <f>BZ33/(BZ66)</f>
        <v>7.272831278780427E-2</v>
      </c>
      <c r="CA37" s="369">
        <f>CA33/(CA66)</f>
        <v>6.7199882871905328E-2</v>
      </c>
      <c r="CB37" s="369">
        <f t="shared" ref="CB37:CK37" si="153">CB33/(CB66)</f>
        <v>7.1545053691933438E-2</v>
      </c>
      <c r="CC37" s="369">
        <f t="shared" si="153"/>
        <v>7.9477065340862629E-2</v>
      </c>
      <c r="CD37" s="369">
        <f t="shared" si="153"/>
        <v>7.968818339018495E-2</v>
      </c>
      <c r="CE37" s="369">
        <f t="shared" si="153"/>
        <v>9.1125067392009484E-2</v>
      </c>
      <c r="CF37" s="369">
        <f t="shared" si="153"/>
        <v>0.10535501182300003</v>
      </c>
      <c r="CG37" s="369">
        <f t="shared" si="153"/>
        <v>0.10304161161373181</v>
      </c>
      <c r="CH37" s="369">
        <f t="shared" si="153"/>
        <v>0.12374780938940523</v>
      </c>
      <c r="CI37" s="369">
        <f t="shared" si="153"/>
        <v>0.19457677569216003</v>
      </c>
      <c r="CJ37" s="1054">
        <f t="shared" si="153"/>
        <v>0.2216674770365008</v>
      </c>
      <c r="CK37" s="369">
        <f t="shared" si="153"/>
        <v>0.23296019027367185</v>
      </c>
      <c r="CL37" s="369">
        <f>CL33/(CL66)</f>
        <v>0.28727703201055438</v>
      </c>
      <c r="CM37" s="369">
        <f>CM33/(CM66)</f>
        <v>0.25657012079324071</v>
      </c>
      <c r="CN37" s="369">
        <f>CN33/(CN66)</f>
        <v>0.23742121980698516</v>
      </c>
      <c r="CO37" s="369">
        <f>CO33/(CO66)</f>
        <v>0.23442991022138865</v>
      </c>
      <c r="CP37" s="368">
        <f>CP33/(CP66)</f>
        <v>0.23245190987736106</v>
      </c>
      <c r="CQ37" s="22"/>
      <c r="CR37" s="232"/>
      <c r="CS37" s="353">
        <f>CS33/CS$66</f>
        <v>6.9067423591934754E-2</v>
      </c>
      <c r="CT37" s="314">
        <f>CT33/CT$66</f>
        <v>6.6794253851242796E-2</v>
      </c>
      <c r="CU37" s="314">
        <f>CU33/CU$66</f>
        <v>8.056548576806373E-2</v>
      </c>
      <c r="CV37" s="314">
        <f t="shared" ref="CV37:DC37" si="154">CV33/CV$66</f>
        <v>7.8460950464201554E-2</v>
      </c>
      <c r="CW37" s="314">
        <f t="shared" si="154"/>
        <v>8.8248716255646356E-2</v>
      </c>
      <c r="CX37" s="314">
        <f t="shared" si="154"/>
        <v>0.10051580023773313</v>
      </c>
      <c r="CY37" s="314">
        <f t="shared" si="154"/>
        <v>0.11826542692962952</v>
      </c>
      <c r="CZ37" s="314">
        <f t="shared" si="154"/>
        <v>0.10454414604177639</v>
      </c>
      <c r="DA37" s="353">
        <f t="shared" si="154"/>
        <v>0.17033058461208136</v>
      </c>
      <c r="DB37" s="314">
        <f t="shared" si="154"/>
        <v>0.22363199646265744</v>
      </c>
      <c r="DC37" s="353">
        <f t="shared" si="154"/>
        <v>0.229371219580813</v>
      </c>
      <c r="DD37" s="314">
        <f>DD33/DD$66</f>
        <v>0.26995461993339148</v>
      </c>
      <c r="DE37" s="314">
        <f>DE33/DE$66</f>
        <v>0.26508070509537934</v>
      </c>
      <c r="DF37" s="314">
        <f>DF33/DF$66</f>
        <v>0.24223988803445537</v>
      </c>
      <c r="DG37" s="314">
        <f>DG33/DG$66</f>
        <v>0.23467333397946413</v>
      </c>
      <c r="DH37" s="315">
        <f>DH33/DH$66</f>
        <v>0.23301773626534519</v>
      </c>
    </row>
    <row r="38" spans="1:112" ht="14.25" customHeight="1">
      <c r="A38" s="472"/>
      <c r="B38" s="34"/>
      <c r="C38" s="239"/>
      <c r="D38" s="90"/>
      <c r="E38" s="90"/>
      <c r="F38" s="90"/>
      <c r="G38" s="91"/>
      <c r="H38" s="90"/>
      <c r="I38" s="90"/>
      <c r="J38" s="90"/>
      <c r="K38" s="91"/>
      <c r="L38" s="90"/>
      <c r="M38" s="90"/>
      <c r="N38" s="90"/>
      <c r="O38" s="91"/>
      <c r="P38" s="90"/>
      <c r="Q38" s="90"/>
      <c r="R38" s="90"/>
      <c r="S38" s="91"/>
      <c r="T38" s="90"/>
      <c r="U38" s="90"/>
      <c r="V38" s="90"/>
      <c r="W38" s="91"/>
      <c r="X38" s="90"/>
      <c r="Y38" s="90"/>
      <c r="Z38" s="90"/>
      <c r="AA38" s="91"/>
      <c r="AB38" s="90"/>
      <c r="AC38" s="90"/>
      <c r="AD38" s="90"/>
      <c r="AE38" s="91"/>
      <c r="AF38" s="90"/>
      <c r="AG38" s="90"/>
      <c r="AH38" s="90"/>
      <c r="AI38" s="91"/>
      <c r="AJ38" s="90"/>
      <c r="AK38" s="90"/>
      <c r="AL38" s="90"/>
      <c r="AM38" s="91"/>
      <c r="AN38" s="90"/>
      <c r="AO38" s="90"/>
      <c r="AP38" s="90"/>
      <c r="AQ38" s="91"/>
      <c r="AR38" s="90"/>
      <c r="AS38" s="90"/>
      <c r="AT38" s="90"/>
      <c r="AU38" s="91"/>
      <c r="AV38" s="90"/>
      <c r="AW38" s="90"/>
      <c r="AX38" s="90"/>
      <c r="AY38" s="91"/>
      <c r="AZ38" s="144"/>
      <c r="BA38" s="90"/>
      <c r="BB38" s="90"/>
      <c r="BC38" s="91"/>
      <c r="BD38" s="144"/>
      <c r="BE38" s="90"/>
      <c r="BF38" s="90"/>
      <c r="BG38" s="91"/>
      <c r="BH38" s="144"/>
      <c r="BI38" s="90"/>
      <c r="BJ38" s="1347"/>
      <c r="BK38" s="1347"/>
      <c r="BL38" s="1351"/>
      <c r="BM38" s="1347"/>
      <c r="BN38" s="1347"/>
      <c r="BO38" s="68"/>
      <c r="BP38" s="23"/>
      <c r="BQ38" s="68"/>
      <c r="BR38" s="68"/>
      <c r="BS38" s="24"/>
      <c r="BT38" s="68"/>
      <c r="BU38" s="68"/>
      <c r="BV38" s="68"/>
      <c r="BW38" s="24"/>
      <c r="BX38" s="20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22"/>
      <c r="CK38" s="14"/>
      <c r="CL38" s="14"/>
      <c r="CM38" s="14"/>
      <c r="CN38" s="14"/>
      <c r="CO38" s="14"/>
      <c r="CP38" s="232"/>
      <c r="CQ38" s="22"/>
      <c r="CR38" s="232"/>
      <c r="CS38" s="22"/>
      <c r="CT38" s="14"/>
      <c r="CU38" s="14"/>
      <c r="CV38" s="14"/>
      <c r="CW38" s="14"/>
      <c r="CX38" s="14"/>
      <c r="CY38" s="14"/>
      <c r="CZ38" s="14"/>
      <c r="DA38" s="22"/>
      <c r="DB38" s="14"/>
      <c r="DC38" s="22"/>
      <c r="DD38" s="14"/>
      <c r="DE38" s="14"/>
      <c r="DF38" s="14"/>
      <c r="DG38" s="14"/>
      <c r="DH38" s="232"/>
    </row>
    <row r="39" spans="1:112" ht="14.25" customHeight="1">
      <c r="A39" s="472"/>
      <c r="B39" s="44" t="str">
        <f>$B$112&amp;" Gross Margin"</f>
        <v>Analog and interface Gross Margin</v>
      </c>
      <c r="C39" s="239"/>
      <c r="D39" s="433">
        <f t="shared" ref="D39:O39" si="155">D88*D37</f>
        <v>6.1724013735845213</v>
      </c>
      <c r="E39" s="370">
        <f t="shared" si="155"/>
        <v>6.6819303621002897</v>
      </c>
      <c r="F39" s="370">
        <f t="shared" si="155"/>
        <v>7.1242732364426704</v>
      </c>
      <c r="G39" s="371">
        <f t="shared" si="155"/>
        <v>5.9332662353523284</v>
      </c>
      <c r="H39" s="433">
        <f t="shared" si="155"/>
        <v>4.0493636837112392</v>
      </c>
      <c r="I39" s="370">
        <f t="shared" si="155"/>
        <v>6.7397153947508981</v>
      </c>
      <c r="J39" s="370">
        <f t="shared" si="155"/>
        <v>6.9959308579680517</v>
      </c>
      <c r="K39" s="371">
        <f t="shared" si="155"/>
        <v>7.6583342035462953</v>
      </c>
      <c r="L39" s="433">
        <f t="shared" si="155"/>
        <v>9.1019328163553048</v>
      </c>
      <c r="M39" s="370">
        <f t="shared" si="155"/>
        <v>8.6914465549584481</v>
      </c>
      <c r="N39" s="370">
        <f t="shared" si="155"/>
        <v>7.0629832314104295</v>
      </c>
      <c r="O39" s="371">
        <f t="shared" si="155"/>
        <v>7.6686844672558605</v>
      </c>
      <c r="P39" s="433">
        <f t="shared" ref="P39:AT39" si="156">P88*P37</f>
        <v>8.1371397127128446</v>
      </c>
      <c r="Q39" s="370">
        <f t="shared" si="156"/>
        <v>8.7098101523110607</v>
      </c>
      <c r="R39" s="370">
        <f t="shared" si="156"/>
        <v>10.353523516790409</v>
      </c>
      <c r="S39" s="371">
        <f t="shared" si="156"/>
        <v>12.254179235202695</v>
      </c>
      <c r="T39" s="433">
        <f t="shared" si="156"/>
        <v>12.455043499125907</v>
      </c>
      <c r="U39" s="370">
        <f t="shared" si="156"/>
        <v>12.709212063418606</v>
      </c>
      <c r="V39" s="370">
        <f t="shared" si="156"/>
        <v>12.421556867619637</v>
      </c>
      <c r="W39" s="371">
        <f t="shared" si="156"/>
        <v>12.063232620382992</v>
      </c>
      <c r="X39" s="433">
        <f t="shared" si="156"/>
        <v>12.294093902420553</v>
      </c>
      <c r="Y39" s="370">
        <f t="shared" si="156"/>
        <v>12.250892034317042</v>
      </c>
      <c r="Z39" s="370">
        <f t="shared" si="156"/>
        <v>12.109253135391922</v>
      </c>
      <c r="AA39" s="371">
        <f t="shared" si="156"/>
        <v>13.152797917194658</v>
      </c>
      <c r="AB39" s="433">
        <f t="shared" si="156"/>
        <v>13.501516951807053</v>
      </c>
      <c r="AC39" s="370">
        <f t="shared" si="156"/>
        <v>15.047936538304674</v>
      </c>
      <c r="AD39" s="370">
        <f t="shared" si="156"/>
        <v>10.338232221100506</v>
      </c>
      <c r="AE39" s="371">
        <f t="shared" si="156"/>
        <v>7.9957493723052346</v>
      </c>
      <c r="AF39" s="433">
        <f t="shared" si="156"/>
        <v>9.2507108873329233</v>
      </c>
      <c r="AG39" s="370">
        <f t="shared" si="156"/>
        <v>12.637043073135651</v>
      </c>
      <c r="AH39" s="370">
        <f t="shared" si="156"/>
        <v>15.470033850595165</v>
      </c>
      <c r="AI39" s="371">
        <f t="shared" si="156"/>
        <v>19.157652920653195</v>
      </c>
      <c r="AJ39" s="433">
        <f t="shared" si="156"/>
        <v>24.147323634581728</v>
      </c>
      <c r="AK39" s="370">
        <f t="shared" si="156"/>
        <v>27.311663728088195</v>
      </c>
      <c r="AL39" s="370">
        <f t="shared" si="156"/>
        <v>26.026542267497504</v>
      </c>
      <c r="AM39" s="371">
        <f t="shared" si="156"/>
        <v>12.486954756108787</v>
      </c>
      <c r="AN39" s="514">
        <f t="shared" si="156"/>
        <v>24.98156536459933</v>
      </c>
      <c r="AO39" s="431">
        <f t="shared" si="156"/>
        <v>24.414475913235972</v>
      </c>
      <c r="AP39" s="370">
        <f t="shared" si="156"/>
        <v>24.239512061150343</v>
      </c>
      <c r="AQ39" s="371">
        <f t="shared" si="156"/>
        <v>24.333503353387744</v>
      </c>
      <c r="AR39" s="514">
        <f t="shared" si="156"/>
        <v>27.211457956346162</v>
      </c>
      <c r="AS39" s="431">
        <f t="shared" si="156"/>
        <v>35.499922918982101</v>
      </c>
      <c r="AT39" s="431">
        <f t="shared" si="156"/>
        <v>44.949091184409461</v>
      </c>
      <c r="AU39" s="371">
        <f t="shared" ref="AU39:AZ39" si="157">AU88*AU37</f>
        <v>54.396979079497925</v>
      </c>
      <c r="AV39" s="514">
        <f t="shared" si="157"/>
        <v>59.443467588591176</v>
      </c>
      <c r="AW39" s="431">
        <f t="shared" si="157"/>
        <v>63.592556016311129</v>
      </c>
      <c r="AX39" s="431">
        <f t="shared" si="157"/>
        <v>63.822985074626871</v>
      </c>
      <c r="AY39" s="371">
        <f t="shared" si="157"/>
        <v>63.334869925488718</v>
      </c>
      <c r="AZ39" s="514">
        <f t="shared" si="157"/>
        <v>72.663616251605049</v>
      </c>
      <c r="BA39" s="431">
        <f t="shared" ref="BA39:BF39" si="158">BA88*BA37</f>
        <v>68.998463115504322</v>
      </c>
      <c r="BB39" s="431">
        <f t="shared" si="158"/>
        <v>71.700056321991269</v>
      </c>
      <c r="BC39" s="430">
        <f t="shared" si="158"/>
        <v>73.134947368421038</v>
      </c>
      <c r="BD39" s="514">
        <f t="shared" si="158"/>
        <v>73.536904512263618</v>
      </c>
      <c r="BE39" s="431">
        <f t="shared" si="158"/>
        <v>88.913378016085773</v>
      </c>
      <c r="BF39" s="431">
        <f t="shared" si="158"/>
        <v>91.185872941398145</v>
      </c>
      <c r="BG39" s="430">
        <f>BG88*BG37</f>
        <v>91.434503238699747</v>
      </c>
      <c r="BH39" s="514">
        <f>BH88*BH37</f>
        <v>88.737986203758766</v>
      </c>
      <c r="BI39" s="431">
        <f t="shared" ref="BI39:BJ39" si="159">BI88*BI37</f>
        <v>105.70929170610013</v>
      </c>
      <c r="BJ39" s="431">
        <f t="shared" si="159"/>
        <v>120.42212570544048</v>
      </c>
      <c r="BK39" s="431">
        <f t="shared" ref="BK39" si="160">BK88*BK37</f>
        <v>136.04899501255173</v>
      </c>
      <c r="BL39" s="514">
        <f>BL88*BL37</f>
        <v>143.71687352451957</v>
      </c>
      <c r="BM39" s="431">
        <f t="shared" ref="BM39:BN39" si="161">BM88*BM37</f>
        <v>145.12288308819245</v>
      </c>
      <c r="BN39" s="431">
        <f t="shared" si="161"/>
        <v>141.31910125642696</v>
      </c>
      <c r="BO39" s="370">
        <f t="shared" ref="BO39" si="162">BO42*BO33</f>
        <v>142.807118</v>
      </c>
      <c r="BP39" s="433">
        <f t="shared" ref="BP39:BW39" si="163">BP42*BP33</f>
        <v>149.95904659999999</v>
      </c>
      <c r="BQ39" s="370">
        <f t="shared" si="163"/>
        <v>154.95606902379998</v>
      </c>
      <c r="BR39" s="370">
        <f t="shared" si="163"/>
        <v>151.39207943625257</v>
      </c>
      <c r="BS39" s="371">
        <f t="shared" si="163"/>
        <v>149.87815864189005</v>
      </c>
      <c r="BT39" s="370">
        <f t="shared" si="163"/>
        <v>156.37448526083759</v>
      </c>
      <c r="BU39" s="370">
        <f t="shared" si="163"/>
        <v>160.01319924479171</v>
      </c>
      <c r="BV39" s="370">
        <f t="shared" si="163"/>
        <v>157.13296165838545</v>
      </c>
      <c r="BW39" s="371">
        <f t="shared" si="163"/>
        <v>156.05863406110447</v>
      </c>
      <c r="BX39" s="286"/>
      <c r="BY39" s="362">
        <f>SUM(D39:G39)</f>
        <v>25.911871207479809</v>
      </c>
      <c r="BZ39" s="362">
        <f>SUM(H39:K39)</f>
        <v>25.443344139976485</v>
      </c>
      <c r="CA39" s="362">
        <f>SUM(L39:O39)</f>
        <v>32.52504706998004</v>
      </c>
      <c r="CB39" s="362">
        <f>SUM(P39:S39)</f>
        <v>39.454652617017004</v>
      </c>
      <c r="CC39" s="362">
        <f>SUM(T39:W39)</f>
        <v>49.649045050547137</v>
      </c>
      <c r="CD39" s="362">
        <f>SUM(X39:AA39)</f>
        <v>49.807036989324175</v>
      </c>
      <c r="CE39" s="362">
        <f>SUM(AB39:AE39)</f>
        <v>46.883435083517469</v>
      </c>
      <c r="CF39" s="362">
        <f>SUM(AF39:AI39)</f>
        <v>56.515440731716936</v>
      </c>
      <c r="CG39" s="362">
        <f>SUM(AJ39:AM39)</f>
        <v>89.972484386276221</v>
      </c>
      <c r="CH39" s="362">
        <f>SUM(AN39:AQ39)</f>
        <v>97.969056692373385</v>
      </c>
      <c r="CI39" s="362">
        <f>SUM(AR39:AU39)</f>
        <v>162.05745113923564</v>
      </c>
      <c r="CJ39" s="366">
        <f>SUM(AV39:AY39)</f>
        <v>250.19387860501791</v>
      </c>
      <c r="CK39" s="362">
        <f>SUM(AZ39:BC39)</f>
        <v>286.49708305752165</v>
      </c>
      <c r="CL39" s="362">
        <f>SUM(BD39:BG39)</f>
        <v>345.0706587084473</v>
      </c>
      <c r="CM39" s="362">
        <f>SUM(BH39:BK39)</f>
        <v>450.91839862785105</v>
      </c>
      <c r="CN39" s="362">
        <f>SUM(BL39:BO39)</f>
        <v>572.9659758691389</v>
      </c>
      <c r="CO39" s="362">
        <f>SUM(BP39:BS39)</f>
        <v>606.18535370194263</v>
      </c>
      <c r="CP39" s="363">
        <f>SUM(BT39:BW39)</f>
        <v>629.57928022511919</v>
      </c>
      <c r="CQ39" s="22"/>
      <c r="CR39" s="232"/>
      <c r="CS39" s="22"/>
      <c r="CT39" s="14"/>
      <c r="CU39" s="14"/>
      <c r="CV39" s="14"/>
      <c r="CW39" s="14"/>
      <c r="CX39" s="14"/>
      <c r="CY39" s="14"/>
      <c r="CZ39" s="14"/>
      <c r="DA39" s="22"/>
      <c r="DB39" s="14"/>
      <c r="DC39" s="22"/>
      <c r="DD39" s="14"/>
      <c r="DE39" s="14"/>
      <c r="DF39" s="14"/>
      <c r="DG39" s="14"/>
      <c r="DH39" s="232"/>
    </row>
    <row r="40" spans="1:112" ht="14.25" customHeight="1">
      <c r="A40" s="472"/>
      <c r="B40" s="34" t="s">
        <v>98</v>
      </c>
      <c r="C40" s="239"/>
      <c r="D40" s="144"/>
      <c r="E40" s="90">
        <f t="shared" ref="E40:O40" si="164">E39/D39-1</f>
        <v>8.2549555298907507E-2</v>
      </c>
      <c r="F40" s="90">
        <f t="shared" si="164"/>
        <v>6.6199862969440249E-2</v>
      </c>
      <c r="G40" s="91">
        <f t="shared" si="164"/>
        <v>-0.16717592960893257</v>
      </c>
      <c r="H40" s="144">
        <f t="shared" si="164"/>
        <v>-0.31751525667535119</v>
      </c>
      <c r="I40" s="90">
        <f t="shared" si="164"/>
        <v>0.66438875862440527</v>
      </c>
      <c r="J40" s="90">
        <f t="shared" si="164"/>
        <v>3.8015768947261774E-2</v>
      </c>
      <c r="K40" s="91">
        <f t="shared" si="164"/>
        <v>9.4684089798256821E-2</v>
      </c>
      <c r="L40" s="144">
        <f t="shared" si="164"/>
        <v>0.18850034151559125</v>
      </c>
      <c r="M40" s="90">
        <f t="shared" si="164"/>
        <v>-4.5098801505022323E-2</v>
      </c>
      <c r="N40" s="90">
        <f t="shared" si="164"/>
        <v>-0.18736390004250614</v>
      </c>
      <c r="O40" s="91">
        <f t="shared" si="164"/>
        <v>8.575713915782246E-2</v>
      </c>
      <c r="P40" s="144">
        <f t="shared" ref="P40:W40" si="165">P39/O39-1</f>
        <v>6.108678058892858E-2</v>
      </c>
      <c r="Q40" s="90">
        <f t="shared" si="165"/>
        <v>7.0377363522899694E-2</v>
      </c>
      <c r="R40" s="90">
        <f t="shared" si="165"/>
        <v>0.18871976951681368</v>
      </c>
      <c r="S40" s="91">
        <f t="shared" si="165"/>
        <v>0.18357573779882519</v>
      </c>
      <c r="T40" s="144">
        <f t="shared" si="165"/>
        <v>1.639149061458034E-2</v>
      </c>
      <c r="U40" s="90">
        <f t="shared" si="165"/>
        <v>2.0406878892919034E-2</v>
      </c>
      <c r="V40" s="90">
        <f t="shared" si="165"/>
        <v>-2.263359792594366E-2</v>
      </c>
      <c r="W40" s="91">
        <f t="shared" si="165"/>
        <v>-2.8846967498149967E-2</v>
      </c>
      <c r="X40" s="144">
        <f t="shared" ref="X40:AO40" si="166">X39/W39-1</f>
        <v>1.9137596803652679E-2</v>
      </c>
      <c r="Y40" s="90">
        <f t="shared" si="166"/>
        <v>-3.5140343360322568E-3</v>
      </c>
      <c r="Z40" s="90">
        <f t="shared" si="166"/>
        <v>-1.1561517196328475E-2</v>
      </c>
      <c r="AA40" s="91">
        <f t="shared" si="166"/>
        <v>8.61774685965353E-2</v>
      </c>
      <c r="AB40" s="144">
        <f t="shared" si="166"/>
        <v>2.6512916628675276E-2</v>
      </c>
      <c r="AC40" s="90">
        <f t="shared" si="166"/>
        <v>0.11453672887405775</v>
      </c>
      <c r="AD40" s="90">
        <f t="shared" si="166"/>
        <v>-0.31298007572105102</v>
      </c>
      <c r="AE40" s="91">
        <f t="shared" si="166"/>
        <v>-0.22658446808867616</v>
      </c>
      <c r="AF40" s="144">
        <f t="shared" si="166"/>
        <v>0.15695358328444886</v>
      </c>
      <c r="AG40" s="90">
        <f t="shared" si="166"/>
        <v>0.36606183319810159</v>
      </c>
      <c r="AH40" s="90">
        <f t="shared" si="166"/>
        <v>0.22418146088953383</v>
      </c>
      <c r="AI40" s="91">
        <f t="shared" si="166"/>
        <v>0.2383717518443671</v>
      </c>
      <c r="AJ40" s="144">
        <f t="shared" si="166"/>
        <v>0.26045313246850532</v>
      </c>
      <c r="AK40" s="90">
        <f t="shared" si="166"/>
        <v>0.1310430978352719</v>
      </c>
      <c r="AL40" s="90">
        <f t="shared" si="166"/>
        <v>-4.7053942717851793E-2</v>
      </c>
      <c r="AM40" s="91">
        <f t="shared" si="166"/>
        <v>-0.52022229354289751</v>
      </c>
      <c r="AN40" s="515">
        <f t="shared" si="166"/>
        <v>1.0006131080420557</v>
      </c>
      <c r="AO40" s="429">
        <f t="shared" si="166"/>
        <v>-2.2700316937182996E-2</v>
      </c>
      <c r="AP40" s="90">
        <f t="shared" ref="AP40:BN40" si="167">AP39/AO39-1</f>
        <v>-7.1663980298989349E-3</v>
      </c>
      <c r="AQ40" s="91">
        <f t="shared" si="167"/>
        <v>3.8776066118939578E-3</v>
      </c>
      <c r="AR40" s="515">
        <f t="shared" si="167"/>
        <v>0.11827128059461045</v>
      </c>
      <c r="AS40" s="429">
        <f t="shared" si="167"/>
        <v>0.30459466655306255</v>
      </c>
      <c r="AT40" s="429">
        <f t="shared" si="167"/>
        <v>0.26617433189903661</v>
      </c>
      <c r="AU40" s="91">
        <f t="shared" si="167"/>
        <v>0.21019085472334198</v>
      </c>
      <c r="AV40" s="515">
        <f t="shared" si="167"/>
        <v>9.2771484639213364E-2</v>
      </c>
      <c r="AW40" s="429">
        <f t="shared" si="167"/>
        <v>6.979889626284641E-2</v>
      </c>
      <c r="AX40" s="429">
        <f t="shared" si="167"/>
        <v>3.6235225119216619E-3</v>
      </c>
      <c r="AY40" s="91">
        <f t="shared" si="167"/>
        <v>-7.647952357092147E-3</v>
      </c>
      <c r="AZ40" s="515">
        <f t="shared" si="167"/>
        <v>0.1472924210169102</v>
      </c>
      <c r="BA40" s="429">
        <f t="shared" si="167"/>
        <v>-5.0440004574087927E-2</v>
      </c>
      <c r="BB40" s="429">
        <f t="shared" si="167"/>
        <v>3.9154396844527373E-2</v>
      </c>
      <c r="BC40" s="367">
        <f t="shared" si="167"/>
        <v>2.0012411705591315E-2</v>
      </c>
      <c r="BD40" s="515">
        <f t="shared" si="167"/>
        <v>5.4961021824175837E-3</v>
      </c>
      <c r="BE40" s="429">
        <f t="shared" si="167"/>
        <v>0.20909873220537656</v>
      </c>
      <c r="BF40" s="429">
        <f t="shared" si="167"/>
        <v>2.5558526467200915E-2</v>
      </c>
      <c r="BG40" s="367">
        <f t="shared" si="167"/>
        <v>2.7266317608363178E-3</v>
      </c>
      <c r="BH40" s="515">
        <f t="shared" si="167"/>
        <v>-2.9491241702286342E-2</v>
      </c>
      <c r="BI40" s="429">
        <f t="shared" si="167"/>
        <v>0.19125186662870752</v>
      </c>
      <c r="BJ40" s="429">
        <f t="shared" si="167"/>
        <v>0.13918203179570932</v>
      </c>
      <c r="BK40" s="429">
        <f t="shared" si="167"/>
        <v>0.12976742617328885</v>
      </c>
      <c r="BL40" s="515">
        <f t="shared" si="167"/>
        <v>5.6361155121068096E-2</v>
      </c>
      <c r="BM40" s="429">
        <f t="shared" si="167"/>
        <v>9.7831905829275367E-3</v>
      </c>
      <c r="BN40" s="429">
        <f t="shared" si="167"/>
        <v>-2.6210765323990248E-2</v>
      </c>
      <c r="BO40" s="1347">
        <f t="shared" ref="BO40" si="168">BO39/BN39-1</f>
        <v>1.0529480660034674E-2</v>
      </c>
      <c r="BP40" s="1351">
        <f t="shared" ref="BP40:BW40" si="169">BP39/BO39-1</f>
        <v>5.0081037277147411E-2</v>
      </c>
      <c r="BQ40" s="1347">
        <f t="shared" si="169"/>
        <v>3.3322580645161137E-2</v>
      </c>
      <c r="BR40" s="1347">
        <f t="shared" si="169"/>
        <v>-2.300000000000002E-2</v>
      </c>
      <c r="BS40" s="1348">
        <f t="shared" si="169"/>
        <v>-1.0000000000000009E-2</v>
      </c>
      <c r="BT40" s="1347">
        <f t="shared" si="169"/>
        <v>4.334405144694542E-2</v>
      </c>
      <c r="BU40" s="1347">
        <f t="shared" si="169"/>
        <v>2.326923076923082E-2</v>
      </c>
      <c r="BV40" s="1347">
        <f t="shared" si="169"/>
        <v>-1.8000000000000016E-2</v>
      </c>
      <c r="BW40" s="1348">
        <f t="shared" si="169"/>
        <v>-6.837060702875486E-3</v>
      </c>
      <c r="BX40" s="20"/>
      <c r="BY40" s="240"/>
      <c r="BZ40" s="240"/>
      <c r="CA40" s="240"/>
      <c r="CB40" s="240"/>
      <c r="CC40" s="240"/>
      <c r="CD40" s="240"/>
      <c r="CE40" s="240"/>
      <c r="CF40" s="240"/>
      <c r="CG40" s="240"/>
      <c r="CH40" s="240"/>
      <c r="CI40" s="240"/>
      <c r="CJ40" s="1028"/>
      <c r="CK40" s="240"/>
      <c r="CL40" s="240"/>
      <c r="CM40" s="240"/>
      <c r="CN40" s="240"/>
      <c r="CO40" s="240"/>
      <c r="CP40" s="282"/>
      <c r="CQ40" s="22"/>
      <c r="CR40" s="232"/>
      <c r="CS40" s="22"/>
      <c r="CT40" s="14"/>
      <c r="CU40" s="14"/>
      <c r="CV40" s="14"/>
      <c r="CW40" s="14"/>
      <c r="CX40" s="14"/>
      <c r="CY40" s="14"/>
      <c r="CZ40" s="14"/>
      <c r="DA40" s="22"/>
      <c r="DB40" s="14"/>
      <c r="DC40" s="22"/>
      <c r="DD40" s="14"/>
      <c r="DE40" s="14"/>
      <c r="DF40" s="14"/>
      <c r="DG40" s="14"/>
      <c r="DH40" s="232"/>
    </row>
    <row r="41" spans="1:112" ht="14.25" customHeight="1">
      <c r="A41" s="472"/>
      <c r="B41" s="34" t="s">
        <v>99</v>
      </c>
      <c r="C41" s="239"/>
      <c r="D41" s="144"/>
      <c r="E41" s="90"/>
      <c r="F41" s="90"/>
      <c r="G41" s="91"/>
      <c r="H41" s="144">
        <f t="shared" ref="H41:W41" si="170">H39/D39-1</f>
        <v>-0.34395651892617651</v>
      </c>
      <c r="I41" s="90">
        <f t="shared" si="170"/>
        <v>8.6479549350533258E-3</v>
      </c>
      <c r="J41" s="90">
        <f t="shared" si="170"/>
        <v>-1.8014802944125052E-2</v>
      </c>
      <c r="K41" s="91">
        <f t="shared" si="170"/>
        <v>0.29074508032615354</v>
      </c>
      <c r="L41" s="144">
        <f t="shared" si="170"/>
        <v>1.247743973446561</v>
      </c>
      <c r="M41" s="90">
        <f t="shared" si="170"/>
        <v>0.28958658428330963</v>
      </c>
      <c r="N41" s="90">
        <f t="shared" si="170"/>
        <v>9.5844820087105376E-3</v>
      </c>
      <c r="O41" s="91">
        <f t="shared" si="170"/>
        <v>1.351503268788079E-3</v>
      </c>
      <c r="P41" s="144">
        <f t="shared" si="170"/>
        <v>-0.10599870633068387</v>
      </c>
      <c r="Q41" s="90">
        <f t="shared" si="170"/>
        <v>2.1128355603976523E-3</v>
      </c>
      <c r="R41" s="90">
        <f t="shared" si="170"/>
        <v>0.46588533167491053</v>
      </c>
      <c r="S41" s="91">
        <f t="shared" si="170"/>
        <v>0.59795063775621671</v>
      </c>
      <c r="T41" s="144">
        <f t="shared" si="170"/>
        <v>0.53064147094182235</v>
      </c>
      <c r="U41" s="90">
        <f t="shared" si="170"/>
        <v>0.45918359196914804</v>
      </c>
      <c r="V41" s="90">
        <f t="shared" si="170"/>
        <v>0.19974198614370064</v>
      </c>
      <c r="W41" s="91">
        <f t="shared" si="170"/>
        <v>-1.5582162718100978E-2</v>
      </c>
      <c r="X41" s="144">
        <f t="shared" ref="X41:AO41" si="171">X39/T39-1</f>
        <v>-1.2922443564058916E-2</v>
      </c>
      <c r="Y41" s="90">
        <f t="shared" si="171"/>
        <v>-3.6062033335706456E-2</v>
      </c>
      <c r="Z41" s="90">
        <f t="shared" si="171"/>
        <v>-2.5142076436636129E-2</v>
      </c>
      <c r="AA41" s="91">
        <f t="shared" si="171"/>
        <v>9.032117104089088E-2</v>
      </c>
      <c r="AB41" s="144">
        <f t="shared" si="171"/>
        <v>9.8211633892659078E-2</v>
      </c>
      <c r="AC41" s="90">
        <f t="shared" si="171"/>
        <v>0.22831353799809739</v>
      </c>
      <c r="AD41" s="90">
        <f t="shared" si="171"/>
        <v>-0.14625352154173921</v>
      </c>
      <c r="AE41" s="91">
        <f t="shared" si="171"/>
        <v>-0.39208756778263976</v>
      </c>
      <c r="AF41" s="144">
        <f t="shared" si="171"/>
        <v>-0.31483914582688421</v>
      </c>
      <c r="AG41" s="90">
        <f t="shared" si="171"/>
        <v>-0.16021422332770141</v>
      </c>
      <c r="AH41" s="90">
        <f t="shared" si="171"/>
        <v>0.4963906323385312</v>
      </c>
      <c r="AI41" s="91">
        <f t="shared" si="171"/>
        <v>1.3959796672728748</v>
      </c>
      <c r="AJ41" s="144">
        <f t="shared" si="171"/>
        <v>1.6103208638426763</v>
      </c>
      <c r="AK41" s="90">
        <f t="shared" si="171"/>
        <v>1.1612384772311537</v>
      </c>
      <c r="AL41" s="90">
        <f t="shared" si="171"/>
        <v>0.68238431272057021</v>
      </c>
      <c r="AM41" s="91">
        <f t="shared" si="171"/>
        <v>-0.34820017839204942</v>
      </c>
      <c r="AN41" s="369">
        <f t="shared" si="171"/>
        <v>3.4547999713842925E-2</v>
      </c>
      <c r="AO41" s="369">
        <f t="shared" si="171"/>
        <v>-0.1060787743909084</v>
      </c>
      <c r="AP41" s="90">
        <f t="shared" ref="AP41:BO41" si="172">AP39/AL39-1</f>
        <v>-6.8661837134579407E-2</v>
      </c>
      <c r="AQ41" s="91">
        <f t="shared" si="172"/>
        <v>0.94871398420687525</v>
      </c>
      <c r="AR41" s="369">
        <f t="shared" si="172"/>
        <v>8.9261523815747257E-2</v>
      </c>
      <c r="AS41" s="369">
        <f t="shared" si="172"/>
        <v>0.45405222070469708</v>
      </c>
      <c r="AT41" s="369">
        <f t="shared" si="172"/>
        <v>0.8543727724804826</v>
      </c>
      <c r="AU41" s="91">
        <f t="shared" si="172"/>
        <v>1.2354766713821626</v>
      </c>
      <c r="AV41" s="369">
        <f t="shared" si="172"/>
        <v>1.1845013848193302</v>
      </c>
      <c r="AW41" s="369">
        <f t="shared" si="172"/>
        <v>0.79134349563073747</v>
      </c>
      <c r="AX41" s="369">
        <f t="shared" si="172"/>
        <v>0.41989489426571103</v>
      </c>
      <c r="AY41" s="91">
        <f t="shared" si="172"/>
        <v>0.16430858840393703</v>
      </c>
      <c r="AZ41" s="1054">
        <f t="shared" si="172"/>
        <v>0.22239867893492771</v>
      </c>
      <c r="BA41" s="369">
        <f t="shared" si="172"/>
        <v>8.5008489009414934E-2</v>
      </c>
      <c r="BB41" s="369">
        <f t="shared" si="172"/>
        <v>0.12342060212561212</v>
      </c>
      <c r="BC41" s="368">
        <f t="shared" si="172"/>
        <v>0.15473431072743615</v>
      </c>
      <c r="BD41" s="1054">
        <f t="shared" si="172"/>
        <v>1.2018232861336298E-2</v>
      </c>
      <c r="BE41" s="369">
        <f t="shared" si="172"/>
        <v>0.28862838389956047</v>
      </c>
      <c r="BF41" s="369">
        <f t="shared" si="172"/>
        <v>0.2717684980873627</v>
      </c>
      <c r="BG41" s="368">
        <f t="shared" si="172"/>
        <v>0.25021629916671384</v>
      </c>
      <c r="BH41" s="1054">
        <f t="shared" si="172"/>
        <v>0.20671364660121228</v>
      </c>
      <c r="BI41" s="369">
        <f t="shared" si="172"/>
        <v>0.18890198600907637</v>
      </c>
      <c r="BJ41" s="369">
        <f t="shared" si="172"/>
        <v>0.32062261204464648</v>
      </c>
      <c r="BK41" s="369">
        <f t="shared" si="172"/>
        <v>0.48793934667508365</v>
      </c>
      <c r="BL41" s="1054">
        <f t="shared" si="172"/>
        <v>0.61956428890012383</v>
      </c>
      <c r="BM41" s="369">
        <f t="shared" si="172"/>
        <v>0.37284888344226697</v>
      </c>
      <c r="BN41" s="369">
        <f t="shared" si="172"/>
        <v>0.17353103035319029</v>
      </c>
      <c r="BO41" s="369">
        <f t="shared" si="172"/>
        <v>4.9674185294972473E-2</v>
      </c>
      <c r="BP41" s="1351">
        <f t="shared" ref="BP41:BW41" si="173">BP39/BL39-1</f>
        <v>4.3433821808094297E-2</v>
      </c>
      <c r="BQ41" s="1347">
        <f t="shared" si="173"/>
        <v>6.7757652868788654E-2</v>
      </c>
      <c r="BR41" s="1347">
        <f t="shared" si="173"/>
        <v>7.1278249651106629E-2</v>
      </c>
      <c r="BS41" s="1348">
        <f t="shared" si="173"/>
        <v>4.9514623226904142E-2</v>
      </c>
      <c r="BT41" s="1347">
        <f t="shared" si="173"/>
        <v>4.2781271329032311E-2</v>
      </c>
      <c r="BU41" s="1347">
        <f t="shared" si="173"/>
        <v>3.263589643729925E-2</v>
      </c>
      <c r="BV41" s="1347">
        <f t="shared" si="173"/>
        <v>3.7920624668810632E-2</v>
      </c>
      <c r="BW41" s="1348">
        <f t="shared" si="173"/>
        <v>4.1236665003215656E-2</v>
      </c>
      <c r="BX41" s="20"/>
      <c r="BY41" s="429"/>
      <c r="BZ41" s="369">
        <f>BZ39/BY39-1</f>
        <v>-1.8081560523042328E-2</v>
      </c>
      <c r="CA41" s="369">
        <f>CA39/BZ39-1</f>
        <v>0.27833223852350497</v>
      </c>
      <c r="CB41" s="369">
        <f>CB39/CA39-1</f>
        <v>0.21305443562087412</v>
      </c>
      <c r="CC41" s="369">
        <f>CC39/CB39-1</f>
        <v>0.25838251656873634</v>
      </c>
      <c r="CD41" s="369">
        <f t="shared" ref="CD41:CK41" si="174">CD39/CC39-1</f>
        <v>3.1821747752889262E-3</v>
      </c>
      <c r="CE41" s="369">
        <f t="shared" si="174"/>
        <v>-5.8698571176465708E-2</v>
      </c>
      <c r="CF41" s="369">
        <f t="shared" si="174"/>
        <v>0.20544581750550384</v>
      </c>
      <c r="CG41" s="369">
        <f t="shared" si="174"/>
        <v>0.59199827907885205</v>
      </c>
      <c r="CH41" s="369">
        <f t="shared" si="174"/>
        <v>8.887797597947511E-2</v>
      </c>
      <c r="CI41" s="369">
        <f t="shared" si="174"/>
        <v>0.65416976145950123</v>
      </c>
      <c r="CJ41" s="1054">
        <f t="shared" si="174"/>
        <v>0.54385914900054622</v>
      </c>
      <c r="CK41" s="369">
        <f t="shared" si="174"/>
        <v>0.14510029044242034</v>
      </c>
      <c r="CL41" s="369">
        <f>CL39/CK39-1</f>
        <v>0.20444737177015337</v>
      </c>
      <c r="CM41" s="369">
        <f>CM39/CL39-1</f>
        <v>0.3067422200298846</v>
      </c>
      <c r="CN41" s="369">
        <f>CN39/CM39-1</f>
        <v>0.27066444308477933</v>
      </c>
      <c r="CO41" s="369">
        <f>CO39/CN39-1</f>
        <v>5.7977924051097141E-2</v>
      </c>
      <c r="CP41" s="368">
        <f>CP39/CO39-1</f>
        <v>3.8592035225382793E-2</v>
      </c>
      <c r="CQ41" s="22"/>
      <c r="CR41" s="232"/>
      <c r="CS41" s="22"/>
      <c r="CT41" s="14"/>
      <c r="CU41" s="14"/>
      <c r="CV41" s="14"/>
      <c r="CW41" s="14"/>
      <c r="CX41" s="14"/>
      <c r="CY41" s="14"/>
      <c r="CZ41" s="14"/>
      <c r="DA41" s="22"/>
      <c r="DB41" s="14"/>
      <c r="DC41" s="22"/>
      <c r="DD41" s="14"/>
      <c r="DE41" s="14"/>
      <c r="DF41" s="14"/>
      <c r="DG41" s="14"/>
      <c r="DH41" s="232"/>
    </row>
    <row r="42" spans="1:112" ht="14.25" customHeight="1">
      <c r="A42" s="472"/>
      <c r="B42" s="34" t="s">
        <v>126</v>
      </c>
      <c r="C42" s="239"/>
      <c r="D42" s="144">
        <f t="shared" ref="D42:O42" si="175">D39/D33</f>
        <v>0.52281902198750818</v>
      </c>
      <c r="E42" s="90">
        <f t="shared" si="175"/>
        <v>0.54144156568351753</v>
      </c>
      <c r="F42" s="90">
        <f t="shared" si="175"/>
        <v>0.55467714391487621</v>
      </c>
      <c r="G42" s="91">
        <f t="shared" si="175"/>
        <v>0.54284229051713906</v>
      </c>
      <c r="H42" s="144">
        <f t="shared" si="175"/>
        <v>0.34424582876062565</v>
      </c>
      <c r="I42" s="90">
        <f t="shared" si="175"/>
        <v>0.54125565328870051</v>
      </c>
      <c r="J42" s="90">
        <f t="shared" si="175"/>
        <v>0.54515162923463345</v>
      </c>
      <c r="K42" s="91">
        <f t="shared" si="175"/>
        <v>0.55463022910966775</v>
      </c>
      <c r="L42" s="144">
        <f t="shared" si="175"/>
        <v>0.57083303959581722</v>
      </c>
      <c r="M42" s="90">
        <f t="shared" si="175"/>
        <v>0.57263450750813327</v>
      </c>
      <c r="N42" s="90">
        <f t="shared" si="175"/>
        <v>0.56863241537802345</v>
      </c>
      <c r="O42" s="91">
        <f t="shared" si="175"/>
        <v>0.57357400652624235</v>
      </c>
      <c r="P42" s="144">
        <f t="shared" ref="P42:W42" si="176">P39/P33</f>
        <v>0.58347481089293307</v>
      </c>
      <c r="Q42" s="90">
        <f t="shared" si="176"/>
        <v>0.59198057176042007</v>
      </c>
      <c r="R42" s="90">
        <f t="shared" si="176"/>
        <v>0.59715789115182882</v>
      </c>
      <c r="S42" s="91">
        <f t="shared" si="176"/>
        <v>0.60122555368475583</v>
      </c>
      <c r="T42" s="144">
        <f t="shared" si="176"/>
        <v>0.60361750019995675</v>
      </c>
      <c r="U42" s="90">
        <f t="shared" si="176"/>
        <v>0.60448095426485648</v>
      </c>
      <c r="V42" s="90">
        <f t="shared" si="176"/>
        <v>0.59644467817245927</v>
      </c>
      <c r="W42" s="91">
        <f t="shared" si="176"/>
        <v>0.59882018468021814</v>
      </c>
      <c r="X42" s="144">
        <f t="shared" ref="X42:AO42" si="177">X39/X33</f>
        <v>0.60038550092399046</v>
      </c>
      <c r="Y42" s="90">
        <f t="shared" si="177"/>
        <v>0.59815888063654321</v>
      </c>
      <c r="Z42" s="90">
        <f t="shared" si="177"/>
        <v>0.60588677751385578</v>
      </c>
      <c r="AA42" s="91">
        <f t="shared" si="177"/>
        <v>0.60915144114462116</v>
      </c>
      <c r="AB42" s="144">
        <f t="shared" si="177"/>
        <v>0.61004504571692808</v>
      </c>
      <c r="AC42" s="90">
        <f t="shared" si="177"/>
        <v>0.60863681193595998</v>
      </c>
      <c r="AD42" s="90">
        <f t="shared" si="177"/>
        <v>0.54529417274647962</v>
      </c>
      <c r="AE42" s="91">
        <f t="shared" si="177"/>
        <v>0.48464961645685767</v>
      </c>
      <c r="AF42" s="144">
        <f t="shared" si="177"/>
        <v>0.49979528269128115</v>
      </c>
      <c r="AG42" s="90">
        <f t="shared" si="177"/>
        <v>0.54416066284010034</v>
      </c>
      <c r="AH42" s="90">
        <f t="shared" si="177"/>
        <v>0.58375283387778443</v>
      </c>
      <c r="AI42" s="91">
        <f t="shared" si="177"/>
        <v>0.60596719660456111</v>
      </c>
      <c r="AJ42" s="144">
        <f t="shared" si="177"/>
        <v>0.58086944347217362</v>
      </c>
      <c r="AK42" s="90">
        <f t="shared" si="177"/>
        <v>0.58860075705455039</v>
      </c>
      <c r="AL42" s="90">
        <f t="shared" si="177"/>
        <v>0.58831669494105898</v>
      </c>
      <c r="AM42" s="91">
        <f t="shared" si="177"/>
        <v>0.59368396120899469</v>
      </c>
      <c r="AN42" s="515">
        <f t="shared" si="177"/>
        <v>0.5867660684579995</v>
      </c>
      <c r="AO42" s="429">
        <f t="shared" si="177"/>
        <v>0.57751569280274329</v>
      </c>
      <c r="AP42" s="90">
        <f t="shared" ref="AP42:AU42" si="178">AP39/AP33</f>
        <v>0.56352610920050084</v>
      </c>
      <c r="AQ42" s="91">
        <f t="shared" si="178"/>
        <v>0.56196169495826331</v>
      </c>
      <c r="AR42" s="515">
        <f t="shared" si="178"/>
        <v>0.57670943447664813</v>
      </c>
      <c r="AS42" s="429">
        <f t="shared" si="178"/>
        <v>0.50664235138195346</v>
      </c>
      <c r="AT42" s="429">
        <f t="shared" si="178"/>
        <v>0.48174364915502338</v>
      </c>
      <c r="AU42" s="91">
        <f t="shared" si="178"/>
        <v>0.55963970246397043</v>
      </c>
      <c r="AV42" s="515">
        <f t="shared" ref="AV42:BA42" si="179">AV39/AV33</f>
        <v>0.57600259291270517</v>
      </c>
      <c r="AW42" s="429">
        <f t="shared" si="179"/>
        <v>0.58632266288319312</v>
      </c>
      <c r="AX42" s="429">
        <f t="shared" si="179"/>
        <v>0.58606965174129355</v>
      </c>
      <c r="AY42" s="91">
        <f t="shared" si="179"/>
        <v>0.58900816462213301</v>
      </c>
      <c r="AZ42" s="515">
        <f t="shared" si="179"/>
        <v>0.57965343978880357</v>
      </c>
      <c r="BA42" s="429">
        <f t="shared" si="179"/>
        <v>0.56279333699432565</v>
      </c>
      <c r="BB42" s="429">
        <f t="shared" ref="BB42:BG42" si="180">BB39/BB33</f>
        <v>0.57112405666622534</v>
      </c>
      <c r="BC42" s="367">
        <f t="shared" si="180"/>
        <v>0.57315789473684198</v>
      </c>
      <c r="BD42" s="515">
        <f t="shared" si="180"/>
        <v>0.57857517318854146</v>
      </c>
      <c r="BE42" s="429">
        <f t="shared" si="180"/>
        <v>0.53789097408400344</v>
      </c>
      <c r="BF42" s="429">
        <f t="shared" si="180"/>
        <v>0.53027374355314105</v>
      </c>
      <c r="BG42" s="367">
        <f t="shared" si="180"/>
        <v>0.53256819565194446</v>
      </c>
      <c r="BH42" s="515">
        <f>BH39/BH33</f>
        <v>0.41290382204697162</v>
      </c>
      <c r="BI42" s="429">
        <f t="shared" ref="BI42:BJ42" si="181">BI39/BI33</f>
        <v>0.46990679018350151</v>
      </c>
      <c r="BJ42" s="429">
        <f t="shared" si="181"/>
        <v>0.5279912209326737</v>
      </c>
      <c r="BK42" s="429">
        <f t="shared" ref="BK42" si="182">BK39/BK33</f>
        <v>0.59028034732669676</v>
      </c>
      <c r="BL42" s="515">
        <f>BL39/BL33</f>
        <v>0.60118748206278705</v>
      </c>
      <c r="BM42" s="429">
        <f t="shared" ref="BM42:BN42" si="183">BM39/BM33</f>
        <v>0.60672891766842307</v>
      </c>
      <c r="BN42" s="429">
        <f t="shared" si="183"/>
        <v>0.61057100441740886</v>
      </c>
      <c r="BO42" s="1490">
        <v>0.61699999999999999</v>
      </c>
      <c r="BP42" s="954">
        <f>BO42+0.3%</f>
        <v>0.62</v>
      </c>
      <c r="BQ42" s="1490">
        <f>BP42+0.2%</f>
        <v>0.622</v>
      </c>
      <c r="BR42" s="1490">
        <f>BQ42</f>
        <v>0.622</v>
      </c>
      <c r="BS42" s="1350">
        <f>BR42</f>
        <v>0.622</v>
      </c>
      <c r="BT42" s="1490">
        <f>BS42+0.2%</f>
        <v>0.624</v>
      </c>
      <c r="BU42" s="1490">
        <f>BT42+0.2%</f>
        <v>0.626</v>
      </c>
      <c r="BV42" s="1490">
        <f>BU42</f>
        <v>0.626</v>
      </c>
      <c r="BW42" s="1350">
        <f>BV42+0.2%</f>
        <v>0.628</v>
      </c>
      <c r="BX42" s="20"/>
      <c r="BY42" s="369">
        <f>BY39/BY33</f>
        <v>0.54072058612048601</v>
      </c>
      <c r="BZ42" s="369">
        <f>BZ39/BZ33</f>
        <v>0.50030171739768137</v>
      </c>
      <c r="CA42" s="369">
        <f>CA39/CA33</f>
        <v>0.57147708946796993</v>
      </c>
      <c r="CB42" s="369">
        <f t="shared" ref="CB42:CK42" si="184">CB39/CB33</f>
        <v>0.59438455862572503</v>
      </c>
      <c r="CC42" s="369">
        <f t="shared" si="184"/>
        <v>0.60085979729574179</v>
      </c>
      <c r="CD42" s="369">
        <f t="shared" si="184"/>
        <v>0.60345833320398579</v>
      </c>
      <c r="CE42" s="369">
        <f t="shared" si="184"/>
        <v>0.56957509850834587</v>
      </c>
      <c r="CF42" s="369">
        <f t="shared" si="184"/>
        <v>0.56601474973676924</v>
      </c>
      <c r="CG42" s="369">
        <f t="shared" si="184"/>
        <v>0.58711913279656103</v>
      </c>
      <c r="CH42" s="369">
        <f t="shared" si="184"/>
        <v>0.57236617703603776</v>
      </c>
      <c r="CI42" s="369">
        <f t="shared" si="184"/>
        <v>0.52657429259104771</v>
      </c>
      <c r="CJ42" s="1054">
        <f t="shared" si="184"/>
        <v>0.58444497067195977</v>
      </c>
      <c r="CK42" s="369">
        <f t="shared" si="184"/>
        <v>0.57173748711835715</v>
      </c>
      <c r="CL42" s="369">
        <f>CL39/CL33</f>
        <v>0.54252468957975886</v>
      </c>
      <c r="CM42" s="369">
        <f>CM39/CM33</f>
        <v>0.5018970898367493</v>
      </c>
      <c r="CN42" s="369">
        <f>CN39/CN33</f>
        <v>0.608792177957587</v>
      </c>
      <c r="CO42" s="369">
        <f>CO39/CO33</f>
        <v>0.62150403675643118</v>
      </c>
      <c r="CP42" s="368">
        <f>CP39/CP33</f>
        <v>0.62599582564175449</v>
      </c>
      <c r="CQ42" s="22"/>
      <c r="CR42" s="232"/>
      <c r="CS42" s="22"/>
      <c r="CT42" s="14"/>
      <c r="CU42" s="14"/>
      <c r="CV42" s="14"/>
      <c r="CW42" s="14"/>
      <c r="CX42" s="14"/>
      <c r="CY42" s="14"/>
      <c r="CZ42" s="14"/>
      <c r="DA42" s="22"/>
      <c r="DB42" s="14"/>
      <c r="DC42" s="22"/>
      <c r="DD42" s="14"/>
      <c r="DE42" s="14"/>
      <c r="DF42" s="14"/>
      <c r="DG42" s="14"/>
      <c r="DH42" s="232"/>
    </row>
    <row r="43" spans="1:112" ht="14.25" customHeight="1">
      <c r="A43" s="472"/>
      <c r="B43" s="328"/>
      <c r="C43" s="260"/>
      <c r="D43" s="241"/>
      <c r="E43" s="241"/>
      <c r="F43" s="241"/>
      <c r="G43" s="242"/>
      <c r="H43" s="241"/>
      <c r="I43" s="241"/>
      <c r="J43" s="241"/>
      <c r="K43" s="242"/>
      <c r="L43" s="241"/>
      <c r="M43" s="241"/>
      <c r="N43" s="241"/>
      <c r="O43" s="242"/>
      <c r="P43" s="241"/>
      <c r="Q43" s="241"/>
      <c r="R43" s="241"/>
      <c r="S43" s="242"/>
      <c r="T43" s="241"/>
      <c r="U43" s="241"/>
      <c r="V43" s="241"/>
      <c r="W43" s="242"/>
      <c r="X43" s="241"/>
      <c r="Y43" s="241"/>
      <c r="Z43" s="241"/>
      <c r="AA43" s="242"/>
      <c r="AB43" s="241"/>
      <c r="AC43" s="241"/>
      <c r="AD43" s="241"/>
      <c r="AE43" s="242"/>
      <c r="AF43" s="241"/>
      <c r="AG43" s="241"/>
      <c r="AH43" s="241"/>
      <c r="AI43" s="242"/>
      <c r="AJ43" s="241"/>
      <c r="AK43" s="241"/>
      <c r="AL43" s="241"/>
      <c r="AM43" s="242"/>
      <c r="AN43" s="241"/>
      <c r="AO43" s="241"/>
      <c r="AP43" s="241"/>
      <c r="AQ43" s="242"/>
      <c r="AR43" s="241"/>
      <c r="AS43" s="241"/>
      <c r="AT43" s="241"/>
      <c r="AU43" s="242"/>
      <c r="AV43" s="241"/>
      <c r="AW43" s="241"/>
      <c r="AX43" s="321"/>
      <c r="AY43" s="242"/>
      <c r="AZ43" s="780"/>
      <c r="BA43" s="321"/>
      <c r="BB43" s="321"/>
      <c r="BC43" s="322"/>
      <c r="BD43" s="321"/>
      <c r="BE43" s="321"/>
      <c r="BF43" s="321"/>
      <c r="BG43" s="322"/>
      <c r="BH43" s="780"/>
      <c r="BI43" s="321"/>
      <c r="BJ43" s="321"/>
      <c r="BK43" s="321"/>
      <c r="BL43" s="780"/>
      <c r="BM43" s="321"/>
      <c r="BN43" s="321"/>
      <c r="BO43" s="321"/>
      <c r="BP43" s="780"/>
      <c r="BQ43" s="321"/>
      <c r="BR43" s="321"/>
      <c r="BS43" s="322"/>
      <c r="BT43" s="321"/>
      <c r="BU43" s="321"/>
      <c r="BV43" s="321"/>
      <c r="BW43" s="322"/>
      <c r="BX43" s="20"/>
      <c r="BY43" s="261"/>
      <c r="BZ43" s="261"/>
      <c r="CA43" s="261"/>
      <c r="CB43" s="261"/>
      <c r="CC43" s="261"/>
      <c r="CD43" s="261"/>
      <c r="CE43" s="261"/>
      <c r="CF43" s="261"/>
      <c r="CG43" s="261"/>
      <c r="CH43" s="261"/>
      <c r="CI43" s="261"/>
      <c r="CJ43" s="1028"/>
      <c r="CK43" s="240"/>
      <c r="CL43" s="240"/>
      <c r="CM43" s="240"/>
      <c r="CN43" s="240"/>
      <c r="CO43" s="240"/>
      <c r="CP43" s="282"/>
      <c r="CQ43" s="22"/>
      <c r="CR43" s="232"/>
      <c r="CS43" s="15"/>
      <c r="CT43" s="223"/>
      <c r="CU43" s="223"/>
      <c r="CV43" s="223"/>
      <c r="CW43" s="223"/>
      <c r="CX43" s="223"/>
      <c r="CY43" s="223"/>
      <c r="CZ43" s="223"/>
      <c r="DA43" s="15"/>
      <c r="DB43" s="223"/>
      <c r="DC43" s="15"/>
      <c r="DD43" s="223"/>
      <c r="DE43" s="223"/>
      <c r="DF43" s="223"/>
      <c r="DG43" s="223"/>
      <c r="DH43" s="16"/>
    </row>
    <row r="44" spans="1:112" ht="14.25" customHeight="1">
      <c r="A44" s="785"/>
      <c r="B44" s="44" t="s">
        <v>535</v>
      </c>
      <c r="C44" s="471"/>
      <c r="D44" s="787">
        <f t="shared" ref="D44:S44" si="185">D$113</f>
        <v>0</v>
      </c>
      <c r="E44" s="789">
        <f t="shared" si="185"/>
        <v>0</v>
      </c>
      <c r="F44" s="787">
        <f t="shared" si="185"/>
        <v>0</v>
      </c>
      <c r="G44" s="788">
        <f t="shared" si="185"/>
        <v>0</v>
      </c>
      <c r="H44" s="787">
        <f t="shared" si="185"/>
        <v>0</v>
      </c>
      <c r="I44" s="789">
        <f t="shared" si="185"/>
        <v>0</v>
      </c>
      <c r="J44" s="787">
        <f t="shared" si="185"/>
        <v>0</v>
      </c>
      <c r="K44" s="788">
        <f t="shared" si="185"/>
        <v>0</v>
      </c>
      <c r="L44" s="787">
        <f t="shared" si="185"/>
        <v>0</v>
      </c>
      <c r="M44" s="789">
        <f t="shared" si="185"/>
        <v>0</v>
      </c>
      <c r="N44" s="787">
        <f t="shared" si="185"/>
        <v>0</v>
      </c>
      <c r="O44" s="788">
        <f t="shared" si="185"/>
        <v>0</v>
      </c>
      <c r="P44" s="787">
        <f t="shared" si="185"/>
        <v>0</v>
      </c>
      <c r="Q44" s="789">
        <f t="shared" si="185"/>
        <v>0</v>
      </c>
      <c r="R44" s="787">
        <f t="shared" si="185"/>
        <v>0</v>
      </c>
      <c r="S44" s="788">
        <f t="shared" si="185"/>
        <v>0</v>
      </c>
      <c r="T44" s="787">
        <f t="shared" ref="T44:BN44" si="186">T$113</f>
        <v>0</v>
      </c>
      <c r="U44" s="789">
        <f t="shared" si="186"/>
        <v>0</v>
      </c>
      <c r="V44" s="787">
        <f t="shared" si="186"/>
        <v>0</v>
      </c>
      <c r="W44" s="788">
        <f t="shared" si="186"/>
        <v>0</v>
      </c>
      <c r="X44" s="787">
        <f t="shared" si="186"/>
        <v>0</v>
      </c>
      <c r="Y44" s="789">
        <f t="shared" si="186"/>
        <v>0</v>
      </c>
      <c r="Z44" s="787">
        <f t="shared" si="186"/>
        <v>0</v>
      </c>
      <c r="AA44" s="788">
        <f t="shared" si="186"/>
        <v>0</v>
      </c>
      <c r="AB44" s="787">
        <f t="shared" si="186"/>
        <v>0</v>
      </c>
      <c r="AC44" s="787">
        <f t="shared" si="186"/>
        <v>0</v>
      </c>
      <c r="AD44" s="787">
        <f t="shared" si="186"/>
        <v>0</v>
      </c>
      <c r="AE44" s="788">
        <f t="shared" si="186"/>
        <v>0</v>
      </c>
      <c r="AF44" s="787">
        <f t="shared" si="186"/>
        <v>0</v>
      </c>
      <c r="AG44" s="787">
        <f t="shared" si="186"/>
        <v>0</v>
      </c>
      <c r="AH44" s="787">
        <f t="shared" si="186"/>
        <v>0</v>
      </c>
      <c r="AI44" s="788">
        <f t="shared" si="186"/>
        <v>0</v>
      </c>
      <c r="AJ44" s="787">
        <f t="shared" si="186"/>
        <v>15.356999999999999</v>
      </c>
      <c r="AK44" s="787">
        <f t="shared" si="186"/>
        <v>17.271999999999998</v>
      </c>
      <c r="AL44" s="787">
        <f t="shared" si="186"/>
        <v>19.058</v>
      </c>
      <c r="AM44" s="788">
        <f t="shared" si="186"/>
        <v>20.381</v>
      </c>
      <c r="AN44" s="787">
        <f t="shared" si="186"/>
        <v>20.646999999999998</v>
      </c>
      <c r="AO44" s="787">
        <f t="shared" si="186"/>
        <v>21.984000000000002</v>
      </c>
      <c r="AP44" s="787">
        <f t="shared" si="186"/>
        <v>23.056999999999999</v>
      </c>
      <c r="AQ44" s="788">
        <f t="shared" si="186"/>
        <v>21.313000000000002</v>
      </c>
      <c r="AR44" s="787">
        <f t="shared" si="186"/>
        <v>20.282</v>
      </c>
      <c r="AS44" s="787">
        <f t="shared" si="186"/>
        <v>20.120999999999999</v>
      </c>
      <c r="AT44" s="787">
        <f t="shared" si="186"/>
        <v>21.338000000000001</v>
      </c>
      <c r="AU44" s="788">
        <f t="shared" si="186"/>
        <v>22.1</v>
      </c>
      <c r="AV44" s="787">
        <f t="shared" si="186"/>
        <v>22.5</v>
      </c>
      <c r="AW44" s="787">
        <f t="shared" si="186"/>
        <v>24.826000000000001</v>
      </c>
      <c r="AX44" s="787">
        <f t="shared" si="186"/>
        <v>24.1</v>
      </c>
      <c r="AY44" s="788">
        <f t="shared" si="186"/>
        <v>23.152000000000008</v>
      </c>
      <c r="AZ44" s="1158">
        <f t="shared" si="186"/>
        <v>20.399999999999999</v>
      </c>
      <c r="BA44" s="789">
        <f t="shared" si="186"/>
        <v>22.6</v>
      </c>
      <c r="BB44" s="789">
        <f t="shared" si="186"/>
        <v>22.946999999999999</v>
      </c>
      <c r="BC44" s="1159">
        <f t="shared" si="186"/>
        <v>23.6</v>
      </c>
      <c r="BD44" s="1158">
        <f t="shared" si="186"/>
        <v>23.3</v>
      </c>
      <c r="BE44" s="789">
        <f t="shared" si="186"/>
        <v>23.2</v>
      </c>
      <c r="BF44" s="789">
        <f t="shared" si="186"/>
        <v>22.716000000000001</v>
      </c>
      <c r="BG44" s="1159">
        <f t="shared" si="186"/>
        <v>19.97</v>
      </c>
      <c r="BH44" s="1158">
        <f t="shared" si="186"/>
        <v>20.588000000000001</v>
      </c>
      <c r="BI44" s="789">
        <f t="shared" si="186"/>
        <v>23.67</v>
      </c>
      <c r="BJ44" s="789">
        <f t="shared" si="186"/>
        <v>23.834</v>
      </c>
      <c r="BK44" s="789">
        <f t="shared" si="186"/>
        <v>23.064</v>
      </c>
      <c r="BL44" s="1158">
        <f t="shared" si="186"/>
        <v>25.035</v>
      </c>
      <c r="BM44" s="789">
        <f t="shared" si="186"/>
        <v>25.777999999999999</v>
      </c>
      <c r="BN44" s="789">
        <f t="shared" si="186"/>
        <v>27.57</v>
      </c>
      <c r="BO44" s="431">
        <f t="shared" ref="BO44" si="187">BN44*(1+BO45)</f>
        <v>27.57</v>
      </c>
      <c r="BP44" s="514">
        <f t="shared" ref="BP44:BW44" si="188">BO44*(1+BP45)</f>
        <v>27.57</v>
      </c>
      <c r="BQ44" s="431">
        <f t="shared" si="188"/>
        <v>27.57</v>
      </c>
      <c r="BR44" s="431">
        <f t="shared" si="188"/>
        <v>27.57</v>
      </c>
      <c r="BS44" s="430">
        <f t="shared" si="188"/>
        <v>27.57</v>
      </c>
      <c r="BT44" s="431">
        <f t="shared" si="188"/>
        <v>27.57</v>
      </c>
      <c r="BU44" s="431">
        <f t="shared" si="188"/>
        <v>27.57</v>
      </c>
      <c r="BV44" s="431">
        <f t="shared" si="188"/>
        <v>27.57</v>
      </c>
      <c r="BW44" s="430">
        <f t="shared" si="188"/>
        <v>27.57</v>
      </c>
      <c r="BX44" s="312"/>
      <c r="BY44" s="362">
        <f>SUM(D44:G44)</f>
        <v>0</v>
      </c>
      <c r="BZ44" s="362">
        <f>SUM(H44:K44)</f>
        <v>0</v>
      </c>
      <c r="CA44" s="362">
        <f>SUM(L44:O44)</f>
        <v>0</v>
      </c>
      <c r="CB44" s="362">
        <f>SUM(P44:S44)</f>
        <v>0</v>
      </c>
      <c r="CC44" s="362">
        <f>SUM(T44:W44)</f>
        <v>0</v>
      </c>
      <c r="CD44" s="362">
        <f>SUM(X44:AA44)</f>
        <v>0</v>
      </c>
      <c r="CE44" s="362">
        <f>SUM(AB44:AE44)</f>
        <v>0</v>
      </c>
      <c r="CF44" s="362">
        <f>SUM(AF44:AI44)</f>
        <v>0</v>
      </c>
      <c r="CG44" s="362">
        <f>SUM(AJ44:AM44)</f>
        <v>72.067999999999998</v>
      </c>
      <c r="CH44" s="362">
        <f>SUM(AN44:AQ44)</f>
        <v>87.001000000000005</v>
      </c>
      <c r="CI44" s="362">
        <f>SUM(AR44:AU44)</f>
        <v>83.841000000000008</v>
      </c>
      <c r="CJ44" s="1257">
        <f>SUM(AV44:AY44)</f>
        <v>94.578000000000003</v>
      </c>
      <c r="CK44" s="434">
        <f>SUM(AZ44:BC44)</f>
        <v>89.546999999999997</v>
      </c>
      <c r="CL44" s="434">
        <f>SUM(BD44:BG44)</f>
        <v>89.186000000000007</v>
      </c>
      <c r="CM44" s="434">
        <f>SUM(BH44:BK44)</f>
        <v>91.156000000000006</v>
      </c>
      <c r="CN44" s="434">
        <f>SUM(BL44:BO44)</f>
        <v>105.953</v>
      </c>
      <c r="CO44" s="434">
        <f>SUM(BP44:BS44)</f>
        <v>110.28</v>
      </c>
      <c r="CP44" s="435">
        <f>SUM(BT44:BW44)</f>
        <v>110.28</v>
      </c>
      <c r="CQ44" s="467"/>
      <c r="CR44" s="471"/>
      <c r="CS44" s="366">
        <f>SUM(K44:N44)</f>
        <v>0</v>
      </c>
      <c r="CT44" s="362">
        <f>SUM(O44:R44)</f>
        <v>0</v>
      </c>
      <c r="CU44" s="362">
        <f>SUM(S44:V44)</f>
        <v>0</v>
      </c>
      <c r="CV44" s="362">
        <f>SUM(W44:Z44)</f>
        <v>0</v>
      </c>
      <c r="CW44" s="362">
        <f>SUM(AA44:AD44)</f>
        <v>0</v>
      </c>
      <c r="CX44" s="362">
        <f>SUM(AE44:AH44)</f>
        <v>0</v>
      </c>
      <c r="CY44" s="362">
        <f>SUM(AI44:AL44)</f>
        <v>51.686999999999998</v>
      </c>
      <c r="CZ44" s="362">
        <f>SUM(AM44:AP44)</f>
        <v>86.069000000000003</v>
      </c>
      <c r="DA44" s="366">
        <f>SUM(AQ44:AT44)</f>
        <v>83.054000000000002</v>
      </c>
      <c r="DB44" s="362">
        <f>SUM(AU44:AX44)</f>
        <v>93.52600000000001</v>
      </c>
      <c r="DC44" s="366">
        <f>SUM(AY44:BB44)</f>
        <v>89.099000000000018</v>
      </c>
      <c r="DD44" s="362">
        <f>SUM(BC44:BF44)</f>
        <v>92.816000000000003</v>
      </c>
      <c r="DE44" s="362">
        <f>SUM(BG44:BJ44)</f>
        <v>88.062000000000012</v>
      </c>
      <c r="DF44" s="434">
        <f>SUM(BK44:BN44)</f>
        <v>101.447</v>
      </c>
      <c r="DG44" s="434">
        <f>SUM(BO44:BR44)</f>
        <v>110.28</v>
      </c>
      <c r="DH44" s="363">
        <f>SUM(BS44:BV44)</f>
        <v>110.28</v>
      </c>
    </row>
    <row r="45" spans="1:112" ht="14.25" customHeight="1">
      <c r="A45" s="472"/>
      <c r="B45" s="34" t="s">
        <v>98</v>
      </c>
      <c r="C45" s="239"/>
      <c r="D45" s="144"/>
      <c r="E45" s="90"/>
      <c r="F45" s="90"/>
      <c r="G45" s="91"/>
      <c r="H45" s="144"/>
      <c r="I45" s="90"/>
      <c r="J45" s="90"/>
      <c r="K45" s="91"/>
      <c r="L45" s="144"/>
      <c r="M45" s="90"/>
      <c r="N45" s="90"/>
      <c r="O45" s="91"/>
      <c r="P45" s="144"/>
      <c r="Q45" s="90"/>
      <c r="R45" s="90"/>
      <c r="S45" s="91"/>
      <c r="T45" s="144"/>
      <c r="U45" s="90"/>
      <c r="V45" s="90"/>
      <c r="W45" s="91"/>
      <c r="X45" s="144"/>
      <c r="Y45" s="90"/>
      <c r="Z45" s="90"/>
      <c r="AA45" s="91"/>
      <c r="AB45" s="144"/>
      <c r="AC45" s="90"/>
      <c r="AD45" s="90"/>
      <c r="AE45" s="91"/>
      <c r="AF45" s="144"/>
      <c r="AG45" s="90"/>
      <c r="AH45" s="90"/>
      <c r="AI45" s="91"/>
      <c r="AJ45" s="144"/>
      <c r="AK45" s="90">
        <f t="shared" ref="AK45:BN45" si="189">AK44/AJ44-1</f>
        <v>0.12469883440776197</v>
      </c>
      <c r="AL45" s="90">
        <f t="shared" si="189"/>
        <v>0.10340435386753133</v>
      </c>
      <c r="AM45" s="91">
        <f t="shared" si="189"/>
        <v>6.9419666281876458E-2</v>
      </c>
      <c r="AN45" s="515">
        <f t="shared" si="189"/>
        <v>1.3051371375300436E-2</v>
      </c>
      <c r="AO45" s="429">
        <f t="shared" si="189"/>
        <v>6.4755170242650539E-2</v>
      </c>
      <c r="AP45" s="429">
        <f t="shared" si="189"/>
        <v>4.8808224163027436E-2</v>
      </c>
      <c r="AQ45" s="91">
        <f t="shared" si="189"/>
        <v>-7.5638634687947071E-2</v>
      </c>
      <c r="AR45" s="515">
        <f t="shared" si="189"/>
        <v>-4.8374231689579217E-2</v>
      </c>
      <c r="AS45" s="429">
        <f t="shared" si="189"/>
        <v>-7.9380731683266204E-3</v>
      </c>
      <c r="AT45" s="429">
        <f t="shared" si="189"/>
        <v>6.0484071368222425E-2</v>
      </c>
      <c r="AU45" s="91">
        <f t="shared" si="189"/>
        <v>3.5710938232261791E-2</v>
      </c>
      <c r="AV45" s="515">
        <f t="shared" si="189"/>
        <v>1.8099547511312153E-2</v>
      </c>
      <c r="AW45" s="429">
        <f t="shared" si="189"/>
        <v>0.10337777777777779</v>
      </c>
      <c r="AX45" s="429">
        <f t="shared" si="189"/>
        <v>-2.9243535003625198E-2</v>
      </c>
      <c r="AY45" s="91">
        <f t="shared" si="189"/>
        <v>-3.9336099585062012E-2</v>
      </c>
      <c r="AZ45" s="515">
        <f t="shared" si="189"/>
        <v>-0.11886662059433351</v>
      </c>
      <c r="BA45" s="429">
        <f t="shared" si="189"/>
        <v>0.10784313725490202</v>
      </c>
      <c r="BB45" s="429">
        <f t="shared" si="189"/>
        <v>1.5353982300884805E-2</v>
      </c>
      <c r="BC45" s="367">
        <f t="shared" si="189"/>
        <v>2.8456878894844717E-2</v>
      </c>
      <c r="BD45" s="515">
        <f t="shared" si="189"/>
        <v>-1.2711864406779738E-2</v>
      </c>
      <c r="BE45" s="429">
        <f t="shared" si="189"/>
        <v>-4.2918454935623185E-3</v>
      </c>
      <c r="BF45" s="429">
        <f t="shared" si="189"/>
        <v>-2.0862068965517122E-2</v>
      </c>
      <c r="BG45" s="367">
        <f t="shared" si="189"/>
        <v>-0.12088395844338806</v>
      </c>
      <c r="BH45" s="515">
        <f t="shared" si="189"/>
        <v>3.0946419629444222E-2</v>
      </c>
      <c r="BI45" s="429">
        <f t="shared" si="189"/>
        <v>0.14969885370118519</v>
      </c>
      <c r="BJ45" s="429">
        <f t="shared" si="189"/>
        <v>6.9286016054075361E-3</v>
      </c>
      <c r="BK45" s="429">
        <f t="shared" si="189"/>
        <v>-3.2306788621297322E-2</v>
      </c>
      <c r="BL45" s="515">
        <f t="shared" si="189"/>
        <v>8.5457856399583809E-2</v>
      </c>
      <c r="BM45" s="429">
        <f t="shared" si="189"/>
        <v>2.9678450169762227E-2</v>
      </c>
      <c r="BN45" s="429">
        <f t="shared" si="189"/>
        <v>6.9516642097912973E-2</v>
      </c>
      <c r="BO45" s="1490">
        <v>0</v>
      </c>
      <c r="BP45" s="954">
        <v>0</v>
      </c>
      <c r="BQ45" s="1490">
        <v>0</v>
      </c>
      <c r="BR45" s="1490">
        <v>0</v>
      </c>
      <c r="BS45" s="1350">
        <v>0</v>
      </c>
      <c r="BT45" s="1426">
        <v>0</v>
      </c>
      <c r="BU45" s="1426">
        <v>0</v>
      </c>
      <c r="BV45" s="1426">
        <v>0</v>
      </c>
      <c r="BW45" s="1350">
        <v>0</v>
      </c>
      <c r="BX45" s="20"/>
      <c r="BY45" s="240"/>
      <c r="BZ45" s="240"/>
      <c r="CA45" s="240"/>
      <c r="CB45" s="240"/>
      <c r="CC45" s="240"/>
      <c r="CD45" s="240"/>
      <c r="CE45" s="240"/>
      <c r="CF45" s="240"/>
      <c r="CG45" s="240"/>
      <c r="CH45" s="240"/>
      <c r="CI45" s="240"/>
      <c r="CJ45" s="1028"/>
      <c r="CK45" s="240"/>
      <c r="CL45" s="240"/>
      <c r="CM45" s="240"/>
      <c r="CN45" s="240"/>
      <c r="CO45" s="240"/>
      <c r="CP45" s="282"/>
      <c r="CQ45" s="22"/>
      <c r="CR45" s="232"/>
      <c r="CS45" s="22"/>
      <c r="CT45" s="14"/>
      <c r="CU45" s="14"/>
      <c r="CV45" s="14"/>
      <c r="CW45" s="14"/>
      <c r="CX45" s="14"/>
      <c r="CY45" s="14"/>
      <c r="CZ45" s="14"/>
      <c r="DA45" s="22"/>
      <c r="DB45" s="14"/>
      <c r="DC45" s="22"/>
      <c r="DD45" s="14"/>
      <c r="DE45" s="14"/>
      <c r="DF45" s="14"/>
      <c r="DG45" s="14"/>
      <c r="DH45" s="232"/>
    </row>
    <row r="46" spans="1:112" ht="14.25" customHeight="1">
      <c r="A46" s="472"/>
      <c r="B46" s="34" t="s">
        <v>220</v>
      </c>
      <c r="C46" s="239"/>
      <c r="D46" s="144"/>
      <c r="E46" s="90"/>
      <c r="F46" s="90"/>
      <c r="G46" s="91"/>
      <c r="H46" s="144"/>
      <c r="I46" s="90"/>
      <c r="J46" s="90"/>
      <c r="K46" s="91"/>
      <c r="L46" s="144"/>
      <c r="M46" s="90"/>
      <c r="N46" s="90"/>
      <c r="O46" s="91"/>
      <c r="P46" s="144"/>
      <c r="Q46" s="90"/>
      <c r="R46" s="90"/>
      <c r="S46" s="91"/>
      <c r="T46" s="144"/>
      <c r="U46" s="90"/>
      <c r="V46" s="90"/>
      <c r="W46" s="91"/>
      <c r="X46" s="144"/>
      <c r="Y46" s="90"/>
      <c r="Z46" s="90"/>
      <c r="AA46" s="91"/>
      <c r="AB46" s="144"/>
      <c r="AC46" s="90"/>
      <c r="AD46" s="90"/>
      <c r="AE46" s="91"/>
      <c r="AF46" s="144"/>
      <c r="AG46" s="90"/>
      <c r="AH46" s="90"/>
      <c r="AI46" s="91"/>
      <c r="AJ46" s="144"/>
      <c r="AK46" s="90"/>
      <c r="AL46" s="90"/>
      <c r="AM46" s="91"/>
      <c r="AN46" s="515"/>
      <c r="AO46" s="429"/>
      <c r="AP46" s="429"/>
      <c r="AQ46" s="91">
        <f t="shared" ref="AQ46:BN46" si="190">AVERAGE(AM45,AI45,AE45,AA45,W45)</f>
        <v>6.9419666281876458E-2</v>
      </c>
      <c r="AR46" s="90">
        <f t="shared" si="190"/>
        <v>1.3051371375300436E-2</v>
      </c>
      <c r="AS46" s="90">
        <f t="shared" si="190"/>
        <v>9.4727002325206255E-2</v>
      </c>
      <c r="AT46" s="90">
        <f t="shared" si="190"/>
        <v>7.6106289015279383E-2</v>
      </c>
      <c r="AU46" s="91">
        <f t="shared" si="190"/>
        <v>-3.1094842030353065E-3</v>
      </c>
      <c r="AV46" s="90">
        <f t="shared" si="190"/>
        <v>-1.7661430157139391E-2</v>
      </c>
      <c r="AW46" s="90">
        <f t="shared" si="190"/>
        <v>6.050531049402863E-2</v>
      </c>
      <c r="AX46" s="90">
        <f t="shared" si="190"/>
        <v>7.0898883132927068E-2</v>
      </c>
      <c r="AY46" s="91">
        <f t="shared" si="190"/>
        <v>9.8306566087303926E-3</v>
      </c>
      <c r="AZ46" s="144">
        <f t="shared" si="190"/>
        <v>-5.741104267655543E-3</v>
      </c>
      <c r="BA46" s="90">
        <f t="shared" si="190"/>
        <v>7.122342731496592E-2</v>
      </c>
      <c r="BB46" s="90">
        <f t="shared" si="190"/>
        <v>4.5863278598788998E-2</v>
      </c>
      <c r="BC46" s="91">
        <f t="shared" si="190"/>
        <v>-2.4610324397177086E-3</v>
      </c>
      <c r="BD46" s="144">
        <f t="shared" si="190"/>
        <v>-3.4022483349325033E-2</v>
      </c>
      <c r="BE46" s="90">
        <f t="shared" si="190"/>
        <v>7.8547369302953141E-2</v>
      </c>
      <c r="BF46" s="90">
        <f t="shared" si="190"/>
        <v>3.9761419339208161E-2</v>
      </c>
      <c r="BG46" s="91">
        <f t="shared" si="190"/>
        <v>3.7225498271947766E-3</v>
      </c>
      <c r="BH46" s="144">
        <f t="shared" si="190"/>
        <v>-2.9760359560815974E-2</v>
      </c>
      <c r="BI46" s="90">
        <f t="shared" si="190"/>
        <v>5.2749233322688285E-2</v>
      </c>
      <c r="BJ46" s="1347">
        <f t="shared" si="190"/>
        <v>1.490813477259847E-2</v>
      </c>
      <c r="BK46" s="1347">
        <f t="shared" si="190"/>
        <v>-3.4338175117858125E-2</v>
      </c>
      <c r="BL46" s="1351">
        <f t="shared" si="190"/>
        <v>-2.6181349909987217E-2</v>
      </c>
      <c r="BM46" s="1347">
        <f t="shared" si="190"/>
        <v>6.9737970014395217E-2</v>
      </c>
      <c r="BN46" s="1347">
        <f t="shared" si="190"/>
        <v>6.5322102610744894E-3</v>
      </c>
      <c r="BO46" s="1347">
        <f t="shared" ref="BO46" si="191">BK46</f>
        <v>-3.4338175117858125E-2</v>
      </c>
      <c r="BP46" s="1351">
        <f t="shared" ref="BP46:BW46" si="192">BL46</f>
        <v>-2.6181349909987217E-2</v>
      </c>
      <c r="BQ46" s="1347">
        <f t="shared" si="192"/>
        <v>6.9737970014395217E-2</v>
      </c>
      <c r="BR46" s="1347">
        <f t="shared" si="192"/>
        <v>6.5322102610744894E-3</v>
      </c>
      <c r="BS46" s="1348">
        <f t="shared" si="192"/>
        <v>-3.4338175117858125E-2</v>
      </c>
      <c r="BT46" s="1347">
        <f t="shared" si="192"/>
        <v>-2.6181349909987217E-2</v>
      </c>
      <c r="BU46" s="1347">
        <f t="shared" si="192"/>
        <v>6.9737970014395217E-2</v>
      </c>
      <c r="BV46" s="1347">
        <f t="shared" si="192"/>
        <v>6.5322102610744894E-3</v>
      </c>
      <c r="BW46" s="1348">
        <f t="shared" si="192"/>
        <v>-3.4338175117858125E-2</v>
      </c>
      <c r="BX46" s="20"/>
      <c r="BY46" s="240"/>
      <c r="BZ46" s="240"/>
      <c r="CA46" s="240"/>
      <c r="CB46" s="240"/>
      <c r="CC46" s="240"/>
      <c r="CD46" s="240"/>
      <c r="CE46" s="240"/>
      <c r="CF46" s="240"/>
      <c r="CG46" s="240"/>
      <c r="CH46" s="240"/>
      <c r="CI46" s="240"/>
      <c r="CJ46" s="1028"/>
      <c r="CK46" s="240"/>
      <c r="CL46" s="240"/>
      <c r="CM46" s="240"/>
      <c r="CN46" s="240"/>
      <c r="CO46" s="240"/>
      <c r="CP46" s="282"/>
      <c r="CQ46" s="22"/>
      <c r="CR46" s="232"/>
      <c r="CS46" s="22"/>
      <c r="CT46" s="14"/>
      <c r="CU46" s="14"/>
      <c r="CV46" s="14"/>
      <c r="CW46" s="14"/>
      <c r="CX46" s="14"/>
      <c r="CY46" s="14"/>
      <c r="CZ46" s="14"/>
      <c r="DA46" s="22"/>
      <c r="DB46" s="14"/>
      <c r="DC46" s="22"/>
      <c r="DD46" s="14"/>
      <c r="DE46" s="14"/>
      <c r="DF46" s="14"/>
      <c r="DG46" s="14"/>
      <c r="DH46" s="232"/>
    </row>
    <row r="47" spans="1:112" ht="14.25" customHeight="1">
      <c r="A47" s="790"/>
      <c r="B47" s="791" t="s">
        <v>99</v>
      </c>
      <c r="C47" s="792"/>
      <c r="D47" s="515"/>
      <c r="E47" s="429"/>
      <c r="F47" s="429"/>
      <c r="G47" s="367"/>
      <c r="H47" s="515"/>
      <c r="I47" s="429"/>
      <c r="J47" s="429"/>
      <c r="K47" s="367"/>
      <c r="L47" s="515"/>
      <c r="M47" s="429"/>
      <c r="N47" s="429"/>
      <c r="O47" s="367"/>
      <c r="P47" s="515"/>
      <c r="Q47" s="429"/>
      <c r="R47" s="429"/>
      <c r="S47" s="367"/>
      <c r="T47" s="515"/>
      <c r="U47" s="429"/>
      <c r="V47" s="429"/>
      <c r="W47" s="367"/>
      <c r="X47" s="515"/>
      <c r="Y47" s="429"/>
      <c r="Z47" s="429"/>
      <c r="AA47" s="367"/>
      <c r="AB47" s="515"/>
      <c r="AC47" s="429"/>
      <c r="AD47" s="429"/>
      <c r="AE47" s="367"/>
      <c r="AF47" s="515"/>
      <c r="AG47" s="429"/>
      <c r="AH47" s="429"/>
      <c r="AI47" s="367"/>
      <c r="AJ47" s="515"/>
      <c r="AK47" s="429"/>
      <c r="AL47" s="429"/>
      <c r="AM47" s="367"/>
      <c r="AN47" s="515">
        <f t="shared" ref="AN47:BN47" si="193">AN44/AJ44-1</f>
        <v>0.34446832063554078</v>
      </c>
      <c r="AO47" s="429">
        <f t="shared" si="193"/>
        <v>0.27281148679944445</v>
      </c>
      <c r="AP47" s="429">
        <f t="shared" si="193"/>
        <v>0.20983314093818861</v>
      </c>
      <c r="AQ47" s="367">
        <f t="shared" si="193"/>
        <v>4.5728865119474049E-2</v>
      </c>
      <c r="AR47" s="515">
        <f t="shared" si="193"/>
        <v>-1.7678113043056998E-2</v>
      </c>
      <c r="AS47" s="429">
        <f t="shared" si="193"/>
        <v>-8.4743449781659486E-2</v>
      </c>
      <c r="AT47" s="429">
        <f t="shared" si="193"/>
        <v>-7.4554365268681866E-2</v>
      </c>
      <c r="AU47" s="367">
        <f t="shared" si="193"/>
        <v>3.692581992211319E-2</v>
      </c>
      <c r="AV47" s="515">
        <f t="shared" si="193"/>
        <v>0.10935805147421362</v>
      </c>
      <c r="AW47" s="429">
        <f t="shared" si="193"/>
        <v>0.23383529645643875</v>
      </c>
      <c r="AX47" s="429">
        <f t="shared" si="193"/>
        <v>0.12944043490486457</v>
      </c>
      <c r="AY47" s="367">
        <f t="shared" si="193"/>
        <v>4.7601809954751495E-2</v>
      </c>
      <c r="AZ47" s="515">
        <f t="shared" si="193"/>
        <v>-9.3333333333333379E-2</v>
      </c>
      <c r="BA47" s="429">
        <f t="shared" si="193"/>
        <v>-8.9664061870619483E-2</v>
      </c>
      <c r="BB47" s="429">
        <f t="shared" si="193"/>
        <v>-4.7842323651452356E-2</v>
      </c>
      <c r="BC47" s="367">
        <f t="shared" si="193"/>
        <v>1.9350380096751607E-2</v>
      </c>
      <c r="BD47" s="515">
        <f t="shared" si="193"/>
        <v>0.1421568627450982</v>
      </c>
      <c r="BE47" s="429">
        <f t="shared" si="193"/>
        <v>2.6548672566371501E-2</v>
      </c>
      <c r="BF47" s="429">
        <f t="shared" si="193"/>
        <v>-1.0066675382402801E-2</v>
      </c>
      <c r="BG47" s="367">
        <f t="shared" si="193"/>
        <v>-0.153813559322034</v>
      </c>
      <c r="BH47" s="515">
        <f t="shared" si="193"/>
        <v>-0.11639484978540771</v>
      </c>
      <c r="BI47" s="429">
        <f t="shared" si="193"/>
        <v>2.0258620689655338E-2</v>
      </c>
      <c r="BJ47" s="429">
        <f t="shared" si="193"/>
        <v>4.9216411340024635E-2</v>
      </c>
      <c r="BK47" s="429">
        <f t="shared" si="193"/>
        <v>0.15493239859789698</v>
      </c>
      <c r="BL47" s="515">
        <f t="shared" si="193"/>
        <v>0.21599961142413049</v>
      </c>
      <c r="BM47" s="429">
        <f t="shared" si="193"/>
        <v>8.9057879171947407E-2</v>
      </c>
      <c r="BN47" s="429">
        <f t="shared" si="193"/>
        <v>0.15675086011580097</v>
      </c>
      <c r="BO47" s="429">
        <f t="shared" ref="BO47" si="194">BO44/BK44-1</f>
        <v>0.19536940686784598</v>
      </c>
      <c r="BP47" s="515">
        <f t="shared" ref="BP47:BW47" si="195">BP44/BL44-1</f>
        <v>0.10125823846614734</v>
      </c>
      <c r="BQ47" s="429">
        <f t="shared" si="195"/>
        <v>6.9516642097912973E-2</v>
      </c>
      <c r="BR47" s="429">
        <f t="shared" si="195"/>
        <v>0</v>
      </c>
      <c r="BS47" s="367">
        <f t="shared" si="195"/>
        <v>0</v>
      </c>
      <c r="BT47" s="429">
        <f t="shared" si="195"/>
        <v>0</v>
      </c>
      <c r="BU47" s="429">
        <f t="shared" si="195"/>
        <v>0</v>
      </c>
      <c r="BV47" s="429">
        <f t="shared" si="195"/>
        <v>0</v>
      </c>
      <c r="BW47" s="367">
        <f t="shared" si="195"/>
        <v>0</v>
      </c>
      <c r="BX47" s="793"/>
      <c r="BY47" s="429"/>
      <c r="BZ47" s="429"/>
      <c r="CA47" s="429"/>
      <c r="CB47" s="429"/>
      <c r="CC47" s="429"/>
      <c r="CD47" s="369"/>
      <c r="CE47" s="369"/>
      <c r="CF47" s="369"/>
      <c r="CG47" s="369"/>
      <c r="CH47" s="369">
        <f t="shared" ref="CH47:CP47" si="196">CH44/CG44-1</f>
        <v>0.20720708220014439</v>
      </c>
      <c r="CI47" s="369">
        <f t="shared" si="196"/>
        <v>-3.632142159285523E-2</v>
      </c>
      <c r="CJ47" s="1054">
        <f t="shared" si="196"/>
        <v>0.12806383511647046</v>
      </c>
      <c r="CK47" s="369">
        <f t="shared" si="196"/>
        <v>-5.3194188923428309E-2</v>
      </c>
      <c r="CL47" s="369">
        <f t="shared" si="196"/>
        <v>-4.031402503713033E-3</v>
      </c>
      <c r="CM47" s="369">
        <f t="shared" si="196"/>
        <v>2.2088668625120489E-2</v>
      </c>
      <c r="CN47" s="369">
        <f t="shared" si="196"/>
        <v>0.16232612225196363</v>
      </c>
      <c r="CO47" s="369">
        <f t="shared" si="196"/>
        <v>4.0838862514511076E-2</v>
      </c>
      <c r="CP47" s="368">
        <f t="shared" si="196"/>
        <v>0</v>
      </c>
      <c r="CQ47" s="794"/>
      <c r="CR47" s="1523"/>
      <c r="CS47" s="794"/>
      <c r="CT47" s="369"/>
      <c r="CU47" s="369"/>
      <c r="CV47" s="369"/>
      <c r="CW47" s="369"/>
      <c r="CX47" s="369"/>
      <c r="CY47" s="369"/>
      <c r="CZ47" s="369">
        <f t="shared" ref="CZ47:DH47" si="197">+CZ44/CY44-1</f>
        <v>0.66519627759397926</v>
      </c>
      <c r="DA47" s="1054">
        <f t="shared" si="197"/>
        <v>-3.5030034042454306E-2</v>
      </c>
      <c r="DB47" s="369">
        <f t="shared" si="197"/>
        <v>0.12608664242541012</v>
      </c>
      <c r="DC47" s="1054">
        <f t="shared" si="197"/>
        <v>-4.7334431067296734E-2</v>
      </c>
      <c r="DD47" s="369">
        <f t="shared" si="197"/>
        <v>4.1717639928618544E-2</v>
      </c>
      <c r="DE47" s="369">
        <f t="shared" si="197"/>
        <v>-5.1219617307360688E-2</v>
      </c>
      <c r="DF47" s="369">
        <f t="shared" si="197"/>
        <v>0.15199518521041977</v>
      </c>
      <c r="DG47" s="369">
        <f t="shared" si="197"/>
        <v>8.7070095715003903E-2</v>
      </c>
      <c r="DH47" s="368">
        <f t="shared" si="197"/>
        <v>0</v>
      </c>
    </row>
    <row r="48" spans="1:112" ht="14.25" customHeight="1">
      <c r="A48" s="472"/>
      <c r="B48" s="34" t="s">
        <v>100</v>
      </c>
      <c r="C48" s="239"/>
      <c r="D48" s="90">
        <f t="shared" ref="D48:O48" si="198">D44/D66</f>
        <v>0</v>
      </c>
      <c r="E48" s="90">
        <f t="shared" si="198"/>
        <v>0</v>
      </c>
      <c r="F48" s="90">
        <f t="shared" si="198"/>
        <v>0</v>
      </c>
      <c r="G48" s="91">
        <f t="shared" si="198"/>
        <v>0</v>
      </c>
      <c r="H48" s="90">
        <f t="shared" si="198"/>
        <v>0</v>
      </c>
      <c r="I48" s="90">
        <f t="shared" si="198"/>
        <v>0</v>
      </c>
      <c r="J48" s="90">
        <f t="shared" si="198"/>
        <v>0</v>
      </c>
      <c r="K48" s="91">
        <f t="shared" si="198"/>
        <v>0</v>
      </c>
      <c r="L48" s="90">
        <f t="shared" si="198"/>
        <v>0</v>
      </c>
      <c r="M48" s="90">
        <f t="shared" si="198"/>
        <v>0</v>
      </c>
      <c r="N48" s="90">
        <f t="shared" si="198"/>
        <v>0</v>
      </c>
      <c r="O48" s="91">
        <f t="shared" si="198"/>
        <v>0</v>
      </c>
      <c r="P48" s="90">
        <f t="shared" ref="P48:W48" si="199">P44/P66</f>
        <v>0</v>
      </c>
      <c r="Q48" s="90">
        <f t="shared" si="199"/>
        <v>0</v>
      </c>
      <c r="R48" s="90">
        <f t="shared" si="199"/>
        <v>0</v>
      </c>
      <c r="S48" s="91">
        <f t="shared" si="199"/>
        <v>0</v>
      </c>
      <c r="T48" s="90">
        <f t="shared" si="199"/>
        <v>0</v>
      </c>
      <c r="U48" s="90">
        <f t="shared" si="199"/>
        <v>0</v>
      </c>
      <c r="V48" s="90">
        <f t="shared" si="199"/>
        <v>0</v>
      </c>
      <c r="W48" s="91">
        <f t="shared" si="199"/>
        <v>0</v>
      </c>
      <c r="X48" s="90">
        <f t="shared" ref="X48:AP48" si="200">X44/X66</f>
        <v>0</v>
      </c>
      <c r="Y48" s="90">
        <f t="shared" si="200"/>
        <v>0</v>
      </c>
      <c r="Z48" s="90">
        <f t="shared" si="200"/>
        <v>0</v>
      </c>
      <c r="AA48" s="91">
        <f t="shared" si="200"/>
        <v>0</v>
      </c>
      <c r="AB48" s="90">
        <f t="shared" si="200"/>
        <v>0</v>
      </c>
      <c r="AC48" s="90">
        <f t="shared" si="200"/>
        <v>0</v>
      </c>
      <c r="AD48" s="90">
        <f t="shared" si="200"/>
        <v>0</v>
      </c>
      <c r="AE48" s="91">
        <f t="shared" si="200"/>
        <v>0</v>
      </c>
      <c r="AF48" s="90">
        <f t="shared" si="200"/>
        <v>0</v>
      </c>
      <c r="AG48" s="90">
        <f t="shared" si="200"/>
        <v>0</v>
      </c>
      <c r="AH48" s="90">
        <f t="shared" si="200"/>
        <v>0</v>
      </c>
      <c r="AI48" s="91">
        <f t="shared" si="200"/>
        <v>0</v>
      </c>
      <c r="AJ48" s="90">
        <f t="shared" si="200"/>
        <v>4.300175008750437E-2</v>
      </c>
      <c r="AK48" s="90">
        <f t="shared" si="200"/>
        <v>4.5182606056959583E-2</v>
      </c>
      <c r="AL48" s="90">
        <f t="shared" si="200"/>
        <v>5.1812823524294234E-2</v>
      </c>
      <c r="AM48" s="91">
        <f t="shared" si="200"/>
        <v>5.3636327749779597E-2</v>
      </c>
      <c r="AN48" s="429">
        <f t="shared" si="200"/>
        <v>5.5131145746274431E-2</v>
      </c>
      <c r="AO48" s="429">
        <f t="shared" si="200"/>
        <v>6.4544541723184259E-2</v>
      </c>
      <c r="AP48" s="429">
        <f t="shared" si="200"/>
        <v>7.0048852215970556E-2</v>
      </c>
      <c r="AQ48" s="91">
        <f>AQ44/(AQ66)</f>
        <v>6.2886716571607298E-2</v>
      </c>
      <c r="AR48" s="90">
        <f>AR44/(AR66)</f>
        <v>5.7597391901946418E-2</v>
      </c>
      <c r="AS48" s="90">
        <f>AS44/(AS66)</f>
        <v>5.2494403832005383E-2</v>
      </c>
      <c r="AT48" s="90">
        <f t="shared" ref="AT48:AY48" si="201">AT44/(AT66)</f>
        <v>5.128747473242206E-2</v>
      </c>
      <c r="AU48" s="91">
        <f t="shared" si="201"/>
        <v>5.1371455137145514E-2</v>
      </c>
      <c r="AV48" s="90">
        <f t="shared" si="201"/>
        <v>4.8617113223854792E-2</v>
      </c>
      <c r="AW48" s="90">
        <f t="shared" si="201"/>
        <v>5.0390830354660021E-2</v>
      </c>
      <c r="AX48" s="90">
        <f t="shared" si="201"/>
        <v>4.9958540630182423E-2</v>
      </c>
      <c r="AY48" s="91">
        <f t="shared" si="201"/>
        <v>4.6928334563026516E-2</v>
      </c>
      <c r="AZ48" s="144">
        <f t="shared" ref="AZ48:BE48" si="202">AZ44/(AZ66)</f>
        <v>3.8578131116477586E-2</v>
      </c>
      <c r="BA48" s="90">
        <f t="shared" si="202"/>
        <v>4.1369211056196238E-2</v>
      </c>
      <c r="BB48" s="90">
        <f t="shared" si="202"/>
        <v>4.3401864916494858E-2</v>
      </c>
      <c r="BC48" s="91">
        <f t="shared" si="202"/>
        <v>4.3128654970760232E-2</v>
      </c>
      <c r="BD48" s="144">
        <f t="shared" si="202"/>
        <v>4.3624789365287402E-2</v>
      </c>
      <c r="BE48" s="90">
        <f t="shared" si="202"/>
        <v>4.1465594280607684E-2</v>
      </c>
      <c r="BF48" s="90">
        <f t="shared" ref="BF48:BO48" si="203">BF44/(BF66)</f>
        <v>4.1151204772351374E-2</v>
      </c>
      <c r="BG48" s="91">
        <f>BG44/(BG66)</f>
        <v>3.5131359972415635E-2</v>
      </c>
      <c r="BH48" s="144">
        <f>BH44/(BH66)</f>
        <v>2.4393422733229225E-2</v>
      </c>
      <c r="BI48" s="90">
        <f t="shared" ref="BI48:BJ48" si="204">BI44/(BI66)</f>
        <v>2.708749363438178E-2</v>
      </c>
      <c r="BJ48" s="1347">
        <f t="shared" si="204"/>
        <v>2.704760737505206E-2</v>
      </c>
      <c r="BK48" s="1347">
        <f t="shared" ref="BK48" si="205">BK44/(BK66)</f>
        <v>2.5550978988906195E-2</v>
      </c>
      <c r="BL48" s="1351">
        <f>BL44/(BL66)</f>
        <v>2.575243714646332E-2</v>
      </c>
      <c r="BM48" s="1347">
        <f t="shared" ref="BM48:BN48" si="206">BM44/(BM66)</f>
        <v>2.5468833826183951E-2</v>
      </c>
      <c r="BN48" s="1347">
        <f t="shared" si="206"/>
        <v>2.7729500084485964E-2</v>
      </c>
      <c r="BO48" s="1347">
        <f t="shared" si="203"/>
        <v>2.7974733804883242E-2</v>
      </c>
      <c r="BP48" s="1351">
        <f t="shared" ref="BP48:BW48" si="207">BP44/(BP66)</f>
        <v>2.6790351178374104E-2</v>
      </c>
      <c r="BQ48" s="1347">
        <f t="shared" si="207"/>
        <v>2.5976924756140558E-2</v>
      </c>
      <c r="BR48" s="1347">
        <f t="shared" si="207"/>
        <v>2.651631024289625E-2</v>
      </c>
      <c r="BS48" s="1348">
        <f t="shared" si="207"/>
        <v>2.6757577909953131E-2</v>
      </c>
      <c r="BT48" s="1347">
        <f t="shared" si="207"/>
        <v>2.5732455126372802E-2</v>
      </c>
      <c r="BU48" s="1347">
        <f t="shared" si="207"/>
        <v>2.5087668161430859E-2</v>
      </c>
      <c r="BV48" s="1347">
        <f t="shared" si="207"/>
        <v>2.5456787237715099E-2</v>
      </c>
      <c r="BW48" s="1348">
        <f t="shared" si="207"/>
        <v>2.5688961697254556E-2</v>
      </c>
      <c r="BX48" s="20"/>
      <c r="BY48" s="369">
        <f t="shared" ref="BY48:CM48" si="208">BY44/(BY66)</f>
        <v>0</v>
      </c>
      <c r="BZ48" s="369">
        <f t="shared" si="208"/>
        <v>0</v>
      </c>
      <c r="CA48" s="369">
        <f t="shared" si="208"/>
        <v>0</v>
      </c>
      <c r="CB48" s="369">
        <f t="shared" si="208"/>
        <v>0</v>
      </c>
      <c r="CC48" s="369">
        <f t="shared" si="208"/>
        <v>0</v>
      </c>
      <c r="CD48" s="369">
        <f t="shared" si="208"/>
        <v>0</v>
      </c>
      <c r="CE48" s="369">
        <f t="shared" si="208"/>
        <v>0</v>
      </c>
      <c r="CF48" s="369">
        <f t="shared" si="208"/>
        <v>0</v>
      </c>
      <c r="CG48" s="369">
        <f t="shared" si="208"/>
        <v>4.8458685924267324E-2</v>
      </c>
      <c r="CH48" s="369">
        <f t="shared" si="208"/>
        <v>6.2899443020989376E-2</v>
      </c>
      <c r="CI48" s="369">
        <f t="shared" si="208"/>
        <v>5.300759509356829E-2</v>
      </c>
      <c r="CJ48" s="1054">
        <f t="shared" si="208"/>
        <v>4.8973264009171409E-2</v>
      </c>
      <c r="CK48" s="369">
        <f t="shared" si="208"/>
        <v>4.1630268985642538E-2</v>
      </c>
      <c r="CL48" s="369">
        <f t="shared" si="208"/>
        <v>4.0281818259832312E-2</v>
      </c>
      <c r="CM48" s="369">
        <f t="shared" si="208"/>
        <v>2.6032031427146808E-2</v>
      </c>
      <c r="CN48" s="369">
        <f>CN44/(CN66)</f>
        <v>2.6728403597091117E-2</v>
      </c>
      <c r="CO48" s="369">
        <f>CO44/(CO66)</f>
        <v>2.6506250223831376E-2</v>
      </c>
      <c r="CP48" s="368">
        <f>CP44/(CP66)</f>
        <v>2.5488887865489637E-2</v>
      </c>
      <c r="CQ48" s="22"/>
      <c r="CR48" s="232"/>
      <c r="CS48" s="353">
        <f>CS44/CS$66</f>
        <v>0</v>
      </c>
      <c r="CT48" s="314">
        <f>CT44/CT$66</f>
        <v>0</v>
      </c>
      <c r="CU48" s="314">
        <f>CU44/CU$66</f>
        <v>0</v>
      </c>
      <c r="CV48" s="314">
        <f>CV44/CV$66</f>
        <v>0</v>
      </c>
      <c r="CW48" s="314">
        <f>CW44/CW$66</f>
        <v>0</v>
      </c>
      <c r="CX48" s="314">
        <f t="shared" ref="CX48:DC48" si="209">CX44/CX$66</f>
        <v>0</v>
      </c>
      <c r="CY48" s="314">
        <f t="shared" si="209"/>
        <v>3.7312667840951746E-2</v>
      </c>
      <c r="CZ48" s="314">
        <f t="shared" si="209"/>
        <v>6.0431104089871866E-2</v>
      </c>
      <c r="DA48" s="353">
        <f t="shared" si="209"/>
        <v>5.5726353504787336E-2</v>
      </c>
      <c r="DB48" s="314">
        <f t="shared" si="209"/>
        <v>5.006560250183479E-2</v>
      </c>
      <c r="DC48" s="353">
        <f t="shared" si="209"/>
        <v>4.2485653182525847E-2</v>
      </c>
      <c r="DD48" s="314">
        <f>DD44/DD$66</f>
        <v>4.2327366720281208E-2</v>
      </c>
      <c r="DE48" s="314">
        <f>DE44/DE$66</f>
        <v>2.7802105031858357E-2</v>
      </c>
      <c r="DF48" s="314">
        <f>DF44/DF$66</f>
        <v>2.6138090494832258E-2</v>
      </c>
      <c r="DG48" s="314">
        <f>DG44/DG$66</f>
        <v>2.6794968985498206E-2</v>
      </c>
      <c r="DH48" s="315">
        <f>DH44/DH$66</f>
        <v>2.5743919451849232E-2</v>
      </c>
    </row>
    <row r="49" spans="1:112" ht="14.25" customHeight="1">
      <c r="A49" s="472"/>
      <c r="B49" s="34"/>
      <c r="C49" s="239"/>
      <c r="D49" s="90"/>
      <c r="E49" s="90"/>
      <c r="F49" s="90"/>
      <c r="G49" s="91"/>
      <c r="H49" s="90"/>
      <c r="I49" s="90"/>
      <c r="J49" s="90"/>
      <c r="K49" s="91"/>
      <c r="L49" s="90"/>
      <c r="M49" s="90"/>
      <c r="N49" s="90"/>
      <c r="O49" s="91"/>
      <c r="P49" s="90"/>
      <c r="Q49" s="90"/>
      <c r="R49" s="90"/>
      <c r="S49" s="91"/>
      <c r="T49" s="90"/>
      <c r="U49" s="90"/>
      <c r="V49" s="90"/>
      <c r="W49" s="91"/>
      <c r="X49" s="90"/>
      <c r="Y49" s="90"/>
      <c r="Z49" s="90"/>
      <c r="AA49" s="91"/>
      <c r="AB49" s="90"/>
      <c r="AC49" s="90"/>
      <c r="AD49" s="90"/>
      <c r="AE49" s="91"/>
      <c r="AF49" s="90"/>
      <c r="AG49" s="90"/>
      <c r="AH49" s="90"/>
      <c r="AI49" s="91"/>
      <c r="AJ49" s="90"/>
      <c r="AK49" s="90"/>
      <c r="AL49" s="90"/>
      <c r="AM49" s="91"/>
      <c r="AN49" s="90"/>
      <c r="AO49" s="90"/>
      <c r="AP49" s="90"/>
      <c r="AQ49" s="93"/>
      <c r="AR49" s="68"/>
      <c r="AS49" s="92"/>
      <c r="AT49" s="92"/>
      <c r="AU49" s="93"/>
      <c r="AV49" s="68"/>
      <c r="AW49" s="92"/>
      <c r="AX49" s="92"/>
      <c r="AY49" s="93"/>
      <c r="AZ49" s="23"/>
      <c r="BA49" s="92"/>
      <c r="BB49" s="92"/>
      <c r="BC49" s="93"/>
      <c r="BD49" s="23"/>
      <c r="BE49" s="92"/>
      <c r="BF49" s="92"/>
      <c r="BG49" s="93"/>
      <c r="BH49" s="23"/>
      <c r="BI49" s="92"/>
      <c r="BJ49" s="1349"/>
      <c r="BK49" s="1349"/>
      <c r="BL49" s="23"/>
      <c r="BM49" s="1426"/>
      <c r="BN49" s="1490"/>
      <c r="BO49" s="68"/>
      <c r="BP49" s="23"/>
      <c r="BQ49" s="68"/>
      <c r="BR49" s="68"/>
      <c r="BS49" s="24"/>
      <c r="BT49" s="68"/>
      <c r="BU49" s="68"/>
      <c r="BV49" s="68"/>
      <c r="BW49" s="24"/>
      <c r="BX49" s="20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22"/>
      <c r="CK49" s="14"/>
      <c r="CL49" s="14"/>
      <c r="CM49" s="14"/>
      <c r="CN49" s="14"/>
      <c r="CO49" s="14"/>
      <c r="CP49" s="232"/>
      <c r="CQ49" s="22"/>
      <c r="CR49" s="232"/>
      <c r="CS49" s="22"/>
      <c r="CT49" s="14"/>
      <c r="CU49" s="14"/>
      <c r="CV49" s="14"/>
      <c r="CW49" s="14"/>
      <c r="CX49" s="14"/>
      <c r="CY49" s="14"/>
      <c r="CZ49" s="14"/>
      <c r="DA49" s="22"/>
      <c r="DB49" s="14"/>
      <c r="DC49" s="22"/>
      <c r="DD49" s="14"/>
      <c r="DE49" s="14"/>
      <c r="DF49" s="14"/>
      <c r="DG49" s="14"/>
      <c r="DH49" s="232"/>
    </row>
    <row r="50" spans="1:112" ht="14.25" customHeight="1">
      <c r="A50" s="472"/>
      <c r="B50" s="44" t="s">
        <v>536</v>
      </c>
      <c r="C50" s="239"/>
      <c r="D50" s="433">
        <f>D88*D48</f>
        <v>0</v>
      </c>
      <c r="E50" s="370">
        <f t="shared" ref="E50:O50" si="210">E88*E48</f>
        <v>0</v>
      </c>
      <c r="F50" s="370">
        <f t="shared" si="210"/>
        <v>0</v>
      </c>
      <c r="G50" s="371">
        <f t="shared" si="210"/>
        <v>0</v>
      </c>
      <c r="H50" s="433">
        <f t="shared" si="210"/>
        <v>0</v>
      </c>
      <c r="I50" s="370">
        <f t="shared" si="210"/>
        <v>0</v>
      </c>
      <c r="J50" s="370">
        <f t="shared" si="210"/>
        <v>0</v>
      </c>
      <c r="K50" s="371">
        <f t="shared" si="210"/>
        <v>0</v>
      </c>
      <c r="L50" s="433">
        <f t="shared" si="210"/>
        <v>0</v>
      </c>
      <c r="M50" s="370">
        <f t="shared" si="210"/>
        <v>0</v>
      </c>
      <c r="N50" s="370">
        <f t="shared" si="210"/>
        <v>0</v>
      </c>
      <c r="O50" s="371">
        <f t="shared" si="210"/>
        <v>0</v>
      </c>
      <c r="P50" s="433">
        <f t="shared" ref="P50:AT50" si="211">P88*P48</f>
        <v>0</v>
      </c>
      <c r="Q50" s="370">
        <f t="shared" si="211"/>
        <v>0</v>
      </c>
      <c r="R50" s="370">
        <f t="shared" si="211"/>
        <v>0</v>
      </c>
      <c r="S50" s="371">
        <f t="shared" si="211"/>
        <v>0</v>
      </c>
      <c r="T50" s="433">
        <f t="shared" si="211"/>
        <v>0</v>
      </c>
      <c r="U50" s="370">
        <f t="shared" si="211"/>
        <v>0</v>
      </c>
      <c r="V50" s="370">
        <f t="shared" si="211"/>
        <v>0</v>
      </c>
      <c r="W50" s="371">
        <f t="shared" si="211"/>
        <v>0</v>
      </c>
      <c r="X50" s="433">
        <f t="shared" si="211"/>
        <v>0</v>
      </c>
      <c r="Y50" s="370">
        <f t="shared" si="211"/>
        <v>0</v>
      </c>
      <c r="Z50" s="370">
        <f t="shared" si="211"/>
        <v>0</v>
      </c>
      <c r="AA50" s="371">
        <f t="shared" si="211"/>
        <v>0</v>
      </c>
      <c r="AB50" s="433">
        <f t="shared" si="211"/>
        <v>0</v>
      </c>
      <c r="AC50" s="370">
        <f t="shared" si="211"/>
        <v>0</v>
      </c>
      <c r="AD50" s="370">
        <f t="shared" si="211"/>
        <v>0</v>
      </c>
      <c r="AE50" s="371">
        <f t="shared" si="211"/>
        <v>0</v>
      </c>
      <c r="AF50" s="433">
        <f t="shared" si="211"/>
        <v>0</v>
      </c>
      <c r="AG50" s="370">
        <f t="shared" si="211"/>
        <v>0</v>
      </c>
      <c r="AH50" s="370">
        <f t="shared" si="211"/>
        <v>0</v>
      </c>
      <c r="AI50" s="371">
        <f t="shared" si="211"/>
        <v>0</v>
      </c>
      <c r="AJ50" s="433">
        <f t="shared" si="211"/>
        <v>8.9204120434021696</v>
      </c>
      <c r="AK50" s="370">
        <f t="shared" si="211"/>
        <v>10.166312275846192</v>
      </c>
      <c r="AL50" s="370">
        <f t="shared" si="211"/>
        <v>11.2121395721867</v>
      </c>
      <c r="AM50" s="371">
        <f t="shared" si="211"/>
        <v>12.099872813400522</v>
      </c>
      <c r="AN50" s="514">
        <f t="shared" si="211"/>
        <v>12.114959015452314</v>
      </c>
      <c r="AO50" s="431">
        <f t="shared" si="211"/>
        <v>12.696104990575511</v>
      </c>
      <c r="AP50" s="431">
        <f t="shared" si="211"/>
        <v>12.993221499835947</v>
      </c>
      <c r="AQ50" s="430">
        <f t="shared" si="211"/>
        <v>11.977089604645466</v>
      </c>
      <c r="AR50" s="431">
        <f t="shared" si="211"/>
        <v>11.696820750055377</v>
      </c>
      <c r="AS50" s="431">
        <f t="shared" si="211"/>
        <v>10.194150752156284</v>
      </c>
      <c r="AT50" s="431">
        <f t="shared" si="211"/>
        <v>10.27944598566989</v>
      </c>
      <c r="AU50" s="430">
        <f t="shared" ref="AU50:AZ50" si="212">AU88*AU48</f>
        <v>12.368037424453748</v>
      </c>
      <c r="AV50" s="431">
        <f t="shared" si="212"/>
        <v>12.960058340535864</v>
      </c>
      <c r="AW50" s="431">
        <f t="shared" si="212"/>
        <v>14.556046428738155</v>
      </c>
      <c r="AX50" s="431">
        <f t="shared" si="212"/>
        <v>14.124278606965175</v>
      </c>
      <c r="AY50" s="430">
        <f t="shared" si="212"/>
        <v>13.636717027331629</v>
      </c>
      <c r="AZ50" s="514">
        <f t="shared" si="212"/>
        <v>11.824930171691593</v>
      </c>
      <c r="BA50" s="431">
        <f t="shared" ref="BA50:BF50" si="213">BA88*BA48</f>
        <v>12.719129416071761</v>
      </c>
      <c r="BB50" s="431">
        <f t="shared" si="213"/>
        <v>13.105583728319873</v>
      </c>
      <c r="BC50" s="430">
        <f t="shared" si="213"/>
        <v>13.526526315789473</v>
      </c>
      <c r="BD50" s="514">
        <f t="shared" si="213"/>
        <v>13.480801535293017</v>
      </c>
      <c r="BE50" s="431">
        <f t="shared" si="213"/>
        <v>12.47907059874888</v>
      </c>
      <c r="BF50" s="431">
        <f t="shared" si="213"/>
        <v>12.045698358553153</v>
      </c>
      <c r="BG50" s="430">
        <f>BG88*BG48</f>
        <v>10.635386867169331</v>
      </c>
      <c r="BH50" s="514">
        <f>BH88*BH48</f>
        <v>8.5008638883030514</v>
      </c>
      <c r="BI50" s="431">
        <f t="shared" ref="BI50:BJ50" si="214">BI88*BI48</f>
        <v>11.122693723643483</v>
      </c>
      <c r="BJ50" s="431">
        <f t="shared" si="214"/>
        <v>12.584142759709346</v>
      </c>
      <c r="BK50" s="431">
        <f t="shared" ref="BK50" si="215">BK88*BK48</f>
        <v>13.614225930742933</v>
      </c>
      <c r="BL50" s="514">
        <f>BL88*BL48</f>
        <v>15.050728613441876</v>
      </c>
      <c r="BM50" s="431">
        <f t="shared" ref="BM50:BN50" si="216">BM88*BM48</f>
        <v>15.640258039656608</v>
      </c>
      <c r="BN50" s="431">
        <f t="shared" si="216"/>
        <v>16.833442591787964</v>
      </c>
      <c r="BO50" s="370">
        <f t="shared" ref="BO50" si="217">BO53*BO44</f>
        <v>27.57</v>
      </c>
      <c r="BP50" s="433">
        <f t="shared" ref="BP50:BW50" si="218">BP53*BP44</f>
        <v>27.57</v>
      </c>
      <c r="BQ50" s="370">
        <f t="shared" si="218"/>
        <v>27.57</v>
      </c>
      <c r="BR50" s="370">
        <f t="shared" si="218"/>
        <v>27.57</v>
      </c>
      <c r="BS50" s="371">
        <f t="shared" si="218"/>
        <v>27.57</v>
      </c>
      <c r="BT50" s="370">
        <f t="shared" si="218"/>
        <v>27.57</v>
      </c>
      <c r="BU50" s="370">
        <f t="shared" si="218"/>
        <v>27.57</v>
      </c>
      <c r="BV50" s="370">
        <f t="shared" si="218"/>
        <v>27.57</v>
      </c>
      <c r="BW50" s="371">
        <f t="shared" si="218"/>
        <v>27.57</v>
      </c>
      <c r="BX50" s="286"/>
      <c r="BY50" s="362">
        <f>SUM(D50:G50)</f>
        <v>0</v>
      </c>
      <c r="BZ50" s="362">
        <f>SUM(H50:K50)</f>
        <v>0</v>
      </c>
      <c r="CA50" s="362">
        <f>SUM(L50:O50)</f>
        <v>0</v>
      </c>
      <c r="CB50" s="362">
        <f>SUM(P50:S50)</f>
        <v>0</v>
      </c>
      <c r="CC50" s="362">
        <f>SUM(T50:W50)</f>
        <v>0</v>
      </c>
      <c r="CD50" s="362">
        <f>SUM(X50:AA50)</f>
        <v>0</v>
      </c>
      <c r="CE50" s="362">
        <f>SUM(AB50:AE50)</f>
        <v>0</v>
      </c>
      <c r="CF50" s="362">
        <f>SUM(AF50:AI50)</f>
        <v>0</v>
      </c>
      <c r="CG50" s="362">
        <f>SUM(AJ50:AM50)</f>
        <v>42.398736704835585</v>
      </c>
      <c r="CH50" s="362">
        <f>SUM(AN50:AQ50)</f>
        <v>49.781375110509238</v>
      </c>
      <c r="CI50" s="362">
        <f>SUM(AR50:AU50)</f>
        <v>44.538454912335297</v>
      </c>
      <c r="CJ50" s="366">
        <f>SUM(AV50:AY50)</f>
        <v>55.27710040357082</v>
      </c>
      <c r="CK50" s="362">
        <f>SUM(AZ50:BC50)</f>
        <v>51.176169631872703</v>
      </c>
      <c r="CL50" s="362">
        <f>SUM(BD50:BG50)</f>
        <v>48.640957359764379</v>
      </c>
      <c r="CM50" s="362">
        <f>SUM(BH50:BK50)</f>
        <v>45.821926302398815</v>
      </c>
      <c r="CN50" s="362">
        <f>SUM(BL50:BO50)</f>
        <v>75.094429244886442</v>
      </c>
      <c r="CO50" s="362">
        <f>SUM(BP50:BS50)</f>
        <v>110.28</v>
      </c>
      <c r="CP50" s="363">
        <f>SUM(BT50:BW50)</f>
        <v>110.28</v>
      </c>
      <c r="CQ50" s="22"/>
      <c r="CR50" s="232"/>
      <c r="CS50" s="22"/>
      <c r="CT50" s="14"/>
      <c r="CU50" s="14"/>
      <c r="CV50" s="14"/>
      <c r="CW50" s="14"/>
      <c r="CX50" s="14"/>
      <c r="CY50" s="14"/>
      <c r="CZ50" s="14"/>
      <c r="DA50" s="22"/>
      <c r="DB50" s="14"/>
      <c r="DC50" s="22"/>
      <c r="DD50" s="14"/>
      <c r="DE50" s="14"/>
      <c r="DF50" s="14"/>
      <c r="DG50" s="14"/>
      <c r="DH50" s="232"/>
    </row>
    <row r="51" spans="1:112" ht="14.25" customHeight="1">
      <c r="A51" s="472"/>
      <c r="B51" s="34" t="s">
        <v>98</v>
      </c>
      <c r="C51" s="239"/>
      <c r="D51" s="144"/>
      <c r="E51" s="90"/>
      <c r="F51" s="90"/>
      <c r="G51" s="91"/>
      <c r="H51" s="144"/>
      <c r="I51" s="90"/>
      <c r="J51" s="90"/>
      <c r="K51" s="91"/>
      <c r="L51" s="144"/>
      <c r="M51" s="90"/>
      <c r="N51" s="90"/>
      <c r="O51" s="91"/>
      <c r="P51" s="144"/>
      <c r="Q51" s="90"/>
      <c r="R51" s="90"/>
      <c r="S51" s="91"/>
      <c r="T51" s="144"/>
      <c r="U51" s="90"/>
      <c r="V51" s="90"/>
      <c r="W51" s="91"/>
      <c r="X51" s="144"/>
      <c r="Y51" s="90"/>
      <c r="Z51" s="90"/>
      <c r="AA51" s="91"/>
      <c r="AB51" s="144"/>
      <c r="AC51" s="90"/>
      <c r="AD51" s="90"/>
      <c r="AE51" s="91"/>
      <c r="AF51" s="144"/>
      <c r="AG51" s="90"/>
      <c r="AH51" s="90"/>
      <c r="AI51" s="91"/>
      <c r="AJ51" s="144"/>
      <c r="AK51" s="90">
        <f t="shared" ref="AK51:BN51" si="219">AK50/AJ50-1</f>
        <v>0.13966846221700391</v>
      </c>
      <c r="AL51" s="90">
        <f t="shared" si="219"/>
        <v>0.10287184457487641</v>
      </c>
      <c r="AM51" s="91">
        <f t="shared" si="219"/>
        <v>7.9176078347790835E-2</v>
      </c>
      <c r="AN51" s="515">
        <f t="shared" si="219"/>
        <v>1.2468066635447084E-3</v>
      </c>
      <c r="AO51" s="429">
        <f t="shared" si="219"/>
        <v>4.7969289403452464E-2</v>
      </c>
      <c r="AP51" s="429">
        <f t="shared" si="219"/>
        <v>2.340217802869371E-2</v>
      </c>
      <c r="AQ51" s="367">
        <f t="shared" si="219"/>
        <v>-7.8204769710368716E-2</v>
      </c>
      <c r="AR51" s="515">
        <f t="shared" si="219"/>
        <v>-2.3400413943750031E-2</v>
      </c>
      <c r="AS51" s="429">
        <f t="shared" si="219"/>
        <v>-0.12846824192736117</v>
      </c>
      <c r="AT51" s="429">
        <f t="shared" si="219"/>
        <v>8.3670759425999996E-3</v>
      </c>
      <c r="AU51" s="367">
        <f t="shared" si="219"/>
        <v>0.20318132336075978</v>
      </c>
      <c r="AV51" s="515">
        <f t="shared" si="219"/>
        <v>4.7867005553491326E-2</v>
      </c>
      <c r="AW51" s="429">
        <f t="shared" si="219"/>
        <v>0.12314667467278539</v>
      </c>
      <c r="AX51" s="429">
        <f t="shared" si="219"/>
        <v>-2.9662437797706942E-2</v>
      </c>
      <c r="AY51" s="367">
        <f t="shared" si="219"/>
        <v>-3.4519396933526347E-2</v>
      </c>
      <c r="AZ51" s="515">
        <f t="shared" si="219"/>
        <v>-0.1328609262778373</v>
      </c>
      <c r="BA51" s="429">
        <f t="shared" si="219"/>
        <v>7.5619832962806388E-2</v>
      </c>
      <c r="BB51" s="429">
        <f t="shared" si="219"/>
        <v>3.0383707847157604E-2</v>
      </c>
      <c r="BC51" s="367">
        <f t="shared" si="219"/>
        <v>3.2119331438857257E-2</v>
      </c>
      <c r="BD51" s="515">
        <f t="shared" si="219"/>
        <v>-3.3803786300317107E-3</v>
      </c>
      <c r="BE51" s="429">
        <f t="shared" si="219"/>
        <v>-7.4307965585101443E-2</v>
      </c>
      <c r="BF51" s="429">
        <f t="shared" si="219"/>
        <v>-3.4727925991473674E-2</v>
      </c>
      <c r="BG51" s="367">
        <f t="shared" si="219"/>
        <v>-0.11708009360722693</v>
      </c>
      <c r="BH51" s="515">
        <f t="shared" si="219"/>
        <v>-0.20070007847626092</v>
      </c>
      <c r="BI51" s="429">
        <f t="shared" si="219"/>
        <v>0.30841922300955726</v>
      </c>
      <c r="BJ51" s="429">
        <f t="shared" si="219"/>
        <v>0.13139344410421594</v>
      </c>
      <c r="BK51" s="429">
        <f t="shared" si="219"/>
        <v>8.1855648867207975E-2</v>
      </c>
      <c r="BL51" s="515">
        <f t="shared" si="219"/>
        <v>0.10551482618303765</v>
      </c>
      <c r="BM51" s="429">
        <f t="shared" si="219"/>
        <v>3.9169494139188687E-2</v>
      </c>
      <c r="BN51" s="429">
        <f t="shared" si="219"/>
        <v>7.6289313712470719E-2</v>
      </c>
      <c r="BO51" s="1347">
        <f t="shared" ref="BO51" si="220">BO50/BN50-1</f>
        <v>0.63781115179908388</v>
      </c>
      <c r="BP51" s="1351">
        <f t="shared" ref="BP51:BW51" si="221">BP50/BO50-1</f>
        <v>0</v>
      </c>
      <c r="BQ51" s="1347">
        <f t="shared" si="221"/>
        <v>0</v>
      </c>
      <c r="BR51" s="1347">
        <f t="shared" si="221"/>
        <v>0</v>
      </c>
      <c r="BS51" s="1348">
        <f t="shared" si="221"/>
        <v>0</v>
      </c>
      <c r="BT51" s="1347">
        <f t="shared" si="221"/>
        <v>0</v>
      </c>
      <c r="BU51" s="1347">
        <f t="shared" si="221"/>
        <v>0</v>
      </c>
      <c r="BV51" s="1347">
        <f t="shared" si="221"/>
        <v>0</v>
      </c>
      <c r="BW51" s="1348">
        <f t="shared" si="221"/>
        <v>0</v>
      </c>
      <c r="BX51" s="20"/>
      <c r="BY51" s="240"/>
      <c r="BZ51" s="240"/>
      <c r="CA51" s="240"/>
      <c r="CB51" s="240"/>
      <c r="CC51" s="240"/>
      <c r="CD51" s="240"/>
      <c r="CE51" s="240"/>
      <c r="CF51" s="240"/>
      <c r="CG51" s="240"/>
      <c r="CH51" s="240"/>
      <c r="CI51" s="240"/>
      <c r="CJ51" s="1028"/>
      <c r="CK51" s="240"/>
      <c r="CL51" s="240"/>
      <c r="CM51" s="240"/>
      <c r="CN51" s="240"/>
      <c r="CO51" s="240"/>
      <c r="CP51" s="282"/>
      <c r="CQ51" s="22"/>
      <c r="CR51" s="232"/>
      <c r="CS51" s="22"/>
      <c r="CT51" s="14"/>
      <c r="CU51" s="14"/>
      <c r="CV51" s="14"/>
      <c r="CW51" s="14"/>
      <c r="CX51" s="14"/>
      <c r="CY51" s="14"/>
      <c r="CZ51" s="14"/>
      <c r="DA51" s="22"/>
      <c r="DB51" s="14"/>
      <c r="DC51" s="22"/>
      <c r="DD51" s="14"/>
      <c r="DE51" s="14"/>
      <c r="DF51" s="14"/>
      <c r="DG51" s="14"/>
      <c r="DH51" s="232"/>
    </row>
    <row r="52" spans="1:112" ht="14.25" customHeight="1">
      <c r="A52" s="472"/>
      <c r="B52" s="34" t="s">
        <v>99</v>
      </c>
      <c r="C52" s="239"/>
      <c r="D52" s="144"/>
      <c r="E52" s="90"/>
      <c r="F52" s="90"/>
      <c r="G52" s="91"/>
      <c r="H52" s="144"/>
      <c r="I52" s="90"/>
      <c r="J52" s="90"/>
      <c r="K52" s="91"/>
      <c r="L52" s="144"/>
      <c r="M52" s="90"/>
      <c r="N52" s="90"/>
      <c r="O52" s="91"/>
      <c r="P52" s="144"/>
      <c r="Q52" s="90"/>
      <c r="R52" s="90"/>
      <c r="S52" s="91"/>
      <c r="T52" s="144"/>
      <c r="U52" s="90"/>
      <c r="V52" s="90"/>
      <c r="W52" s="91"/>
      <c r="X52" s="144"/>
      <c r="Y52" s="90"/>
      <c r="Z52" s="90"/>
      <c r="AA52" s="91"/>
      <c r="AB52" s="144"/>
      <c r="AC52" s="90"/>
      <c r="AD52" s="90"/>
      <c r="AE52" s="91"/>
      <c r="AF52" s="144"/>
      <c r="AG52" s="90"/>
      <c r="AH52" s="90"/>
      <c r="AI52" s="91"/>
      <c r="AJ52" s="144"/>
      <c r="AK52" s="90"/>
      <c r="AL52" s="90"/>
      <c r="AM52" s="91"/>
      <c r="AN52" s="515">
        <f t="shared" ref="AN52:BN52" si="222">AN50/AJ50-1</f>
        <v>0.35811652606483979</v>
      </c>
      <c r="AO52" s="429">
        <f t="shared" si="222"/>
        <v>0.24884074442015436</v>
      </c>
      <c r="AP52" s="429">
        <f t="shared" si="222"/>
        <v>0.15885299288170418</v>
      </c>
      <c r="AQ52" s="367">
        <f t="shared" si="222"/>
        <v>-1.0147479287474392E-2</v>
      </c>
      <c r="AR52" s="515">
        <f t="shared" si="222"/>
        <v>-3.4514212129286848E-2</v>
      </c>
      <c r="AS52" s="429">
        <f t="shared" si="222"/>
        <v>-0.19706470923771202</v>
      </c>
      <c r="AT52" s="429">
        <f t="shared" si="222"/>
        <v>-0.2088608675069783</v>
      </c>
      <c r="AU52" s="367">
        <f t="shared" si="222"/>
        <v>3.2641303748504047E-2</v>
      </c>
      <c r="AV52" s="515">
        <f t="shared" si="222"/>
        <v>0.10799837130739198</v>
      </c>
      <c r="AW52" s="429">
        <f t="shared" si="222"/>
        <v>0.42788220251296893</v>
      </c>
      <c r="AX52" s="429">
        <f t="shared" si="222"/>
        <v>0.37403111282993207</v>
      </c>
      <c r="AY52" s="367">
        <f t="shared" si="222"/>
        <v>0.10257727716521003</v>
      </c>
      <c r="AZ52" s="515">
        <f t="shared" si="222"/>
        <v>-8.7586655786407341E-2</v>
      </c>
      <c r="BA52" s="429">
        <f t="shared" si="222"/>
        <v>-0.12619614959730752</v>
      </c>
      <c r="BB52" s="429">
        <f t="shared" si="222"/>
        <v>-7.2123674914126079E-2</v>
      </c>
      <c r="BC52" s="367">
        <f t="shared" si="222"/>
        <v>-8.0804427723553118E-3</v>
      </c>
      <c r="BD52" s="515">
        <f t="shared" si="222"/>
        <v>0.14003223186598701</v>
      </c>
      <c r="BE52" s="429">
        <f t="shared" si="222"/>
        <v>-1.8873840297555677E-2</v>
      </c>
      <c r="BF52" s="429">
        <f t="shared" si="222"/>
        <v>-8.0872809005554824E-2</v>
      </c>
      <c r="BG52" s="367">
        <f t="shared" si="222"/>
        <v>-0.21373850027152386</v>
      </c>
      <c r="BH52" s="515">
        <f t="shared" si="222"/>
        <v>-0.36940961069357681</v>
      </c>
      <c r="BI52" s="429">
        <f t="shared" si="222"/>
        <v>-0.10869213891949481</v>
      </c>
      <c r="BJ52" s="429">
        <f t="shared" si="222"/>
        <v>4.4700139844848996E-2</v>
      </c>
      <c r="BK52" s="429">
        <f t="shared" si="222"/>
        <v>0.28008751357875505</v>
      </c>
      <c r="BL52" s="515">
        <f t="shared" si="222"/>
        <v>0.77049401227929959</v>
      </c>
      <c r="BM52" s="429">
        <f t="shared" si="222"/>
        <v>0.4061573957044371</v>
      </c>
      <c r="BN52" s="429">
        <f t="shared" si="222"/>
        <v>0.33767098110835181</v>
      </c>
      <c r="BO52" s="1347">
        <f t="shared" ref="BO52" si="223">BO50/BK50-1</f>
        <v>1.0250875914834694</v>
      </c>
      <c r="BP52" s="1351">
        <f t="shared" ref="BP52:BW52" si="224">BP50/BL50-1</f>
        <v>0.83180500480070463</v>
      </c>
      <c r="BQ52" s="1347">
        <f t="shared" si="224"/>
        <v>0.76275864056046716</v>
      </c>
      <c r="BR52" s="1347">
        <f t="shared" si="224"/>
        <v>0.63781115179908388</v>
      </c>
      <c r="BS52" s="1348">
        <f t="shared" si="224"/>
        <v>0</v>
      </c>
      <c r="BT52" s="1347">
        <f t="shared" si="224"/>
        <v>0</v>
      </c>
      <c r="BU52" s="1347">
        <f t="shared" si="224"/>
        <v>0</v>
      </c>
      <c r="BV52" s="1347">
        <f t="shared" si="224"/>
        <v>0</v>
      </c>
      <c r="BW52" s="1348">
        <f t="shared" si="224"/>
        <v>0</v>
      </c>
      <c r="BX52" s="20"/>
      <c r="BY52" s="429"/>
      <c r="BZ52" s="429"/>
      <c r="CA52" s="429"/>
      <c r="CB52" s="429"/>
      <c r="CC52" s="429"/>
      <c r="CD52" s="369"/>
      <c r="CE52" s="369"/>
      <c r="CF52" s="369"/>
      <c r="CG52" s="369"/>
      <c r="CH52" s="369">
        <f t="shared" ref="CH52:CP52" si="225">CH50/CG50-1</f>
        <v>0.17412401829490509</v>
      </c>
      <c r="CI52" s="369">
        <f t="shared" si="225"/>
        <v>-0.10531891066759869</v>
      </c>
      <c r="CJ52" s="1054">
        <f t="shared" si="225"/>
        <v>0.2411095201297917</v>
      </c>
      <c r="CK52" s="369">
        <f t="shared" si="225"/>
        <v>-7.4188601459876935E-2</v>
      </c>
      <c r="CL52" s="369">
        <f t="shared" si="225"/>
        <v>-4.9538921930753155E-2</v>
      </c>
      <c r="CM52" s="369">
        <f t="shared" si="225"/>
        <v>-5.7955912267825926E-2</v>
      </c>
      <c r="CN52" s="369">
        <f t="shared" si="225"/>
        <v>0.63883178435811816</v>
      </c>
      <c r="CO52" s="369">
        <f t="shared" si="225"/>
        <v>0.46855101115918685</v>
      </c>
      <c r="CP52" s="368">
        <f t="shared" si="225"/>
        <v>0</v>
      </c>
      <c r="CQ52" s="22"/>
      <c r="CR52" s="232"/>
      <c r="CS52" s="22"/>
      <c r="CT52" s="14"/>
      <c r="CU52" s="14"/>
      <c r="CV52" s="14"/>
      <c r="CW52" s="14"/>
      <c r="CX52" s="14"/>
      <c r="CY52" s="14"/>
      <c r="CZ52" s="14"/>
      <c r="DA52" s="22"/>
      <c r="DB52" s="14"/>
      <c r="DC52" s="22"/>
      <c r="DD52" s="14"/>
      <c r="DE52" s="14"/>
      <c r="DF52" s="14"/>
      <c r="DG52" s="14"/>
      <c r="DH52" s="232"/>
    </row>
    <row r="53" spans="1:112" ht="14.25" customHeight="1">
      <c r="A53" s="472"/>
      <c r="B53" s="34" t="s">
        <v>126</v>
      </c>
      <c r="C53" s="239"/>
      <c r="D53" s="144"/>
      <c r="E53" s="90"/>
      <c r="F53" s="90"/>
      <c r="G53" s="91"/>
      <c r="H53" s="144"/>
      <c r="I53" s="90"/>
      <c r="J53" s="90"/>
      <c r="K53" s="91"/>
      <c r="L53" s="144"/>
      <c r="M53" s="90"/>
      <c r="N53" s="90"/>
      <c r="O53" s="91"/>
      <c r="P53" s="144"/>
      <c r="Q53" s="90"/>
      <c r="R53" s="90"/>
      <c r="S53" s="91"/>
      <c r="T53" s="144"/>
      <c r="U53" s="90"/>
      <c r="V53" s="90"/>
      <c r="W53" s="91"/>
      <c r="X53" s="144"/>
      <c r="Y53" s="90"/>
      <c r="Z53" s="90"/>
      <c r="AA53" s="91"/>
      <c r="AB53" s="144"/>
      <c r="AC53" s="90"/>
      <c r="AD53" s="90"/>
      <c r="AE53" s="91"/>
      <c r="AF53" s="144"/>
      <c r="AG53" s="90"/>
      <c r="AH53" s="90"/>
      <c r="AI53" s="91"/>
      <c r="AJ53" s="144">
        <f t="shared" ref="AJ53:AT53" si="226">AJ50/AJ44</f>
        <v>0.58086944347217362</v>
      </c>
      <c r="AK53" s="90">
        <f t="shared" si="226"/>
        <v>0.58860075705455028</v>
      </c>
      <c r="AL53" s="90">
        <f t="shared" si="226"/>
        <v>0.58831669494105887</v>
      </c>
      <c r="AM53" s="91">
        <f t="shared" si="226"/>
        <v>0.59368396120899469</v>
      </c>
      <c r="AN53" s="515">
        <f t="shared" si="226"/>
        <v>0.5867660684579995</v>
      </c>
      <c r="AO53" s="429">
        <f t="shared" si="226"/>
        <v>0.5775156928027434</v>
      </c>
      <c r="AP53" s="429">
        <f t="shared" si="226"/>
        <v>0.56352610920050084</v>
      </c>
      <c r="AQ53" s="367">
        <f t="shared" si="226"/>
        <v>0.5619616949582632</v>
      </c>
      <c r="AR53" s="429">
        <f t="shared" si="226"/>
        <v>0.57670943447664813</v>
      </c>
      <c r="AS53" s="429">
        <f t="shared" si="226"/>
        <v>0.50664235138195346</v>
      </c>
      <c r="AT53" s="429">
        <f t="shared" si="226"/>
        <v>0.48174364915502338</v>
      </c>
      <c r="AU53" s="367">
        <f t="shared" ref="AU53:AZ53" si="227">AU50/AU44</f>
        <v>0.55963970246397043</v>
      </c>
      <c r="AV53" s="429">
        <f t="shared" si="227"/>
        <v>0.57600259291270506</v>
      </c>
      <c r="AW53" s="429">
        <f t="shared" si="227"/>
        <v>0.58632266288319324</v>
      </c>
      <c r="AX53" s="429">
        <f t="shared" si="227"/>
        <v>0.58606965174129355</v>
      </c>
      <c r="AY53" s="367">
        <f t="shared" si="227"/>
        <v>0.58900816462213301</v>
      </c>
      <c r="AZ53" s="515">
        <f t="shared" si="227"/>
        <v>0.57965343978880357</v>
      </c>
      <c r="BA53" s="429">
        <f t="shared" ref="BA53:BF53" si="228">BA50/BA44</f>
        <v>0.56279333699432565</v>
      </c>
      <c r="BB53" s="429">
        <f t="shared" si="228"/>
        <v>0.57112405666622534</v>
      </c>
      <c r="BC53" s="367">
        <f t="shared" si="228"/>
        <v>0.57315789473684209</v>
      </c>
      <c r="BD53" s="515">
        <f t="shared" si="228"/>
        <v>0.57857517318854146</v>
      </c>
      <c r="BE53" s="429">
        <f t="shared" si="228"/>
        <v>0.53789097408400344</v>
      </c>
      <c r="BF53" s="429">
        <f t="shared" si="228"/>
        <v>0.53027374355314105</v>
      </c>
      <c r="BG53" s="367">
        <f>BG50/BG44</f>
        <v>0.53256819565194446</v>
      </c>
      <c r="BH53" s="515">
        <f>BH50/BH44</f>
        <v>0.41290382204697157</v>
      </c>
      <c r="BI53" s="429">
        <f t="shared" ref="BI53:BJ53" si="229">BI50/BI44</f>
        <v>0.46990679018350157</v>
      </c>
      <c r="BJ53" s="429">
        <f t="shared" si="229"/>
        <v>0.5279912209326737</v>
      </c>
      <c r="BK53" s="429">
        <f t="shared" ref="BK53" si="230">BK50/BK44</f>
        <v>0.59028034732669665</v>
      </c>
      <c r="BL53" s="515">
        <f>BL50/BL44</f>
        <v>0.60118748206278716</v>
      </c>
      <c r="BM53" s="429">
        <f t="shared" ref="BM53:BN53" si="231">BM50/BM44</f>
        <v>0.60672891766842307</v>
      </c>
      <c r="BN53" s="429">
        <f t="shared" si="231"/>
        <v>0.61057100441740897</v>
      </c>
      <c r="BO53" s="1490">
        <v>1</v>
      </c>
      <c r="BP53" s="954">
        <v>1</v>
      </c>
      <c r="BQ53" s="1490">
        <v>1</v>
      </c>
      <c r="BR53" s="1490">
        <v>1</v>
      </c>
      <c r="BS53" s="1350">
        <v>1</v>
      </c>
      <c r="BT53" s="1426">
        <v>1</v>
      </c>
      <c r="BU53" s="1426">
        <v>1</v>
      </c>
      <c r="BV53" s="1426">
        <v>1</v>
      </c>
      <c r="BW53" s="1426">
        <v>1</v>
      </c>
      <c r="BX53" s="20"/>
      <c r="BY53" s="369"/>
      <c r="BZ53" s="369"/>
      <c r="CA53" s="369"/>
      <c r="CB53" s="369"/>
      <c r="CC53" s="369"/>
      <c r="CD53" s="369"/>
      <c r="CE53" s="369"/>
      <c r="CF53" s="369"/>
      <c r="CG53" s="369">
        <f t="shared" ref="CG53:CL53" si="232">CG50/CG44</f>
        <v>0.58831571161730012</v>
      </c>
      <c r="CH53" s="369">
        <f t="shared" si="232"/>
        <v>0.57219313698129026</v>
      </c>
      <c r="CI53" s="369">
        <f t="shared" si="232"/>
        <v>0.53122523481751516</v>
      </c>
      <c r="CJ53" s="1054">
        <f t="shared" si="232"/>
        <v>0.58446044961376664</v>
      </c>
      <c r="CK53" s="369">
        <f t="shared" si="232"/>
        <v>0.57150066034454206</v>
      </c>
      <c r="CL53" s="369">
        <f t="shared" si="232"/>
        <v>0.54538781153728588</v>
      </c>
      <c r="CM53" s="369">
        <f>CM50/CM44</f>
        <v>0.50267592152352902</v>
      </c>
      <c r="CN53" s="369">
        <f>CN50/CN44</f>
        <v>0.70875226982611572</v>
      </c>
      <c r="CO53" s="369">
        <f>CO50/CO44</f>
        <v>1</v>
      </c>
      <c r="CP53" s="368">
        <f>CP50/CP44</f>
        <v>1</v>
      </c>
      <c r="CQ53" s="22"/>
      <c r="CR53" s="232"/>
      <c r="CS53" s="22"/>
      <c r="CT53" s="14"/>
      <c r="CU53" s="14"/>
      <c r="CV53" s="14"/>
      <c r="CW53" s="14"/>
      <c r="CX53" s="14"/>
      <c r="CY53" s="14"/>
      <c r="CZ53" s="14"/>
      <c r="DA53" s="22"/>
      <c r="DB53" s="14"/>
      <c r="DC53" s="22"/>
      <c r="DD53" s="14"/>
      <c r="DE53" s="14"/>
      <c r="DF53" s="14"/>
      <c r="DG53" s="14"/>
      <c r="DH53" s="232"/>
    </row>
    <row r="54" spans="1:112" ht="14.25" customHeight="1">
      <c r="A54" s="472"/>
      <c r="B54" s="328"/>
      <c r="C54" s="260"/>
      <c r="D54" s="241"/>
      <c r="E54" s="241"/>
      <c r="F54" s="241"/>
      <c r="G54" s="242"/>
      <c r="H54" s="241"/>
      <c r="I54" s="241"/>
      <c r="J54" s="241"/>
      <c r="K54" s="242"/>
      <c r="L54" s="241"/>
      <c r="M54" s="241"/>
      <c r="N54" s="241"/>
      <c r="O54" s="242"/>
      <c r="P54" s="241"/>
      <c r="Q54" s="241"/>
      <c r="R54" s="241"/>
      <c r="S54" s="242"/>
      <c r="T54" s="241"/>
      <c r="U54" s="241"/>
      <c r="V54" s="241"/>
      <c r="W54" s="242"/>
      <c r="X54" s="241"/>
      <c r="Y54" s="241"/>
      <c r="Z54" s="241"/>
      <c r="AA54" s="242"/>
      <c r="AB54" s="241"/>
      <c r="AC54" s="241"/>
      <c r="AD54" s="241"/>
      <c r="AE54" s="242"/>
      <c r="AF54" s="241"/>
      <c r="AG54" s="241"/>
      <c r="AH54" s="241"/>
      <c r="AI54" s="242"/>
      <c r="AJ54" s="241"/>
      <c r="AK54" s="241"/>
      <c r="AL54" s="241"/>
      <c r="AM54" s="242"/>
      <c r="AN54" s="241"/>
      <c r="AO54" s="241"/>
      <c r="AP54" s="241"/>
      <c r="AQ54" s="322"/>
      <c r="AR54" s="72"/>
      <c r="AS54" s="321"/>
      <c r="AT54" s="321"/>
      <c r="AU54" s="322"/>
      <c r="AV54" s="72"/>
      <c r="AW54" s="321"/>
      <c r="AX54" s="72"/>
      <c r="AY54" s="322"/>
      <c r="AZ54" s="62"/>
      <c r="BA54" s="72"/>
      <c r="BB54" s="72"/>
      <c r="BC54" s="63"/>
      <c r="BD54" s="72"/>
      <c r="BE54" s="72"/>
      <c r="BF54" s="72"/>
      <c r="BG54" s="63"/>
      <c r="BH54" s="62"/>
      <c r="BI54" s="72"/>
      <c r="BJ54" s="72"/>
      <c r="BK54" s="72"/>
      <c r="BL54" s="62"/>
      <c r="BM54" s="72"/>
      <c r="BN54" s="72"/>
      <c r="BO54" s="72"/>
      <c r="BP54" s="62"/>
      <c r="BQ54" s="72"/>
      <c r="BR54" s="72"/>
      <c r="BS54" s="63"/>
      <c r="BT54" s="72"/>
      <c r="BU54" s="72"/>
      <c r="BV54" s="72"/>
      <c r="BW54" s="63"/>
      <c r="BX54" s="20"/>
      <c r="BY54" s="223"/>
      <c r="BZ54" s="223"/>
      <c r="CA54" s="223"/>
      <c r="CB54" s="223"/>
      <c r="CC54" s="223"/>
      <c r="CD54" s="223"/>
      <c r="CE54" s="223"/>
      <c r="CF54" s="223"/>
      <c r="CG54" s="223"/>
      <c r="CH54" s="223"/>
      <c r="CI54" s="223"/>
      <c r="CJ54" s="15"/>
      <c r="CK54" s="223"/>
      <c r="CL54" s="223"/>
      <c r="CM54" s="223"/>
      <c r="CN54" s="223"/>
      <c r="CO54" s="223"/>
      <c r="CP54" s="16"/>
      <c r="CQ54" s="22"/>
      <c r="CR54" s="232"/>
      <c r="CS54" s="15"/>
      <c r="CT54" s="223"/>
      <c r="CU54" s="223"/>
      <c r="CV54" s="223"/>
      <c r="CW54" s="223"/>
      <c r="CX54" s="223"/>
      <c r="CY54" s="223"/>
      <c r="CZ54" s="223"/>
      <c r="DA54" s="15"/>
      <c r="DB54" s="223"/>
      <c r="DC54" s="15"/>
      <c r="DD54" s="223"/>
      <c r="DE54" s="223"/>
      <c r="DF54" s="223"/>
      <c r="DG54" s="223"/>
      <c r="DH54" s="16"/>
    </row>
    <row r="55" spans="1:112" ht="14.25" customHeight="1">
      <c r="A55" s="785"/>
      <c r="B55" s="181" t="s">
        <v>539</v>
      </c>
      <c r="C55" s="1157"/>
      <c r="D55" s="1158">
        <f t="shared" ref="D55:S55" si="233">D$114</f>
        <v>0</v>
      </c>
      <c r="E55" s="789">
        <f t="shared" si="233"/>
        <v>0</v>
      </c>
      <c r="F55" s="789">
        <f t="shared" si="233"/>
        <v>0</v>
      </c>
      <c r="G55" s="1159">
        <f t="shared" si="233"/>
        <v>0</v>
      </c>
      <c r="H55" s="1158">
        <f t="shared" si="233"/>
        <v>0</v>
      </c>
      <c r="I55" s="789">
        <f t="shared" si="233"/>
        <v>0</v>
      </c>
      <c r="J55" s="789">
        <f t="shared" si="233"/>
        <v>0</v>
      </c>
      <c r="K55" s="1159">
        <f t="shared" si="233"/>
        <v>0</v>
      </c>
      <c r="L55" s="1158">
        <f t="shared" si="233"/>
        <v>0</v>
      </c>
      <c r="M55" s="789">
        <f t="shared" si="233"/>
        <v>0</v>
      </c>
      <c r="N55" s="789">
        <f t="shared" si="233"/>
        <v>0</v>
      </c>
      <c r="O55" s="1159">
        <f t="shared" si="233"/>
        <v>0</v>
      </c>
      <c r="P55" s="1158">
        <f t="shared" si="233"/>
        <v>0</v>
      </c>
      <c r="Q55" s="789">
        <f t="shared" si="233"/>
        <v>0</v>
      </c>
      <c r="R55" s="789">
        <f t="shared" si="233"/>
        <v>0</v>
      </c>
      <c r="S55" s="1159">
        <f t="shared" si="233"/>
        <v>0</v>
      </c>
      <c r="T55" s="1158">
        <f t="shared" ref="T55:BN55" si="234">T$114</f>
        <v>0</v>
      </c>
      <c r="U55" s="789">
        <f t="shared" si="234"/>
        <v>0</v>
      </c>
      <c r="V55" s="789">
        <f t="shared" si="234"/>
        <v>0</v>
      </c>
      <c r="W55" s="1159">
        <f t="shared" si="234"/>
        <v>0</v>
      </c>
      <c r="X55" s="1158">
        <f t="shared" si="234"/>
        <v>0</v>
      </c>
      <c r="Y55" s="789">
        <f t="shared" si="234"/>
        <v>0</v>
      </c>
      <c r="Z55" s="789">
        <f t="shared" si="234"/>
        <v>0</v>
      </c>
      <c r="AA55" s="1159">
        <f t="shared" si="234"/>
        <v>0</v>
      </c>
      <c r="AB55" s="1158">
        <f t="shared" si="234"/>
        <v>0</v>
      </c>
      <c r="AC55" s="789">
        <f t="shared" si="234"/>
        <v>0</v>
      </c>
      <c r="AD55" s="789">
        <f t="shared" si="234"/>
        <v>0</v>
      </c>
      <c r="AE55" s="1159">
        <f t="shared" si="234"/>
        <v>0</v>
      </c>
      <c r="AF55" s="1158">
        <f t="shared" si="234"/>
        <v>0</v>
      </c>
      <c r="AG55" s="789">
        <f t="shared" si="234"/>
        <v>0</v>
      </c>
      <c r="AH55" s="789">
        <f t="shared" si="234"/>
        <v>0</v>
      </c>
      <c r="AI55" s="1159">
        <f t="shared" si="234"/>
        <v>0</v>
      </c>
      <c r="AJ55" s="1158">
        <f t="shared" si="234"/>
        <v>0</v>
      </c>
      <c r="AK55" s="789">
        <f t="shared" si="234"/>
        <v>0</v>
      </c>
      <c r="AL55" s="789">
        <f t="shared" si="234"/>
        <v>0</v>
      </c>
      <c r="AM55" s="1159">
        <f t="shared" si="234"/>
        <v>1.9870000000000001</v>
      </c>
      <c r="AN55" s="1158">
        <f t="shared" si="234"/>
        <v>4.3879999999999999</v>
      </c>
      <c r="AO55" s="789">
        <f t="shared" si="234"/>
        <v>4.6760000000000002</v>
      </c>
      <c r="AP55" s="789">
        <f t="shared" si="234"/>
        <v>4.4649999999999999</v>
      </c>
      <c r="AQ55" s="1159">
        <f t="shared" si="234"/>
        <v>3.754999999999999</v>
      </c>
      <c r="AR55" s="1158">
        <f t="shared" si="234"/>
        <v>3.6080000000000001</v>
      </c>
      <c r="AS55" s="789">
        <f t="shared" si="234"/>
        <v>3.2229999999999999</v>
      </c>
      <c r="AT55" s="789">
        <f t="shared" si="234"/>
        <v>2.895</v>
      </c>
      <c r="AU55" s="1159">
        <f t="shared" si="234"/>
        <v>2.2999999999999998</v>
      </c>
      <c r="AV55" s="1158">
        <f t="shared" si="234"/>
        <v>2.8</v>
      </c>
      <c r="AW55" s="789">
        <f t="shared" si="234"/>
        <v>3.3919999999999999</v>
      </c>
      <c r="AX55" s="789">
        <f t="shared" si="234"/>
        <v>3.6</v>
      </c>
      <c r="AY55" s="1159">
        <f t="shared" si="234"/>
        <v>3.1470000000000011</v>
      </c>
      <c r="AZ55" s="1158">
        <f t="shared" si="234"/>
        <v>5.9</v>
      </c>
      <c r="BA55" s="789">
        <f t="shared" si="234"/>
        <v>6.8</v>
      </c>
      <c r="BB55" s="789">
        <f t="shared" si="234"/>
        <v>8.6539999999999999</v>
      </c>
      <c r="BC55" s="1159">
        <f t="shared" si="234"/>
        <v>9.1999999999999993</v>
      </c>
      <c r="BD55" s="1158">
        <f t="shared" si="234"/>
        <v>3.7</v>
      </c>
      <c r="BE55" s="789">
        <f t="shared" si="234"/>
        <v>6.5</v>
      </c>
      <c r="BF55" s="789">
        <f t="shared" si="234"/>
        <v>6.9580000000000002</v>
      </c>
      <c r="BG55" s="1159">
        <f t="shared" si="234"/>
        <v>9.1549999999999994</v>
      </c>
      <c r="BH55" s="1158">
        <f t="shared" si="234"/>
        <v>22.951000000000001</v>
      </c>
      <c r="BI55" s="789">
        <f t="shared" si="234"/>
        <v>24.274000000000001</v>
      </c>
      <c r="BJ55" s="789">
        <f t="shared" si="234"/>
        <v>26.739000000000001</v>
      </c>
      <c r="BK55" s="789">
        <f t="shared" si="234"/>
        <v>23.167000000000002</v>
      </c>
      <c r="BL55" s="1158">
        <f t="shared" si="234"/>
        <v>23.058</v>
      </c>
      <c r="BM55" s="789">
        <f t="shared" si="234"/>
        <v>29.831</v>
      </c>
      <c r="BN55" s="789">
        <f t="shared" si="234"/>
        <v>26.053999999999998</v>
      </c>
      <c r="BO55" s="447">
        <f t="shared" ref="BO55" si="235">BN55*(1+BO56)</f>
        <v>26.053999999999998</v>
      </c>
      <c r="BP55" s="1014">
        <f t="shared" ref="BP55:BW55" si="236">BO55*(1+BP56)</f>
        <v>26.053999999999998</v>
      </c>
      <c r="BQ55" s="447">
        <f t="shared" si="236"/>
        <v>26.053999999999998</v>
      </c>
      <c r="BR55" s="447">
        <f t="shared" si="236"/>
        <v>26.053999999999998</v>
      </c>
      <c r="BS55" s="880">
        <f t="shared" si="236"/>
        <v>26.053999999999998</v>
      </c>
      <c r="BT55" s="447">
        <f t="shared" si="236"/>
        <v>26.053999999999998</v>
      </c>
      <c r="BU55" s="447">
        <f t="shared" si="236"/>
        <v>26.053999999999998</v>
      </c>
      <c r="BV55" s="447">
        <f t="shared" si="236"/>
        <v>26.053999999999998</v>
      </c>
      <c r="BW55" s="880">
        <f t="shared" si="236"/>
        <v>26.053999999999998</v>
      </c>
      <c r="BX55" s="312"/>
      <c r="BY55" s="362">
        <f>SUM(D55:G55)</f>
        <v>0</v>
      </c>
      <c r="BZ55" s="362">
        <f>SUM(H55:K55)</f>
        <v>0</v>
      </c>
      <c r="CA55" s="362">
        <f>SUM(L55:O55)</f>
        <v>0</v>
      </c>
      <c r="CB55" s="362">
        <f>SUM(P55:S55)</f>
        <v>0</v>
      </c>
      <c r="CC55" s="362">
        <f>SUM(T55:W55)</f>
        <v>0</v>
      </c>
      <c r="CD55" s="362">
        <f>SUM(X55:AA55)</f>
        <v>0</v>
      </c>
      <c r="CE55" s="362">
        <f>SUM(AB55:AE55)</f>
        <v>0</v>
      </c>
      <c r="CF55" s="362">
        <f>SUM(AF55:AI55)</f>
        <v>0</v>
      </c>
      <c r="CG55" s="362">
        <f>SUM(AJ55:AM55)</f>
        <v>1.9870000000000001</v>
      </c>
      <c r="CH55" s="362">
        <f>SUM(AN55:AQ55)</f>
        <v>17.283999999999999</v>
      </c>
      <c r="CI55" s="362">
        <f>SUM(AR55:AU55)</f>
        <v>12.026</v>
      </c>
      <c r="CJ55" s="366">
        <f>SUM(AV55:AY55)</f>
        <v>12.939</v>
      </c>
      <c r="CK55" s="362">
        <f>SUM(AZ55:BC55)</f>
        <v>30.553999999999998</v>
      </c>
      <c r="CL55" s="362">
        <f>SUM(BD55:BG55)</f>
        <v>26.313000000000002</v>
      </c>
      <c r="CM55" s="362">
        <f>SUM(BH55:BK55)</f>
        <v>97.131</v>
      </c>
      <c r="CN55" s="362">
        <f>SUM(BL55:BO55)</f>
        <v>104.997</v>
      </c>
      <c r="CO55" s="362">
        <f>SUM(BP55:BS55)</f>
        <v>104.21599999999999</v>
      </c>
      <c r="CP55" s="363">
        <f>SUM(BT55:BW55)</f>
        <v>104.21599999999999</v>
      </c>
      <c r="CQ55" s="467"/>
      <c r="CR55" s="471"/>
      <c r="CS55" s="366">
        <f>SUM(K55:N55)</f>
        <v>0</v>
      </c>
      <c r="CT55" s="362">
        <f>SUM(O55:R55)</f>
        <v>0</v>
      </c>
      <c r="CU55" s="362">
        <f>SUM(S55:V55)</f>
        <v>0</v>
      </c>
      <c r="CV55" s="362">
        <f>SUM(W55:Z55)</f>
        <v>0</v>
      </c>
      <c r="CW55" s="362">
        <f>SUM(AA55:AD55)</f>
        <v>0</v>
      </c>
      <c r="CX55" s="362">
        <f>SUM(AE55:AH55)</f>
        <v>0</v>
      </c>
      <c r="CY55" s="362">
        <f>SUM(AI55:AL55)</f>
        <v>0</v>
      </c>
      <c r="CZ55" s="362">
        <f>SUM(AM55:AP55)</f>
        <v>15.516</v>
      </c>
      <c r="DA55" s="366">
        <f>SUM(AQ55:AT55)</f>
        <v>13.480999999999998</v>
      </c>
      <c r="DB55" s="362">
        <f>SUM(AU55:AX55)</f>
        <v>12.091999999999999</v>
      </c>
      <c r="DC55" s="366">
        <f>SUM(AY55:BB55)</f>
        <v>24.501000000000001</v>
      </c>
      <c r="DD55" s="362">
        <f>SUM(BC55:BF55)</f>
        <v>26.357999999999997</v>
      </c>
      <c r="DE55" s="362">
        <f>SUM(BG55:BJ55)</f>
        <v>83.119</v>
      </c>
      <c r="DF55" s="362">
        <f>SUM(BK55:BN55)</f>
        <v>102.11</v>
      </c>
      <c r="DG55" s="362">
        <f>SUM(BO55:BR55)</f>
        <v>104.21599999999999</v>
      </c>
      <c r="DH55" s="363">
        <f>SUM(BS55:BV55)</f>
        <v>104.21599999999999</v>
      </c>
    </row>
    <row r="56" spans="1:112" ht="14.25" customHeight="1">
      <c r="A56" s="472"/>
      <c r="B56" s="34" t="s">
        <v>98</v>
      </c>
      <c r="C56" s="239"/>
      <c r="D56" s="144"/>
      <c r="E56" s="90"/>
      <c r="F56" s="90"/>
      <c r="G56" s="91"/>
      <c r="H56" s="144"/>
      <c r="I56" s="90"/>
      <c r="J56" s="90"/>
      <c r="K56" s="91"/>
      <c r="L56" s="144"/>
      <c r="M56" s="90"/>
      <c r="N56" s="90"/>
      <c r="O56" s="91"/>
      <c r="P56" s="144"/>
      <c r="Q56" s="90"/>
      <c r="R56" s="90"/>
      <c r="S56" s="91"/>
      <c r="T56" s="144"/>
      <c r="U56" s="90"/>
      <c r="V56" s="90"/>
      <c r="W56" s="91"/>
      <c r="X56" s="144"/>
      <c r="Y56" s="90"/>
      <c r="Z56" s="90"/>
      <c r="AA56" s="91"/>
      <c r="AB56" s="144"/>
      <c r="AC56" s="90"/>
      <c r="AD56" s="90"/>
      <c r="AE56" s="91"/>
      <c r="AF56" s="144"/>
      <c r="AG56" s="90"/>
      <c r="AH56" s="90"/>
      <c r="AI56" s="91"/>
      <c r="AJ56" s="144"/>
      <c r="AK56" s="90"/>
      <c r="AL56" s="90"/>
      <c r="AM56" s="91"/>
      <c r="AN56" s="515">
        <f t="shared" ref="AN56:BN56" si="237">AN55/AM55-1</f>
        <v>1.2083543029693002</v>
      </c>
      <c r="AO56" s="429">
        <f t="shared" si="237"/>
        <v>6.563354603464E-2</v>
      </c>
      <c r="AP56" s="429">
        <f t="shared" si="237"/>
        <v>-4.5124037639007741E-2</v>
      </c>
      <c r="AQ56" s="91">
        <f t="shared" si="237"/>
        <v>-0.15901455767077288</v>
      </c>
      <c r="AR56" s="515">
        <f t="shared" si="237"/>
        <v>-3.91478029294271E-2</v>
      </c>
      <c r="AS56" s="429">
        <f t="shared" si="237"/>
        <v>-0.10670731707317083</v>
      </c>
      <c r="AT56" s="429">
        <f t="shared" si="237"/>
        <v>-0.1017685386286068</v>
      </c>
      <c r="AU56" s="91">
        <f t="shared" si="237"/>
        <v>-0.20552677029360977</v>
      </c>
      <c r="AV56" s="515">
        <f t="shared" si="237"/>
        <v>0.21739130434782616</v>
      </c>
      <c r="AW56" s="429">
        <f t="shared" si="237"/>
        <v>0.21142857142857152</v>
      </c>
      <c r="AX56" s="429">
        <f t="shared" si="237"/>
        <v>6.1320754716981174E-2</v>
      </c>
      <c r="AY56" s="91">
        <f t="shared" si="237"/>
        <v>-0.12583333333333302</v>
      </c>
      <c r="AZ56" s="515">
        <f t="shared" si="237"/>
        <v>0.87480139815697444</v>
      </c>
      <c r="BA56" s="429">
        <f t="shared" si="237"/>
        <v>0.15254237288135575</v>
      </c>
      <c r="BB56" s="429">
        <f t="shared" si="237"/>
        <v>0.27264705882352946</v>
      </c>
      <c r="BC56" s="367">
        <f t="shared" si="237"/>
        <v>6.3092211694014244E-2</v>
      </c>
      <c r="BD56" s="515">
        <f t="shared" si="237"/>
        <v>-0.59782608695652173</v>
      </c>
      <c r="BE56" s="429">
        <f t="shared" si="237"/>
        <v>0.75675675675675658</v>
      </c>
      <c r="BF56" s="429">
        <f t="shared" si="237"/>
        <v>7.0461538461538575E-2</v>
      </c>
      <c r="BG56" s="367">
        <f t="shared" si="237"/>
        <v>0.31575165277378536</v>
      </c>
      <c r="BH56" s="515">
        <f t="shared" si="237"/>
        <v>1.5069361004915347</v>
      </c>
      <c r="BI56" s="429">
        <f t="shared" si="237"/>
        <v>5.7644547078558706E-2</v>
      </c>
      <c r="BJ56" s="429">
        <f t="shared" si="237"/>
        <v>0.10154898245035837</v>
      </c>
      <c r="BK56" s="429">
        <f t="shared" si="237"/>
        <v>-0.13358764351696018</v>
      </c>
      <c r="BL56" s="515">
        <f t="shared" si="237"/>
        <v>-4.7049682738378173E-3</v>
      </c>
      <c r="BM56" s="429">
        <f t="shared" si="237"/>
        <v>0.29373753144244952</v>
      </c>
      <c r="BN56" s="429">
        <f t="shared" si="237"/>
        <v>-0.12661325466796292</v>
      </c>
      <c r="BO56" s="1490">
        <v>0</v>
      </c>
      <c r="BP56" s="954">
        <v>0</v>
      </c>
      <c r="BQ56" s="1490">
        <v>0</v>
      </c>
      <c r="BR56" s="1490">
        <v>0</v>
      </c>
      <c r="BS56" s="1350">
        <v>0</v>
      </c>
      <c r="BT56" s="1426">
        <v>0</v>
      </c>
      <c r="BU56" s="1426">
        <v>0</v>
      </c>
      <c r="BV56" s="1426">
        <v>0</v>
      </c>
      <c r="BW56" s="1350">
        <v>0</v>
      </c>
      <c r="BX56" s="20"/>
      <c r="BY56" s="240"/>
      <c r="BZ56" s="240"/>
      <c r="CA56" s="240"/>
      <c r="CB56" s="240"/>
      <c r="CC56" s="240"/>
      <c r="CD56" s="240"/>
      <c r="CE56" s="240"/>
      <c r="CF56" s="240"/>
      <c r="CG56" s="240"/>
      <c r="CH56" s="240"/>
      <c r="CI56" s="240"/>
      <c r="CJ56" s="1028"/>
      <c r="CK56" s="240"/>
      <c r="CL56" s="240"/>
      <c r="CM56" s="240"/>
      <c r="CN56" s="240"/>
      <c r="CO56" s="240"/>
      <c r="CP56" s="282"/>
      <c r="CQ56" s="22"/>
      <c r="CR56" s="232"/>
      <c r="CS56" s="22"/>
      <c r="CT56" s="14"/>
      <c r="CU56" s="14"/>
      <c r="CV56" s="14"/>
      <c r="CW56" s="14"/>
      <c r="CX56" s="14"/>
      <c r="CY56" s="14"/>
      <c r="CZ56" s="14"/>
      <c r="DA56" s="22"/>
      <c r="DB56" s="14"/>
      <c r="DC56" s="22"/>
      <c r="DD56" s="14"/>
      <c r="DE56" s="14"/>
      <c r="DF56" s="14"/>
      <c r="DG56" s="14"/>
      <c r="DH56" s="232"/>
    </row>
    <row r="57" spans="1:112" ht="14.25" customHeight="1">
      <c r="A57" s="472"/>
      <c r="B57" s="34" t="s">
        <v>220</v>
      </c>
      <c r="C57" s="239"/>
      <c r="D57" s="144"/>
      <c r="E57" s="90"/>
      <c r="F57" s="90"/>
      <c r="G57" s="91"/>
      <c r="H57" s="144"/>
      <c r="I57" s="90"/>
      <c r="J57" s="90"/>
      <c r="K57" s="91"/>
      <c r="L57" s="144"/>
      <c r="M57" s="90"/>
      <c r="N57" s="90"/>
      <c r="O57" s="91"/>
      <c r="P57" s="144"/>
      <c r="Q57" s="90"/>
      <c r="R57" s="90"/>
      <c r="S57" s="91"/>
      <c r="T57" s="144"/>
      <c r="U57" s="90"/>
      <c r="V57" s="90"/>
      <c r="W57" s="91"/>
      <c r="X57" s="144"/>
      <c r="Y57" s="90"/>
      <c r="Z57" s="90"/>
      <c r="AA57" s="91"/>
      <c r="AB57" s="144"/>
      <c r="AC57" s="90"/>
      <c r="AD57" s="90"/>
      <c r="AE57" s="91"/>
      <c r="AF57" s="144"/>
      <c r="AG57" s="90"/>
      <c r="AH57" s="90"/>
      <c r="AI57" s="91"/>
      <c r="AJ57" s="144"/>
      <c r="AK57" s="90"/>
      <c r="AL57" s="90"/>
      <c r="AM57" s="91"/>
      <c r="AN57" s="515"/>
      <c r="AO57" s="429"/>
      <c r="AP57" s="429"/>
      <c r="AQ57" s="91"/>
      <c r="AR57" s="90"/>
      <c r="AS57" s="90"/>
      <c r="AT57" s="90"/>
      <c r="AU57" s="91"/>
      <c r="AV57" s="90"/>
      <c r="AW57" s="90"/>
      <c r="AX57" s="90"/>
      <c r="AY57" s="91"/>
      <c r="AZ57" s="144"/>
      <c r="BA57" s="90"/>
      <c r="BB57" s="90"/>
      <c r="BC57" s="91"/>
      <c r="BD57" s="144"/>
      <c r="BE57" s="90"/>
      <c r="BF57" s="90"/>
      <c r="BG57" s="91"/>
      <c r="BH57" s="144"/>
      <c r="BI57" s="90"/>
      <c r="BJ57" s="1347"/>
      <c r="BK57" s="1347"/>
      <c r="BL57" s="1351"/>
      <c r="BM57" s="1347"/>
      <c r="BN57" s="1347"/>
      <c r="BO57" s="1347"/>
      <c r="BP57" s="1351"/>
      <c r="BQ57" s="1347"/>
      <c r="BR57" s="1347"/>
      <c r="BS57" s="1348"/>
      <c r="BT57" s="1347"/>
      <c r="BU57" s="1347"/>
      <c r="BV57" s="1347"/>
      <c r="BW57" s="1348"/>
      <c r="BX57" s="20"/>
      <c r="BY57" s="240"/>
      <c r="BZ57" s="240"/>
      <c r="CA57" s="240"/>
      <c r="CB57" s="240"/>
      <c r="CC57" s="240"/>
      <c r="CD57" s="240"/>
      <c r="CE57" s="240"/>
      <c r="CF57" s="240"/>
      <c r="CG57" s="240"/>
      <c r="CH57" s="240"/>
      <c r="CI57" s="240"/>
      <c r="CJ57" s="1028"/>
      <c r="CK57" s="240"/>
      <c r="CL57" s="240"/>
      <c r="CM57" s="240"/>
      <c r="CN57" s="240"/>
      <c r="CO57" s="240"/>
      <c r="CP57" s="282"/>
      <c r="CQ57" s="22"/>
      <c r="CR57" s="232"/>
      <c r="CS57" s="22"/>
      <c r="CT57" s="14"/>
      <c r="CU57" s="14"/>
      <c r="CV57" s="14"/>
      <c r="CW57" s="14"/>
      <c r="CX57" s="14"/>
      <c r="CY57" s="14"/>
      <c r="CZ57" s="14"/>
      <c r="DA57" s="22"/>
      <c r="DB57" s="14"/>
      <c r="DC57" s="22"/>
      <c r="DD57" s="14"/>
      <c r="DE57" s="14"/>
      <c r="DF57" s="14"/>
      <c r="DG57" s="14"/>
      <c r="DH57" s="232"/>
    </row>
    <row r="58" spans="1:112" ht="14.25" customHeight="1">
      <c r="A58" s="790"/>
      <c r="B58" s="791" t="s">
        <v>99</v>
      </c>
      <c r="C58" s="792"/>
      <c r="D58" s="515"/>
      <c r="E58" s="429"/>
      <c r="F58" s="429"/>
      <c r="G58" s="367"/>
      <c r="H58" s="515"/>
      <c r="I58" s="429"/>
      <c r="J58" s="429"/>
      <c r="K58" s="367"/>
      <c r="L58" s="515"/>
      <c r="M58" s="429"/>
      <c r="N58" s="429"/>
      <c r="O58" s="367"/>
      <c r="P58" s="515"/>
      <c r="Q58" s="429"/>
      <c r="R58" s="429"/>
      <c r="S58" s="367"/>
      <c r="T58" s="515"/>
      <c r="U58" s="429"/>
      <c r="V58" s="429"/>
      <c r="W58" s="367"/>
      <c r="X58" s="515"/>
      <c r="Y58" s="429"/>
      <c r="Z58" s="429"/>
      <c r="AA58" s="367"/>
      <c r="AB58" s="515"/>
      <c r="AC58" s="429"/>
      <c r="AD58" s="429"/>
      <c r="AE58" s="367"/>
      <c r="AF58" s="515"/>
      <c r="AG58" s="429"/>
      <c r="AH58" s="429"/>
      <c r="AI58" s="367"/>
      <c r="AJ58" s="515"/>
      <c r="AK58" s="429"/>
      <c r="AL58" s="429"/>
      <c r="AM58" s="367"/>
      <c r="AN58" s="515"/>
      <c r="AO58" s="429"/>
      <c r="AP58" s="429"/>
      <c r="AQ58" s="367">
        <f t="shared" ref="AQ58:BN58" si="238">AQ55/AM55-1</f>
        <v>0.88978359335681878</v>
      </c>
      <c r="AR58" s="515">
        <f t="shared" si="238"/>
        <v>-0.1777575205104831</v>
      </c>
      <c r="AS58" s="429">
        <f t="shared" si="238"/>
        <v>-0.31073567151411463</v>
      </c>
      <c r="AT58" s="429">
        <f t="shared" si="238"/>
        <v>-0.35162374020156772</v>
      </c>
      <c r="AU58" s="367">
        <f t="shared" si="238"/>
        <v>-0.38748335552596525</v>
      </c>
      <c r="AV58" s="515">
        <f t="shared" si="238"/>
        <v>-0.22394678492239473</v>
      </c>
      <c r="AW58" s="429">
        <f t="shared" si="238"/>
        <v>5.2435618988520005E-2</v>
      </c>
      <c r="AX58" s="429">
        <f t="shared" si="238"/>
        <v>0.24352331606217614</v>
      </c>
      <c r="AY58" s="367">
        <f t="shared" si="238"/>
        <v>0.36826086956521809</v>
      </c>
      <c r="AZ58" s="515">
        <f t="shared" si="238"/>
        <v>1.1071428571428572</v>
      </c>
      <c r="BA58" s="429">
        <f t="shared" si="238"/>
        <v>1.0047169811320753</v>
      </c>
      <c r="BB58" s="429">
        <f t="shared" si="238"/>
        <v>1.403888888888889</v>
      </c>
      <c r="BC58" s="367">
        <f t="shared" si="238"/>
        <v>1.9234191293295191</v>
      </c>
      <c r="BD58" s="515">
        <f t="shared" si="238"/>
        <v>-0.3728813559322034</v>
      </c>
      <c r="BE58" s="429">
        <f t="shared" si="238"/>
        <v>-4.4117647058823484E-2</v>
      </c>
      <c r="BF58" s="429">
        <f t="shared" si="238"/>
        <v>-0.19597873815576605</v>
      </c>
      <c r="BG58" s="367">
        <f t="shared" si="238"/>
        <v>-4.891304347826031E-3</v>
      </c>
      <c r="BH58" s="515">
        <f t="shared" si="238"/>
        <v>5.2029729729729732</v>
      </c>
      <c r="BI58" s="429">
        <f t="shared" si="238"/>
        <v>2.7344615384615385</v>
      </c>
      <c r="BJ58" s="429">
        <f t="shared" si="238"/>
        <v>2.8429146306409887</v>
      </c>
      <c r="BK58" s="429">
        <f t="shared" si="238"/>
        <v>1.5305297651556531</v>
      </c>
      <c r="BL58" s="515">
        <f t="shared" si="238"/>
        <v>4.6621062263081381E-3</v>
      </c>
      <c r="BM58" s="429">
        <f t="shared" si="238"/>
        <v>0.22892807118727854</v>
      </c>
      <c r="BN58" s="429">
        <f t="shared" si="238"/>
        <v>-2.5618011144769914E-2</v>
      </c>
      <c r="BO58" s="429">
        <f t="shared" ref="BO58" si="239">BO55/BK55-1</f>
        <v>0.12461691198687785</v>
      </c>
      <c r="BP58" s="515">
        <f t="shared" ref="BP58:BW58" si="240">BP55/BL55-1</f>
        <v>0.12993321190042506</v>
      </c>
      <c r="BQ58" s="429">
        <f t="shared" si="240"/>
        <v>-0.12661325466796292</v>
      </c>
      <c r="BR58" s="429">
        <f t="shared" si="240"/>
        <v>0</v>
      </c>
      <c r="BS58" s="367">
        <f t="shared" si="240"/>
        <v>0</v>
      </c>
      <c r="BT58" s="429">
        <f t="shared" si="240"/>
        <v>0</v>
      </c>
      <c r="BU58" s="429">
        <f t="shared" si="240"/>
        <v>0</v>
      </c>
      <c r="BV58" s="429">
        <f t="shared" si="240"/>
        <v>0</v>
      </c>
      <c r="BW58" s="367">
        <f t="shared" si="240"/>
        <v>0</v>
      </c>
      <c r="BX58" s="793"/>
      <c r="BY58" s="429"/>
      <c r="BZ58" s="429"/>
      <c r="CA58" s="429"/>
      <c r="CB58" s="429"/>
      <c r="CC58" s="429"/>
      <c r="CD58" s="369"/>
      <c r="CE58" s="369"/>
      <c r="CF58" s="369"/>
      <c r="CG58" s="369"/>
      <c r="CH58" s="369">
        <f t="shared" ref="CH58:CP58" si="241">CH55/CG55-1</f>
        <v>7.6985405133366882</v>
      </c>
      <c r="CI58" s="369">
        <f t="shared" si="241"/>
        <v>-0.30421198796574866</v>
      </c>
      <c r="CJ58" s="1054">
        <f t="shared" si="241"/>
        <v>7.5918842507899598E-2</v>
      </c>
      <c r="CK58" s="369">
        <f t="shared" si="241"/>
        <v>1.3613880516268644</v>
      </c>
      <c r="CL58" s="369">
        <f t="shared" si="241"/>
        <v>-0.13880342999279949</v>
      </c>
      <c r="CM58" s="369">
        <f t="shared" si="241"/>
        <v>2.691369285144225</v>
      </c>
      <c r="CN58" s="369">
        <f t="shared" si="241"/>
        <v>8.0983414152021593E-2</v>
      </c>
      <c r="CO58" s="369">
        <f t="shared" si="241"/>
        <v>-7.4383077611741566E-3</v>
      </c>
      <c r="CP58" s="368">
        <f t="shared" si="241"/>
        <v>0</v>
      </c>
      <c r="CQ58" s="794"/>
      <c r="CR58" s="1523"/>
      <c r="CS58" s="794"/>
      <c r="CT58" s="369"/>
      <c r="CU58" s="369"/>
      <c r="CV58" s="369"/>
      <c r="CW58" s="369"/>
      <c r="CX58" s="369"/>
      <c r="CY58" s="369"/>
      <c r="CZ58" s="369"/>
      <c r="DA58" s="1054">
        <f t="shared" ref="DA58:DH58" si="242">+DA55/CZ55-1</f>
        <v>-0.13115493683939172</v>
      </c>
      <c r="DB58" s="369">
        <f t="shared" si="242"/>
        <v>-0.10303389956234699</v>
      </c>
      <c r="DC58" s="1054">
        <f t="shared" si="242"/>
        <v>1.0262156797882902</v>
      </c>
      <c r="DD58" s="369">
        <f t="shared" si="242"/>
        <v>7.5792824782661805E-2</v>
      </c>
      <c r="DE58" s="369">
        <f t="shared" si="242"/>
        <v>2.1534638439942335</v>
      </c>
      <c r="DF58" s="369">
        <f t="shared" si="242"/>
        <v>0.22847964965892276</v>
      </c>
      <c r="DG58" s="369">
        <f t="shared" si="242"/>
        <v>2.0624816374497978E-2</v>
      </c>
      <c r="DH58" s="368">
        <f t="shared" si="242"/>
        <v>0</v>
      </c>
    </row>
    <row r="59" spans="1:112" ht="14.25" customHeight="1">
      <c r="A59" s="472"/>
      <c r="B59" s="34" t="s">
        <v>100</v>
      </c>
      <c r="C59" s="239"/>
      <c r="D59" s="90">
        <f t="shared" ref="D59:O59" si="243">D55/(D66)</f>
        <v>0</v>
      </c>
      <c r="E59" s="90">
        <f t="shared" si="243"/>
        <v>0</v>
      </c>
      <c r="F59" s="90">
        <f t="shared" si="243"/>
        <v>0</v>
      </c>
      <c r="G59" s="91">
        <f t="shared" si="243"/>
        <v>0</v>
      </c>
      <c r="H59" s="90">
        <f t="shared" si="243"/>
        <v>0</v>
      </c>
      <c r="I59" s="90">
        <f t="shared" si="243"/>
        <v>0</v>
      </c>
      <c r="J59" s="90">
        <f t="shared" si="243"/>
        <v>0</v>
      </c>
      <c r="K59" s="91">
        <f t="shared" si="243"/>
        <v>0</v>
      </c>
      <c r="L59" s="90">
        <f t="shared" si="243"/>
        <v>0</v>
      </c>
      <c r="M59" s="90">
        <f t="shared" si="243"/>
        <v>0</v>
      </c>
      <c r="N59" s="90">
        <f t="shared" si="243"/>
        <v>0</v>
      </c>
      <c r="O59" s="91">
        <f t="shared" si="243"/>
        <v>0</v>
      </c>
      <c r="P59" s="90">
        <f t="shared" ref="P59:W59" si="244">P55/(P66)</f>
        <v>0</v>
      </c>
      <c r="Q59" s="90">
        <f t="shared" si="244"/>
        <v>0</v>
      </c>
      <c r="R59" s="90">
        <f t="shared" si="244"/>
        <v>0</v>
      </c>
      <c r="S59" s="91">
        <f t="shared" si="244"/>
        <v>0</v>
      </c>
      <c r="T59" s="90">
        <f t="shared" si="244"/>
        <v>0</v>
      </c>
      <c r="U59" s="90">
        <f t="shared" si="244"/>
        <v>0</v>
      </c>
      <c r="V59" s="90">
        <f t="shared" si="244"/>
        <v>0</v>
      </c>
      <c r="W59" s="91">
        <f t="shared" si="244"/>
        <v>0</v>
      </c>
      <c r="X59" s="90">
        <f t="shared" ref="X59:CK59" si="245">X55/(X66)</f>
        <v>0</v>
      </c>
      <c r="Y59" s="90">
        <f t="shared" si="245"/>
        <v>0</v>
      </c>
      <c r="Z59" s="90">
        <f t="shared" si="245"/>
        <v>0</v>
      </c>
      <c r="AA59" s="91">
        <f t="shared" si="245"/>
        <v>0</v>
      </c>
      <c r="AB59" s="90">
        <f t="shared" si="245"/>
        <v>0</v>
      </c>
      <c r="AC59" s="90">
        <f t="shared" si="245"/>
        <v>0</v>
      </c>
      <c r="AD59" s="90">
        <f t="shared" si="245"/>
        <v>0</v>
      </c>
      <c r="AE59" s="91">
        <f t="shared" si="245"/>
        <v>0</v>
      </c>
      <c r="AF59" s="90">
        <f t="shared" si="245"/>
        <v>0</v>
      </c>
      <c r="AG59" s="90">
        <f t="shared" si="245"/>
        <v>0</v>
      </c>
      <c r="AH59" s="90">
        <f t="shared" si="245"/>
        <v>0</v>
      </c>
      <c r="AI59" s="91">
        <f t="shared" si="245"/>
        <v>0</v>
      </c>
      <c r="AJ59" s="90">
        <f t="shared" si="245"/>
        <v>0</v>
      </c>
      <c r="AK59" s="90">
        <f t="shared" si="245"/>
        <v>0</v>
      </c>
      <c r="AL59" s="90">
        <f t="shared" si="245"/>
        <v>0</v>
      </c>
      <c r="AM59" s="91">
        <f t="shared" si="245"/>
        <v>5.2291537823861466E-3</v>
      </c>
      <c r="AN59" s="429">
        <f t="shared" si="245"/>
        <v>1.171673693682628E-2</v>
      </c>
      <c r="AO59" s="429">
        <f t="shared" si="245"/>
        <v>1.372863341965109E-2</v>
      </c>
      <c r="AP59" s="429">
        <f t="shared" si="245"/>
        <v>1.3564996536596631E-2</v>
      </c>
      <c r="AQ59" s="91">
        <f t="shared" si="245"/>
        <v>1.1079604970036377E-2</v>
      </c>
      <c r="AR59" s="90">
        <f t="shared" si="245"/>
        <v>1.0246099496214509E-2</v>
      </c>
      <c r="AS59" s="90">
        <f t="shared" si="245"/>
        <v>8.4086011406268747E-3</v>
      </c>
      <c r="AT59" s="90">
        <f t="shared" ref="AT59:AY59" si="246">AT55/(AT66)</f>
        <v>6.9583484558235001E-3</v>
      </c>
      <c r="AU59" s="91">
        <f t="shared" si="246"/>
        <v>5.3463505346350521E-3</v>
      </c>
      <c r="AV59" s="90">
        <f t="shared" si="246"/>
        <v>6.0501296456352627E-3</v>
      </c>
      <c r="AW59" s="90">
        <f t="shared" si="246"/>
        <v>6.8849470942965755E-3</v>
      </c>
      <c r="AX59" s="90">
        <f t="shared" si="246"/>
        <v>7.462686567164179E-3</v>
      </c>
      <c r="AY59" s="91">
        <f t="shared" si="246"/>
        <v>6.3788644121391003E-3</v>
      </c>
      <c r="AZ59" s="144">
        <f t="shared" ref="AZ59:BE59" si="247">AZ55/(AZ66)</f>
        <v>1.1157400666040087E-2</v>
      </c>
      <c r="BA59" s="90">
        <f t="shared" si="247"/>
        <v>1.2447373238147539E-2</v>
      </c>
      <c r="BB59" s="90">
        <f t="shared" si="247"/>
        <v>1.6368141325112065E-2</v>
      </c>
      <c r="BC59" s="91">
        <f t="shared" si="247"/>
        <v>1.6812865497076019E-2</v>
      </c>
      <c r="BD59" s="144">
        <f t="shared" si="247"/>
        <v>6.9275416588653813E-3</v>
      </c>
      <c r="BE59" s="90">
        <f t="shared" si="247"/>
        <v>1.161751563896336E-2</v>
      </c>
      <c r="BF59" s="90">
        <f t="shared" ref="BF59:BO59" si="248">BF55/(BF66)</f>
        <v>1.2604775612168554E-2</v>
      </c>
      <c r="BG59" s="91">
        <f>BG55/(BG66)</f>
        <v>1.6105538334875571E-2</v>
      </c>
      <c r="BH59" s="144">
        <f>BH55/(BH66)</f>
        <v>2.719319240092986E-2</v>
      </c>
      <c r="BI59" s="90">
        <f t="shared" ref="BI59:BJ59" si="249">BI55/(BI66)</f>
        <v>2.777869964009224E-2</v>
      </c>
      <c r="BJ59" s="1347">
        <f t="shared" si="249"/>
        <v>3.0344296953995008E-2</v>
      </c>
      <c r="BK59" s="1347">
        <f t="shared" ref="BK59" si="250">BK55/(BK66)</f>
        <v>2.5665085424730741E-2</v>
      </c>
      <c r="BL59" s="1351">
        <f>BL55/(BL66)</f>
        <v>2.3718781534777359E-2</v>
      </c>
      <c r="BM59" s="1347">
        <f t="shared" ref="BM59:BN59" si="251">BM55/(BM66)</f>
        <v>2.9473224527461147E-2</v>
      </c>
      <c r="BN59" s="1347">
        <f t="shared" si="251"/>
        <v>2.6204729604686155E-2</v>
      </c>
      <c r="BO59" s="1347">
        <f t="shared" si="248"/>
        <v>2.643647858369343E-2</v>
      </c>
      <c r="BP59" s="1351">
        <f t="shared" ref="BP59:BW59" si="252">BP55/(BP66)</f>
        <v>2.5317221965954258E-2</v>
      </c>
      <c r="BQ59" s="1347">
        <f t="shared" si="252"/>
        <v>2.4548523670529055E-2</v>
      </c>
      <c r="BR59" s="1347">
        <f t="shared" si="252"/>
        <v>2.505824980298944E-2</v>
      </c>
      <c r="BS59" s="1348">
        <f t="shared" si="252"/>
        <v>2.5286250811241161E-2</v>
      </c>
      <c r="BT59" s="1347">
        <f t="shared" si="252"/>
        <v>2.4317496766866772E-2</v>
      </c>
      <c r="BU59" s="1347">
        <f t="shared" si="252"/>
        <v>2.3708164899453012E-2</v>
      </c>
      <c r="BV59" s="1347">
        <f t="shared" si="252"/>
        <v>2.4056987112492895E-2</v>
      </c>
      <c r="BW59" s="1348">
        <f t="shared" si="252"/>
        <v>2.4276394924202763E-2</v>
      </c>
      <c r="BX59" s="20"/>
      <c r="BY59" s="369">
        <f>BY55/(BY66)</f>
        <v>0</v>
      </c>
      <c r="BZ59" s="369">
        <f>BZ55/(BZ66)</f>
        <v>0</v>
      </c>
      <c r="CA59" s="369">
        <f>CA55/(CA66)</f>
        <v>0</v>
      </c>
      <c r="CB59" s="369">
        <f t="shared" si="245"/>
        <v>0</v>
      </c>
      <c r="CC59" s="369">
        <f t="shared" si="245"/>
        <v>0</v>
      </c>
      <c r="CD59" s="369">
        <f t="shared" si="245"/>
        <v>0</v>
      </c>
      <c r="CE59" s="369">
        <f t="shared" si="245"/>
        <v>0</v>
      </c>
      <c r="CF59" s="369">
        <f t="shared" si="245"/>
        <v>0</v>
      </c>
      <c r="CG59" s="369">
        <f t="shared" si="245"/>
        <v>1.336063286500516E-3</v>
      </c>
      <c r="CH59" s="369">
        <f t="shared" si="245"/>
        <v>1.2495879049376218E-2</v>
      </c>
      <c r="CI59" s="369">
        <f t="shared" si="245"/>
        <v>7.6033126822825613E-3</v>
      </c>
      <c r="CJ59" s="1054">
        <f t="shared" si="245"/>
        <v>6.6999203093179053E-3</v>
      </c>
      <c r="CK59" s="369">
        <f t="shared" si="245"/>
        <v>1.4204509794714753E-2</v>
      </c>
      <c r="CL59" s="369">
        <f>CL55/(CL66)</f>
        <v>1.1884550084889643E-2</v>
      </c>
      <c r="CM59" s="369">
        <f>CM55/(CM66)</f>
        <v>2.7738352325137092E-2</v>
      </c>
      <c r="CN59" s="369">
        <f>CN55/(CN66)</f>
        <v>2.6487236722733436E-2</v>
      </c>
      <c r="CO59" s="369">
        <f>CO55/(CO66)</f>
        <v>2.5048742957261609E-2</v>
      </c>
      <c r="CP59" s="368">
        <f>CP55/(CP66)</f>
        <v>2.4087322613255965E-2</v>
      </c>
      <c r="CQ59" s="22"/>
      <c r="CR59" s="232"/>
      <c r="CS59" s="353">
        <f>CS55/CS$66</f>
        <v>0</v>
      </c>
      <c r="CT59" s="314">
        <f>CT55/CT$66</f>
        <v>0</v>
      </c>
      <c r="CU59" s="314">
        <f>CU55/CU$66</f>
        <v>0</v>
      </c>
      <c r="CV59" s="314">
        <f>CV55/CV$66</f>
        <v>0</v>
      </c>
      <c r="CW59" s="314">
        <f>CW55/CW$66</f>
        <v>0</v>
      </c>
      <c r="CX59" s="314">
        <f t="shared" ref="CX59:DC59" si="253">CX55/CX$66</f>
        <v>0</v>
      </c>
      <c r="CY59" s="314">
        <f t="shared" si="253"/>
        <v>0</v>
      </c>
      <c r="CZ59" s="314">
        <f t="shared" si="253"/>
        <v>1.0894154818325435E-2</v>
      </c>
      <c r="DA59" s="353">
        <f t="shared" si="253"/>
        <v>9.0452834492985041E-3</v>
      </c>
      <c r="DB59" s="314">
        <f t="shared" si="253"/>
        <v>6.4729943058848462E-3</v>
      </c>
      <c r="DC59" s="353">
        <f t="shared" si="253"/>
        <v>1.1682970500511404E-2</v>
      </c>
      <c r="DD59" s="314">
        <f>DD55/DD$66</f>
        <v>1.2020176823103473E-2</v>
      </c>
      <c r="DE59" s="314">
        <f>DE55/DE$66</f>
        <v>2.6241547638516438E-2</v>
      </c>
      <c r="DF59" s="314">
        <f>DF55/DF$66</f>
        <v>2.6308914215573864E-2</v>
      </c>
      <c r="DG59" s="314">
        <f>DG55/DG$66</f>
        <v>2.5321585852309404E-2</v>
      </c>
      <c r="DH59" s="315">
        <f>DH55/DH$66</f>
        <v>2.4328330699981134E-2</v>
      </c>
    </row>
    <row r="60" spans="1:112" ht="14.25" customHeight="1">
      <c r="A60" s="472"/>
      <c r="B60" s="34"/>
      <c r="C60" s="239"/>
      <c r="D60" s="90"/>
      <c r="E60" s="90"/>
      <c r="F60" s="90"/>
      <c r="G60" s="91"/>
      <c r="H60" s="90"/>
      <c r="I60" s="90"/>
      <c r="J60" s="90"/>
      <c r="K60" s="91"/>
      <c r="L60" s="90"/>
      <c r="M60" s="90"/>
      <c r="N60" s="90"/>
      <c r="O60" s="91"/>
      <c r="P60" s="90"/>
      <c r="Q60" s="90"/>
      <c r="R60" s="90"/>
      <c r="S60" s="91"/>
      <c r="T60" s="90"/>
      <c r="U60" s="90"/>
      <c r="V60" s="90"/>
      <c r="W60" s="91"/>
      <c r="X60" s="90"/>
      <c r="Y60" s="90"/>
      <c r="Z60" s="90"/>
      <c r="AA60" s="91"/>
      <c r="AB60" s="90"/>
      <c r="AC60" s="90"/>
      <c r="AD60" s="90"/>
      <c r="AE60" s="91"/>
      <c r="AF60" s="90"/>
      <c r="AG60" s="90"/>
      <c r="AH60" s="90"/>
      <c r="AI60" s="91"/>
      <c r="AJ60" s="90"/>
      <c r="AK60" s="90"/>
      <c r="AL60" s="90"/>
      <c r="AM60" s="91"/>
      <c r="AN60" s="90"/>
      <c r="AO60" s="90"/>
      <c r="AP60" s="90"/>
      <c r="AQ60" s="93"/>
      <c r="AR60" s="68"/>
      <c r="AS60" s="92"/>
      <c r="AT60" s="92"/>
      <c r="AU60" s="93"/>
      <c r="AV60" s="68"/>
      <c r="AW60" s="92"/>
      <c r="AX60" s="92"/>
      <c r="AY60" s="93"/>
      <c r="AZ60" s="23"/>
      <c r="BA60" s="92"/>
      <c r="BB60" s="92"/>
      <c r="BC60" s="93"/>
      <c r="BD60" s="23"/>
      <c r="BE60" s="92"/>
      <c r="BF60" s="92"/>
      <c r="BG60" s="93"/>
      <c r="BH60" s="23"/>
      <c r="BI60" s="92"/>
      <c r="BJ60" s="1349"/>
      <c r="BK60" s="1349"/>
      <c r="BL60" s="23"/>
      <c r="BM60" s="1426"/>
      <c r="BN60" s="1490"/>
      <c r="BO60" s="68"/>
      <c r="BP60" s="23"/>
      <c r="BQ60" s="68"/>
      <c r="BR60" s="68"/>
      <c r="BS60" s="24"/>
      <c r="BT60" s="68"/>
      <c r="BU60" s="68"/>
      <c r="BV60" s="68"/>
      <c r="BW60" s="24"/>
      <c r="BX60" s="20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22"/>
      <c r="CK60" s="14"/>
      <c r="CL60" s="14"/>
      <c r="CM60" s="14"/>
      <c r="CN60" s="14"/>
      <c r="CO60" s="14"/>
      <c r="CP60" s="232"/>
      <c r="CQ60" s="22"/>
      <c r="CR60" s="232"/>
      <c r="CS60" s="22"/>
      <c r="CT60" s="14"/>
      <c r="CU60" s="14"/>
      <c r="CV60" s="14"/>
      <c r="CW60" s="14"/>
      <c r="CX60" s="14"/>
      <c r="CY60" s="14"/>
      <c r="CZ60" s="14"/>
      <c r="DA60" s="22"/>
      <c r="DB60" s="14"/>
      <c r="DC60" s="22"/>
      <c r="DD60" s="14"/>
      <c r="DE60" s="14"/>
      <c r="DF60" s="14"/>
      <c r="DG60" s="14"/>
      <c r="DH60" s="232"/>
    </row>
    <row r="61" spans="1:112" ht="14.25" customHeight="1">
      <c r="A61" s="472"/>
      <c r="B61" s="44" t="s">
        <v>540</v>
      </c>
      <c r="C61" s="239"/>
      <c r="D61" s="433">
        <f t="shared" ref="D61:O61" si="254">D88*D59</f>
        <v>0</v>
      </c>
      <c r="E61" s="370">
        <f t="shared" si="254"/>
        <v>0</v>
      </c>
      <c r="F61" s="370">
        <f t="shared" si="254"/>
        <v>0</v>
      </c>
      <c r="G61" s="371">
        <f t="shared" si="254"/>
        <v>0</v>
      </c>
      <c r="H61" s="433">
        <f t="shared" si="254"/>
        <v>0</v>
      </c>
      <c r="I61" s="370">
        <f t="shared" si="254"/>
        <v>0</v>
      </c>
      <c r="J61" s="370">
        <f t="shared" si="254"/>
        <v>0</v>
      </c>
      <c r="K61" s="371">
        <f t="shared" si="254"/>
        <v>0</v>
      </c>
      <c r="L61" s="433">
        <f t="shared" si="254"/>
        <v>0</v>
      </c>
      <c r="M61" s="370">
        <f t="shared" si="254"/>
        <v>0</v>
      </c>
      <c r="N61" s="370">
        <f t="shared" si="254"/>
        <v>0</v>
      </c>
      <c r="O61" s="371">
        <f t="shared" si="254"/>
        <v>0</v>
      </c>
      <c r="P61" s="433">
        <f t="shared" ref="P61:AT61" si="255">P88*P59</f>
        <v>0</v>
      </c>
      <c r="Q61" s="370">
        <f t="shared" si="255"/>
        <v>0</v>
      </c>
      <c r="R61" s="370">
        <f t="shared" si="255"/>
        <v>0</v>
      </c>
      <c r="S61" s="371">
        <f t="shared" si="255"/>
        <v>0</v>
      </c>
      <c r="T61" s="433">
        <f t="shared" si="255"/>
        <v>0</v>
      </c>
      <c r="U61" s="370">
        <f t="shared" si="255"/>
        <v>0</v>
      </c>
      <c r="V61" s="370">
        <f t="shared" si="255"/>
        <v>0</v>
      </c>
      <c r="W61" s="371">
        <f t="shared" si="255"/>
        <v>0</v>
      </c>
      <c r="X61" s="433">
        <f t="shared" si="255"/>
        <v>0</v>
      </c>
      <c r="Y61" s="370">
        <f t="shared" si="255"/>
        <v>0</v>
      </c>
      <c r="Z61" s="370">
        <f t="shared" si="255"/>
        <v>0</v>
      </c>
      <c r="AA61" s="371">
        <f t="shared" si="255"/>
        <v>0</v>
      </c>
      <c r="AB61" s="433">
        <f t="shared" si="255"/>
        <v>0</v>
      </c>
      <c r="AC61" s="370">
        <f t="shared" si="255"/>
        <v>0</v>
      </c>
      <c r="AD61" s="370">
        <f t="shared" si="255"/>
        <v>0</v>
      </c>
      <c r="AE61" s="371">
        <f t="shared" si="255"/>
        <v>0</v>
      </c>
      <c r="AF61" s="433">
        <f t="shared" si="255"/>
        <v>0</v>
      </c>
      <c r="AG61" s="370">
        <f t="shared" si="255"/>
        <v>0</v>
      </c>
      <c r="AH61" s="370">
        <f t="shared" si="255"/>
        <v>0</v>
      </c>
      <c r="AI61" s="371">
        <f t="shared" si="255"/>
        <v>0</v>
      </c>
      <c r="AJ61" s="433">
        <f t="shared" si="255"/>
        <v>0</v>
      </c>
      <c r="AK61" s="370">
        <f t="shared" si="255"/>
        <v>0</v>
      </c>
      <c r="AL61" s="370">
        <f t="shared" si="255"/>
        <v>0</v>
      </c>
      <c r="AM61" s="371">
        <f t="shared" si="255"/>
        <v>1.1796500309222724</v>
      </c>
      <c r="AN61" s="514">
        <f t="shared" si="255"/>
        <v>2.5747295083937014</v>
      </c>
      <c r="AO61" s="431">
        <f t="shared" si="255"/>
        <v>2.7004633795456279</v>
      </c>
      <c r="AP61" s="431">
        <f t="shared" si="255"/>
        <v>2.5161440775802357</v>
      </c>
      <c r="AQ61" s="371">
        <f t="shared" si="255"/>
        <v>2.1101661645682777</v>
      </c>
      <c r="AR61" s="370">
        <f t="shared" si="255"/>
        <v>2.080767639591746</v>
      </c>
      <c r="AS61" s="370">
        <f t="shared" si="255"/>
        <v>1.632908298504036</v>
      </c>
      <c r="AT61" s="370">
        <f t="shared" si="255"/>
        <v>1.3946478643037927</v>
      </c>
      <c r="AU61" s="371">
        <f t="shared" ref="AU61:AZ61" si="256">AU88*AU59</f>
        <v>1.2871713156671316</v>
      </c>
      <c r="AV61" s="370">
        <f t="shared" si="256"/>
        <v>1.6128072601555743</v>
      </c>
      <c r="AW61" s="370">
        <f t="shared" si="256"/>
        <v>1.9888064724997914</v>
      </c>
      <c r="AX61" s="370">
        <f t="shared" si="256"/>
        <v>2.1098507462686569</v>
      </c>
      <c r="AY61" s="371">
        <f t="shared" si="256"/>
        <v>1.8536086940658534</v>
      </c>
      <c r="AZ61" s="433">
        <f t="shared" si="256"/>
        <v>3.4199552947539416</v>
      </c>
      <c r="BA61" s="370">
        <f t="shared" ref="BA61:BF61" si="257">BA88*BA59</f>
        <v>3.8269946915614144</v>
      </c>
      <c r="BB61" s="370">
        <f t="shared" si="257"/>
        <v>4.9425075863895147</v>
      </c>
      <c r="BC61" s="371">
        <f t="shared" si="257"/>
        <v>5.2730526315789463</v>
      </c>
      <c r="BD61" s="433">
        <f t="shared" si="257"/>
        <v>2.1407281407976035</v>
      </c>
      <c r="BE61" s="370">
        <f t="shared" si="257"/>
        <v>3.4962913315460225</v>
      </c>
      <c r="BF61" s="370">
        <f t="shared" si="257"/>
        <v>3.6896447076427559</v>
      </c>
      <c r="BG61" s="371">
        <f>BG88*BG59</f>
        <v>4.8756618311935513</v>
      </c>
      <c r="BH61" s="433">
        <f>BH88*BH59</f>
        <v>9.4765556198000453</v>
      </c>
      <c r="BI61" s="370">
        <f t="shared" ref="BI61:BJ61" si="258">BI88*BI59</f>
        <v>11.406517424914316</v>
      </c>
      <c r="BJ61" s="370">
        <f t="shared" si="258"/>
        <v>14.117957256518762</v>
      </c>
      <c r="BK61" s="370">
        <f t="shared" ref="BK61" si="259">BK88*BK59</f>
        <v>13.675024806517582</v>
      </c>
      <c r="BL61" s="433">
        <f>BL88*BL59</f>
        <v>13.862180961403745</v>
      </c>
      <c r="BM61" s="370">
        <f t="shared" ref="BM61:BN61" si="260">BM88*BM59</f>
        <v>18.099330342966727</v>
      </c>
      <c r="BN61" s="370">
        <f t="shared" si="260"/>
        <v>15.907816949091172</v>
      </c>
      <c r="BO61" s="370">
        <f t="shared" ref="BO61" si="261">BO64*BO55</f>
        <v>15.632399999999999</v>
      </c>
      <c r="BP61" s="433">
        <f t="shared" ref="BP61:BW61" si="262">BP64*BP55</f>
        <v>15.632399999999999</v>
      </c>
      <c r="BQ61" s="370">
        <f t="shared" si="262"/>
        <v>15.632399999999999</v>
      </c>
      <c r="BR61" s="370">
        <f t="shared" si="262"/>
        <v>15.632399999999999</v>
      </c>
      <c r="BS61" s="371">
        <f t="shared" si="262"/>
        <v>15.632399999999999</v>
      </c>
      <c r="BT61" s="370">
        <f t="shared" si="262"/>
        <v>15.632399999999999</v>
      </c>
      <c r="BU61" s="370">
        <f t="shared" si="262"/>
        <v>15.632399999999999</v>
      </c>
      <c r="BV61" s="370">
        <f t="shared" si="262"/>
        <v>15.632399999999999</v>
      </c>
      <c r="BW61" s="371">
        <f t="shared" si="262"/>
        <v>15.632399999999999</v>
      </c>
      <c r="BX61" s="286"/>
      <c r="BY61" s="362">
        <f>SUM(D61:G61)</f>
        <v>0</v>
      </c>
      <c r="BZ61" s="362">
        <f>SUM(H61:K61)</f>
        <v>0</v>
      </c>
      <c r="CA61" s="362">
        <f>SUM(L61:O61)</f>
        <v>0</v>
      </c>
      <c r="CB61" s="362">
        <f>SUM(P61:S61)</f>
        <v>0</v>
      </c>
      <c r="CC61" s="362">
        <f>SUM(T61:W61)</f>
        <v>0</v>
      </c>
      <c r="CD61" s="362">
        <f>SUM(X61:AA61)</f>
        <v>0</v>
      </c>
      <c r="CE61" s="362">
        <f>SUM(AB61:AE61)</f>
        <v>0</v>
      </c>
      <c r="CF61" s="362">
        <f>SUM(AF61:AI61)</f>
        <v>0</v>
      </c>
      <c r="CG61" s="362">
        <f>SUM(AJ61:AM61)</f>
        <v>1.1796500309222724</v>
      </c>
      <c r="CH61" s="362">
        <f>SUM(AN61:AQ61)</f>
        <v>9.9015031300878427</v>
      </c>
      <c r="CI61" s="362">
        <f>SUM(AR61:AU61)</f>
        <v>6.3954951180667061</v>
      </c>
      <c r="CJ61" s="366">
        <f>SUM(AV61:AY61)</f>
        <v>7.5650731729898757</v>
      </c>
      <c r="CK61" s="362">
        <f>SUM(AZ61:BC61)</f>
        <v>17.462510204283817</v>
      </c>
      <c r="CL61" s="362">
        <f>SUM(BD61:BG61)</f>
        <v>14.202326011179935</v>
      </c>
      <c r="CM61" s="362">
        <f>SUM(BH61:BK61)</f>
        <v>48.676055107750706</v>
      </c>
      <c r="CN61" s="362">
        <f>SUM(BL61:BO61)</f>
        <v>63.501728253461643</v>
      </c>
      <c r="CO61" s="362">
        <f>SUM(BP61:BS61)</f>
        <v>62.529599999999995</v>
      </c>
      <c r="CP61" s="363">
        <f>SUM(BT61:BW61)</f>
        <v>62.529599999999995</v>
      </c>
      <c r="CQ61" s="22"/>
      <c r="CR61" s="232"/>
      <c r="CS61" s="22"/>
      <c r="CT61" s="14"/>
      <c r="CU61" s="14"/>
      <c r="CV61" s="14"/>
      <c r="CW61" s="14"/>
      <c r="CX61" s="14"/>
      <c r="CY61" s="14"/>
      <c r="CZ61" s="14"/>
      <c r="DA61" s="22"/>
      <c r="DB61" s="14"/>
      <c r="DC61" s="22"/>
      <c r="DD61" s="14"/>
      <c r="DE61" s="14"/>
      <c r="DF61" s="14"/>
      <c r="DG61" s="14"/>
      <c r="DH61" s="232"/>
    </row>
    <row r="62" spans="1:112" ht="14.25" customHeight="1">
      <c r="A62" s="472"/>
      <c r="B62" s="34" t="s">
        <v>98</v>
      </c>
      <c r="C62" s="239"/>
      <c r="D62" s="144"/>
      <c r="E62" s="90"/>
      <c r="F62" s="90"/>
      <c r="G62" s="91"/>
      <c r="H62" s="144"/>
      <c r="I62" s="90"/>
      <c r="J62" s="90"/>
      <c r="K62" s="91"/>
      <c r="L62" s="144"/>
      <c r="M62" s="90"/>
      <c r="N62" s="90"/>
      <c r="O62" s="91"/>
      <c r="P62" s="144"/>
      <c r="Q62" s="90"/>
      <c r="R62" s="90"/>
      <c r="S62" s="91"/>
      <c r="T62" s="144"/>
      <c r="U62" s="90"/>
      <c r="V62" s="90"/>
      <c r="W62" s="91"/>
      <c r="X62" s="144"/>
      <c r="Y62" s="90"/>
      <c r="Z62" s="90"/>
      <c r="AA62" s="91"/>
      <c r="AB62" s="144"/>
      <c r="AC62" s="90"/>
      <c r="AD62" s="90"/>
      <c r="AE62" s="91"/>
      <c r="AF62" s="144"/>
      <c r="AG62" s="90"/>
      <c r="AH62" s="90"/>
      <c r="AI62" s="91"/>
      <c r="AJ62" s="144"/>
      <c r="AK62" s="90"/>
      <c r="AL62" s="90"/>
      <c r="AM62" s="91"/>
      <c r="AN62" s="515">
        <f t="shared" ref="AN62:BN62" si="263">AN61/AM61-1</f>
        <v>1.1826214901895353</v>
      </c>
      <c r="AO62" s="429">
        <f t="shared" si="263"/>
        <v>4.8833817588228134E-2</v>
      </c>
      <c r="AP62" s="429">
        <f t="shared" si="263"/>
        <v>-6.8254694124533999E-2</v>
      </c>
      <c r="AQ62" s="91">
        <f t="shared" si="263"/>
        <v>-0.16134923140108304</v>
      </c>
      <c r="AR62" s="144">
        <f t="shared" si="263"/>
        <v>-1.3931853078757994E-2</v>
      </c>
      <c r="AS62" s="90">
        <f t="shared" si="263"/>
        <v>-0.21523755587413007</v>
      </c>
      <c r="AT62" s="90">
        <f t="shared" si="263"/>
        <v>-0.14591170515730856</v>
      </c>
      <c r="AU62" s="91">
        <f t="shared" si="263"/>
        <v>-7.7063573814966757E-2</v>
      </c>
      <c r="AV62" s="144">
        <f t="shared" si="263"/>
        <v>0.25298570635072615</v>
      </c>
      <c r="AW62" s="90">
        <f t="shared" si="263"/>
        <v>0.23313338278744333</v>
      </c>
      <c r="AX62" s="90">
        <f t="shared" si="263"/>
        <v>6.0862771437344199E-2</v>
      </c>
      <c r="AY62" s="91">
        <f t="shared" si="263"/>
        <v>-0.12145032185616744</v>
      </c>
      <c r="AZ62" s="144">
        <f t="shared" si="263"/>
        <v>0.84502549308416253</v>
      </c>
      <c r="BA62" s="90">
        <f t="shared" si="263"/>
        <v>0.11901892326834007</v>
      </c>
      <c r="BB62" s="90">
        <f t="shared" si="263"/>
        <v>0.29148535201468251</v>
      </c>
      <c r="BC62" s="91">
        <f t="shared" si="263"/>
        <v>6.6878004618480258E-2</v>
      </c>
      <c r="BD62" s="144">
        <f t="shared" si="263"/>
        <v>-0.59402488646190688</v>
      </c>
      <c r="BE62" s="90">
        <f t="shared" si="263"/>
        <v>0.63322528672106682</v>
      </c>
      <c r="BF62" s="90">
        <f t="shared" si="263"/>
        <v>5.5302421269120883E-2</v>
      </c>
      <c r="BG62" s="91">
        <f t="shared" si="263"/>
        <v>0.32144480499547057</v>
      </c>
      <c r="BH62" s="144">
        <f t="shared" si="263"/>
        <v>0.94364497536946801</v>
      </c>
      <c r="BI62" s="90">
        <f t="shared" si="263"/>
        <v>0.20365646365034396</v>
      </c>
      <c r="BJ62" s="1347">
        <f t="shared" si="263"/>
        <v>0.23770969969169298</v>
      </c>
      <c r="BK62" s="1347">
        <f t="shared" si="263"/>
        <v>-3.1373692521746599E-2</v>
      </c>
      <c r="BL62" s="1351">
        <f t="shared" si="263"/>
        <v>1.3685982843479882E-2</v>
      </c>
      <c r="BM62" s="1347">
        <f t="shared" si="263"/>
        <v>0.30566253559670087</v>
      </c>
      <c r="BN62" s="1347">
        <f t="shared" si="263"/>
        <v>-0.12108256782700033</v>
      </c>
      <c r="BO62" s="1347">
        <f t="shared" ref="BO62" si="264">BO61/BN61-1</f>
        <v>-1.731330892054983E-2</v>
      </c>
      <c r="BP62" s="1351">
        <f t="shared" ref="BP62:BW62" si="265">BP61/BO61-1</f>
        <v>0</v>
      </c>
      <c r="BQ62" s="1347">
        <f t="shared" si="265"/>
        <v>0</v>
      </c>
      <c r="BR62" s="1347">
        <f t="shared" si="265"/>
        <v>0</v>
      </c>
      <c r="BS62" s="1348">
        <f t="shared" si="265"/>
        <v>0</v>
      </c>
      <c r="BT62" s="1347">
        <f t="shared" si="265"/>
        <v>0</v>
      </c>
      <c r="BU62" s="1347">
        <f t="shared" si="265"/>
        <v>0</v>
      </c>
      <c r="BV62" s="1347">
        <f t="shared" si="265"/>
        <v>0</v>
      </c>
      <c r="BW62" s="1348">
        <f t="shared" si="265"/>
        <v>0</v>
      </c>
      <c r="BX62" s="20"/>
      <c r="BY62" s="240"/>
      <c r="BZ62" s="240"/>
      <c r="CA62" s="240"/>
      <c r="CB62" s="240"/>
      <c r="CC62" s="240"/>
      <c r="CD62" s="240"/>
      <c r="CE62" s="240"/>
      <c r="CF62" s="240"/>
      <c r="CG62" s="240"/>
      <c r="CH62" s="240"/>
      <c r="CI62" s="240"/>
      <c r="CJ62" s="1028"/>
      <c r="CK62" s="240"/>
      <c r="CL62" s="240"/>
      <c r="CM62" s="240"/>
      <c r="CN62" s="240"/>
      <c r="CO62" s="240"/>
      <c r="CP62" s="282"/>
      <c r="CQ62" s="22"/>
      <c r="CR62" s="232"/>
      <c r="CS62" s="22"/>
      <c r="CT62" s="14"/>
      <c r="CU62" s="14"/>
      <c r="CV62" s="14"/>
      <c r="CW62" s="14"/>
      <c r="CX62" s="14"/>
      <c r="CY62" s="14"/>
      <c r="CZ62" s="14"/>
      <c r="DA62" s="22"/>
      <c r="DB62" s="14"/>
      <c r="DC62" s="22"/>
      <c r="DD62" s="14"/>
      <c r="DE62" s="14"/>
      <c r="DF62" s="14"/>
      <c r="DG62" s="14"/>
      <c r="DH62" s="232"/>
    </row>
    <row r="63" spans="1:112" ht="14.25" customHeight="1">
      <c r="A63" s="472"/>
      <c r="B63" s="34" t="s">
        <v>99</v>
      </c>
      <c r="C63" s="239"/>
      <c r="D63" s="144"/>
      <c r="E63" s="90"/>
      <c r="F63" s="90"/>
      <c r="G63" s="91"/>
      <c r="H63" s="144"/>
      <c r="I63" s="90"/>
      <c r="J63" s="90"/>
      <c r="K63" s="91"/>
      <c r="L63" s="144"/>
      <c r="M63" s="90"/>
      <c r="N63" s="90"/>
      <c r="O63" s="91"/>
      <c r="P63" s="144"/>
      <c r="Q63" s="90"/>
      <c r="R63" s="90"/>
      <c r="S63" s="91"/>
      <c r="T63" s="144"/>
      <c r="U63" s="90"/>
      <c r="V63" s="90"/>
      <c r="W63" s="91"/>
      <c r="X63" s="144"/>
      <c r="Y63" s="90"/>
      <c r="Z63" s="90"/>
      <c r="AA63" s="91"/>
      <c r="AB63" s="144"/>
      <c r="AC63" s="90"/>
      <c r="AD63" s="90"/>
      <c r="AE63" s="91"/>
      <c r="AF63" s="144"/>
      <c r="AG63" s="90"/>
      <c r="AH63" s="90"/>
      <c r="AI63" s="91"/>
      <c r="AJ63" s="144"/>
      <c r="AK63" s="90"/>
      <c r="AL63" s="90"/>
      <c r="AM63" s="91"/>
      <c r="AN63" s="515"/>
      <c r="AO63" s="429"/>
      <c r="AP63" s="429"/>
      <c r="AQ63" s="91">
        <f t="shared" ref="AQ63:BN63" si="266">AQ61/AM61-1</f>
        <v>0.78880694210511781</v>
      </c>
      <c r="AR63" s="144">
        <f t="shared" si="266"/>
        <v>-0.19185000490017445</v>
      </c>
      <c r="AS63" s="90">
        <f t="shared" si="266"/>
        <v>-0.3953229246238531</v>
      </c>
      <c r="AT63" s="90">
        <f t="shared" si="266"/>
        <v>-0.44572018878782993</v>
      </c>
      <c r="AU63" s="91">
        <f t="shared" si="266"/>
        <v>-0.39001423808229996</v>
      </c>
      <c r="AV63" s="144">
        <f t="shared" si="266"/>
        <v>-0.22489795137720769</v>
      </c>
      <c r="AW63" s="90">
        <f t="shared" si="266"/>
        <v>0.21795355827501517</v>
      </c>
      <c r="AX63" s="90">
        <f t="shared" si="266"/>
        <v>0.5128196875143769</v>
      </c>
      <c r="AY63" s="91">
        <f t="shared" si="266"/>
        <v>0.44006370519928906</v>
      </c>
      <c r="AZ63" s="144">
        <f t="shared" si="266"/>
        <v>1.1204984496560653</v>
      </c>
      <c r="BA63" s="90">
        <f t="shared" si="266"/>
        <v>0.92426701364821495</v>
      </c>
      <c r="BB63" s="90">
        <f t="shared" si="266"/>
        <v>1.342586363101991</v>
      </c>
      <c r="BC63" s="91">
        <f t="shared" si="266"/>
        <v>1.8447496218916686</v>
      </c>
      <c r="BD63" s="144">
        <f t="shared" si="266"/>
        <v>-0.37404791691827532</v>
      </c>
      <c r="BE63" s="90">
        <f t="shared" si="266"/>
        <v>-8.641333126084505E-2</v>
      </c>
      <c r="BF63" s="90">
        <f t="shared" si="266"/>
        <v>-0.2534872950315431</v>
      </c>
      <c r="BG63" s="91">
        <f t="shared" si="266"/>
        <v>-7.5362570440796417E-2</v>
      </c>
      <c r="BH63" s="144">
        <f t="shared" si="266"/>
        <v>3.4267907910386146</v>
      </c>
      <c r="BI63" s="90">
        <f t="shared" si="266"/>
        <v>2.2624619470341667</v>
      </c>
      <c r="BJ63" s="1347">
        <f t="shared" si="266"/>
        <v>2.8263730996306302</v>
      </c>
      <c r="BK63" s="1347">
        <f t="shared" si="266"/>
        <v>1.8047525197558598</v>
      </c>
      <c r="BL63" s="1351">
        <f t="shared" si="266"/>
        <v>0.46278685184314217</v>
      </c>
      <c r="BM63" s="1347">
        <f t="shared" si="266"/>
        <v>0.58675340322839031</v>
      </c>
      <c r="BN63" s="1347">
        <f t="shared" si="266"/>
        <v>0.12677894259426004</v>
      </c>
      <c r="BO63" s="1347">
        <f t="shared" ref="BO63" si="267">BO61/BK61-1</f>
        <v>0.14313503786475934</v>
      </c>
      <c r="BP63" s="1351">
        <f t="shared" ref="BP63:BW63" si="268">BP61/BL61-1</f>
        <v>0.12770133671786921</v>
      </c>
      <c r="BQ63" s="1347">
        <f t="shared" si="268"/>
        <v>-0.13629953684586793</v>
      </c>
      <c r="BR63" s="1347">
        <f t="shared" si="268"/>
        <v>-1.731330892054983E-2</v>
      </c>
      <c r="BS63" s="1348">
        <f t="shared" si="268"/>
        <v>0</v>
      </c>
      <c r="BT63" s="1347">
        <f t="shared" si="268"/>
        <v>0</v>
      </c>
      <c r="BU63" s="1347">
        <f t="shared" si="268"/>
        <v>0</v>
      </c>
      <c r="BV63" s="1347">
        <f t="shared" si="268"/>
        <v>0</v>
      </c>
      <c r="BW63" s="1348">
        <f t="shared" si="268"/>
        <v>0</v>
      </c>
      <c r="BX63" s="20"/>
      <c r="BY63" s="429"/>
      <c r="BZ63" s="429"/>
      <c r="CA63" s="429"/>
      <c r="CB63" s="429"/>
      <c r="CC63" s="429"/>
      <c r="CD63" s="369"/>
      <c r="CE63" s="369"/>
      <c r="CF63" s="369"/>
      <c r="CG63" s="369"/>
      <c r="CH63" s="369">
        <f t="shared" ref="CH63:CP63" si="269">CH61/CG61-1</f>
        <v>7.3935937528409692</v>
      </c>
      <c r="CI63" s="369">
        <f t="shared" si="269"/>
        <v>-0.35408846171722941</v>
      </c>
      <c r="CJ63" s="1054">
        <f t="shared" si="269"/>
        <v>0.18287529477103592</v>
      </c>
      <c r="CK63" s="369">
        <f t="shared" si="269"/>
        <v>1.308306847134205</v>
      </c>
      <c r="CL63" s="369">
        <f t="shared" si="269"/>
        <v>-0.18669619401591586</v>
      </c>
      <c r="CM63" s="369">
        <f t="shared" si="269"/>
        <v>2.4273297957977715</v>
      </c>
      <c r="CN63" s="369">
        <f t="shared" si="269"/>
        <v>0.30457836225413915</v>
      </c>
      <c r="CO63" s="369">
        <f t="shared" si="269"/>
        <v>-1.5308689703396494E-2</v>
      </c>
      <c r="CP63" s="368">
        <f t="shared" si="269"/>
        <v>0</v>
      </c>
      <c r="CQ63" s="22"/>
      <c r="CR63" s="232"/>
      <c r="CS63" s="22"/>
      <c r="CT63" s="14"/>
      <c r="CU63" s="14"/>
      <c r="CV63" s="14"/>
      <c r="CW63" s="14"/>
      <c r="CX63" s="14"/>
      <c r="CY63" s="14"/>
      <c r="CZ63" s="14"/>
      <c r="DA63" s="22"/>
      <c r="DB63" s="14"/>
      <c r="DC63" s="22"/>
      <c r="DD63" s="14"/>
      <c r="DE63" s="14"/>
      <c r="DF63" s="14"/>
      <c r="DG63" s="14"/>
      <c r="DH63" s="232"/>
    </row>
    <row r="64" spans="1:112" ht="14.25" customHeight="1">
      <c r="A64" s="472"/>
      <c r="B64" s="34" t="s">
        <v>126</v>
      </c>
      <c r="C64" s="239"/>
      <c r="D64" s="144"/>
      <c r="E64" s="90"/>
      <c r="F64" s="90"/>
      <c r="G64" s="91"/>
      <c r="H64" s="144"/>
      <c r="I64" s="90"/>
      <c r="J64" s="90"/>
      <c r="K64" s="91"/>
      <c r="L64" s="144"/>
      <c r="M64" s="90"/>
      <c r="N64" s="90"/>
      <c r="O64" s="91"/>
      <c r="P64" s="144"/>
      <c r="Q64" s="90"/>
      <c r="R64" s="90"/>
      <c r="S64" s="91"/>
      <c r="T64" s="144"/>
      <c r="U64" s="90"/>
      <c r="V64" s="90"/>
      <c r="W64" s="91"/>
      <c r="X64" s="144"/>
      <c r="Y64" s="90"/>
      <c r="Z64" s="90"/>
      <c r="AA64" s="91"/>
      <c r="AB64" s="144"/>
      <c r="AC64" s="90"/>
      <c r="AD64" s="90"/>
      <c r="AE64" s="91"/>
      <c r="AF64" s="144"/>
      <c r="AG64" s="90"/>
      <c r="AH64" s="90"/>
      <c r="AI64" s="91"/>
      <c r="AJ64" s="144"/>
      <c r="AK64" s="90"/>
      <c r="AL64" s="90"/>
      <c r="AM64" s="91">
        <f t="shared" ref="AM64:AT64" si="270">AM61/AM55</f>
        <v>0.59368396120899458</v>
      </c>
      <c r="AN64" s="515">
        <f t="shared" si="270"/>
        <v>0.58676606845799939</v>
      </c>
      <c r="AO64" s="429">
        <f t="shared" si="270"/>
        <v>0.57751569280274329</v>
      </c>
      <c r="AP64" s="429">
        <f t="shared" si="270"/>
        <v>0.56352610920050072</v>
      </c>
      <c r="AQ64" s="91">
        <f t="shared" si="270"/>
        <v>0.5619616949582632</v>
      </c>
      <c r="AR64" s="90">
        <f t="shared" si="270"/>
        <v>0.57670943447664802</v>
      </c>
      <c r="AS64" s="90">
        <f t="shared" si="270"/>
        <v>0.50664235138195346</v>
      </c>
      <c r="AT64" s="90">
        <f t="shared" si="270"/>
        <v>0.48174364915502338</v>
      </c>
      <c r="AU64" s="91">
        <f t="shared" ref="AU64:AZ64" si="271">AU61/AU55</f>
        <v>0.55963970246397032</v>
      </c>
      <c r="AV64" s="90">
        <f t="shared" si="271"/>
        <v>0.57600259291270517</v>
      </c>
      <c r="AW64" s="90">
        <f t="shared" si="271"/>
        <v>0.58632266288319324</v>
      </c>
      <c r="AX64" s="90">
        <f t="shared" si="271"/>
        <v>0.58606965174129355</v>
      </c>
      <c r="AY64" s="91">
        <f t="shared" si="271"/>
        <v>0.58900816462213301</v>
      </c>
      <c r="AZ64" s="144">
        <f t="shared" si="271"/>
        <v>0.57965343978880357</v>
      </c>
      <c r="BA64" s="90">
        <f t="shared" ref="BA64:BF64" si="272">BA61/BA55</f>
        <v>0.56279333699432565</v>
      </c>
      <c r="BB64" s="90">
        <f t="shared" si="272"/>
        <v>0.57112405666622545</v>
      </c>
      <c r="BC64" s="91">
        <f t="shared" si="272"/>
        <v>0.57315789473684209</v>
      </c>
      <c r="BD64" s="144">
        <f t="shared" si="272"/>
        <v>0.57857517318854146</v>
      </c>
      <c r="BE64" s="90">
        <f t="shared" si="272"/>
        <v>0.53789097408400344</v>
      </c>
      <c r="BF64" s="90">
        <f t="shared" si="272"/>
        <v>0.53027374355314105</v>
      </c>
      <c r="BG64" s="91">
        <f>BG61/BG55</f>
        <v>0.53256819565194446</v>
      </c>
      <c r="BH64" s="144">
        <f>BH61/BH55</f>
        <v>0.41290382204697162</v>
      </c>
      <c r="BI64" s="90">
        <f t="shared" ref="BI64:BJ64" si="273">BI61/BI55</f>
        <v>0.46990679018350151</v>
      </c>
      <c r="BJ64" s="1347">
        <f t="shared" si="273"/>
        <v>0.5279912209326737</v>
      </c>
      <c r="BK64" s="1347">
        <f t="shared" ref="BK64" si="274">BK61/BK55</f>
        <v>0.59028034732669665</v>
      </c>
      <c r="BL64" s="1351">
        <f>BL61/BL55</f>
        <v>0.60118748206278705</v>
      </c>
      <c r="BM64" s="1347">
        <f t="shared" ref="BM64:BN64" si="275">BM61/BM55</f>
        <v>0.60672891766842307</v>
      </c>
      <c r="BN64" s="1347">
        <f t="shared" si="275"/>
        <v>0.61057100441740897</v>
      </c>
      <c r="BO64" s="1490">
        <v>0.6</v>
      </c>
      <c r="BP64" s="954">
        <f t="shared" ref="BP64:BW64" si="276">BO64</f>
        <v>0.6</v>
      </c>
      <c r="BQ64" s="1490">
        <f t="shared" si="276"/>
        <v>0.6</v>
      </c>
      <c r="BR64" s="1490">
        <f t="shared" si="276"/>
        <v>0.6</v>
      </c>
      <c r="BS64" s="1350">
        <f t="shared" si="276"/>
        <v>0.6</v>
      </c>
      <c r="BT64" s="1426">
        <f t="shared" si="276"/>
        <v>0.6</v>
      </c>
      <c r="BU64" s="1426">
        <f t="shared" si="276"/>
        <v>0.6</v>
      </c>
      <c r="BV64" s="1426">
        <f t="shared" si="276"/>
        <v>0.6</v>
      </c>
      <c r="BW64" s="1350">
        <f t="shared" si="276"/>
        <v>0.6</v>
      </c>
      <c r="BX64" s="20"/>
      <c r="BY64" s="369"/>
      <c r="BZ64" s="369"/>
      <c r="CA64" s="369"/>
      <c r="CB64" s="369"/>
      <c r="CC64" s="369"/>
      <c r="CD64" s="369"/>
      <c r="CE64" s="369"/>
      <c r="CF64" s="369"/>
      <c r="CG64" s="369">
        <f t="shared" ref="CG64:CL64" si="277">CG61/CG55</f>
        <v>0.59368396120899458</v>
      </c>
      <c r="CH64" s="369">
        <f t="shared" si="277"/>
        <v>0.5728710443235272</v>
      </c>
      <c r="CI64" s="369">
        <f t="shared" si="277"/>
        <v>0.53180568086368751</v>
      </c>
      <c r="CJ64" s="1054">
        <f t="shared" si="277"/>
        <v>0.58467216732281291</v>
      </c>
      <c r="CK64" s="369">
        <f t="shared" si="277"/>
        <v>0.57152943000208867</v>
      </c>
      <c r="CL64" s="369">
        <f t="shared" si="277"/>
        <v>0.53974560145859207</v>
      </c>
      <c r="CM64" s="369">
        <f>CM61/CM55</f>
        <v>0.50113820621378047</v>
      </c>
      <c r="CN64" s="369">
        <f>CN61/CN55</f>
        <v>0.60479564419423071</v>
      </c>
      <c r="CO64" s="369">
        <f>CO61/CO55</f>
        <v>0.6</v>
      </c>
      <c r="CP64" s="368">
        <f>CP61/CP55</f>
        <v>0.6</v>
      </c>
      <c r="CQ64" s="22"/>
      <c r="CR64" s="232"/>
      <c r="CS64" s="22"/>
      <c r="CT64" s="14"/>
      <c r="CU64" s="14"/>
      <c r="CV64" s="14"/>
      <c r="CW64" s="14"/>
      <c r="CX64" s="14"/>
      <c r="CY64" s="14"/>
      <c r="CZ64" s="14"/>
      <c r="DA64" s="22"/>
      <c r="DB64" s="14"/>
      <c r="DC64" s="22"/>
      <c r="DD64" s="14"/>
      <c r="DE64" s="14"/>
      <c r="DF64" s="14"/>
      <c r="DG64" s="14"/>
      <c r="DH64" s="232"/>
    </row>
    <row r="65" spans="1:112" ht="14.25" customHeight="1">
      <c r="A65" s="472"/>
      <c r="B65" s="328"/>
      <c r="C65" s="260"/>
      <c r="D65" s="241"/>
      <c r="E65" s="241"/>
      <c r="F65" s="241"/>
      <c r="G65" s="242"/>
      <c r="H65" s="241"/>
      <c r="I65" s="241"/>
      <c r="J65" s="241"/>
      <c r="K65" s="242"/>
      <c r="L65" s="241"/>
      <c r="M65" s="241"/>
      <c r="N65" s="241"/>
      <c r="O65" s="242"/>
      <c r="P65" s="241"/>
      <c r="Q65" s="241"/>
      <c r="R65" s="241"/>
      <c r="S65" s="242"/>
      <c r="T65" s="241"/>
      <c r="U65" s="241"/>
      <c r="V65" s="241"/>
      <c r="W65" s="242"/>
      <c r="X65" s="241"/>
      <c r="Y65" s="241"/>
      <c r="Z65" s="241"/>
      <c r="AA65" s="242"/>
      <c r="AB65" s="241"/>
      <c r="AC65" s="241"/>
      <c r="AD65" s="241"/>
      <c r="AE65" s="242"/>
      <c r="AF65" s="241"/>
      <c r="AG65" s="241"/>
      <c r="AH65" s="241"/>
      <c r="AI65" s="242"/>
      <c r="AJ65" s="241"/>
      <c r="AK65" s="241"/>
      <c r="AL65" s="241"/>
      <c r="AM65" s="242"/>
      <c r="AN65" s="241"/>
      <c r="AO65" s="241"/>
      <c r="AP65" s="241"/>
      <c r="AQ65" s="311"/>
      <c r="AR65" s="223"/>
      <c r="AS65" s="310"/>
      <c r="AT65" s="310"/>
      <c r="AU65" s="311"/>
      <c r="AV65" s="223"/>
      <c r="AW65" s="310"/>
      <c r="AX65" s="321"/>
      <c r="AY65" s="311"/>
      <c r="AZ65" s="780"/>
      <c r="BA65" s="321"/>
      <c r="BB65" s="321"/>
      <c r="BC65" s="322"/>
      <c r="BD65" s="321"/>
      <c r="BE65" s="321"/>
      <c r="BF65" s="321"/>
      <c r="BG65" s="322"/>
      <c r="BH65" s="780"/>
      <c r="BI65" s="321"/>
      <c r="BJ65" s="321"/>
      <c r="BK65" s="321"/>
      <c r="BL65" s="780"/>
      <c r="BM65" s="321"/>
      <c r="BN65" s="321"/>
      <c r="BO65" s="321"/>
      <c r="BP65" s="780"/>
      <c r="BQ65" s="321"/>
      <c r="BR65" s="321"/>
      <c r="BS65" s="322"/>
      <c r="BT65" s="321"/>
      <c r="BU65" s="321"/>
      <c r="BV65" s="321"/>
      <c r="BW65" s="322"/>
      <c r="BX65" s="20"/>
      <c r="BY65" s="223"/>
      <c r="BZ65" s="223"/>
      <c r="CA65" s="223"/>
      <c r="CB65" s="223"/>
      <c r="CC65" s="223"/>
      <c r="CD65" s="223"/>
      <c r="CE65" s="223"/>
      <c r="CF65" s="223"/>
      <c r="CG65" s="223"/>
      <c r="CH65" s="223"/>
      <c r="CI65" s="223"/>
      <c r="CJ65" s="22"/>
      <c r="CK65" s="14"/>
      <c r="CL65" s="14"/>
      <c r="CM65" s="14"/>
      <c r="CN65" s="14"/>
      <c r="CO65" s="14"/>
      <c r="CP65" s="232"/>
      <c r="CQ65" s="22"/>
      <c r="CR65" s="232"/>
      <c r="CS65" s="15"/>
      <c r="CT65" s="223"/>
      <c r="CU65" s="223"/>
      <c r="CV65" s="223"/>
      <c r="CW65" s="223"/>
      <c r="CX65" s="223"/>
      <c r="CY65" s="223"/>
      <c r="CZ65" s="223"/>
      <c r="DA65" s="15"/>
      <c r="DB65" s="223"/>
      <c r="DC65" s="15"/>
      <c r="DD65" s="223"/>
      <c r="DE65" s="223"/>
      <c r="DF65" s="223"/>
      <c r="DG65" s="223"/>
      <c r="DH65" s="16"/>
    </row>
    <row r="66" spans="1:112" ht="14.25" customHeight="1">
      <c r="A66" s="785"/>
      <c r="B66" s="467" t="s">
        <v>101</v>
      </c>
      <c r="C66" s="471"/>
      <c r="D66" s="514">
        <f t="shared" ref="D66:N66" si="278">D44+D33+D22+D11+D55</f>
        <v>157.54400000000001</v>
      </c>
      <c r="E66" s="431">
        <f t="shared" si="278"/>
        <v>166.77699999999999</v>
      </c>
      <c r="F66" s="431">
        <f t="shared" si="278"/>
        <v>167.47400000000002</v>
      </c>
      <c r="G66" s="430">
        <f t="shared" si="278"/>
        <v>159.66700000000003</v>
      </c>
      <c r="H66" s="514">
        <f t="shared" si="278"/>
        <v>161.28300000000002</v>
      </c>
      <c r="I66" s="431">
        <f t="shared" si="278"/>
        <v>168.48599999999999</v>
      </c>
      <c r="J66" s="431">
        <f t="shared" si="278"/>
        <v>177.96699999999998</v>
      </c>
      <c r="K66" s="430">
        <f t="shared" si="278"/>
        <v>191.524</v>
      </c>
      <c r="L66" s="514">
        <f t="shared" si="278"/>
        <v>212.77500000000001</v>
      </c>
      <c r="M66" s="431">
        <f t="shared" si="278"/>
        <v>220.69400000000002</v>
      </c>
      <c r="N66" s="431">
        <f t="shared" si="278"/>
        <v>205.38400000000001</v>
      </c>
      <c r="O66" s="430">
        <f>O44+O33+O22+O11+O55</f>
        <v>208.08299999999997</v>
      </c>
      <c r="P66" s="514">
        <f t="shared" ref="P66:W66" si="279">P44+P33+P22+P11+P55</f>
        <v>218.52699999999999</v>
      </c>
      <c r="Q66" s="431">
        <f t="shared" si="279"/>
        <v>227.298</v>
      </c>
      <c r="R66" s="431">
        <f t="shared" si="279"/>
        <v>234.89600000000002</v>
      </c>
      <c r="S66" s="430">
        <f t="shared" si="279"/>
        <v>247.072</v>
      </c>
      <c r="T66" s="514">
        <f t="shared" si="279"/>
        <v>262.55700000000002</v>
      </c>
      <c r="U66" s="431">
        <f t="shared" si="279"/>
        <v>267.93399999999997</v>
      </c>
      <c r="V66" s="431">
        <f t="shared" si="279"/>
        <v>251.00400000000002</v>
      </c>
      <c r="W66" s="430">
        <f t="shared" si="279"/>
        <v>258.17599999999999</v>
      </c>
      <c r="X66" s="514">
        <f t="shared" ref="X66:AS66" si="280">X44+X33+X22+X11+X55</f>
        <v>264.072</v>
      </c>
      <c r="Y66" s="431">
        <f t="shared" si="280"/>
        <v>258.64699999999999</v>
      </c>
      <c r="Z66" s="431">
        <f t="shared" si="280"/>
        <v>252.60000000000002</v>
      </c>
      <c r="AA66" s="430">
        <f t="shared" si="280"/>
        <v>260.41800000000006</v>
      </c>
      <c r="AB66" s="514">
        <f t="shared" si="280"/>
        <v>268.17200000000003</v>
      </c>
      <c r="AC66" s="431">
        <f t="shared" si="280"/>
        <v>269.70600000000002</v>
      </c>
      <c r="AD66" s="431">
        <f t="shared" si="280"/>
        <v>192.166</v>
      </c>
      <c r="AE66" s="430">
        <f t="shared" si="280"/>
        <v>173.25300000000004</v>
      </c>
      <c r="AF66" s="514">
        <f t="shared" si="280"/>
        <v>192.94900000000001</v>
      </c>
      <c r="AG66" s="431">
        <f t="shared" si="280"/>
        <v>226.661</v>
      </c>
      <c r="AH66" s="431">
        <f t="shared" si="280"/>
        <v>250.09899999999999</v>
      </c>
      <c r="AI66" s="430">
        <f t="shared" si="280"/>
        <v>278.02</v>
      </c>
      <c r="AJ66" s="514">
        <f t="shared" si="280"/>
        <v>357.125</v>
      </c>
      <c r="AK66" s="431">
        <f t="shared" si="280"/>
        <v>382.27100000000002</v>
      </c>
      <c r="AL66" s="431">
        <f t="shared" si="280"/>
        <v>367.82399999999996</v>
      </c>
      <c r="AM66" s="430">
        <f t="shared" si="280"/>
        <v>379.98500000000001</v>
      </c>
      <c r="AN66" s="514">
        <f t="shared" si="280"/>
        <v>374.50700000000001</v>
      </c>
      <c r="AO66" s="431">
        <f t="shared" si="280"/>
        <v>340.60199999999998</v>
      </c>
      <c r="AP66" s="431">
        <f t="shared" si="280"/>
        <v>329.15599999999995</v>
      </c>
      <c r="AQ66" s="363">
        <f t="shared" si="280"/>
        <v>338.911</v>
      </c>
      <c r="AR66" s="366">
        <f t="shared" si="280"/>
        <v>352.13400000000001</v>
      </c>
      <c r="AS66" s="362">
        <f t="shared" si="280"/>
        <v>383.298</v>
      </c>
      <c r="AT66" s="362">
        <f>AT44+AT33+AT22+AT11+AT55</f>
        <v>416.04700000000003</v>
      </c>
      <c r="AU66" s="363">
        <f>AU44+AU33+AU22+AU11+AU55</f>
        <v>430.20000000000005</v>
      </c>
      <c r="AV66" s="366">
        <f>AV44+AV33+AV22+AV11+AV55</f>
        <v>462.8</v>
      </c>
      <c r="AW66" s="362">
        <f>AW44+AW33+AW22+AW11+AW55</f>
        <v>492.66900000000004</v>
      </c>
      <c r="AX66" s="362">
        <f t="shared" ref="AX66:BF66" si="281">AX44+AX33+AX22+AX11+AX55</f>
        <v>482.40000000000003</v>
      </c>
      <c r="AY66" s="363">
        <f>AY44+AY33+AY22+AY11+AY55</f>
        <v>493.34800000000007</v>
      </c>
      <c r="AZ66" s="366">
        <f>AZ44+AZ33+AZ22+AZ11+AZ55</f>
        <v>528.79700000000003</v>
      </c>
      <c r="BA66" s="362">
        <f t="shared" si="281"/>
        <v>546.29999999999995</v>
      </c>
      <c r="BB66" s="362">
        <f>BB44+BB33+BB22+BB11+BB55</f>
        <v>528.71</v>
      </c>
      <c r="BC66" s="363">
        <f>BC44+BC33+BC22+BC11+BC55</f>
        <v>547.20000000000005</v>
      </c>
      <c r="BD66" s="1257">
        <f t="shared" si="281"/>
        <v>534.1</v>
      </c>
      <c r="BE66" s="434">
        <f t="shared" si="281"/>
        <v>559.5</v>
      </c>
      <c r="BF66" s="434">
        <f t="shared" si="281"/>
        <v>552.01300000000003</v>
      </c>
      <c r="BG66" s="363">
        <f>BG44+BG33+BG22+BG11+BG55</f>
        <v>568.43799999999999</v>
      </c>
      <c r="BH66" s="362">
        <f t="shared" ref="BH66:BO66" si="282">BH44+BH33+BH22+BH11+BH55</f>
        <v>843.99800000000005</v>
      </c>
      <c r="BI66" s="362">
        <f t="shared" si="282"/>
        <v>873.83499999999992</v>
      </c>
      <c r="BJ66" s="362">
        <f t="shared" ref="BJ66:BM66" si="283">BJ44+BJ33+BJ22+BJ11+BJ55</f>
        <v>881.18700000000001</v>
      </c>
      <c r="BK66" s="362">
        <f t="shared" si="283"/>
        <v>902.66600000000005</v>
      </c>
      <c r="BL66" s="1257">
        <f t="shared" si="283"/>
        <v>972.14100000000008</v>
      </c>
      <c r="BM66" s="362">
        <f t="shared" si="283"/>
        <v>1012.139</v>
      </c>
      <c r="BN66" s="362">
        <f t="shared" ref="BN66" si="284">BN44+BN33+BN22+BN11+BN55</f>
        <v>994.24799999999993</v>
      </c>
      <c r="BO66" s="362">
        <f t="shared" si="282"/>
        <v>985.53216599999996</v>
      </c>
      <c r="BP66" s="366">
        <f t="shared" ref="BP66:BW66" si="285">BP44+BP33+BP22+BP11+BP55</f>
        <v>1029.1018515000001</v>
      </c>
      <c r="BQ66" s="362">
        <f t="shared" si="285"/>
        <v>1061.3265526545001</v>
      </c>
      <c r="BR66" s="362">
        <f t="shared" si="285"/>
        <v>1039.7374200049585</v>
      </c>
      <c r="BS66" s="363">
        <f t="shared" si="285"/>
        <v>1030.3623180237353</v>
      </c>
      <c r="BT66" s="362">
        <f t="shared" si="285"/>
        <v>1071.4096212196996</v>
      </c>
      <c r="BU66" s="362">
        <f t="shared" si="285"/>
        <v>1098.9462959489163</v>
      </c>
      <c r="BV66" s="362">
        <f t="shared" si="285"/>
        <v>1083.0117619537671</v>
      </c>
      <c r="BW66" s="363">
        <f t="shared" si="285"/>
        <v>1073.2236018299827</v>
      </c>
      <c r="BX66" s="312"/>
      <c r="BY66" s="447">
        <f>BY44+BY33+BY22+BY11+BY55</f>
        <v>651.46199999999999</v>
      </c>
      <c r="BZ66" s="447">
        <f>BZ44+BZ33+BZ22+BZ11+BZ55</f>
        <v>699.26</v>
      </c>
      <c r="CA66" s="447">
        <f>CA44+CA33+CA22+CA11+CA55</f>
        <v>846.93599999999992</v>
      </c>
      <c r="CB66" s="447">
        <f t="shared" ref="CB66:CK66" si="286">CB44+CB33+CB22+CB11+CB55</f>
        <v>927.79300000000001</v>
      </c>
      <c r="CC66" s="447">
        <f t="shared" si="286"/>
        <v>1039.671</v>
      </c>
      <c r="CD66" s="447">
        <f t="shared" si="286"/>
        <v>1035.7370000000001</v>
      </c>
      <c r="CE66" s="434">
        <f t="shared" si="286"/>
        <v>903.29700000000003</v>
      </c>
      <c r="CF66" s="434">
        <f t="shared" si="286"/>
        <v>947.72900000000004</v>
      </c>
      <c r="CG66" s="434">
        <f t="shared" si="286"/>
        <v>1487.2050000000002</v>
      </c>
      <c r="CH66" s="434">
        <f t="shared" si="286"/>
        <v>1383.1759999999999</v>
      </c>
      <c r="CI66" s="434">
        <f t="shared" si="286"/>
        <v>1581.6790000000001</v>
      </c>
      <c r="CJ66" s="1257">
        <f t="shared" si="286"/>
        <v>1931.2170000000003</v>
      </c>
      <c r="CK66" s="434">
        <f t="shared" si="286"/>
        <v>2151.0070000000001</v>
      </c>
      <c r="CL66" s="434">
        <f>CL44+CL33+CL22+CL11+CL55</f>
        <v>2214.0510000000004</v>
      </c>
      <c r="CM66" s="434">
        <f>CM44+CM33+CM22+CM11+CM55</f>
        <v>3501.6860000000001</v>
      </c>
      <c r="CN66" s="434">
        <f>CN44+CN33+CN22+CN11+CN55</f>
        <v>3964.0601659999998</v>
      </c>
      <c r="CO66" s="434">
        <f>CO44+CO33+CO22+CO11+CO55</f>
        <v>4160.5281421831933</v>
      </c>
      <c r="CP66" s="435">
        <f>CP44+CP33+CP22+CP11+CP55</f>
        <v>4326.5912809523652</v>
      </c>
      <c r="CQ66" s="467"/>
      <c r="CR66" s="471"/>
      <c r="CS66" s="366">
        <f>CS44+CS33+CS22+CS11+CS55</f>
        <v>830.37700000000007</v>
      </c>
      <c r="CT66" s="362">
        <f>CT44+CT33+CT22+CT11+CT55</f>
        <v>888.80399999999997</v>
      </c>
      <c r="CU66" s="362">
        <f>CU44+CU33+CU22+CU11+CU55</f>
        <v>1028.567</v>
      </c>
      <c r="CV66" s="362">
        <f t="shared" ref="CV66:DC66" si="287">CV44+CV33+CV22+CV11+CV55</f>
        <v>1033.4950000000001</v>
      </c>
      <c r="CW66" s="362">
        <f t="shared" si="287"/>
        <v>990.46199999999999</v>
      </c>
      <c r="CX66" s="362">
        <f t="shared" si="287"/>
        <v>842.96199999999999</v>
      </c>
      <c r="CY66" s="362">
        <f t="shared" si="287"/>
        <v>1385.24</v>
      </c>
      <c r="CZ66" s="362">
        <f t="shared" si="287"/>
        <v>1424.25</v>
      </c>
      <c r="DA66" s="366">
        <f t="shared" si="287"/>
        <v>1490.39</v>
      </c>
      <c r="DB66" s="362">
        <f t="shared" si="287"/>
        <v>1868.069</v>
      </c>
      <c r="DC66" s="366">
        <f t="shared" si="287"/>
        <v>2097.1550000000007</v>
      </c>
      <c r="DD66" s="362">
        <f>DD44+DD33+DD22+DD11+DD55</f>
        <v>2192.8130000000001</v>
      </c>
      <c r="DE66" s="362">
        <f>DE44+DE33+DE22+DE11+DE55</f>
        <v>3167.4580000000001</v>
      </c>
      <c r="DF66" s="362">
        <f>DF44+DF33+DF22+DF11+DF55</f>
        <v>3881.1940000000004</v>
      </c>
      <c r="DG66" s="362">
        <f>DG44+DG33+DG22+DG11+DG55</f>
        <v>4115.6979901594586</v>
      </c>
      <c r="DH66" s="363">
        <f>DH44+DH33+DH22+DH11+DH55</f>
        <v>4283.729997146118</v>
      </c>
    </row>
    <row r="67" spans="1:112" ht="14.25" customHeight="1">
      <c r="A67" s="472"/>
      <c r="B67" s="238" t="s">
        <v>98</v>
      </c>
      <c r="C67" s="239"/>
      <c r="D67" s="90"/>
      <c r="E67" s="90">
        <f t="shared" ref="E67:S67" si="288">E66/D66-1</f>
        <v>5.8605849794342912E-2</v>
      </c>
      <c r="F67" s="90">
        <f t="shared" si="288"/>
        <v>4.179233347524125E-3</v>
      </c>
      <c r="G67" s="91">
        <f t="shared" si="288"/>
        <v>-4.6616191169972621E-2</v>
      </c>
      <c r="H67" s="90">
        <f t="shared" si="288"/>
        <v>1.0121064465418605E-2</v>
      </c>
      <c r="I67" s="90">
        <f t="shared" si="288"/>
        <v>4.4660627592492563E-2</v>
      </c>
      <c r="J67" s="90">
        <f t="shared" si="288"/>
        <v>5.627173771114502E-2</v>
      </c>
      <c r="K67" s="91">
        <f t="shared" si="288"/>
        <v>7.6177044058730159E-2</v>
      </c>
      <c r="L67" s="90">
        <f t="shared" si="288"/>
        <v>0.11095737348844015</v>
      </c>
      <c r="M67" s="90">
        <f t="shared" si="288"/>
        <v>3.7217718246974618E-2</v>
      </c>
      <c r="N67" s="90">
        <f t="shared" si="288"/>
        <v>-6.9372071737337726E-2</v>
      </c>
      <c r="O67" s="91">
        <f t="shared" si="288"/>
        <v>1.3141237876368006E-2</v>
      </c>
      <c r="P67" s="90">
        <f t="shared" si="288"/>
        <v>5.0191510118558602E-2</v>
      </c>
      <c r="Q67" s="90">
        <f t="shared" si="288"/>
        <v>4.0136916719673232E-2</v>
      </c>
      <c r="R67" s="90">
        <f t="shared" si="288"/>
        <v>3.3427482863905622E-2</v>
      </c>
      <c r="S67" s="91">
        <f t="shared" si="288"/>
        <v>5.1835706014576655E-2</v>
      </c>
      <c r="T67" s="90">
        <f>T66/S66-1</f>
        <v>6.2674038337003024E-2</v>
      </c>
      <c r="U67" s="90">
        <f>U66/T66-1</f>
        <v>2.0479362576506954E-2</v>
      </c>
      <c r="V67" s="90">
        <f>V66/U66-1</f>
        <v>-6.3187202818604349E-2</v>
      </c>
      <c r="W67" s="91">
        <f>W66/V66-1</f>
        <v>2.8573249828687919E-2</v>
      </c>
      <c r="X67" s="90">
        <f t="shared" ref="X67:BC67" si="289">X66/W66-1</f>
        <v>2.2837134357957423E-2</v>
      </c>
      <c r="Y67" s="90">
        <f t="shared" si="289"/>
        <v>-2.0543639613438747E-2</v>
      </c>
      <c r="Z67" s="90">
        <f t="shared" si="289"/>
        <v>-2.3379354873630742E-2</v>
      </c>
      <c r="AA67" s="91">
        <f t="shared" si="289"/>
        <v>3.0950118764845769E-2</v>
      </c>
      <c r="AB67" s="90">
        <f t="shared" si="289"/>
        <v>2.977520755093721E-2</v>
      </c>
      <c r="AC67" s="90">
        <f t="shared" si="289"/>
        <v>5.7202094178363527E-3</v>
      </c>
      <c r="AD67" s="90">
        <f t="shared" si="289"/>
        <v>-0.28749823882301473</v>
      </c>
      <c r="AE67" s="91">
        <f t="shared" si="289"/>
        <v>-9.8420115941425412E-2</v>
      </c>
      <c r="AF67" s="90">
        <f t="shared" si="289"/>
        <v>0.11368345714071304</v>
      </c>
      <c r="AG67" s="90">
        <f t="shared" si="289"/>
        <v>0.17471974459572204</v>
      </c>
      <c r="AH67" s="90">
        <f t="shared" si="289"/>
        <v>0.10340552631462829</v>
      </c>
      <c r="AI67" s="91">
        <f t="shared" si="289"/>
        <v>0.11163979064290541</v>
      </c>
      <c r="AJ67" s="90">
        <f t="shared" si="289"/>
        <v>0.28452988993597583</v>
      </c>
      <c r="AK67" s="90">
        <f t="shared" si="289"/>
        <v>7.0412320616030755E-2</v>
      </c>
      <c r="AL67" s="90">
        <f t="shared" si="289"/>
        <v>-3.7792560774947748E-2</v>
      </c>
      <c r="AM67" s="91">
        <f t="shared" si="289"/>
        <v>3.3062007916830005E-2</v>
      </c>
      <c r="AN67" s="429">
        <f t="shared" si="289"/>
        <v>-1.4416358540468743E-2</v>
      </c>
      <c r="AO67" s="429">
        <f t="shared" si="289"/>
        <v>-9.0532353200340809E-2</v>
      </c>
      <c r="AP67" s="429">
        <f t="shared" si="289"/>
        <v>-3.3605204901909103E-2</v>
      </c>
      <c r="AQ67" s="282">
        <f t="shared" si="289"/>
        <v>2.9636403407502954E-2</v>
      </c>
      <c r="AR67" s="240">
        <f t="shared" si="289"/>
        <v>3.9016142881169502E-2</v>
      </c>
      <c r="AS67" s="240">
        <f t="shared" si="289"/>
        <v>8.8500400415750802E-2</v>
      </c>
      <c r="AT67" s="240">
        <f t="shared" si="289"/>
        <v>8.5440049256714223E-2</v>
      </c>
      <c r="AU67" s="282">
        <f t="shared" si="289"/>
        <v>3.4017791259160601E-2</v>
      </c>
      <c r="AV67" s="240">
        <f t="shared" si="289"/>
        <v>7.5778707577870641E-2</v>
      </c>
      <c r="AW67" s="240">
        <f t="shared" si="289"/>
        <v>6.4539757994814151E-2</v>
      </c>
      <c r="AX67" s="240">
        <f t="shared" si="289"/>
        <v>-2.0843608995085972E-2</v>
      </c>
      <c r="AY67" s="282">
        <f t="shared" si="289"/>
        <v>2.2694859038142612E-2</v>
      </c>
      <c r="AZ67" s="240">
        <f t="shared" si="289"/>
        <v>7.1853944882719567E-2</v>
      </c>
      <c r="BA67" s="240">
        <f t="shared" si="289"/>
        <v>3.3099658280965949E-2</v>
      </c>
      <c r="BB67" s="240">
        <f t="shared" si="289"/>
        <v>-3.2198425773384387E-2</v>
      </c>
      <c r="BC67" s="282">
        <f t="shared" si="289"/>
        <v>3.4971912768814617E-2</v>
      </c>
      <c r="BD67" s="1028">
        <f t="shared" ref="BD67:BN67" si="290">BD66/BC66-1</f>
        <v>-2.3940058479532178E-2</v>
      </c>
      <c r="BE67" s="240">
        <f t="shared" si="290"/>
        <v>4.755663733383253E-2</v>
      </c>
      <c r="BF67" s="240">
        <f t="shared" si="290"/>
        <v>-1.3381590705987434E-2</v>
      </c>
      <c r="BG67" s="282">
        <f t="shared" si="290"/>
        <v>2.9754734037060526E-2</v>
      </c>
      <c r="BH67" s="240">
        <f t="shared" si="290"/>
        <v>0.48476702824230622</v>
      </c>
      <c r="BI67" s="240">
        <f t="shared" si="290"/>
        <v>3.535197950706026E-2</v>
      </c>
      <c r="BJ67" s="240">
        <f t="shared" si="290"/>
        <v>8.4134876721579932E-3</v>
      </c>
      <c r="BK67" s="240">
        <f t="shared" si="290"/>
        <v>2.4375075891950315E-2</v>
      </c>
      <c r="BL67" s="1028">
        <f t="shared" si="290"/>
        <v>7.6966452707867505E-2</v>
      </c>
      <c r="BM67" s="240">
        <f t="shared" si="290"/>
        <v>4.1144237307139564E-2</v>
      </c>
      <c r="BN67" s="240">
        <f t="shared" si="290"/>
        <v>-1.7676425866407719E-2</v>
      </c>
      <c r="BO67" s="240">
        <f t="shared" ref="BO67:BS67" si="291">BO66/BN66-1</f>
        <v>-8.7662575132160248E-3</v>
      </c>
      <c r="BP67" s="1028">
        <f t="shared" si="291"/>
        <v>4.4209298288900412E-2</v>
      </c>
      <c r="BQ67" s="240">
        <f t="shared" si="291"/>
        <v>3.1313422580602657E-2</v>
      </c>
      <c r="BR67" s="240">
        <f t="shared" si="291"/>
        <v>-2.0341649415577812E-2</v>
      </c>
      <c r="BS67" s="282">
        <f t="shared" si="291"/>
        <v>-9.0167977037688418E-3</v>
      </c>
      <c r="BT67" s="240">
        <f t="shared" ref="BT67" si="292">BT66/BS66-1</f>
        <v>3.9837737151232622E-2</v>
      </c>
      <c r="BU67" s="240">
        <f t="shared" ref="BU67" si="293">BU66/BT66-1</f>
        <v>2.5701350990173788E-2</v>
      </c>
      <c r="BV67" s="240">
        <f t="shared" ref="BV67" si="294">BV66/BU66-1</f>
        <v>-1.4499829567549583E-2</v>
      </c>
      <c r="BW67" s="282">
        <f t="shared" ref="BW67" si="295">BW66/BV66-1</f>
        <v>-9.0379074980001528E-3</v>
      </c>
      <c r="BX67" s="20"/>
      <c r="BY67" s="14"/>
      <c r="BZ67" s="14"/>
      <c r="CA67" s="14"/>
      <c r="CB67" s="14"/>
      <c r="CC67" s="14"/>
      <c r="CD67" s="14"/>
      <c r="CE67" s="14"/>
      <c r="CF67" s="240"/>
      <c r="CG67" s="240"/>
      <c r="CH67" s="240"/>
      <c r="CI67" s="240"/>
      <c r="CJ67" s="1028"/>
      <c r="CK67" s="240"/>
      <c r="CL67" s="240"/>
      <c r="CM67" s="240"/>
      <c r="CN67" s="240"/>
      <c r="CO67" s="240"/>
      <c r="CP67" s="282"/>
      <c r="CQ67" s="22"/>
      <c r="CR67" s="232"/>
      <c r="CS67" s="22"/>
      <c r="CT67" s="14"/>
      <c r="CU67" s="14"/>
      <c r="CV67" s="14"/>
      <c r="CW67" s="14"/>
      <c r="CX67" s="14"/>
      <c r="CY67" s="14"/>
      <c r="CZ67" s="14"/>
      <c r="DA67" s="22"/>
      <c r="DB67" s="14"/>
      <c r="DC67" s="22"/>
      <c r="DD67" s="14"/>
      <c r="DE67" s="14"/>
      <c r="DF67" s="14"/>
      <c r="DG67" s="14"/>
      <c r="DH67" s="232"/>
    </row>
    <row r="68" spans="1:112" ht="14.25" customHeight="1">
      <c r="A68" s="472"/>
      <c r="B68" s="34" t="s">
        <v>220</v>
      </c>
      <c r="C68" s="239"/>
      <c r="D68" s="144"/>
      <c r="E68" s="90"/>
      <c r="F68" s="90"/>
      <c r="G68" s="91"/>
      <c r="H68" s="144"/>
      <c r="I68" s="90"/>
      <c r="J68" s="90"/>
      <c r="K68" s="91"/>
      <c r="L68" s="144"/>
      <c r="M68" s="90"/>
      <c r="N68" s="90"/>
      <c r="O68" s="91"/>
      <c r="P68" s="144"/>
      <c r="Q68" s="90"/>
      <c r="R68" s="90"/>
      <c r="S68" s="91"/>
      <c r="T68" s="144"/>
      <c r="U68" s="90"/>
      <c r="V68" s="90"/>
      <c r="W68" s="91"/>
      <c r="X68" s="144"/>
      <c r="Y68" s="90"/>
      <c r="Z68" s="90"/>
      <c r="AA68" s="91"/>
      <c r="AB68" s="144"/>
      <c r="AC68" s="90"/>
      <c r="AD68" s="90"/>
      <c r="AE68" s="91"/>
      <c r="AF68" s="144"/>
      <c r="AG68" s="90"/>
      <c r="AH68" s="90"/>
      <c r="AI68" s="91"/>
      <c r="AJ68" s="144"/>
      <c r="AK68" s="240">
        <f t="shared" ref="AK68:AZ68" si="296">AVERAGE(AG67,AC67,Y67,U67,Q67)</f>
        <v>4.4102518739259966E-2</v>
      </c>
      <c r="AL68" s="240">
        <f t="shared" si="296"/>
        <v>-4.744635746734318E-2</v>
      </c>
      <c r="AM68" s="282">
        <f t="shared" si="296"/>
        <v>2.4915749861918069E-2</v>
      </c>
      <c r="AN68" s="240">
        <f t="shared" si="296"/>
        <v>0.1026999454645173</v>
      </c>
      <c r="AO68" s="240">
        <f t="shared" si="296"/>
        <v>5.0157599518531472E-2</v>
      </c>
      <c r="AP68" s="240">
        <f t="shared" si="296"/>
        <v>-6.1690366195113852E-2</v>
      </c>
      <c r="AQ68" s="282">
        <f t="shared" si="296"/>
        <v>2.1161010242368737E-2</v>
      </c>
      <c r="AR68" s="240">
        <f t="shared" si="296"/>
        <v>8.7281866089022955E-2</v>
      </c>
      <c r="AS68" s="240">
        <f t="shared" si="296"/>
        <v>2.7955256363161918E-2</v>
      </c>
      <c r="AT68" s="240">
        <f t="shared" si="296"/>
        <v>-5.5773966611774806E-2</v>
      </c>
      <c r="AU68" s="282">
        <f t="shared" si="296"/>
        <v>2.1373640958131747E-2</v>
      </c>
      <c r="AV68" s="240">
        <f t="shared" si="296"/>
        <v>9.0517667793665366E-2</v>
      </c>
      <c r="AW68" s="240">
        <f t="shared" si="296"/>
        <v>4.9764064368999827E-2</v>
      </c>
      <c r="AX68" s="240">
        <f t="shared" ref="AX68:BC68" si="297">AT68</f>
        <v>-5.5773966611774806E-2</v>
      </c>
      <c r="AY68" s="282">
        <f t="shared" si="296"/>
        <v>2.1987175456994711E-2</v>
      </c>
      <c r="AZ68" s="240">
        <f t="shared" si="296"/>
        <v>9.9718367799052049E-2</v>
      </c>
      <c r="BA68" s="240">
        <f t="shared" si="297"/>
        <v>4.9764064368999827E-2</v>
      </c>
      <c r="BB68" s="240">
        <f t="shared" si="297"/>
        <v>-5.5773966611774806E-2</v>
      </c>
      <c r="BC68" s="282">
        <f t="shared" si="297"/>
        <v>2.1987175456994711E-2</v>
      </c>
      <c r="BD68" s="1028">
        <f t="shared" ref="BD68:BN68" si="298">AZ68</f>
        <v>9.9718367799052049E-2</v>
      </c>
      <c r="BE68" s="240">
        <f t="shared" si="298"/>
        <v>4.9764064368999827E-2</v>
      </c>
      <c r="BF68" s="240">
        <f t="shared" si="298"/>
        <v>-5.5773966611774806E-2</v>
      </c>
      <c r="BG68" s="282">
        <f t="shared" si="298"/>
        <v>2.1987175456994711E-2</v>
      </c>
      <c r="BH68" s="240">
        <f t="shared" si="298"/>
        <v>9.9718367799052049E-2</v>
      </c>
      <c r="BI68" s="240">
        <f t="shared" si="298"/>
        <v>4.9764064368999827E-2</v>
      </c>
      <c r="BJ68" s="240">
        <f t="shared" si="298"/>
        <v>-5.5773966611774806E-2</v>
      </c>
      <c r="BK68" s="240">
        <f t="shared" si="298"/>
        <v>2.1987175456994711E-2</v>
      </c>
      <c r="BL68" s="1028">
        <f t="shared" si="298"/>
        <v>9.9718367799052049E-2</v>
      </c>
      <c r="BM68" s="240">
        <f t="shared" si="298"/>
        <v>4.9764064368999827E-2</v>
      </c>
      <c r="BN68" s="240">
        <f t="shared" si="298"/>
        <v>-5.5773966611774806E-2</v>
      </c>
      <c r="BO68" s="240">
        <f t="shared" ref="BO68:BS68" si="299">BK68</f>
        <v>2.1987175456994711E-2</v>
      </c>
      <c r="BP68" s="1028">
        <f t="shared" si="299"/>
        <v>9.9718367799052049E-2</v>
      </c>
      <c r="BQ68" s="240">
        <f t="shared" si="299"/>
        <v>4.9764064368999827E-2</v>
      </c>
      <c r="BR68" s="240">
        <f t="shared" si="299"/>
        <v>-5.5773966611774806E-2</v>
      </c>
      <c r="BS68" s="282">
        <f t="shared" si="299"/>
        <v>2.1987175456994711E-2</v>
      </c>
      <c r="BT68" s="240">
        <f t="shared" ref="BT68" si="300">BP68</f>
        <v>9.9718367799052049E-2</v>
      </c>
      <c r="BU68" s="240">
        <f t="shared" ref="BU68" si="301">BQ68</f>
        <v>4.9764064368999827E-2</v>
      </c>
      <c r="BV68" s="240">
        <f t="shared" ref="BV68" si="302">BR68</f>
        <v>-5.5773966611774806E-2</v>
      </c>
      <c r="BW68" s="282">
        <f t="shared" ref="BW68" si="303">BS68</f>
        <v>2.1987175456994711E-2</v>
      </c>
      <c r="BX68" s="20"/>
      <c r="BY68" s="14"/>
      <c r="BZ68" s="14"/>
      <c r="CA68" s="14"/>
      <c r="CB68" s="14"/>
      <c r="CC68" s="14"/>
      <c r="CD68" s="14"/>
      <c r="CE68" s="14"/>
      <c r="CF68" s="240"/>
      <c r="CG68" s="240"/>
      <c r="CH68" s="240"/>
      <c r="CI68" s="240"/>
      <c r="CJ68" s="1028"/>
      <c r="CK68" s="240"/>
      <c r="CL68" s="240"/>
      <c r="CM68" s="240"/>
      <c r="CN68" s="240"/>
      <c r="CO68" s="240"/>
      <c r="CP68" s="282"/>
      <c r="CQ68" s="22"/>
      <c r="CR68" s="232"/>
      <c r="CS68" s="22"/>
      <c r="CT68" s="14"/>
      <c r="CU68" s="14"/>
      <c r="CV68" s="14"/>
      <c r="CW68" s="14"/>
      <c r="CX68" s="14"/>
      <c r="CY68" s="14"/>
      <c r="CZ68" s="14"/>
      <c r="DA68" s="22"/>
      <c r="DB68" s="14"/>
      <c r="DC68" s="22"/>
      <c r="DD68" s="14"/>
      <c r="DE68" s="14"/>
      <c r="DF68" s="14"/>
      <c r="DG68" s="14"/>
      <c r="DH68" s="232"/>
    </row>
    <row r="69" spans="1:112" ht="14.25" customHeight="1">
      <c r="A69" s="472"/>
      <c r="B69" s="34" t="s">
        <v>99</v>
      </c>
      <c r="C69" s="35"/>
      <c r="D69" s="90"/>
      <c r="E69" s="90"/>
      <c r="F69" s="90"/>
      <c r="G69" s="91"/>
      <c r="H69" s="90">
        <f t="shared" ref="H69:W69" si="304">H66/D66-1</f>
        <v>2.3733052353628326E-2</v>
      </c>
      <c r="I69" s="90">
        <f t="shared" si="304"/>
        <v>1.024721634278114E-2</v>
      </c>
      <c r="J69" s="90">
        <f t="shared" si="304"/>
        <v>6.2654501594277212E-2</v>
      </c>
      <c r="K69" s="91">
        <f t="shared" si="304"/>
        <v>0.19952150413047143</v>
      </c>
      <c r="L69" s="90">
        <f t="shared" si="304"/>
        <v>0.31926489462621599</v>
      </c>
      <c r="M69" s="90">
        <f t="shared" si="304"/>
        <v>0.30986550811343383</v>
      </c>
      <c r="N69" s="90">
        <f t="shared" si="304"/>
        <v>0.15405665095214305</v>
      </c>
      <c r="O69" s="91">
        <f t="shared" si="304"/>
        <v>8.6459138280319703E-2</v>
      </c>
      <c r="P69" s="90">
        <f t="shared" si="304"/>
        <v>2.7033251086828747E-2</v>
      </c>
      <c r="Q69" s="90">
        <f t="shared" si="304"/>
        <v>2.9923785875465514E-2</v>
      </c>
      <c r="R69" s="90">
        <f t="shared" si="304"/>
        <v>0.14369181630506755</v>
      </c>
      <c r="S69" s="91">
        <f t="shared" si="304"/>
        <v>0.18737234661168878</v>
      </c>
      <c r="T69" s="90">
        <f t="shared" si="304"/>
        <v>0.20148539997345871</v>
      </c>
      <c r="U69" s="90">
        <f t="shared" si="304"/>
        <v>0.17877851982859494</v>
      </c>
      <c r="V69" s="90">
        <f t="shared" si="304"/>
        <v>6.8575028948981709E-2</v>
      </c>
      <c r="W69" s="91">
        <f t="shared" si="304"/>
        <v>4.4942364978629579E-2</v>
      </c>
      <c r="X69" s="90">
        <f t="shared" ref="X69:BC69" si="305">X66/T66-1</f>
        <v>5.7701756190084996E-3</v>
      </c>
      <c r="Y69" s="90">
        <f t="shared" si="305"/>
        <v>-3.4661521120872951E-2</v>
      </c>
      <c r="Z69" s="90">
        <f t="shared" si="305"/>
        <v>6.3584644069416552E-3</v>
      </c>
      <c r="AA69" s="91">
        <f t="shared" si="305"/>
        <v>8.6839985126427877E-3</v>
      </c>
      <c r="AB69" s="90">
        <f t="shared" si="305"/>
        <v>1.5526068647944591E-2</v>
      </c>
      <c r="AC69" s="90">
        <f t="shared" si="305"/>
        <v>4.2757116842646603E-2</v>
      </c>
      <c r="AD69" s="90">
        <f t="shared" si="305"/>
        <v>-0.23924782264449729</v>
      </c>
      <c r="AE69" s="91">
        <f t="shared" si="305"/>
        <v>-0.33471188627514226</v>
      </c>
      <c r="AF69" s="90">
        <f t="shared" si="305"/>
        <v>-0.280502811628358</v>
      </c>
      <c r="AG69" s="90">
        <f t="shared" si="305"/>
        <v>-0.15959971227929681</v>
      </c>
      <c r="AH69" s="90">
        <f t="shared" si="305"/>
        <v>0.30147372584119969</v>
      </c>
      <c r="AI69" s="91">
        <f t="shared" si="305"/>
        <v>0.60470525762901595</v>
      </c>
      <c r="AJ69" s="90">
        <f t="shared" si="305"/>
        <v>0.85087769306915284</v>
      </c>
      <c r="AK69" s="90">
        <f t="shared" si="305"/>
        <v>0.68653186917908249</v>
      </c>
      <c r="AL69" s="90">
        <f t="shared" si="305"/>
        <v>0.47071359741542329</v>
      </c>
      <c r="AM69" s="91">
        <f t="shared" si="305"/>
        <v>0.36675419034601831</v>
      </c>
      <c r="AN69" s="429">
        <f t="shared" si="305"/>
        <v>4.8672033601680154E-2</v>
      </c>
      <c r="AO69" s="429">
        <f t="shared" si="305"/>
        <v>-0.1090038218959849</v>
      </c>
      <c r="AP69" s="429">
        <f t="shared" si="305"/>
        <v>-0.10512636478315718</v>
      </c>
      <c r="AQ69" s="282">
        <f t="shared" si="305"/>
        <v>-0.10809374054238985</v>
      </c>
      <c r="AR69" s="240">
        <f t="shared" si="305"/>
        <v>-5.9739871350869223E-2</v>
      </c>
      <c r="AS69" s="240">
        <f t="shared" si="305"/>
        <v>0.12535451935103148</v>
      </c>
      <c r="AT69" s="240">
        <f t="shared" si="305"/>
        <v>0.26398121255574902</v>
      </c>
      <c r="AU69" s="282">
        <f t="shared" si="305"/>
        <v>0.26935980242600577</v>
      </c>
      <c r="AV69" s="240">
        <f t="shared" si="305"/>
        <v>0.31427240766299191</v>
      </c>
      <c r="AW69" s="240">
        <f t="shared" si="305"/>
        <v>0.28534195325830036</v>
      </c>
      <c r="AX69" s="240">
        <f t="shared" si="305"/>
        <v>0.15948438517763619</v>
      </c>
      <c r="AY69" s="282">
        <f t="shared" si="305"/>
        <v>0.14678754067875421</v>
      </c>
      <c r="AZ69" s="240">
        <f t="shared" si="305"/>
        <v>0.14260371650821102</v>
      </c>
      <c r="BA69" s="240">
        <f t="shared" si="305"/>
        <v>0.10885807712683349</v>
      </c>
      <c r="BB69" s="240">
        <f t="shared" si="305"/>
        <v>9.5999170812603563E-2</v>
      </c>
      <c r="BC69" s="282">
        <f t="shared" si="305"/>
        <v>0.10915621427471067</v>
      </c>
      <c r="BD69" s="1028">
        <f t="shared" ref="BD69:BN69" si="306">BD66/AZ66-1</f>
        <v>1.0028423005425502E-2</v>
      </c>
      <c r="BE69" s="240">
        <f t="shared" si="306"/>
        <v>2.416254805052187E-2</v>
      </c>
      <c r="BF69" s="240">
        <f t="shared" si="306"/>
        <v>4.4075201906527139E-2</v>
      </c>
      <c r="BG69" s="282">
        <f t="shared" si="306"/>
        <v>3.8812134502923978E-2</v>
      </c>
      <c r="BH69" s="240">
        <f t="shared" si="306"/>
        <v>0.58022467702677405</v>
      </c>
      <c r="BI69" s="240">
        <f t="shared" si="306"/>
        <v>0.56181411974977635</v>
      </c>
      <c r="BJ69" s="240">
        <f t="shared" si="306"/>
        <v>0.59631566647886913</v>
      </c>
      <c r="BK69" s="240">
        <f t="shared" si="306"/>
        <v>0.58797617330298135</v>
      </c>
      <c r="BL69" s="1028">
        <f t="shared" si="306"/>
        <v>0.15182855883544755</v>
      </c>
      <c r="BM69" s="240">
        <f t="shared" si="306"/>
        <v>0.15827244273804553</v>
      </c>
      <c r="BN69" s="240">
        <f t="shared" si="306"/>
        <v>0.12830534267981708</v>
      </c>
      <c r="BO69" s="240">
        <f t="shared" ref="BO69:BS69" si="307">BO66/BK66-1</f>
        <v>9.1801581094225204E-2</v>
      </c>
      <c r="BP69" s="1028">
        <f t="shared" si="307"/>
        <v>5.8593199443290667E-2</v>
      </c>
      <c r="BQ69" s="240">
        <f t="shared" si="307"/>
        <v>4.8597626071616773E-2</v>
      </c>
      <c r="BR69" s="240">
        <f t="shared" si="307"/>
        <v>4.575258889628997E-2</v>
      </c>
      <c r="BS69" s="282">
        <f t="shared" si="307"/>
        <v>4.5488268744883653E-2</v>
      </c>
      <c r="BT69" s="240">
        <f t="shared" ref="BT69" si="308">BT66/BP66-1</f>
        <v>4.1111353223233005E-2</v>
      </c>
      <c r="BU69" s="240">
        <f t="shared" ref="BU69" si="309">BU66/BQ66-1</f>
        <v>3.5445964486919612E-2</v>
      </c>
      <c r="BV69" s="240">
        <f t="shared" ref="BV69" si="310">BV66/BR66-1</f>
        <v>4.1620452545222619E-2</v>
      </c>
      <c r="BW69" s="282">
        <f t="shared" ref="BW69" si="311">BW66/BS66-1</f>
        <v>4.1598264082926217E-2</v>
      </c>
      <c r="BX69" s="20"/>
      <c r="BY69" s="369"/>
      <c r="BZ69" s="369">
        <f>BZ66/BY66-1</f>
        <v>7.3370357749185766E-2</v>
      </c>
      <c r="CA69" s="369">
        <f>CA66/BZ66-1</f>
        <v>0.21118897119812363</v>
      </c>
      <c r="CB69" s="369">
        <f>CB66/CA66-1</f>
        <v>9.5470023708993379E-2</v>
      </c>
      <c r="CC69" s="369">
        <f>CC66/CB66-1</f>
        <v>0.12058508740635032</v>
      </c>
      <c r="CD69" s="369">
        <f t="shared" ref="CD69:CK69" si="312">CD66/CC66-1</f>
        <v>-3.7838893265272899E-3</v>
      </c>
      <c r="CE69" s="369">
        <f t="shared" si="312"/>
        <v>-0.12787029912033654</v>
      </c>
      <c r="CF69" s="369">
        <f t="shared" si="312"/>
        <v>4.9188694305416725E-2</v>
      </c>
      <c r="CG69" s="369">
        <f t="shared" si="312"/>
        <v>0.56923023353722435</v>
      </c>
      <c r="CH69" s="369">
        <f t="shared" si="312"/>
        <v>-6.99493344898654E-2</v>
      </c>
      <c r="CI69" s="369">
        <f t="shared" si="312"/>
        <v>0.14351246696009778</v>
      </c>
      <c r="CJ69" s="1054">
        <f t="shared" si="312"/>
        <v>0.2209917435838753</v>
      </c>
      <c r="CK69" s="369">
        <f t="shared" si="312"/>
        <v>0.11380906443967698</v>
      </c>
      <c r="CL69" s="369">
        <f>CL66/CK66-1</f>
        <v>2.9309063150422254E-2</v>
      </c>
      <c r="CM69" s="369">
        <f>CM66/CL66-1</f>
        <v>0.58157422751327759</v>
      </c>
      <c r="CN69" s="369">
        <f>CN66/CM66-1</f>
        <v>0.13204329742872423</v>
      </c>
      <c r="CO69" s="369">
        <f>CO66/CN66-1</f>
        <v>4.9562309338367694E-2</v>
      </c>
      <c r="CP69" s="368">
        <f>CP66/CO66-1</f>
        <v>3.9913956376228743E-2</v>
      </c>
      <c r="CQ69" s="22"/>
      <c r="CR69" s="232"/>
      <c r="CS69" s="22"/>
      <c r="CT69" s="369">
        <f>+CT66/CS66-1</f>
        <v>7.036201628898664E-2</v>
      </c>
      <c r="CU69" s="369">
        <f>+CU66/CT66-1</f>
        <v>0.15724839222145715</v>
      </c>
      <c r="CV69" s="369">
        <f>+CV66/CU66-1</f>
        <v>4.7911317395950004E-3</v>
      </c>
      <c r="CW69" s="369">
        <f>+CW66/CV66-1</f>
        <v>-4.1638324326678022E-2</v>
      </c>
      <c r="CX69" s="369">
        <f t="shared" ref="CX69:DH69" si="313">+CX66/CW66-1</f>
        <v>-0.14892040280192476</v>
      </c>
      <c r="CY69" s="369">
        <f t="shared" si="313"/>
        <v>0.64330064700425416</v>
      </c>
      <c r="CZ69" s="369">
        <f t="shared" si="313"/>
        <v>2.8161185065403771E-2</v>
      </c>
      <c r="DA69" s="1054">
        <f t="shared" si="313"/>
        <v>4.6438476391083006E-2</v>
      </c>
      <c r="DB69" s="369">
        <f t="shared" si="313"/>
        <v>0.25340951026241432</v>
      </c>
      <c r="DC69" s="1054">
        <f t="shared" si="313"/>
        <v>0.1226325151801142</v>
      </c>
      <c r="DD69" s="369">
        <f t="shared" si="313"/>
        <v>4.5613223629154431E-2</v>
      </c>
      <c r="DE69" s="369">
        <f t="shared" si="313"/>
        <v>0.44447246527633677</v>
      </c>
      <c r="DF69" s="369">
        <f t="shared" si="313"/>
        <v>0.22533400600734099</v>
      </c>
      <c r="DG69" s="369">
        <f t="shared" si="313"/>
        <v>6.0420579378268169E-2</v>
      </c>
      <c r="DH69" s="368">
        <f t="shared" si="313"/>
        <v>4.082709843832566E-2</v>
      </c>
    </row>
    <row r="70" spans="1:112" ht="14.25" customHeight="1">
      <c r="A70" s="472"/>
      <c r="B70" s="22"/>
      <c r="C70" s="232"/>
      <c r="D70" s="90"/>
      <c r="E70" s="90"/>
      <c r="F70" s="90"/>
      <c r="G70" s="91"/>
      <c r="H70" s="90"/>
      <c r="I70" s="90"/>
      <c r="J70" s="90"/>
      <c r="K70" s="91"/>
      <c r="L70" s="90"/>
      <c r="M70" s="90"/>
      <c r="N70" s="90"/>
      <c r="O70" s="91"/>
      <c r="P70" s="90"/>
      <c r="Q70" s="90"/>
      <c r="R70" s="90"/>
      <c r="S70" s="91"/>
      <c r="T70" s="90"/>
      <c r="U70" s="90"/>
      <c r="V70" s="90"/>
      <c r="W70" s="91"/>
      <c r="X70" s="90"/>
      <c r="Y70" s="90"/>
      <c r="Z70" s="90"/>
      <c r="AA70" s="91"/>
      <c r="AB70" s="90"/>
      <c r="AC70" s="90"/>
      <c r="AD70" s="90"/>
      <c r="AE70" s="91"/>
      <c r="AF70" s="90"/>
      <c r="AG70" s="90"/>
      <c r="AH70" s="90"/>
      <c r="AI70" s="91"/>
      <c r="AJ70" s="90"/>
      <c r="AK70" s="90"/>
      <c r="AL70" s="90"/>
      <c r="AM70" s="91"/>
      <c r="AN70" s="90"/>
      <c r="AO70" s="90"/>
      <c r="AP70" s="90"/>
      <c r="AQ70" s="282"/>
      <c r="AR70" s="240"/>
      <c r="AS70" s="240"/>
      <c r="AT70" s="240"/>
      <c r="AU70" s="282"/>
      <c r="AV70" s="240"/>
      <c r="AW70" s="240"/>
      <c r="AX70" s="240"/>
      <c r="AY70" s="282"/>
      <c r="AZ70" s="240"/>
      <c r="BA70" s="240"/>
      <c r="BB70" s="240"/>
      <c r="BC70" s="282"/>
      <c r="BD70" s="1028"/>
      <c r="BE70" s="240"/>
      <c r="BF70" s="240"/>
      <c r="BG70" s="282"/>
      <c r="BH70" s="240"/>
      <c r="BI70" s="240"/>
      <c r="BJ70" s="240"/>
      <c r="BK70" s="240"/>
      <c r="BL70" s="1028"/>
      <c r="BM70" s="240"/>
      <c r="BN70" s="240"/>
      <c r="BO70" s="240"/>
      <c r="BP70" s="1028"/>
      <c r="BQ70" s="240"/>
      <c r="BR70" s="240"/>
      <c r="BS70" s="282"/>
      <c r="BT70" s="240"/>
      <c r="BU70" s="240"/>
      <c r="BV70" s="240"/>
      <c r="BW70" s="282"/>
      <c r="BX70" s="20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22"/>
      <c r="CK70" s="14"/>
      <c r="CL70" s="14"/>
      <c r="CM70" s="14"/>
      <c r="CN70" s="14"/>
      <c r="CO70" s="14"/>
      <c r="CP70" s="232"/>
      <c r="CQ70" s="22"/>
      <c r="CR70" s="232"/>
      <c r="CS70" s="22"/>
      <c r="CT70" s="14"/>
      <c r="CU70" s="14"/>
      <c r="CV70" s="14"/>
      <c r="CW70" s="14"/>
      <c r="CX70" s="14"/>
      <c r="CY70" s="14"/>
      <c r="CZ70" s="14"/>
      <c r="DA70" s="22"/>
      <c r="DB70" s="14"/>
      <c r="DC70" s="22"/>
      <c r="DD70" s="14"/>
      <c r="DE70" s="14"/>
      <c r="DF70" s="14"/>
      <c r="DG70" s="14"/>
      <c r="DH70" s="232"/>
    </row>
    <row r="71" spans="1:112" ht="14.25" customHeight="1">
      <c r="A71" s="472"/>
      <c r="B71" s="259" t="s">
        <v>102</v>
      </c>
      <c r="C71" s="278"/>
      <c r="D71" s="115">
        <f>IS!D$8</f>
        <v>157.54400000000001</v>
      </c>
      <c r="E71" s="115">
        <f>IS!E$8</f>
        <v>166.77799999999999</v>
      </c>
      <c r="F71" s="115">
        <f>IS!F$8</f>
        <v>167.47399999999999</v>
      </c>
      <c r="G71" s="116">
        <f>IS!G$8</f>
        <v>159.66600000000003</v>
      </c>
      <c r="H71" s="115">
        <f>IS!H$8</f>
        <v>161.28299999999999</v>
      </c>
      <c r="I71" s="115">
        <f>IS!I$8</f>
        <v>168.48599999999999</v>
      </c>
      <c r="J71" s="115">
        <f>IS!J$8</f>
        <v>177.96700000000001</v>
      </c>
      <c r="K71" s="116">
        <f>IS!K$8</f>
        <v>191.52400000000003</v>
      </c>
      <c r="L71" s="115">
        <f>IS!L$8</f>
        <v>212.77500000000001</v>
      </c>
      <c r="M71" s="115">
        <f>IS!M$8</f>
        <v>220.69399999999999</v>
      </c>
      <c r="N71" s="115">
        <f>IS!N$8</f>
        <v>205.38399999999999</v>
      </c>
      <c r="O71" s="116">
        <f>IS!O$8</f>
        <v>208.08300000000006</v>
      </c>
      <c r="P71" s="115">
        <f>IS!P$8</f>
        <v>218.52699999999999</v>
      </c>
      <c r="Q71" s="115">
        <f>IS!Q$8</f>
        <v>227.298</v>
      </c>
      <c r="R71" s="115">
        <f>IS!R$8</f>
        <v>234.89599999999999</v>
      </c>
      <c r="S71" s="116">
        <f>IS!S$8</f>
        <v>247.172</v>
      </c>
      <c r="T71" s="115">
        <f>IS!T$8</f>
        <v>262.55700000000002</v>
      </c>
      <c r="U71" s="115">
        <f>IS!U$8</f>
        <v>267.93400000000003</v>
      </c>
      <c r="V71" s="115">
        <f>IS!V$8</f>
        <v>251.00399999999999</v>
      </c>
      <c r="W71" s="116">
        <f>IS!W$8</f>
        <v>258.17599999999999</v>
      </c>
      <c r="X71" s="115">
        <f>IS!X$8</f>
        <v>264.072</v>
      </c>
      <c r="Y71" s="115">
        <f>IS!Y$8</f>
        <v>258.64699999999999</v>
      </c>
      <c r="Z71" s="115">
        <f>IS!Z$8</f>
        <v>252.6</v>
      </c>
      <c r="AA71" s="116">
        <f>IS!AA$8</f>
        <v>260.41800000000001</v>
      </c>
      <c r="AB71" s="115">
        <f>IS!AB$8</f>
        <v>268.17200000000003</v>
      </c>
      <c r="AC71" s="115">
        <f>IS!AC$8</f>
        <v>269.70600000000002</v>
      </c>
      <c r="AD71" s="115">
        <f>IS!AD$8</f>
        <v>192.166</v>
      </c>
      <c r="AE71" s="116">
        <f>IS!AE$8</f>
        <v>173.25299999999999</v>
      </c>
      <c r="AF71" s="115">
        <f>IS!AF$8</f>
        <v>192.94900000000001</v>
      </c>
      <c r="AG71" s="115">
        <f>IS!AG$8</f>
        <v>226.661</v>
      </c>
      <c r="AH71" s="115">
        <f>IS!AH$8</f>
        <v>250.09899999999999</v>
      </c>
      <c r="AI71" s="116">
        <f>IS!AI$8</f>
        <v>278.0200000000001</v>
      </c>
      <c r="AJ71" s="115">
        <f>IS!AJ$8</f>
        <v>357.125</v>
      </c>
      <c r="AK71" s="115">
        <f>IS!AK$8</f>
        <v>382.27100000000002</v>
      </c>
      <c r="AL71" s="115">
        <f>IS!AL$8</f>
        <v>367.82400000000001</v>
      </c>
      <c r="AM71" s="116">
        <f>IS!AM$8</f>
        <v>379.9849999999999</v>
      </c>
      <c r="AN71" s="516">
        <f>IS!AN$8</f>
        <v>374.50700000000001</v>
      </c>
      <c r="AO71" s="516">
        <f>IS!AO$8</f>
        <v>340.60199999999998</v>
      </c>
      <c r="AP71" s="516">
        <f>IS!AP$8</f>
        <v>329.15600000000001</v>
      </c>
      <c r="AQ71" s="285">
        <f>IS!AQ$8</f>
        <v>338.911</v>
      </c>
      <c r="AR71" s="284">
        <f>IS!AR$8</f>
        <v>352.13400000000001</v>
      </c>
      <c r="AS71" s="284">
        <f>IS!AS$8</f>
        <v>383.298</v>
      </c>
      <c r="AT71" s="284">
        <f>IS!AT$8</f>
        <v>416.04700000000003</v>
      </c>
      <c r="AU71" s="285">
        <f>IS!AU$8</f>
        <v>430.14400000000001</v>
      </c>
      <c r="AV71" s="284">
        <f>IS!AV$8</f>
        <v>462.79199999999997</v>
      </c>
      <c r="AW71" s="284">
        <f>IS!AW$8</f>
        <v>492.66899999999998</v>
      </c>
      <c r="AX71" s="284">
        <f>IS!AX$8</f>
        <v>482.37200000000001</v>
      </c>
      <c r="AY71" s="285">
        <f>IS!AY$8</f>
        <v>493.38400000000019</v>
      </c>
      <c r="AZ71" s="284">
        <f>+IS!AZ8</f>
        <v>528.87599999999998</v>
      </c>
      <c r="BA71" s="284">
        <f>+IS!BA8</f>
        <v>546.24300000000005</v>
      </c>
      <c r="BB71" s="284">
        <f>+IS!BB8</f>
        <v>528.71</v>
      </c>
      <c r="BC71" s="285">
        <f>+IS!BC8</f>
        <v>543.20699999999999</v>
      </c>
      <c r="BD71" s="283">
        <f>+IS!BD8</f>
        <v>533.952</v>
      </c>
      <c r="BE71" s="284">
        <f>IS!BE125</f>
        <v>559.4</v>
      </c>
      <c r="BF71" s="284">
        <f>IS!BF125</f>
        <v>552.01300000000003</v>
      </c>
      <c r="BG71" s="284">
        <f>IS!BG125</f>
        <v>568.4</v>
      </c>
      <c r="BH71" s="284">
        <f>IS!BH125</f>
        <v>843.99800000000005</v>
      </c>
      <c r="BI71" s="284">
        <f>IS!BI125</f>
        <v>873.83500000000004</v>
      </c>
      <c r="BJ71" s="284">
        <f>IS!BJ125</f>
        <v>881.2</v>
      </c>
      <c r="BK71" s="284">
        <f>IS!BK125</f>
        <v>902.66600000000005</v>
      </c>
      <c r="BL71" s="283">
        <f>IS!BL125</f>
        <v>972.14099999999996</v>
      </c>
      <c r="BM71" s="284">
        <f>IS!BM125</f>
        <v>1012.139</v>
      </c>
      <c r="BN71" s="284">
        <f>IS!BN125</f>
        <v>994.20500000000004</v>
      </c>
      <c r="BO71" s="284">
        <f>IS!BO125</f>
        <v>985.53216599999996</v>
      </c>
      <c r="BP71" s="283">
        <f>IS!BP125</f>
        <v>1029.1018515000001</v>
      </c>
      <c r="BQ71" s="284">
        <f>IS!BQ125</f>
        <v>1061.3265526545001</v>
      </c>
      <c r="BR71" s="284">
        <f>IS!BR125</f>
        <v>1039.7374200049585</v>
      </c>
      <c r="BS71" s="285">
        <f>IS!BS125</f>
        <v>1030.3623180237353</v>
      </c>
      <c r="BT71" s="284">
        <f>IS!BT125</f>
        <v>1071.4096212196996</v>
      </c>
      <c r="BU71" s="284">
        <f>IS!BU125</f>
        <v>1098.9462959489163</v>
      </c>
      <c r="BV71" s="284">
        <f>IS!BV125</f>
        <v>1083.0117619537671</v>
      </c>
      <c r="BW71" s="284">
        <f>IS!BW125</f>
        <v>1073.2236018299827</v>
      </c>
      <c r="BX71" s="286"/>
      <c r="BY71" s="362">
        <f>IS!BY$8</f>
        <v>651.46199999999999</v>
      </c>
      <c r="BZ71" s="362">
        <f>IS!BZ$8</f>
        <v>699.26</v>
      </c>
      <c r="CA71" s="362">
        <f>IS!CA$8</f>
        <v>846.93600000000004</v>
      </c>
      <c r="CB71" s="362">
        <f>IS!CB$8</f>
        <v>927.89300000000003</v>
      </c>
      <c r="CC71" s="362">
        <f>IS!CC$8</f>
        <v>1039.671</v>
      </c>
      <c r="CD71" s="362">
        <f>IS!CD$8</f>
        <v>1035.7370000000001</v>
      </c>
      <c r="CE71" s="362">
        <f>IS!CE$8</f>
        <v>903.29700000000003</v>
      </c>
      <c r="CF71" s="362">
        <f>IS!CF$8</f>
        <v>947.72900000000016</v>
      </c>
      <c r="CG71" s="362">
        <f>IS!CG$8</f>
        <v>1487.2049999999999</v>
      </c>
      <c r="CH71" s="362">
        <f>IS!CH$8</f>
        <v>1383.1759999999999</v>
      </c>
      <c r="CI71" s="362">
        <f>IS!CI$8</f>
        <v>1581.623</v>
      </c>
      <c r="CJ71" s="366">
        <f>IS!CJ$8</f>
        <v>1931.2170000000003</v>
      </c>
      <c r="CK71" s="362">
        <f>IS!CK$8</f>
        <v>2147.0360000000001</v>
      </c>
      <c r="CL71" s="284">
        <f>IS!CL$8</f>
        <v>2173.2869999999998</v>
      </c>
      <c r="CM71" s="284">
        <f>IS!CM$8</f>
        <v>3407.8070000000002</v>
      </c>
      <c r="CN71" s="284">
        <f>IS!CN$8</f>
        <v>3964.0171660000001</v>
      </c>
      <c r="CO71" s="284">
        <f>IS!CO$8</f>
        <v>4160.5281421831942</v>
      </c>
      <c r="CP71" s="285">
        <f>IS!CP$8</f>
        <v>4326.5912809523652</v>
      </c>
      <c r="CQ71" s="22"/>
      <c r="CR71" s="232"/>
      <c r="CS71" s="128">
        <f>IS!CS$8</f>
        <v>830.37700000000007</v>
      </c>
      <c r="CT71" s="115">
        <f>IS!CT$8</f>
        <v>888.80399999999997</v>
      </c>
      <c r="CU71" s="115">
        <f>IS!CU$8</f>
        <v>1028.6669999999999</v>
      </c>
      <c r="CV71" s="115">
        <f>IS!CV$8</f>
        <v>1033.4949999999999</v>
      </c>
      <c r="CW71" s="115">
        <f>IS!CW$8</f>
        <v>990.46199999999999</v>
      </c>
      <c r="CX71" s="115">
        <f>IS!CX$8</f>
        <v>842.96199999999999</v>
      </c>
      <c r="CY71" s="115">
        <f>IS!CY$8</f>
        <v>1385.2400000000002</v>
      </c>
      <c r="CZ71" s="115">
        <f>IS!CZ$8</f>
        <v>1424.25</v>
      </c>
      <c r="DA71" s="128">
        <f>IS!DA$8</f>
        <v>1490.39</v>
      </c>
      <c r="DB71" s="115">
        <f>IS!DB$8</f>
        <v>1867.9770000000001</v>
      </c>
      <c r="DC71" s="128">
        <f>IS!DC$8</f>
        <v>2097.2130000000002</v>
      </c>
      <c r="DD71" s="115">
        <f>IS!DD$8</f>
        <v>2158.8940000000002</v>
      </c>
      <c r="DE71" s="115">
        <f>IS!DE$8</f>
        <v>3062.741</v>
      </c>
      <c r="DF71" s="115">
        <f>IS!DF$8</f>
        <v>3881.1509999999998</v>
      </c>
      <c r="DG71" s="115">
        <f>IS!DG$8</f>
        <v>4115.6979901594586</v>
      </c>
      <c r="DH71" s="116">
        <f>IS!DH$8</f>
        <v>4283.729997146118</v>
      </c>
    </row>
    <row r="72" spans="1:112" ht="14.25" customHeight="1">
      <c r="A72" s="472"/>
      <c r="B72" s="22"/>
      <c r="C72" s="232"/>
      <c r="D72" s="90"/>
      <c r="E72" s="90"/>
      <c r="F72" s="90"/>
      <c r="G72" s="91"/>
      <c r="H72" s="90"/>
      <c r="I72" s="90"/>
      <c r="J72" s="90"/>
      <c r="K72" s="91"/>
      <c r="L72" s="90"/>
      <c r="M72" s="90"/>
      <c r="N72" s="90"/>
      <c r="O72" s="91"/>
      <c r="P72" s="90"/>
      <c r="Q72" s="90"/>
      <c r="R72" s="90"/>
      <c r="S72" s="91"/>
      <c r="T72" s="90"/>
      <c r="U72" s="90"/>
      <c r="V72" s="90"/>
      <c r="W72" s="91"/>
      <c r="X72" s="90"/>
      <c r="Y72" s="90"/>
      <c r="Z72" s="90"/>
      <c r="AA72" s="91"/>
      <c r="AB72" s="90"/>
      <c r="AC72" s="90"/>
      <c r="AD72" s="90"/>
      <c r="AE72" s="91"/>
      <c r="AF72" s="90"/>
      <c r="AG72" s="90"/>
      <c r="AH72" s="90"/>
      <c r="AI72" s="91"/>
      <c r="AJ72" s="90"/>
      <c r="AK72" s="90"/>
      <c r="AL72" s="90"/>
      <c r="AM72" s="91"/>
      <c r="AN72" s="90"/>
      <c r="AO72" s="90"/>
      <c r="AP72" s="90"/>
      <c r="AQ72" s="282"/>
      <c r="AR72" s="240"/>
      <c r="AS72" s="576"/>
      <c r="AT72" s="576"/>
      <c r="AU72" s="282"/>
      <c r="AV72" s="240"/>
      <c r="AW72" s="576"/>
      <c r="AX72" s="240"/>
      <c r="AY72" s="282"/>
      <c r="AZ72" s="240"/>
      <c r="BA72" s="240"/>
      <c r="BB72" s="240"/>
      <c r="BC72" s="282"/>
      <c r="BD72" s="1028"/>
      <c r="BE72" s="240"/>
      <c r="BF72" s="240"/>
      <c r="BG72" s="282"/>
      <c r="BH72" s="240"/>
      <c r="BI72" s="240"/>
      <c r="BJ72" s="240"/>
      <c r="BK72" s="240"/>
      <c r="BL72" s="1028"/>
      <c r="BM72" s="240"/>
      <c r="BN72" s="240"/>
      <c r="BO72" s="240"/>
      <c r="BP72" s="1028"/>
      <c r="BQ72" s="240"/>
      <c r="BR72" s="240"/>
      <c r="BS72" s="282"/>
      <c r="BT72" s="240"/>
      <c r="BU72" s="240"/>
      <c r="BV72" s="240"/>
      <c r="BW72" s="282"/>
      <c r="BX72" s="20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22"/>
      <c r="CK72" s="14"/>
      <c r="CL72" s="14"/>
      <c r="CM72" s="14"/>
      <c r="CN72" s="14"/>
      <c r="CO72" s="14"/>
      <c r="CP72" s="232"/>
      <c r="CQ72" s="22"/>
      <c r="CR72" s="232"/>
      <c r="CS72" s="22"/>
      <c r="CT72" s="14"/>
      <c r="CU72" s="14"/>
      <c r="CV72" s="14"/>
      <c r="CW72" s="14"/>
      <c r="CX72" s="14"/>
      <c r="CY72" s="14"/>
      <c r="CZ72" s="14"/>
      <c r="DA72" s="22"/>
      <c r="DB72" s="14"/>
      <c r="DC72" s="22"/>
      <c r="DD72" s="14"/>
      <c r="DE72" s="14"/>
      <c r="DF72" s="14"/>
      <c r="DG72" s="14"/>
      <c r="DH72" s="232"/>
    </row>
    <row r="73" spans="1:112" ht="14.25" customHeight="1">
      <c r="A73" s="472"/>
      <c r="B73" s="22"/>
      <c r="C73" s="232"/>
      <c r="D73" s="90"/>
      <c r="E73" s="90"/>
      <c r="F73" s="90"/>
      <c r="G73" s="91"/>
      <c r="H73" s="90"/>
      <c r="I73" s="90"/>
      <c r="J73" s="90"/>
      <c r="K73" s="91"/>
      <c r="L73" s="90"/>
      <c r="M73" s="90"/>
      <c r="N73" s="90"/>
      <c r="O73" s="91"/>
      <c r="P73" s="90"/>
      <c r="Q73" s="90"/>
      <c r="R73" s="90"/>
      <c r="S73" s="91"/>
      <c r="T73" s="90"/>
      <c r="U73" s="90"/>
      <c r="V73" s="90"/>
      <c r="W73" s="91"/>
      <c r="X73" s="90"/>
      <c r="Y73" s="90"/>
      <c r="Z73" s="90"/>
      <c r="AA73" s="91"/>
      <c r="AB73" s="90"/>
      <c r="AC73" s="90"/>
      <c r="AD73" s="90"/>
      <c r="AE73" s="91"/>
      <c r="AF73" s="90"/>
      <c r="AG73" s="90"/>
      <c r="AH73" s="90"/>
      <c r="AI73" s="91"/>
      <c r="AJ73" s="90"/>
      <c r="AK73" s="90"/>
      <c r="AL73" s="90"/>
      <c r="AM73" s="91"/>
      <c r="AN73" s="90"/>
      <c r="AO73" s="90"/>
      <c r="AP73" s="90"/>
      <c r="AQ73" s="282"/>
      <c r="AR73" s="240"/>
      <c r="AS73" s="576"/>
      <c r="AT73" s="576"/>
      <c r="AU73" s="282"/>
      <c r="AV73" s="240"/>
      <c r="AW73" s="576"/>
      <c r="AX73" s="240"/>
      <c r="AY73" s="282"/>
      <c r="AZ73" s="240"/>
      <c r="BA73" s="240"/>
      <c r="BB73" s="240"/>
      <c r="BC73" s="282"/>
      <c r="BD73" s="1258"/>
      <c r="BE73" s="261"/>
      <c r="BF73" s="261"/>
      <c r="BG73" s="282"/>
      <c r="BH73" s="240"/>
      <c r="BI73" s="240"/>
      <c r="BJ73" s="240"/>
      <c r="BK73" s="240"/>
      <c r="BL73" s="1028"/>
      <c r="BM73" s="240"/>
      <c r="BN73" s="240"/>
      <c r="BO73" s="240"/>
      <c r="BP73" s="1258"/>
      <c r="BQ73" s="261"/>
      <c r="BR73" s="261"/>
      <c r="BS73" s="262"/>
      <c r="BT73" s="240"/>
      <c r="BU73" s="240"/>
      <c r="BV73" s="240"/>
      <c r="BW73" s="282"/>
      <c r="BX73" s="20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5"/>
      <c r="CK73" s="223"/>
      <c r="CL73" s="223"/>
      <c r="CM73" s="223"/>
      <c r="CN73" s="223"/>
      <c r="CO73" s="223"/>
      <c r="CP73" s="16"/>
      <c r="CQ73" s="22"/>
      <c r="CR73" s="232"/>
      <c r="CS73" s="22"/>
      <c r="CT73" s="14"/>
      <c r="CU73" s="14"/>
      <c r="CV73" s="14"/>
      <c r="CW73" s="14"/>
      <c r="CX73" s="14"/>
      <c r="CY73" s="14"/>
      <c r="CZ73" s="14"/>
      <c r="DA73" s="15"/>
      <c r="DB73" s="223"/>
      <c r="DC73" s="15"/>
      <c r="DD73" s="223"/>
      <c r="DE73" s="223"/>
      <c r="DF73" s="223"/>
      <c r="DG73" s="223"/>
      <c r="DH73" s="16"/>
    </row>
    <row r="74" spans="1:112" ht="14.25" customHeight="1">
      <c r="A74" s="472"/>
      <c r="B74" s="533" t="s">
        <v>204</v>
      </c>
      <c r="C74" s="529"/>
      <c r="D74" s="530"/>
      <c r="E74" s="530"/>
      <c r="F74" s="530"/>
      <c r="G74" s="531"/>
      <c r="H74" s="530"/>
      <c r="I74" s="530"/>
      <c r="J74" s="530"/>
      <c r="K74" s="531"/>
      <c r="L74" s="530"/>
      <c r="M74" s="530"/>
      <c r="N74" s="530"/>
      <c r="O74" s="531"/>
      <c r="P74" s="530"/>
      <c r="Q74" s="530"/>
      <c r="R74" s="530"/>
      <c r="S74" s="531"/>
      <c r="T74" s="530"/>
      <c r="U74" s="530"/>
      <c r="V74" s="530"/>
      <c r="W74" s="531"/>
      <c r="X74" s="530"/>
      <c r="Y74" s="530"/>
      <c r="Z74" s="530"/>
      <c r="AA74" s="531"/>
      <c r="AB74" s="530"/>
      <c r="AC74" s="530"/>
      <c r="AD74" s="530"/>
      <c r="AE74" s="531"/>
      <c r="AF74" s="530"/>
      <c r="AG74" s="530"/>
      <c r="AH74" s="530"/>
      <c r="AI74" s="531"/>
      <c r="AJ74" s="530"/>
      <c r="AK74" s="530"/>
      <c r="AL74" s="530"/>
      <c r="AM74" s="531"/>
      <c r="AN74" s="530"/>
      <c r="AO74" s="530"/>
      <c r="AP74" s="530"/>
      <c r="AQ74" s="531"/>
      <c r="AR74" s="530"/>
      <c r="AS74" s="530"/>
      <c r="AT74" s="530"/>
      <c r="AU74" s="531"/>
      <c r="AV74" s="530"/>
      <c r="AW74" s="530"/>
      <c r="AX74" s="530"/>
      <c r="AY74" s="531"/>
      <c r="AZ74" s="530"/>
      <c r="BA74" s="530"/>
      <c r="BB74" s="530"/>
      <c r="BC74" s="531"/>
      <c r="BD74" s="530"/>
      <c r="BE74" s="530"/>
      <c r="BF74" s="530"/>
      <c r="BG74" s="531"/>
      <c r="BH74" s="1178"/>
      <c r="BI74" s="530"/>
      <c r="BJ74" s="530"/>
      <c r="BK74" s="530"/>
      <c r="BL74" s="1178"/>
      <c r="BM74" s="530"/>
      <c r="BN74" s="530"/>
      <c r="BO74" s="531"/>
      <c r="BP74" s="530"/>
      <c r="BQ74" s="530"/>
      <c r="BR74" s="530"/>
      <c r="BS74" s="531"/>
      <c r="BT74" s="530"/>
      <c r="BU74" s="530"/>
      <c r="BV74" s="530"/>
      <c r="BW74" s="531"/>
      <c r="BX74" s="20"/>
      <c r="BY74" s="532"/>
      <c r="BZ74" s="532"/>
      <c r="CA74" s="532"/>
      <c r="CB74" s="532"/>
      <c r="CC74" s="532"/>
      <c r="CD74" s="532"/>
      <c r="CE74" s="532"/>
      <c r="CF74" s="532"/>
      <c r="CG74" s="532"/>
      <c r="CH74" s="532"/>
      <c r="CI74" s="532"/>
      <c r="CJ74" s="1282"/>
      <c r="CK74" s="1283"/>
      <c r="CL74" s="1283"/>
      <c r="CM74" s="1283"/>
      <c r="CN74" s="1283"/>
      <c r="CO74" s="1283"/>
      <c r="CP74" s="1284"/>
      <c r="CQ74" s="22"/>
      <c r="CR74" s="232"/>
      <c r="CS74" s="528"/>
      <c r="CT74" s="532"/>
      <c r="CU74" s="532"/>
      <c r="CV74" s="532"/>
      <c r="CW74" s="532"/>
      <c r="CX74" s="532"/>
      <c r="CY74" s="532"/>
      <c r="CZ74" s="532"/>
      <c r="DA74" s="1161"/>
      <c r="DB74" s="1162"/>
      <c r="DC74" s="1161"/>
      <c r="DD74" s="1162"/>
      <c r="DE74" s="1162"/>
      <c r="DF74" s="1162"/>
      <c r="DG74" s="1162"/>
      <c r="DH74" s="1163"/>
    </row>
    <row r="75" spans="1:112" ht="14.25" customHeight="1">
      <c r="A75" s="472"/>
      <c r="B75" s="22"/>
      <c r="C75" s="232"/>
      <c r="D75" s="90"/>
      <c r="E75" s="90"/>
      <c r="F75" s="90"/>
      <c r="G75" s="91"/>
      <c r="H75" s="90"/>
      <c r="I75" s="90"/>
      <c r="J75" s="90"/>
      <c r="K75" s="91"/>
      <c r="L75" s="90"/>
      <c r="M75" s="90"/>
      <c r="N75" s="90"/>
      <c r="O75" s="91"/>
      <c r="P75" s="90"/>
      <c r="Q75" s="90"/>
      <c r="R75" s="90"/>
      <c r="S75" s="91"/>
      <c r="T75" s="90"/>
      <c r="U75" s="90"/>
      <c r="V75" s="90"/>
      <c r="W75" s="91"/>
      <c r="X75" s="90"/>
      <c r="Y75" s="90"/>
      <c r="Z75" s="90"/>
      <c r="AA75" s="91"/>
      <c r="AB75" s="90"/>
      <c r="AC75" s="90"/>
      <c r="AD75" s="90"/>
      <c r="AE75" s="91"/>
      <c r="AF75" s="90"/>
      <c r="AG75" s="90"/>
      <c r="AH75" s="90"/>
      <c r="AI75" s="91"/>
      <c r="AJ75" s="90"/>
      <c r="AK75" s="90"/>
      <c r="AL75" s="90"/>
      <c r="AM75" s="91"/>
      <c r="AN75" s="90"/>
      <c r="AO75" s="90"/>
      <c r="AP75" s="90"/>
      <c r="AQ75" s="282"/>
      <c r="AR75" s="240"/>
      <c r="AS75" s="240"/>
      <c r="AT75" s="240"/>
      <c r="AU75" s="282"/>
      <c r="AV75" s="240"/>
      <c r="AW75" s="240"/>
      <c r="AX75" s="240"/>
      <c r="AY75" s="282"/>
      <c r="AZ75" s="240"/>
      <c r="BA75" s="240"/>
      <c r="BB75" s="240"/>
      <c r="BC75" s="282"/>
      <c r="BD75" s="240"/>
      <c r="BE75" s="240"/>
      <c r="BF75" s="240"/>
      <c r="BG75" s="282"/>
      <c r="BH75" s="1028"/>
      <c r="BI75" s="240"/>
      <c r="BJ75" s="240"/>
      <c r="BK75" s="240"/>
      <c r="BL75" s="1028"/>
      <c r="BM75" s="240"/>
      <c r="BN75" s="240"/>
      <c r="BO75" s="282"/>
      <c r="BP75" s="240"/>
      <c r="BQ75" s="240"/>
      <c r="BR75" s="240"/>
      <c r="BS75" s="282"/>
      <c r="BT75" s="240"/>
      <c r="BU75" s="240"/>
      <c r="BV75" s="240"/>
      <c r="BW75" s="282"/>
      <c r="BX75" s="20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22"/>
      <c r="CK75" s="14"/>
      <c r="CL75" s="14"/>
      <c r="CM75" s="14"/>
      <c r="CN75" s="14"/>
      <c r="CO75" s="14"/>
      <c r="CP75" s="232"/>
      <c r="CQ75" s="22"/>
      <c r="CR75" s="232"/>
      <c r="CS75" s="22"/>
      <c r="CT75" s="14"/>
      <c r="CU75" s="14"/>
      <c r="CV75" s="14"/>
      <c r="CW75" s="14"/>
      <c r="CX75" s="14"/>
      <c r="CY75" s="14"/>
      <c r="CZ75" s="14"/>
      <c r="DA75" s="22"/>
      <c r="DB75" s="14"/>
      <c r="DC75" s="22"/>
      <c r="DD75" s="14"/>
      <c r="DE75" s="14"/>
      <c r="DF75" s="14"/>
      <c r="DG75" s="14"/>
      <c r="DH75" s="232"/>
    </row>
    <row r="76" spans="1:112" ht="14.25" customHeight="1">
      <c r="A76" s="472"/>
      <c r="B76" s="327" t="s">
        <v>0</v>
      </c>
      <c r="C76" s="471"/>
      <c r="D76" s="802">
        <f>+IS!D13</f>
        <v>75.177000000000007</v>
      </c>
      <c r="E76" s="802">
        <f>+IS!E13</f>
        <v>76.477999999999994</v>
      </c>
      <c r="F76" s="802">
        <f>+IS!F13</f>
        <v>74.58</v>
      </c>
      <c r="G76" s="803">
        <f>+IS!G13</f>
        <v>72.991999999999976</v>
      </c>
      <c r="H76" s="802">
        <f>+IS!H13</f>
        <v>105.762</v>
      </c>
      <c r="I76" s="802">
        <f>+IS!I13</f>
        <v>77.292000000000002</v>
      </c>
      <c r="J76" s="802">
        <f>+IS!J13</f>
        <v>80.947999999999993</v>
      </c>
      <c r="K76" s="803">
        <f>+IS!K13</f>
        <v>85.299000000000007</v>
      </c>
      <c r="L76" s="802">
        <f>+IS!L13</f>
        <v>91.316000000000003</v>
      </c>
      <c r="M76" s="802">
        <f>+IS!M13</f>
        <v>94.316999999999993</v>
      </c>
      <c r="N76" s="802">
        <f>+IS!N13</f>
        <v>88.596000000000004</v>
      </c>
      <c r="O76" s="803">
        <f>+IS!O13</f>
        <v>88.731999999999999</v>
      </c>
      <c r="P76" s="802">
        <f>+IS!P13</f>
        <v>91.022000000000006</v>
      </c>
      <c r="Q76" s="802">
        <f>+IS!Q13</f>
        <v>92.742000000000004</v>
      </c>
      <c r="R76" s="802">
        <f>+IS!R13</f>
        <v>94.626000000000005</v>
      </c>
      <c r="S76" s="803">
        <f>+IS!S13</f>
        <v>98.626000000000005</v>
      </c>
      <c r="T76" s="802">
        <f>+IS!T13</f>
        <v>104.07299999999999</v>
      </c>
      <c r="U76" s="802">
        <f>+IS!U13</f>
        <v>105.973</v>
      </c>
      <c r="V76" s="802">
        <f>+IS!V13</f>
        <v>101.294</v>
      </c>
      <c r="W76" s="803">
        <f>+IS!W13</f>
        <v>103.575</v>
      </c>
      <c r="X76" s="802">
        <f>+IS!X13</f>
        <v>105.527</v>
      </c>
      <c r="Y76" s="802">
        <f>+IS!Y13</f>
        <v>103.935</v>
      </c>
      <c r="Z76" s="802">
        <f>+IS!Z13</f>
        <v>99.552999999999997</v>
      </c>
      <c r="AA76" s="803">
        <f>+IS!AA13</f>
        <v>101.78400000000001</v>
      </c>
      <c r="AB76" s="802">
        <f>+IS!AB13</f>
        <v>104.575</v>
      </c>
      <c r="AC76" s="802">
        <f>+IS!AC13</f>
        <v>105.553</v>
      </c>
      <c r="AD76" s="802">
        <f>+IS!AD13</f>
        <v>87.379000000000005</v>
      </c>
      <c r="AE76" s="803">
        <f>+IS!AE13</f>
        <v>89.286000000000001</v>
      </c>
      <c r="AF76" s="802">
        <f>+IS!AF13</f>
        <v>96.513999999999996</v>
      </c>
      <c r="AG76" s="802">
        <f>+IS!AG13</f>
        <v>103.321</v>
      </c>
      <c r="AH76" s="802">
        <f>+IS!AH13</f>
        <v>104.10299999999999</v>
      </c>
      <c r="AI76" s="803">
        <f>+IS!AI13</f>
        <v>109.54900000000002</v>
      </c>
      <c r="AJ76" s="802">
        <f>+IS!AJ13</f>
        <v>149.68199999999999</v>
      </c>
      <c r="AK76" s="802">
        <f>+IS!AK13</f>
        <v>157.26599999999999</v>
      </c>
      <c r="AL76" s="802">
        <f>+IS!AL13</f>
        <v>151.42699999999999</v>
      </c>
      <c r="AM76" s="803">
        <f>+IS!AM13</f>
        <v>154.39400000000003</v>
      </c>
      <c r="AN76" s="802">
        <f>+IS!AN13</f>
        <v>154.75899999999999</v>
      </c>
      <c r="AO76" s="802">
        <f>+IS!AO13</f>
        <v>143.899</v>
      </c>
      <c r="AP76" s="802">
        <f>+IS!AP13</f>
        <v>143.66800000000001</v>
      </c>
      <c r="AQ76" s="804">
        <f>+IS!AQ13</f>
        <v>148.45600000000005</v>
      </c>
      <c r="AR76" s="805">
        <f>+IS!AR13</f>
        <v>149.05500000000001</v>
      </c>
      <c r="AS76" s="805">
        <f>+IS!AS13</f>
        <v>189.10300000000001</v>
      </c>
      <c r="AT76" s="805">
        <f>+IS!AT13</f>
        <v>215.619</v>
      </c>
      <c r="AU76" s="804">
        <f>+IS!AU13</f>
        <v>189.38699999999992</v>
      </c>
      <c r="AV76" s="805">
        <f>+IS!AV13</f>
        <v>196.21799999999999</v>
      </c>
      <c r="AW76" s="805">
        <f>+IS!AW13</f>
        <v>203.80600000000001</v>
      </c>
      <c r="AX76" s="805">
        <f>+IS!AX13</f>
        <v>199.65199999999999</v>
      </c>
      <c r="AY76" s="804">
        <f>+IS!AY13</f>
        <v>202.79800000000006</v>
      </c>
      <c r="AZ76" s="805">
        <f>+IS!AZ13</f>
        <v>222.357</v>
      </c>
      <c r="BA76" s="539">
        <f t="shared" ref="BA76:BH76" si="314">BA71-BA85</f>
        <v>238.78899999999993</v>
      </c>
      <c r="BB76" s="539">
        <f t="shared" si="314"/>
        <v>226.75099999999998</v>
      </c>
      <c r="BC76" s="538">
        <f t="shared" si="314"/>
        <v>229.57500000000005</v>
      </c>
      <c r="BD76" s="539">
        <f t="shared" si="314"/>
        <v>224.935</v>
      </c>
      <c r="BE76" s="539">
        <f t="shared" si="314"/>
        <v>258.45</v>
      </c>
      <c r="BF76" s="539">
        <f t="shared" si="314"/>
        <v>259.29499999999996</v>
      </c>
      <c r="BG76" s="539">
        <f t="shared" si="314"/>
        <v>265.66799999999995</v>
      </c>
      <c r="BH76" s="539">
        <f t="shared" si="314"/>
        <v>495.5080000000001</v>
      </c>
      <c r="BI76" s="539">
        <f t="shared" ref="BI76:BO76" si="315">BI71-BI85</f>
        <v>463.21400000000006</v>
      </c>
      <c r="BJ76" s="539">
        <f t="shared" si="315"/>
        <v>415.94100000000009</v>
      </c>
      <c r="BK76" s="539">
        <f t="shared" si="315"/>
        <v>369.84000000000003</v>
      </c>
      <c r="BL76" s="658">
        <f t="shared" si="315"/>
        <v>387.70200000000011</v>
      </c>
      <c r="BM76" s="539">
        <f t="shared" ref="BM76:BN76" si="316">BM71-BM85</f>
        <v>398.04499999999996</v>
      </c>
      <c r="BN76" s="539">
        <f t="shared" si="316"/>
        <v>387.14600000000007</v>
      </c>
      <c r="BO76" s="538">
        <f t="shared" si="315"/>
        <v>381.82185860799996</v>
      </c>
      <c r="BP76" s="539">
        <f t="shared" ref="BP76:BW76" si="317">BP71-BP85</f>
        <v>395.95251434590011</v>
      </c>
      <c r="BQ76" s="539">
        <f t="shared" si="317"/>
        <v>406.57908654580569</v>
      </c>
      <c r="BR76" s="539">
        <f t="shared" si="317"/>
        <v>399.84185768348914</v>
      </c>
      <c r="BS76" s="538">
        <f t="shared" si="317"/>
        <v>396.39529078019325</v>
      </c>
      <c r="BT76" s="539">
        <f t="shared" si="317"/>
        <v>410.26071295504528</v>
      </c>
      <c r="BU76" s="539">
        <f t="shared" si="317"/>
        <v>418.96723022417882</v>
      </c>
      <c r="BV76" s="539">
        <f t="shared" si="317"/>
        <v>414.50466088905648</v>
      </c>
      <c r="BW76" s="538">
        <f t="shared" si="317"/>
        <v>409.71257294934435</v>
      </c>
      <c r="BX76" s="20"/>
      <c r="BY76" s="362">
        <f>SUM(D76:G76)</f>
        <v>299.22699999999998</v>
      </c>
      <c r="BZ76" s="362">
        <f>SUM(H76:K76)</f>
        <v>349.30100000000004</v>
      </c>
      <c r="CA76" s="362">
        <f>SUM(L76:O76)</f>
        <v>362.96100000000001</v>
      </c>
      <c r="CB76" s="362">
        <f>SUM(P76:S76)</f>
        <v>377.01599999999996</v>
      </c>
      <c r="CC76" s="362">
        <f>SUM(T76:W76)</f>
        <v>414.91499999999996</v>
      </c>
      <c r="CD76" s="362">
        <f>SUM(X76:AA76)</f>
        <v>410.79899999999998</v>
      </c>
      <c r="CE76" s="362">
        <f>SUM(AB76:AE76)</f>
        <v>386.79300000000001</v>
      </c>
      <c r="CF76" s="362">
        <f>SUM(AF76:AI76)</f>
        <v>413.48700000000002</v>
      </c>
      <c r="CG76" s="362">
        <f>SUM(AJ76:AM76)</f>
        <v>612.76900000000001</v>
      </c>
      <c r="CH76" s="362">
        <f>SUM(AN76:AQ76)</f>
        <v>590.78200000000004</v>
      </c>
      <c r="CI76" s="362">
        <f>SUM(AR76:AU76)</f>
        <v>743.16399999999999</v>
      </c>
      <c r="CJ76" s="366">
        <f>SUM(AV76:AY76)</f>
        <v>802.47399999999993</v>
      </c>
      <c r="CK76" s="362">
        <f>SUM(AZ76:BC76)</f>
        <v>917.47199999999998</v>
      </c>
      <c r="CL76" s="362">
        <f>SUM(BD76:BG76)</f>
        <v>1008.348</v>
      </c>
      <c r="CM76" s="362">
        <f>SUM(BH76:BK76)</f>
        <v>1744.5030000000002</v>
      </c>
      <c r="CN76" s="362">
        <f>SUM(BL76:BO76)</f>
        <v>1554.714858608</v>
      </c>
      <c r="CO76" s="362">
        <f>SUM(BP76:BS76)</f>
        <v>1598.7687493553881</v>
      </c>
      <c r="CP76" s="363">
        <f>SUM(BT76:BW76)</f>
        <v>1653.4451770176249</v>
      </c>
      <c r="CQ76" s="22"/>
      <c r="CR76" s="232"/>
      <c r="CS76" s="22"/>
      <c r="CT76" s="14"/>
      <c r="CU76" s="14"/>
      <c r="CV76" s="14"/>
      <c r="CW76" s="14"/>
      <c r="CX76" s="14"/>
      <c r="CY76" s="14"/>
      <c r="CZ76" s="14"/>
      <c r="DA76" s="22"/>
      <c r="DB76" s="14"/>
      <c r="DC76" s="22"/>
      <c r="DD76" s="14"/>
      <c r="DE76" s="14"/>
      <c r="DF76" s="14"/>
      <c r="DG76" s="14"/>
      <c r="DH76" s="232"/>
    </row>
    <row r="77" spans="1:112" ht="14.25" customHeight="1">
      <c r="A77" s="472"/>
      <c r="B77" s="34"/>
      <c r="C77" s="232"/>
      <c r="D77" s="90"/>
      <c r="E77" s="90"/>
      <c r="F77" s="90"/>
      <c r="G77" s="91"/>
      <c r="H77" s="90"/>
      <c r="I77" s="90"/>
      <c r="J77" s="90"/>
      <c r="K77" s="91"/>
      <c r="L77" s="90"/>
      <c r="M77" s="90"/>
      <c r="N77" s="90"/>
      <c r="O77" s="91"/>
      <c r="P77" s="90"/>
      <c r="Q77" s="90"/>
      <c r="R77" s="90"/>
      <c r="S77" s="91"/>
      <c r="T77" s="90"/>
      <c r="U77" s="90"/>
      <c r="V77" s="90"/>
      <c r="W77" s="91"/>
      <c r="X77" s="90"/>
      <c r="Y77" s="90"/>
      <c r="Z77" s="90"/>
      <c r="AA77" s="91"/>
      <c r="AB77" s="90"/>
      <c r="AC77" s="90"/>
      <c r="AD77" s="90"/>
      <c r="AE77" s="91"/>
      <c r="AF77" s="90"/>
      <c r="AG77" s="90"/>
      <c r="AH77" s="90"/>
      <c r="AI77" s="91"/>
      <c r="AJ77" s="90"/>
      <c r="AK77" s="90"/>
      <c r="AL77" s="90"/>
      <c r="AM77" s="91"/>
      <c r="AN77" s="90"/>
      <c r="AO77" s="90"/>
      <c r="AP77" s="90"/>
      <c r="AQ77" s="282"/>
      <c r="AR77" s="240"/>
      <c r="AS77" s="240"/>
      <c r="AT77" s="240"/>
      <c r="AU77" s="282"/>
      <c r="AV77" s="240"/>
      <c r="AW77" s="240"/>
      <c r="AX77" s="240"/>
      <c r="AY77" s="282"/>
      <c r="AZ77" s="240"/>
      <c r="BA77" s="240"/>
      <c r="BB77" s="240"/>
      <c r="BC77" s="282"/>
      <c r="BD77" s="240"/>
      <c r="BE77" s="240"/>
      <c r="BF77" s="240"/>
      <c r="BG77" s="282"/>
      <c r="BH77" s="1028"/>
      <c r="BI77" s="240"/>
      <c r="BJ77" s="240"/>
      <c r="BK77" s="240"/>
      <c r="BL77" s="1028"/>
      <c r="BM77" s="240"/>
      <c r="BN77" s="240"/>
      <c r="BO77" s="282"/>
      <c r="BP77" s="240"/>
      <c r="BQ77" s="240"/>
      <c r="BR77" s="240"/>
      <c r="BS77" s="282"/>
      <c r="BT77" s="240"/>
      <c r="BU77" s="240"/>
      <c r="BV77" s="240"/>
      <c r="BW77" s="282"/>
      <c r="BX77" s="20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22"/>
      <c r="CK77" s="14"/>
      <c r="CL77" s="14"/>
      <c r="CM77" s="14"/>
      <c r="CN77" s="14"/>
      <c r="CO77" s="14"/>
      <c r="CP77" s="232"/>
      <c r="CQ77" s="22"/>
      <c r="CR77" s="232"/>
      <c r="CS77" s="22"/>
      <c r="CT77" s="14"/>
      <c r="CU77" s="14"/>
      <c r="CV77" s="14"/>
      <c r="CW77" s="14"/>
      <c r="CX77" s="14"/>
      <c r="CY77" s="14"/>
      <c r="CZ77" s="14"/>
      <c r="DA77" s="22"/>
      <c r="DB77" s="14"/>
      <c r="DC77" s="22"/>
      <c r="DD77" s="14"/>
      <c r="DE77" s="14"/>
      <c r="DF77" s="14"/>
      <c r="DG77" s="14"/>
      <c r="DH77" s="232"/>
    </row>
    <row r="78" spans="1:112" ht="14.25" customHeight="1">
      <c r="A78" s="472"/>
      <c r="B78" s="535" t="s">
        <v>221</v>
      </c>
      <c r="C78" s="232"/>
      <c r="D78" s="90"/>
      <c r="E78" s="90"/>
      <c r="F78" s="90"/>
      <c r="G78" s="91"/>
      <c r="H78" s="90"/>
      <c r="I78" s="90"/>
      <c r="J78" s="90"/>
      <c r="K78" s="91"/>
      <c r="L78" s="90"/>
      <c r="M78" s="90"/>
      <c r="N78" s="90"/>
      <c r="O78" s="91"/>
      <c r="P78" s="90"/>
      <c r="Q78" s="90"/>
      <c r="R78" s="90"/>
      <c r="S78" s="91"/>
      <c r="T78" s="90"/>
      <c r="U78" s="90"/>
      <c r="V78" s="90"/>
      <c r="W78" s="91"/>
      <c r="X78" s="90"/>
      <c r="Y78" s="90"/>
      <c r="Z78" s="90"/>
      <c r="AA78" s="91"/>
      <c r="AB78" s="90"/>
      <c r="AC78" s="90"/>
      <c r="AD78" s="90"/>
      <c r="AE78" s="91"/>
      <c r="AF78" s="90"/>
      <c r="AG78" s="90"/>
      <c r="AH78" s="90"/>
      <c r="AI78" s="91"/>
      <c r="AJ78" s="90"/>
      <c r="AK78" s="90"/>
      <c r="AL78" s="90"/>
      <c r="AM78" s="91"/>
      <c r="AN78" s="90"/>
      <c r="AO78" s="90"/>
      <c r="AP78" s="90"/>
      <c r="AQ78" s="282"/>
      <c r="AR78" s="240"/>
      <c r="AS78" s="240"/>
      <c r="AT78" s="240"/>
      <c r="AU78" s="282"/>
      <c r="AV78" s="240"/>
      <c r="AW78" s="240"/>
      <c r="AX78" s="240"/>
      <c r="AY78" s="282"/>
      <c r="AZ78" s="240"/>
      <c r="BA78" s="240"/>
      <c r="BB78" s="240"/>
      <c r="BC78" s="282"/>
      <c r="BD78" s="240"/>
      <c r="BE78" s="240"/>
      <c r="BF78" s="240"/>
      <c r="BG78" s="282"/>
      <c r="BH78" s="1028"/>
      <c r="BI78" s="240"/>
      <c r="BJ78" s="240"/>
      <c r="BK78" s="240"/>
      <c r="BL78" s="1028"/>
      <c r="BM78" s="240"/>
      <c r="BN78" s="240"/>
      <c r="BO78" s="282"/>
      <c r="BP78" s="240"/>
      <c r="BQ78" s="240"/>
      <c r="BR78" s="240"/>
      <c r="BS78" s="282"/>
      <c r="BT78" s="240"/>
      <c r="BU78" s="240"/>
      <c r="BV78" s="240"/>
      <c r="BW78" s="282"/>
      <c r="BX78" s="20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22"/>
      <c r="CK78" s="14"/>
      <c r="CL78" s="14"/>
      <c r="CM78" s="14"/>
      <c r="CN78" s="14"/>
      <c r="CO78" s="14"/>
      <c r="CP78" s="232"/>
      <c r="CQ78" s="22"/>
      <c r="CR78" s="232"/>
      <c r="CS78" s="22"/>
      <c r="CT78" s="14"/>
      <c r="CU78" s="14"/>
      <c r="CV78" s="14"/>
      <c r="CW78" s="14"/>
      <c r="CX78" s="14"/>
      <c r="CY78" s="14"/>
      <c r="CZ78" s="14"/>
      <c r="DA78" s="22"/>
      <c r="DB78" s="14"/>
      <c r="DC78" s="22"/>
      <c r="DD78" s="14"/>
      <c r="DE78" s="14"/>
      <c r="DF78" s="14"/>
      <c r="DG78" s="14"/>
      <c r="DH78" s="232"/>
    </row>
    <row r="79" spans="1:112" ht="14.25" customHeight="1">
      <c r="A79" s="472"/>
      <c r="B79" s="543" t="s">
        <v>216</v>
      </c>
      <c r="C79" s="232"/>
      <c r="D79" s="90"/>
      <c r="E79" s="90"/>
      <c r="F79" s="90"/>
      <c r="G79" s="91"/>
      <c r="H79" s="90"/>
      <c r="I79" s="90"/>
      <c r="J79" s="90"/>
      <c r="K79" s="91"/>
      <c r="L79" s="90"/>
      <c r="M79" s="90"/>
      <c r="N79" s="90"/>
      <c r="O79" s="91"/>
      <c r="P79" s="90"/>
      <c r="Q79" s="90"/>
      <c r="R79" s="90"/>
      <c r="S79" s="91"/>
      <c r="T79" s="90"/>
      <c r="U79" s="90"/>
      <c r="V79" s="90"/>
      <c r="W79" s="91"/>
      <c r="X79" s="90"/>
      <c r="Y79" s="90"/>
      <c r="Z79" s="90"/>
      <c r="AA79" s="91"/>
      <c r="AB79" s="534"/>
      <c r="AC79" s="534"/>
      <c r="AD79" s="534"/>
      <c r="AE79" s="542"/>
      <c r="AF79" s="534"/>
      <c r="AG79" s="534"/>
      <c r="AH79" s="534"/>
      <c r="AI79" s="542"/>
      <c r="AJ79" s="534">
        <f t="shared" ref="AJ79:BF79" si="318">+AJ80*AJ66</f>
        <v>35.712499999999999</v>
      </c>
      <c r="AK79" s="534">
        <f t="shared" si="318"/>
        <v>38.2271</v>
      </c>
      <c r="AL79" s="534">
        <f t="shared" si="318"/>
        <v>36.782399999999996</v>
      </c>
      <c r="AM79" s="542">
        <f t="shared" si="318"/>
        <v>37.9985</v>
      </c>
      <c r="AN79" s="534">
        <f t="shared" si="318"/>
        <v>37.450700000000005</v>
      </c>
      <c r="AO79" s="534">
        <f t="shared" si="318"/>
        <v>34.060200000000002</v>
      </c>
      <c r="AP79" s="534">
        <f t="shared" si="318"/>
        <v>32.915599999999998</v>
      </c>
      <c r="AQ79" s="536">
        <f t="shared" si="318"/>
        <v>33.891100000000002</v>
      </c>
      <c r="AR79" s="537">
        <f t="shared" si="318"/>
        <v>35.2134</v>
      </c>
      <c r="AS79" s="537">
        <f t="shared" si="318"/>
        <v>38.329799999999999</v>
      </c>
      <c r="AT79" s="537">
        <f t="shared" si="318"/>
        <v>41.604700000000008</v>
      </c>
      <c r="AU79" s="536">
        <f>+AU80*AU66</f>
        <v>43.02000000000001</v>
      </c>
      <c r="AV79" s="537">
        <f>+AV80*AV66</f>
        <v>46.28</v>
      </c>
      <c r="AW79" s="537">
        <f t="shared" si="318"/>
        <v>49.266900000000007</v>
      </c>
      <c r="AX79" s="537">
        <f t="shared" si="318"/>
        <v>48.240000000000009</v>
      </c>
      <c r="AY79" s="536">
        <f>+AY80*AY66</f>
        <v>49.334800000000008</v>
      </c>
      <c r="AZ79" s="537">
        <f>+AZ80*AZ66</f>
        <v>52.879700000000007</v>
      </c>
      <c r="BA79" s="537">
        <f t="shared" si="318"/>
        <v>54.629999999999995</v>
      </c>
      <c r="BB79" s="537">
        <f>+BB80*BB66</f>
        <v>52.871000000000009</v>
      </c>
      <c r="BC79" s="536">
        <f t="shared" si="318"/>
        <v>54.720000000000006</v>
      </c>
      <c r="BD79" s="537">
        <f t="shared" si="318"/>
        <v>53.410000000000004</v>
      </c>
      <c r="BE79" s="537">
        <f t="shared" si="318"/>
        <v>55.95</v>
      </c>
      <c r="BF79" s="537">
        <f t="shared" si="318"/>
        <v>55.201300000000003</v>
      </c>
      <c r="BG79" s="536">
        <f>+BG80*BG66</f>
        <v>56.843800000000002</v>
      </c>
      <c r="BH79" s="1179">
        <f t="shared" ref="BH79:BO79" si="319">+BH80*BH66</f>
        <v>84.399800000000013</v>
      </c>
      <c r="BI79" s="537">
        <f t="shared" si="319"/>
        <v>87.383499999999998</v>
      </c>
      <c r="BJ79" s="537">
        <f t="shared" si="319"/>
        <v>88.118700000000004</v>
      </c>
      <c r="BK79" s="537">
        <f t="shared" si="319"/>
        <v>90.266600000000011</v>
      </c>
      <c r="BL79" s="1179">
        <f t="shared" ref="BL79:BM79" si="320">+BL80*BL66</f>
        <v>97.214100000000016</v>
      </c>
      <c r="BM79" s="537">
        <f t="shared" si="320"/>
        <v>101.21390000000001</v>
      </c>
      <c r="BN79" s="537">
        <f t="shared" ref="BN79" si="321">+BN80*BN66</f>
        <v>99.424800000000005</v>
      </c>
      <c r="BO79" s="536">
        <f t="shared" si="319"/>
        <v>98.553216599999999</v>
      </c>
      <c r="BP79" s="537">
        <f t="shared" ref="BP79:BW79" si="322">+BP80*BP66</f>
        <v>102.91018515000002</v>
      </c>
      <c r="BQ79" s="537">
        <f t="shared" si="322"/>
        <v>106.13265526545001</v>
      </c>
      <c r="BR79" s="537">
        <f t="shared" si="322"/>
        <v>103.97374200049586</v>
      </c>
      <c r="BS79" s="536">
        <f t="shared" si="322"/>
        <v>103.03623180237354</v>
      </c>
      <c r="BT79" s="537">
        <f t="shared" si="322"/>
        <v>107.14096212196996</v>
      </c>
      <c r="BU79" s="537">
        <f t="shared" si="322"/>
        <v>109.89462959489163</v>
      </c>
      <c r="BV79" s="537">
        <f t="shared" si="322"/>
        <v>108.30117619537671</v>
      </c>
      <c r="BW79" s="536">
        <f t="shared" si="322"/>
        <v>107.32236018299828</v>
      </c>
      <c r="BX79" s="20"/>
      <c r="BY79" s="508">
        <f>SUM(D79:G79)</f>
        <v>0</v>
      </c>
      <c r="BZ79" s="508">
        <f>SUM(H79:K79)</f>
        <v>0</v>
      </c>
      <c r="CA79" s="508">
        <f>SUM(L79:O79)</f>
        <v>0</v>
      </c>
      <c r="CB79" s="508">
        <f>SUM(P79:S79)</f>
        <v>0</v>
      </c>
      <c r="CC79" s="508">
        <f>SUM(T79:W79)</f>
        <v>0</v>
      </c>
      <c r="CD79" s="508">
        <f>SUM(X79:AA79)</f>
        <v>0</v>
      </c>
      <c r="CE79" s="508">
        <f>SUM(AB79:AE79)</f>
        <v>0</v>
      </c>
      <c r="CF79" s="508">
        <f>SUM(AF79:AI79)</f>
        <v>0</v>
      </c>
      <c r="CG79" s="508">
        <f>SUM(AJ79:AM79)</f>
        <v>148.72049999999999</v>
      </c>
      <c r="CH79" s="508">
        <f>SUM(AN79:AQ79)</f>
        <v>138.3176</v>
      </c>
      <c r="CI79" s="508">
        <f>SUM(AR79:AU79)</f>
        <v>158.16790000000003</v>
      </c>
      <c r="CJ79" s="1015">
        <f>SUM(AV79:AY79)</f>
        <v>193.1217</v>
      </c>
      <c r="CK79" s="508">
        <f>SUM(AZ79:BC79)</f>
        <v>215.10070000000002</v>
      </c>
      <c r="CL79" s="508">
        <f>SUM(BD79:BG79)</f>
        <v>221.4051</v>
      </c>
      <c r="CM79" s="508">
        <f>SUM(BH79:BK79)</f>
        <v>350.16859999999997</v>
      </c>
      <c r="CN79" s="508">
        <f>SUM(BL79:BO79)</f>
        <v>396.40601659999999</v>
      </c>
      <c r="CO79" s="508">
        <f>SUM(BP79:BS79)</f>
        <v>416.05281421831944</v>
      </c>
      <c r="CP79" s="1011">
        <f>SUM(BT79:BW79)</f>
        <v>432.65912809523661</v>
      </c>
      <c r="CQ79" s="22"/>
      <c r="CR79" s="232"/>
      <c r="CS79" s="22"/>
      <c r="CT79" s="14"/>
      <c r="CU79" s="14"/>
      <c r="CV79" s="14"/>
      <c r="CW79" s="14"/>
      <c r="CX79" s="14"/>
      <c r="CY79" s="14"/>
      <c r="CZ79" s="14"/>
      <c r="DA79" s="22"/>
      <c r="DB79" s="14"/>
      <c r="DC79" s="22"/>
      <c r="DD79" s="14"/>
      <c r="DE79" s="14"/>
      <c r="DF79" s="14"/>
      <c r="DG79" s="14"/>
      <c r="DH79" s="232"/>
    </row>
    <row r="80" spans="1:112" ht="14.25" customHeight="1">
      <c r="A80" s="472"/>
      <c r="B80" s="1274" t="s">
        <v>222</v>
      </c>
      <c r="C80" s="232"/>
      <c r="D80" s="90"/>
      <c r="E80" s="90"/>
      <c r="F80" s="90"/>
      <c r="G80" s="91"/>
      <c r="H80" s="90"/>
      <c r="I80" s="90"/>
      <c r="J80" s="90"/>
      <c r="K80" s="91"/>
      <c r="L80" s="90"/>
      <c r="M80" s="90"/>
      <c r="N80" s="90"/>
      <c r="O80" s="91"/>
      <c r="P80" s="90"/>
      <c r="Q80" s="90"/>
      <c r="R80" s="90"/>
      <c r="S80" s="91"/>
      <c r="T80" s="90"/>
      <c r="U80" s="90"/>
      <c r="V80" s="90"/>
      <c r="W80" s="91"/>
      <c r="X80" s="90"/>
      <c r="Y80" s="90"/>
      <c r="Z80" s="90"/>
      <c r="AA80" s="91"/>
      <c r="AB80" s="534"/>
      <c r="AC80" s="534"/>
      <c r="AD80" s="534"/>
      <c r="AE80" s="542"/>
      <c r="AF80" s="534"/>
      <c r="AG80" s="534"/>
      <c r="AH80" s="534"/>
      <c r="AI80" s="542"/>
      <c r="AJ80" s="1055">
        <v>0.1</v>
      </c>
      <c r="AK80" s="1056">
        <f>AJ80</f>
        <v>0.1</v>
      </c>
      <c r="AL80" s="1056">
        <f t="shared" ref="AL80:BG80" si="323">AK80</f>
        <v>0.1</v>
      </c>
      <c r="AM80" s="1057">
        <f t="shared" si="323"/>
        <v>0.1</v>
      </c>
      <c r="AN80" s="1056">
        <f t="shared" si="323"/>
        <v>0.1</v>
      </c>
      <c r="AO80" s="1056">
        <f t="shared" si="323"/>
        <v>0.1</v>
      </c>
      <c r="AP80" s="1056">
        <f t="shared" si="323"/>
        <v>0.1</v>
      </c>
      <c r="AQ80" s="1057">
        <f t="shared" si="323"/>
        <v>0.1</v>
      </c>
      <c r="AR80" s="1056">
        <f t="shared" si="323"/>
        <v>0.1</v>
      </c>
      <c r="AS80" s="1056">
        <f t="shared" si="323"/>
        <v>0.1</v>
      </c>
      <c r="AT80" s="1056">
        <f t="shared" si="323"/>
        <v>0.1</v>
      </c>
      <c r="AU80" s="1057">
        <f>AT80</f>
        <v>0.1</v>
      </c>
      <c r="AV80" s="1056">
        <f>AU80</f>
        <v>0.1</v>
      </c>
      <c r="AW80" s="1056">
        <f t="shared" si="323"/>
        <v>0.1</v>
      </c>
      <c r="AX80" s="1056">
        <f t="shared" si="323"/>
        <v>0.1</v>
      </c>
      <c r="AY80" s="1057">
        <f>AX80</f>
        <v>0.1</v>
      </c>
      <c r="AZ80" s="1056">
        <f>AY80</f>
        <v>0.1</v>
      </c>
      <c r="BA80" s="1056">
        <f t="shared" si="323"/>
        <v>0.1</v>
      </c>
      <c r="BB80" s="1056">
        <f t="shared" si="323"/>
        <v>0.1</v>
      </c>
      <c r="BC80" s="1057">
        <f t="shared" si="323"/>
        <v>0.1</v>
      </c>
      <c r="BD80" s="1056">
        <f t="shared" si="323"/>
        <v>0.1</v>
      </c>
      <c r="BE80" s="1056">
        <f t="shared" si="323"/>
        <v>0.1</v>
      </c>
      <c r="BF80" s="1056">
        <f t="shared" si="323"/>
        <v>0.1</v>
      </c>
      <c r="BG80" s="1057">
        <f t="shared" si="323"/>
        <v>0.1</v>
      </c>
      <c r="BH80" s="1180">
        <f t="shared" ref="BH80:BO80" si="324">BG80</f>
        <v>0.1</v>
      </c>
      <c r="BI80" s="1056">
        <f t="shared" si="324"/>
        <v>0.1</v>
      </c>
      <c r="BJ80" s="1056">
        <f t="shared" si="324"/>
        <v>0.1</v>
      </c>
      <c r="BK80" s="1056">
        <f t="shared" si="324"/>
        <v>0.1</v>
      </c>
      <c r="BL80" s="1180">
        <f t="shared" si="324"/>
        <v>0.1</v>
      </c>
      <c r="BM80" s="1056">
        <f t="shared" si="324"/>
        <v>0.1</v>
      </c>
      <c r="BN80" s="1056">
        <f t="shared" si="324"/>
        <v>0.1</v>
      </c>
      <c r="BO80" s="1057">
        <f t="shared" si="324"/>
        <v>0.1</v>
      </c>
      <c r="BP80" s="1056">
        <f t="shared" ref="BP80:BW80" si="325">BO80</f>
        <v>0.1</v>
      </c>
      <c r="BQ80" s="1056">
        <f t="shared" si="325"/>
        <v>0.1</v>
      </c>
      <c r="BR80" s="1056">
        <f t="shared" si="325"/>
        <v>0.1</v>
      </c>
      <c r="BS80" s="1057">
        <f t="shared" si="325"/>
        <v>0.1</v>
      </c>
      <c r="BT80" s="1056">
        <f t="shared" si="325"/>
        <v>0.1</v>
      </c>
      <c r="BU80" s="1056">
        <f t="shared" si="325"/>
        <v>0.1</v>
      </c>
      <c r="BV80" s="1056">
        <f t="shared" si="325"/>
        <v>0.1</v>
      </c>
      <c r="BW80" s="1057">
        <f t="shared" si="325"/>
        <v>0.1</v>
      </c>
      <c r="BX80" s="20"/>
      <c r="BY80" s="1012"/>
      <c r="BZ80" s="1012"/>
      <c r="CA80" s="1012"/>
      <c r="CB80" s="1012"/>
      <c r="CC80" s="1012"/>
      <c r="CD80" s="1012"/>
      <c r="CE80" s="1012"/>
      <c r="CF80" s="1012"/>
      <c r="CG80" s="1012"/>
      <c r="CH80" s="1012"/>
      <c r="CI80" s="1012"/>
      <c r="CJ80" s="313"/>
      <c r="CK80" s="1012"/>
      <c r="CL80" s="1012"/>
      <c r="CM80" s="1012"/>
      <c r="CN80" s="1012"/>
      <c r="CO80" s="1012"/>
      <c r="CP80" s="1013"/>
      <c r="CQ80" s="22"/>
      <c r="CR80" s="232"/>
      <c r="CS80" s="22"/>
      <c r="CT80" s="14"/>
      <c r="CU80" s="14"/>
      <c r="CV80" s="14"/>
      <c r="CW80" s="14"/>
      <c r="CX80" s="14"/>
      <c r="CY80" s="14"/>
      <c r="CZ80" s="14"/>
      <c r="DA80" s="22"/>
      <c r="DB80" s="14"/>
      <c r="DC80" s="22"/>
      <c r="DD80" s="14"/>
      <c r="DE80" s="14"/>
      <c r="DF80" s="14"/>
      <c r="DG80" s="14"/>
      <c r="DH80" s="232"/>
    </row>
    <row r="81" spans="1:112" ht="14.25" customHeight="1">
      <c r="A81" s="876"/>
      <c r="B81" s="543" t="s">
        <v>217</v>
      </c>
      <c r="C81" s="230"/>
      <c r="D81" s="877"/>
      <c r="E81" s="877"/>
      <c r="F81" s="877"/>
      <c r="G81" s="878"/>
      <c r="H81" s="877"/>
      <c r="I81" s="877"/>
      <c r="J81" s="877"/>
      <c r="K81" s="878"/>
      <c r="L81" s="877"/>
      <c r="M81" s="877"/>
      <c r="N81" s="877"/>
      <c r="O81" s="878"/>
      <c r="P81" s="877"/>
      <c r="Q81" s="877"/>
      <c r="R81" s="877"/>
      <c r="S81" s="878"/>
      <c r="T81" s="877"/>
      <c r="U81" s="877"/>
      <c r="V81" s="877"/>
      <c r="W81" s="878"/>
      <c r="X81" s="877"/>
      <c r="Y81" s="877"/>
      <c r="Z81" s="877"/>
      <c r="AA81" s="878"/>
      <c r="AB81" s="534"/>
      <c r="AC81" s="534"/>
      <c r="AD81" s="534"/>
      <c r="AE81" s="542"/>
      <c r="AF81" s="534"/>
      <c r="AG81" s="534"/>
      <c r="AH81" s="534"/>
      <c r="AI81" s="542"/>
      <c r="AJ81" s="544">
        <f>0.01*IS!AJ60</f>
        <v>1.0922600000000002</v>
      </c>
      <c r="AK81" s="544">
        <f>0.01*IS!AK60</f>
        <v>1.2314300000000002</v>
      </c>
      <c r="AL81" s="544">
        <f>0.01*IS!AL60</f>
        <v>1.1745300000000003</v>
      </c>
      <c r="AM81" s="545">
        <f>0.01*IS!AM60</f>
        <v>1.2436099999999988</v>
      </c>
      <c r="AN81" s="544">
        <f>0.01*IS!AN60</f>
        <v>1.1686000000000001</v>
      </c>
      <c r="AO81" s="544">
        <f>0.01*IS!AO60</f>
        <v>0.97619999999999973</v>
      </c>
      <c r="AP81" s="544">
        <f>0.01*IS!AP60</f>
        <v>0.88127</v>
      </c>
      <c r="AQ81" s="879">
        <f>0.01*IS!AQ60</f>
        <v>0.93908999999999998</v>
      </c>
      <c r="AR81" s="544">
        <f>0.01*IS!AR60</f>
        <v>0.96333000000000002</v>
      </c>
      <c r="AS81" s="544">
        <f>0.01*IS!AS60</f>
        <v>8.0939999999999943E-2</v>
      </c>
      <c r="AT81" s="544">
        <f>0.01*IS!AT60</f>
        <v>0.1741300000000004</v>
      </c>
      <c r="AU81" s="879">
        <f>0.01*IS!AU60</f>
        <v>0.56713000000000047</v>
      </c>
      <c r="AV81" s="544">
        <f>0.01*IS!AV60</f>
        <v>0.98400999999999961</v>
      </c>
      <c r="AW81" s="544">
        <f>0.01*(IS!AW8-'BU Segment'!AW79-'BU Segment'!AW82-'BU Segment'!AW83-IS!AW26-IS!AW38)</f>
        <v>1.4918410999999998</v>
      </c>
      <c r="AX81" s="534">
        <f>0.01*(IS!AX8-'BU Segment'!AX79-'BU Segment'!AX82-'BU Segment'!AX83-IS!AX26-IS!AX38)</f>
        <v>1.4714900999999998</v>
      </c>
      <c r="AY81" s="879">
        <f>0.01*IS!AY60</f>
        <v>1.2603700000000007</v>
      </c>
      <c r="AZ81" s="544">
        <f>0.01*IS!AZ60</f>
        <v>1.1594599999999999</v>
      </c>
      <c r="BA81" s="534">
        <f>0.01*(IS!BA8-'BU Segment'!BA79-'BU Segment'!BA82-'BU Segment'!BA83-IS!BA26-IS!BA38)</f>
        <v>1.5353416000000004</v>
      </c>
      <c r="BB81" s="534">
        <f>0.01*(IS!BB8-'BU Segment'!BB79-'BU Segment'!BB82-'BU Segment'!BB83-IS!BB26-IS!BB38)</f>
        <v>1.3984116000000006</v>
      </c>
      <c r="BC81" s="542">
        <f>0.01*(IS!BC8-'BU Segment'!BC79-'BU Segment'!BC82-'BU Segment'!BC83-IS!BC26-IS!BC38)</f>
        <v>1.5253115999999995</v>
      </c>
      <c r="BD81" s="534">
        <f>0.01*(IS!BD8-'BU Segment'!BD79-'BU Segment'!BD82-'BU Segment'!BD83-IS!BD26-IS!BD38)</f>
        <v>1.6130815999999999</v>
      </c>
      <c r="BE81" s="534">
        <f>0.01*(IS!BE8-'BU Segment'!BE79-'BU Segment'!BE82-'BU Segment'!BE83-IS!BE26-IS!BE38)</f>
        <v>1.3148815999999999</v>
      </c>
      <c r="BF81" s="534">
        <f>0.01*(IS!BF8-'BU Segment'!BF79-'BU Segment'!BF82-'BU Segment'!BF83-IS!BF26-IS!BF38)</f>
        <v>1.2834286000000008</v>
      </c>
      <c r="BG81" s="542">
        <f>0.01*(IS!BG8-'BU Segment'!BG79-'BU Segment'!BG82-'BU Segment'!BG83-IS!BG26-IS!BG38)</f>
        <v>1.4398636000000002</v>
      </c>
      <c r="BH81" s="864">
        <f>0.01*(IS!BH8-'BU Segment'!BH79-'BU Segment'!BH82-'BU Segment'!BH83-IS!BH26-IS!BH38)</f>
        <v>1.8915235999999993</v>
      </c>
      <c r="BI81" s="534">
        <f>0.01*(IS!BI8-'BU Segment'!BI79-'BU Segment'!BI82-'BU Segment'!BI83-IS!BI26-IS!BI38)</f>
        <v>3.0591066000000002</v>
      </c>
      <c r="BJ81" s="534">
        <f>0.01*(IS!BJ8-'BU Segment'!BJ79-'BU Segment'!BJ82-'BU Segment'!BJ83-IS!BJ26-IS!BJ38)</f>
        <v>2.8049945999999997</v>
      </c>
      <c r="BK81" s="534">
        <f>0.01*(IS!BK8-'BU Segment'!BK79-'BU Segment'!BK82-'BU Segment'!BK83-IS!BK26-IS!BK38)</f>
        <v>3.3844456000000003</v>
      </c>
      <c r="BL81" s="864">
        <f>0.01*(IS!BL8-'BU Segment'!BL79-'BU Segment'!BL82-'BU Segment'!BL83-IS!BL26-IS!BL38)</f>
        <v>3.7104406000000001</v>
      </c>
      <c r="BM81" s="534">
        <f>0.01*(IS!BM8-'BU Segment'!BM79-'BU Segment'!BM82-'BU Segment'!BM83-IS!BM26-IS!BM38)</f>
        <v>4.0313026000000018</v>
      </c>
      <c r="BN81" s="534">
        <f>0.01*(IS!BN8-'BU Segment'!BN79-'BU Segment'!BN82-'BU Segment'!BN83-IS!BN26-IS!BN38)</f>
        <v>3.9216035999999996</v>
      </c>
      <c r="BO81" s="542">
        <f>0.01*(IS!BO8-'BU Segment'!BO79-'BU Segment'!BO82-'BU Segment'!BO83-IS!BO26-IS!BO38)</f>
        <v>4.2026046216156558</v>
      </c>
      <c r="BP81" s="534">
        <f>0.01*(IS!BP8-'BU Segment'!BP79-'BU Segment'!BP82-'BU Segment'!BP83-IS!BP26-IS!BP38)</f>
        <v>4.6231854507872834</v>
      </c>
      <c r="BQ81" s="534">
        <f>0.01*(IS!BQ8-'BU Segment'!BQ79-'BU Segment'!BQ82-'BU Segment'!BQ83-IS!BQ26-IS!BQ38)</f>
        <v>4.8117389868407008</v>
      </c>
      <c r="BR81" s="534">
        <f>0.01*(IS!BR8-'BU Segment'!BR79-'BU Segment'!BR82-'BU Segment'!BR83-IS!BR26-IS!BR38)</f>
        <v>4.8169687590220125</v>
      </c>
      <c r="BS81" s="542">
        <f>0.01*(IS!BS8-'BU Segment'!BS79-'BU Segment'!BS82-'BU Segment'!BS83-IS!BS26-IS!BS38)</f>
        <v>4.7941956284993541</v>
      </c>
      <c r="BT81" s="534">
        <f>0.01*(IS!BT8-'BU Segment'!BT79-'BU Segment'!BT82-'BU Segment'!BT83-IS!BT26-IS!BT38)</f>
        <v>5.1574132171926239</v>
      </c>
      <c r="BU81" s="534">
        <f>0.01*(IS!BU8-'BU Segment'!BU79-'BU Segment'!BU82-'BU Segment'!BU83-IS!BU26-IS!BU38)</f>
        <v>5.1960307299396353</v>
      </c>
      <c r="BV81" s="534">
        <f>0.01*(IS!BV8-'BU Segment'!BV79-'BU Segment'!BV82-'BU Segment'!BV83-IS!BV26-IS!BV38)</f>
        <v>5.1453439185994965</v>
      </c>
      <c r="BW81" s="542">
        <f>0.01*(IS!BW8-'BU Segment'!BW79-'BU Segment'!BW82-'BU Segment'!BW83-IS!BW26-IS!BW38)</f>
        <v>4.0259982024798084</v>
      </c>
      <c r="BX81" s="594"/>
      <c r="BY81" s="508">
        <f>SUM(D81:G81)</f>
        <v>0</v>
      </c>
      <c r="BZ81" s="508">
        <f>SUM(H81:K81)</f>
        <v>0</v>
      </c>
      <c r="CA81" s="508">
        <f>SUM(L81:O81)</f>
        <v>0</v>
      </c>
      <c r="CB81" s="508">
        <f>SUM(P81:S81)</f>
        <v>0</v>
      </c>
      <c r="CC81" s="508">
        <f>SUM(T81:W81)</f>
        <v>0</v>
      </c>
      <c r="CD81" s="508">
        <f>SUM(X81:AA81)</f>
        <v>0</v>
      </c>
      <c r="CE81" s="508">
        <f>SUM(AB81:AE81)</f>
        <v>0</v>
      </c>
      <c r="CF81" s="508">
        <f>SUM(AF81:AI81)</f>
        <v>0</v>
      </c>
      <c r="CG81" s="508">
        <f>SUM(AJ81:AM81)</f>
        <v>4.7418299999999993</v>
      </c>
      <c r="CH81" s="508">
        <f>SUM(AN81:AQ81)</f>
        <v>3.96516</v>
      </c>
      <c r="CI81" s="508">
        <f>SUM(AR81:AU81)</f>
        <v>1.7855300000000009</v>
      </c>
      <c r="CJ81" s="1015">
        <f>SUM(AV81:AY81)</f>
        <v>5.2077112000000003</v>
      </c>
      <c r="CK81" s="508">
        <f>SUM(AZ81:BC81)</f>
        <v>5.6185248000000003</v>
      </c>
      <c r="CL81" s="508">
        <f>SUM(BD81:BG81)</f>
        <v>5.6512554000000002</v>
      </c>
      <c r="CM81" s="508">
        <f>SUM(BH81:BK81)</f>
        <v>11.140070399999999</v>
      </c>
      <c r="CN81" s="508">
        <f>SUM(BL81:BO81)</f>
        <v>15.865951421615657</v>
      </c>
      <c r="CO81" s="508">
        <f>SUM(BP81:BS81)</f>
        <v>19.046088825149351</v>
      </c>
      <c r="CP81" s="1011">
        <f>SUM(BT81:BW81)</f>
        <v>19.524786068211565</v>
      </c>
      <c r="CQ81" s="350"/>
      <c r="CR81" s="1386"/>
      <c r="CS81" s="350"/>
      <c r="CT81" s="229"/>
      <c r="CU81" s="229"/>
      <c r="CV81" s="229"/>
      <c r="CW81" s="229"/>
      <c r="CX81" s="229"/>
      <c r="CY81" s="229"/>
      <c r="CZ81" s="229"/>
      <c r="DA81" s="350"/>
      <c r="DB81" s="229"/>
      <c r="DC81" s="350"/>
      <c r="DD81" s="229"/>
      <c r="DE81" s="229"/>
      <c r="DF81" s="229"/>
      <c r="DG81" s="1385"/>
      <c r="DH81" s="1386"/>
    </row>
    <row r="82" spans="1:112" ht="14.25" customHeight="1">
      <c r="A82" s="472"/>
      <c r="B82" s="543" t="s">
        <v>218</v>
      </c>
      <c r="C82" s="232"/>
      <c r="D82" s="90"/>
      <c r="E82" s="90"/>
      <c r="F82" s="90"/>
      <c r="G82" s="91"/>
      <c r="H82" s="90"/>
      <c r="I82" s="90"/>
      <c r="J82" s="90"/>
      <c r="K82" s="91"/>
      <c r="L82" s="90"/>
      <c r="M82" s="90"/>
      <c r="N82" s="90"/>
      <c r="O82" s="91"/>
      <c r="P82" s="90"/>
      <c r="Q82" s="90"/>
      <c r="R82" s="90"/>
      <c r="S82" s="91"/>
      <c r="T82" s="90"/>
      <c r="U82" s="90"/>
      <c r="V82" s="90"/>
      <c r="W82" s="91"/>
      <c r="X82" s="90"/>
      <c r="Y82" s="90"/>
      <c r="Z82" s="90"/>
      <c r="AA82" s="91"/>
      <c r="AB82" s="534"/>
      <c r="AC82" s="534"/>
      <c r="AD82" s="534"/>
      <c r="AE82" s="542"/>
      <c r="AF82" s="534"/>
      <c r="AG82" s="534"/>
      <c r="AH82" s="534"/>
      <c r="AI82" s="542"/>
      <c r="AJ82" s="544">
        <f>+CFS!AJ11</f>
        <v>25.439</v>
      </c>
      <c r="AK82" s="544">
        <f>+CFS!AK11</f>
        <v>27.536999999999999</v>
      </c>
      <c r="AL82" s="544">
        <f>+CFS!AL11</f>
        <v>27.177000000000007</v>
      </c>
      <c r="AM82" s="545">
        <f>+CFS!AM11</f>
        <v>26.458999999999989</v>
      </c>
      <c r="AN82" s="544">
        <f>+CFS!AN11</f>
        <v>25.350999999999999</v>
      </c>
      <c r="AO82" s="544">
        <f>+CFS!AO11</f>
        <v>25.177</v>
      </c>
      <c r="AP82" s="544">
        <f>+CFS!AP11</f>
        <v>24.642000000000003</v>
      </c>
      <c r="AQ82" s="874">
        <f>+CFS!AQ11</f>
        <v>24.254000000000012</v>
      </c>
      <c r="AR82" s="875">
        <f>+CFS!AR11</f>
        <v>25.245000000000001</v>
      </c>
      <c r="AS82" s="875">
        <f>+CFS!AS11</f>
        <v>51.210999999999999</v>
      </c>
      <c r="AT82" s="875">
        <f>+CFS!AT11</f>
        <v>64.011999999999986</v>
      </c>
      <c r="AU82" s="874">
        <f>+CFS!AU11</f>
        <v>63.629000000000033</v>
      </c>
      <c r="AV82" s="875">
        <f>+CFS!AV11</f>
        <v>50.41</v>
      </c>
      <c r="AW82" s="875">
        <f>+CFS!AW11</f>
        <v>48.052000000000007</v>
      </c>
      <c r="AX82" s="875">
        <f>+CFS!AX11</f>
        <v>45.242000000000004</v>
      </c>
      <c r="AY82" s="874">
        <f>+CFS!AY11</f>
        <v>45.434999999999988</v>
      </c>
      <c r="AZ82" s="875">
        <f>+CFS!AZ11</f>
        <v>60.988</v>
      </c>
      <c r="BA82" s="875">
        <f>+CFS!BA11</f>
        <v>70.820999999999998</v>
      </c>
      <c r="BB82" s="875">
        <f>+CFS!BB11</f>
        <v>73.302999999999997</v>
      </c>
      <c r="BC82" s="874">
        <f>+CFS!BC11</f>
        <v>73.186000000000007</v>
      </c>
      <c r="BD82" s="875">
        <f>+CFS!BD11</f>
        <v>60.375</v>
      </c>
      <c r="BE82" s="875">
        <f>+CFS!BE11</f>
        <v>71.109000000000009</v>
      </c>
      <c r="BF82" s="875">
        <f>+CFS!BF11</f>
        <v>76.177999999999997</v>
      </c>
      <c r="BG82" s="874">
        <f>+CFS!BG11</f>
        <v>75.508999999999986</v>
      </c>
      <c r="BH82" s="1181">
        <f>+CFS!BH11</f>
        <v>113.14100000000001</v>
      </c>
      <c r="BI82" s="875">
        <f>+CFS!BI11</f>
        <v>112.81599999999999</v>
      </c>
      <c r="BJ82" s="875">
        <f>+CFS!BJ11</f>
        <v>114.96800000000003</v>
      </c>
      <c r="BK82" s="875">
        <f>+CFS!BK11</f>
        <v>128.28300000000002</v>
      </c>
      <c r="BL82" s="1181">
        <f>+CFS!BL11</f>
        <v>151.80099999999999</v>
      </c>
      <c r="BM82" s="875">
        <f>+CFS!BM11</f>
        <v>152.55500000000001</v>
      </c>
      <c r="BN82" s="875">
        <f>+CFS!BN11</f>
        <v>154.67599999999999</v>
      </c>
      <c r="BO82" s="874">
        <f>+CFS!CA11</f>
        <v>120.46599999999999</v>
      </c>
      <c r="BP82" s="875">
        <f>+CFS!CB11</f>
        <v>110.682</v>
      </c>
      <c r="BQ82" s="875">
        <f>+CFS!CC11</f>
        <v>116.17099999999999</v>
      </c>
      <c r="BR82" s="875">
        <f>+CFS!CD11</f>
        <v>100.07599999999999</v>
      </c>
      <c r="BS82" s="874">
        <f>+CFS!CE11</f>
        <v>96.046000000000006</v>
      </c>
      <c r="BT82" s="875">
        <f>+CFS!CF11</f>
        <v>90.057000000000002</v>
      </c>
      <c r="BU82" s="875">
        <f>+CFS!CG11</f>
        <v>106.61199999999999</v>
      </c>
      <c r="BV82" s="875">
        <f>+CFS!CH11</f>
        <v>99.424000000000007</v>
      </c>
      <c r="BW82" s="874">
        <f>+CFS!CI11</f>
        <v>204.09700000000004</v>
      </c>
      <c r="BX82" s="20"/>
      <c r="BY82" s="508">
        <f>SUM(D82:G82)</f>
        <v>0</v>
      </c>
      <c r="BZ82" s="508">
        <f>SUM(H82:K82)</f>
        <v>0</v>
      </c>
      <c r="CA82" s="508">
        <f>SUM(L82:O82)</f>
        <v>0</v>
      </c>
      <c r="CB82" s="508">
        <f>SUM(P82:S82)</f>
        <v>0</v>
      </c>
      <c r="CC82" s="508">
        <f>SUM(T82:W82)</f>
        <v>0</v>
      </c>
      <c r="CD82" s="508">
        <f>SUM(X82:AA82)</f>
        <v>0</v>
      </c>
      <c r="CE82" s="508">
        <f>SUM(AB82:AE82)</f>
        <v>0</v>
      </c>
      <c r="CF82" s="508">
        <f>SUM(AF82:AI82)</f>
        <v>0</v>
      </c>
      <c r="CG82" s="508">
        <f>SUM(AJ82:AM82)</f>
        <v>106.61199999999999</v>
      </c>
      <c r="CH82" s="508">
        <f>SUM(AN82:AQ82)</f>
        <v>99.424000000000007</v>
      </c>
      <c r="CI82" s="508">
        <f>SUM(AR82:AU82)</f>
        <v>204.09700000000004</v>
      </c>
      <c r="CJ82" s="1015">
        <f>SUM(AV82:AY82)</f>
        <v>189.13900000000001</v>
      </c>
      <c r="CK82" s="508">
        <f>SUM(AZ82:BC82)</f>
        <v>278.298</v>
      </c>
      <c r="CL82" s="508">
        <f>SUM(BD82:BG82)</f>
        <v>283.17099999999999</v>
      </c>
      <c r="CM82" s="508">
        <f>SUM(BH82:BK82)</f>
        <v>469.20800000000003</v>
      </c>
      <c r="CN82" s="508">
        <f>SUM(BL82:BO82)</f>
        <v>579.49799999999993</v>
      </c>
      <c r="CO82" s="508">
        <f>SUM(BP82:BS82)</f>
        <v>422.97499999999997</v>
      </c>
      <c r="CP82" s="1011">
        <f>SUM(BT82:BW82)</f>
        <v>500.19</v>
      </c>
      <c r="CQ82" s="22"/>
      <c r="CR82" s="232"/>
      <c r="CS82" s="22"/>
      <c r="CT82" s="14"/>
      <c r="CU82" s="14"/>
      <c r="CV82" s="14"/>
      <c r="CW82" s="14"/>
      <c r="CX82" s="14"/>
      <c r="CY82" s="14"/>
      <c r="CZ82" s="14"/>
      <c r="DA82" s="22"/>
      <c r="DB82" s="14"/>
      <c r="DC82" s="22"/>
      <c r="DD82" s="14"/>
      <c r="DE82" s="14"/>
      <c r="DF82" s="14"/>
      <c r="DG82" s="14"/>
      <c r="DH82" s="232"/>
    </row>
    <row r="83" spans="1:112" ht="14.25" customHeight="1">
      <c r="A83" s="472"/>
      <c r="B83" s="543" t="s">
        <v>219</v>
      </c>
      <c r="C83" s="232"/>
      <c r="D83" s="90"/>
      <c r="E83" s="90"/>
      <c r="F83" s="90"/>
      <c r="G83" s="91"/>
      <c r="H83" s="90"/>
      <c r="I83" s="90"/>
      <c r="J83" s="90"/>
      <c r="K83" s="91"/>
      <c r="L83" s="90"/>
      <c r="M83" s="90"/>
      <c r="N83" s="90"/>
      <c r="O83" s="91"/>
      <c r="P83" s="90"/>
      <c r="Q83" s="90"/>
      <c r="R83" s="90"/>
      <c r="S83" s="91"/>
      <c r="T83" s="90"/>
      <c r="U83" s="90"/>
      <c r="V83" s="90"/>
      <c r="W83" s="91"/>
      <c r="X83" s="90"/>
      <c r="Y83" s="90"/>
      <c r="Z83" s="90"/>
      <c r="AA83" s="91"/>
      <c r="AB83" s="534"/>
      <c r="AC83" s="534"/>
      <c r="AD83" s="534"/>
      <c r="AE83" s="542"/>
      <c r="AF83" s="534"/>
      <c r="AG83" s="534"/>
      <c r="AH83" s="534"/>
      <c r="AI83" s="542"/>
      <c r="AJ83" s="534">
        <f t="shared" ref="AJ83:AV83" si="326">+AJ76-AJ79-AJ81-AJ82</f>
        <v>87.438239999999979</v>
      </c>
      <c r="AK83" s="534">
        <f t="shared" si="326"/>
        <v>90.270469999999989</v>
      </c>
      <c r="AL83" s="534">
        <f t="shared" si="326"/>
        <v>86.293069999999986</v>
      </c>
      <c r="AM83" s="542">
        <f t="shared" si="326"/>
        <v>88.692890000000034</v>
      </c>
      <c r="AN83" s="534">
        <f t="shared" si="326"/>
        <v>90.788699999999977</v>
      </c>
      <c r="AO83" s="534">
        <f t="shared" si="326"/>
        <v>83.685599999999994</v>
      </c>
      <c r="AP83" s="534">
        <f t="shared" si="326"/>
        <v>85.229129999999998</v>
      </c>
      <c r="AQ83" s="542">
        <f t="shared" si="326"/>
        <v>89.371810000000039</v>
      </c>
      <c r="AR83" s="534">
        <f t="shared" si="326"/>
        <v>87.633269999999996</v>
      </c>
      <c r="AS83" s="534">
        <f t="shared" si="326"/>
        <v>99.481260000000006</v>
      </c>
      <c r="AT83" s="534">
        <f t="shared" si="326"/>
        <v>109.82817000000001</v>
      </c>
      <c r="AU83" s="542">
        <f t="shared" si="326"/>
        <v>82.17086999999988</v>
      </c>
      <c r="AV83" s="534">
        <f t="shared" si="326"/>
        <v>98.54398999999998</v>
      </c>
      <c r="AW83" s="534">
        <f t="shared" ref="AW83:BG83" si="327">AV83</f>
        <v>98.54398999999998</v>
      </c>
      <c r="AX83" s="534">
        <f t="shared" si="327"/>
        <v>98.54398999999998</v>
      </c>
      <c r="AY83" s="542">
        <f>+AY76-AY79-AY81-AY82</f>
        <v>106.76783000000007</v>
      </c>
      <c r="AZ83" s="534">
        <f>+AZ76-AZ79-AZ81-AZ82</f>
        <v>107.32983999999999</v>
      </c>
      <c r="BA83" s="534">
        <f t="shared" si="327"/>
        <v>107.32983999999999</v>
      </c>
      <c r="BB83" s="534">
        <f t="shared" si="327"/>
        <v>107.32983999999999</v>
      </c>
      <c r="BC83" s="542">
        <f t="shared" si="327"/>
        <v>107.32983999999999</v>
      </c>
      <c r="BD83" s="534">
        <f t="shared" si="327"/>
        <v>107.32983999999999</v>
      </c>
      <c r="BE83" s="534">
        <f t="shared" si="327"/>
        <v>107.32983999999999</v>
      </c>
      <c r="BF83" s="534">
        <f t="shared" si="327"/>
        <v>107.32983999999999</v>
      </c>
      <c r="BG83" s="542">
        <f t="shared" si="327"/>
        <v>107.32983999999999</v>
      </c>
      <c r="BH83" s="864">
        <f t="shared" ref="BH83:BO83" si="328">BG83</f>
        <v>107.32983999999999</v>
      </c>
      <c r="BI83" s="534">
        <f t="shared" si="328"/>
        <v>107.32983999999999</v>
      </c>
      <c r="BJ83" s="534">
        <f t="shared" si="328"/>
        <v>107.32983999999999</v>
      </c>
      <c r="BK83" s="534">
        <f t="shared" si="328"/>
        <v>107.32983999999999</v>
      </c>
      <c r="BL83" s="864">
        <f t="shared" si="328"/>
        <v>107.32983999999999</v>
      </c>
      <c r="BM83" s="534">
        <f t="shared" si="328"/>
        <v>107.32983999999999</v>
      </c>
      <c r="BN83" s="534">
        <f t="shared" si="328"/>
        <v>107.32983999999999</v>
      </c>
      <c r="BO83" s="542">
        <f t="shared" si="328"/>
        <v>107.32983999999999</v>
      </c>
      <c r="BP83" s="534">
        <f t="shared" ref="BP83:BW83" si="329">BO83</f>
        <v>107.32983999999999</v>
      </c>
      <c r="BQ83" s="534">
        <f t="shared" si="329"/>
        <v>107.32983999999999</v>
      </c>
      <c r="BR83" s="534">
        <f t="shared" si="329"/>
        <v>107.32983999999999</v>
      </c>
      <c r="BS83" s="542">
        <f t="shared" si="329"/>
        <v>107.32983999999999</v>
      </c>
      <c r="BT83" s="534">
        <f t="shared" si="329"/>
        <v>107.32983999999999</v>
      </c>
      <c r="BU83" s="534">
        <f t="shared" si="329"/>
        <v>107.32983999999999</v>
      </c>
      <c r="BV83" s="534">
        <f t="shared" si="329"/>
        <v>107.32983999999999</v>
      </c>
      <c r="BW83" s="542">
        <f t="shared" si="329"/>
        <v>107.32983999999999</v>
      </c>
      <c r="BX83" s="20"/>
      <c r="BY83" s="508">
        <f>SUM(D83:G83)</f>
        <v>0</v>
      </c>
      <c r="BZ83" s="508">
        <f>SUM(H83:K83)</f>
        <v>0</v>
      </c>
      <c r="CA83" s="508">
        <f>SUM(L83:O83)</f>
        <v>0</v>
      </c>
      <c r="CB83" s="508">
        <f>SUM(P83:S83)</f>
        <v>0</v>
      </c>
      <c r="CC83" s="508">
        <f>SUM(T83:W83)</f>
        <v>0</v>
      </c>
      <c r="CD83" s="508">
        <f>SUM(X83:AA83)</f>
        <v>0</v>
      </c>
      <c r="CE83" s="508">
        <f>SUM(AB83:AE83)</f>
        <v>0</v>
      </c>
      <c r="CF83" s="508">
        <f>SUM(AF83:AI83)</f>
        <v>0</v>
      </c>
      <c r="CG83" s="508">
        <f>SUM(AJ83:AM83)</f>
        <v>352.69466999999997</v>
      </c>
      <c r="CH83" s="508">
        <f>SUM(AN83:AQ83)</f>
        <v>349.07524000000001</v>
      </c>
      <c r="CI83" s="508">
        <f>SUM(AR83:AU83)</f>
        <v>379.11356999999987</v>
      </c>
      <c r="CJ83" s="1015">
        <f>SUM(AV83:AY83)</f>
        <v>402.39979999999997</v>
      </c>
      <c r="CK83" s="508">
        <f>SUM(AZ83:BC83)</f>
        <v>429.31935999999996</v>
      </c>
      <c r="CL83" s="508">
        <f>SUM(BD83:BG83)</f>
        <v>429.31935999999996</v>
      </c>
      <c r="CM83" s="508">
        <f>SUM(BH83:BK83)</f>
        <v>429.31935999999996</v>
      </c>
      <c r="CN83" s="508">
        <f>SUM(BL83:BO83)</f>
        <v>429.31935999999996</v>
      </c>
      <c r="CO83" s="508">
        <f>SUM(BP83:BS83)</f>
        <v>429.31935999999996</v>
      </c>
      <c r="CP83" s="1011">
        <f>SUM(BT83:BW83)</f>
        <v>429.31935999999996</v>
      </c>
      <c r="CQ83" s="22"/>
      <c r="CR83" s="232"/>
      <c r="CS83" s="22"/>
      <c r="CT83" s="14"/>
      <c r="CU83" s="14"/>
      <c r="CV83" s="14"/>
      <c r="CW83" s="14"/>
      <c r="CX83" s="14"/>
      <c r="CY83" s="14"/>
      <c r="CZ83" s="14"/>
      <c r="DA83" s="22"/>
      <c r="DB83" s="14"/>
      <c r="DC83" s="22"/>
      <c r="DD83" s="14"/>
      <c r="DE83" s="14"/>
      <c r="DF83" s="14"/>
      <c r="DG83" s="14"/>
      <c r="DH83" s="232"/>
    </row>
    <row r="84" spans="1:112" ht="14.25" customHeight="1">
      <c r="A84" s="472"/>
      <c r="B84" s="540"/>
      <c r="C84" s="232"/>
      <c r="D84" s="90"/>
      <c r="E84" s="90"/>
      <c r="F84" s="90"/>
      <c r="G84" s="91"/>
      <c r="H84" s="90"/>
      <c r="I84" s="90"/>
      <c r="J84" s="90"/>
      <c r="K84" s="91"/>
      <c r="L84" s="90"/>
      <c r="M84" s="90"/>
      <c r="N84" s="90"/>
      <c r="O84" s="91"/>
      <c r="P84" s="90"/>
      <c r="Q84" s="90"/>
      <c r="R84" s="90"/>
      <c r="S84" s="91"/>
      <c r="T84" s="90"/>
      <c r="U84" s="90"/>
      <c r="V84" s="90"/>
      <c r="W84" s="91"/>
      <c r="X84" s="90"/>
      <c r="Y84" s="90"/>
      <c r="Z84" s="90"/>
      <c r="AA84" s="91"/>
      <c r="AB84" s="534"/>
      <c r="AC84" s="534"/>
      <c r="AD84" s="534"/>
      <c r="AE84" s="542"/>
      <c r="AF84" s="534"/>
      <c r="AG84" s="534"/>
      <c r="AH84" s="534"/>
      <c r="AI84" s="542"/>
      <c r="AJ84" s="534"/>
      <c r="AK84" s="534"/>
      <c r="AL84" s="534"/>
      <c r="AM84" s="542"/>
      <c r="AN84" s="534"/>
      <c r="AO84" s="534"/>
      <c r="AP84" s="534"/>
      <c r="AQ84" s="536"/>
      <c r="AR84" s="537"/>
      <c r="AS84" s="537"/>
      <c r="AT84" s="537"/>
      <c r="AU84" s="536"/>
      <c r="AV84" s="537"/>
      <c r="AW84" s="537"/>
      <c r="AX84" s="537"/>
      <c r="AY84" s="536"/>
      <c r="AZ84" s="537"/>
      <c r="BA84" s="240"/>
      <c r="BB84" s="240"/>
      <c r="BC84" s="282"/>
      <c r="BD84" s="240"/>
      <c r="BE84" s="240"/>
      <c r="BF84" s="240"/>
      <c r="BG84" s="282"/>
      <c r="BH84" s="1028"/>
      <c r="BI84" s="240"/>
      <c r="BJ84" s="240"/>
      <c r="BK84" s="240"/>
      <c r="BL84" s="1028"/>
      <c r="BM84" s="240"/>
      <c r="BN84" s="240"/>
      <c r="BO84" s="282"/>
      <c r="BP84" s="240"/>
      <c r="BQ84" s="240"/>
      <c r="BR84" s="240"/>
      <c r="BS84" s="282"/>
      <c r="BT84" s="240"/>
      <c r="BU84" s="240"/>
      <c r="BV84" s="240"/>
      <c r="BW84" s="282"/>
      <c r="BX84" s="20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22"/>
      <c r="CK84" s="14"/>
      <c r="CL84" s="14"/>
      <c r="CM84" s="14"/>
      <c r="CN84" s="14"/>
      <c r="CO84" s="14"/>
      <c r="CP84" s="232"/>
      <c r="CQ84" s="22"/>
      <c r="CR84" s="232"/>
      <c r="CS84" s="22"/>
      <c r="CT84" s="14"/>
      <c r="CU84" s="14"/>
      <c r="CV84" s="14"/>
      <c r="CW84" s="14"/>
      <c r="CX84" s="14"/>
      <c r="CY84" s="14"/>
      <c r="CZ84" s="14"/>
      <c r="DA84" s="22"/>
      <c r="DB84" s="14"/>
      <c r="DC84" s="22"/>
      <c r="DD84" s="14"/>
      <c r="DE84" s="14"/>
      <c r="DF84" s="14"/>
      <c r="DG84" s="14"/>
      <c r="DH84" s="232"/>
    </row>
    <row r="85" spans="1:112" ht="14.25" customHeight="1">
      <c r="A85" s="472"/>
      <c r="B85" s="44" t="s">
        <v>127</v>
      </c>
      <c r="C85" s="309"/>
      <c r="D85" s="433">
        <f t="shared" ref="D85:AI85" si="330">D17+D28+D39+D50+D61</f>
        <v>82.367000000000004</v>
      </c>
      <c r="E85" s="370">
        <f t="shared" si="330"/>
        <v>90.3</v>
      </c>
      <c r="F85" s="370">
        <f t="shared" si="330"/>
        <v>92.894000000000005</v>
      </c>
      <c r="G85" s="371">
        <f t="shared" si="330"/>
        <v>86.674000000000049</v>
      </c>
      <c r="H85" s="433">
        <f t="shared" si="330"/>
        <v>55.520999999999987</v>
      </c>
      <c r="I85" s="370">
        <f t="shared" si="330"/>
        <v>91.193999999999988</v>
      </c>
      <c r="J85" s="370">
        <f t="shared" si="330"/>
        <v>97.01900000000002</v>
      </c>
      <c r="K85" s="371">
        <f t="shared" si="330"/>
        <v>106.22500000000002</v>
      </c>
      <c r="L85" s="433">
        <f t="shared" si="330"/>
        <v>121.45899999999999</v>
      </c>
      <c r="M85" s="370">
        <f t="shared" si="330"/>
        <v>126.37699999999998</v>
      </c>
      <c r="N85" s="370">
        <f t="shared" si="330"/>
        <v>116.78799999999998</v>
      </c>
      <c r="O85" s="371">
        <f t="shared" si="330"/>
        <v>119.35100000000006</v>
      </c>
      <c r="P85" s="433">
        <f t="shared" si="330"/>
        <v>127.505</v>
      </c>
      <c r="Q85" s="370">
        <f t="shared" si="330"/>
        <v>134.55599999999998</v>
      </c>
      <c r="R85" s="370">
        <f t="shared" si="330"/>
        <v>140.26999999999998</v>
      </c>
      <c r="S85" s="371">
        <f t="shared" si="330"/>
        <v>148.54599999999999</v>
      </c>
      <c r="T85" s="433">
        <f t="shared" si="330"/>
        <v>158.48400000000004</v>
      </c>
      <c r="U85" s="370">
        <f t="shared" si="330"/>
        <v>161.96100000000001</v>
      </c>
      <c r="V85" s="370">
        <f t="shared" si="330"/>
        <v>149.70999999999998</v>
      </c>
      <c r="W85" s="371">
        <f t="shared" si="330"/>
        <v>154.601</v>
      </c>
      <c r="X85" s="433">
        <f t="shared" si="330"/>
        <v>158.54500000000002</v>
      </c>
      <c r="Y85" s="370">
        <f t="shared" si="330"/>
        <v>154.71200000000002</v>
      </c>
      <c r="Z85" s="370">
        <f t="shared" si="330"/>
        <v>153.047</v>
      </c>
      <c r="AA85" s="371">
        <f t="shared" si="330"/>
        <v>158.63399999999999</v>
      </c>
      <c r="AB85" s="433">
        <f t="shared" si="330"/>
        <v>163.59700000000004</v>
      </c>
      <c r="AC85" s="370">
        <f t="shared" si="330"/>
        <v>164.15300000000002</v>
      </c>
      <c r="AD85" s="370">
        <f t="shared" si="330"/>
        <v>104.78700000000002</v>
      </c>
      <c r="AE85" s="371">
        <f t="shared" si="330"/>
        <v>83.966999999999985</v>
      </c>
      <c r="AF85" s="433">
        <f t="shared" si="330"/>
        <v>96.435000000000016</v>
      </c>
      <c r="AG85" s="370">
        <f t="shared" si="330"/>
        <v>123.34</v>
      </c>
      <c r="AH85" s="370">
        <f t="shared" si="330"/>
        <v>145.99600000000001</v>
      </c>
      <c r="AI85" s="371">
        <f t="shared" si="330"/>
        <v>168.47100000000009</v>
      </c>
      <c r="AJ85" s="433">
        <f t="shared" ref="AJ85:AT85" si="331">AJ17+AJ28+AJ39+AJ50+AJ61</f>
        <v>207.44300000000001</v>
      </c>
      <c r="AK85" s="370">
        <f t="shared" si="331"/>
        <v>225.00500000000005</v>
      </c>
      <c r="AL85" s="370">
        <f t="shared" si="331"/>
        <v>216.39700000000005</v>
      </c>
      <c r="AM85" s="371">
        <f t="shared" si="331"/>
        <v>225.59099999999981</v>
      </c>
      <c r="AN85" s="514">
        <f t="shared" si="331"/>
        <v>219.74800000000002</v>
      </c>
      <c r="AO85" s="431">
        <f t="shared" si="331"/>
        <v>196.703</v>
      </c>
      <c r="AP85" s="431">
        <f t="shared" si="331"/>
        <v>185.48800000000003</v>
      </c>
      <c r="AQ85" s="363">
        <f t="shared" si="331"/>
        <v>190.45499999999998</v>
      </c>
      <c r="AR85" s="366">
        <f t="shared" si="331"/>
        <v>203.07900000000001</v>
      </c>
      <c r="AS85" s="362">
        <f t="shared" si="331"/>
        <v>194.19500000000002</v>
      </c>
      <c r="AT85" s="362">
        <f t="shared" si="331"/>
        <v>200.42800000000005</v>
      </c>
      <c r="AU85" s="363">
        <f>AU17+AU28+AU39+AU50+AU61</f>
        <v>240.75700000000009</v>
      </c>
      <c r="AV85" s="366">
        <f>AV17+AV28+AV39+AV50+AV61</f>
        <v>266.57399999999996</v>
      </c>
      <c r="AW85" s="362">
        <f t="shared" ref="AW85:BF85" si="332">AW17+AW28+AW39+AW50+AW61</f>
        <v>288.86299999999994</v>
      </c>
      <c r="AX85" s="431">
        <f t="shared" si="332"/>
        <v>282.72000000000003</v>
      </c>
      <c r="AY85" s="363">
        <f>AY17+AY28+AY39+AY50+AY61</f>
        <v>290.58600000000013</v>
      </c>
      <c r="AZ85" s="366">
        <f>AZ17+AZ28+AZ39+AZ50+AZ61</f>
        <v>306.51900000000001</v>
      </c>
      <c r="BA85" s="431">
        <f t="shared" si="332"/>
        <v>307.45400000000012</v>
      </c>
      <c r="BB85" s="431">
        <f>BB17+BB28+BB39+BB50+BB61</f>
        <v>301.95900000000006</v>
      </c>
      <c r="BC85" s="430">
        <f t="shared" si="332"/>
        <v>313.63199999999995</v>
      </c>
      <c r="BD85" s="514">
        <f t="shared" si="332"/>
        <v>309.017</v>
      </c>
      <c r="BE85" s="431">
        <f t="shared" si="332"/>
        <v>300.95</v>
      </c>
      <c r="BF85" s="431">
        <f t="shared" si="332"/>
        <v>292.71800000000007</v>
      </c>
      <c r="BG85" s="430">
        <f>BG17+BG28+BG39+BG50+BG61</f>
        <v>302.73200000000003</v>
      </c>
      <c r="BH85" s="514">
        <f>BH17+BH28+BH39+BH50+BH61</f>
        <v>348.48999999999995</v>
      </c>
      <c r="BI85" s="431">
        <f t="shared" ref="BI85:BO85" si="333">BI17+BI28+BI39+BI50+BI61</f>
        <v>410.62099999999998</v>
      </c>
      <c r="BJ85" s="431">
        <f t="shared" si="333"/>
        <v>465.25899999999996</v>
      </c>
      <c r="BK85" s="431">
        <f t="shared" si="333"/>
        <v>532.82600000000002</v>
      </c>
      <c r="BL85" s="514">
        <f>BL17+BL28+BL39+BL50+BL61</f>
        <v>584.43899999999985</v>
      </c>
      <c r="BM85" s="431">
        <f t="shared" ref="BM85:BN85" si="334">BM17+BM28+BM39+BM50+BM61</f>
        <v>614.09400000000005</v>
      </c>
      <c r="BN85" s="431">
        <f t="shared" si="334"/>
        <v>607.05899999999997</v>
      </c>
      <c r="BO85" s="430">
        <f t="shared" si="333"/>
        <v>603.710307392</v>
      </c>
      <c r="BP85" s="431">
        <f t="shared" ref="BP85:BW85" si="335">BP17+BP28+BP39+BP50+BP61</f>
        <v>633.14933715409995</v>
      </c>
      <c r="BQ85" s="431">
        <f t="shared" si="335"/>
        <v>654.74746610869443</v>
      </c>
      <c r="BR85" s="431">
        <f t="shared" si="335"/>
        <v>639.89556232146936</v>
      </c>
      <c r="BS85" s="430">
        <f t="shared" si="335"/>
        <v>633.96702724354202</v>
      </c>
      <c r="BT85" s="431">
        <f t="shared" si="335"/>
        <v>661.14890826465432</v>
      </c>
      <c r="BU85" s="431">
        <f t="shared" si="335"/>
        <v>679.97906572473744</v>
      </c>
      <c r="BV85" s="431">
        <f t="shared" si="335"/>
        <v>668.50710106471058</v>
      </c>
      <c r="BW85" s="430">
        <f t="shared" si="335"/>
        <v>663.51102888063838</v>
      </c>
      <c r="BX85" s="286"/>
      <c r="BY85" s="362">
        <f>SUM(D85:G85)</f>
        <v>352.23500000000007</v>
      </c>
      <c r="BZ85" s="362">
        <f>SUM(H85:K85)</f>
        <v>349.959</v>
      </c>
      <c r="CA85" s="362">
        <f>SUM(L85:O85)</f>
        <v>483.97499999999997</v>
      </c>
      <c r="CB85" s="362">
        <f>SUM(P85:S85)</f>
        <v>550.87699999999995</v>
      </c>
      <c r="CC85" s="362">
        <f>SUM(T85:W85)</f>
        <v>624.75600000000009</v>
      </c>
      <c r="CD85" s="362">
        <f>SUM(X85:AA85)</f>
        <v>624.9380000000001</v>
      </c>
      <c r="CE85" s="362">
        <f>SUM(AB85:AE85)</f>
        <v>516.50400000000013</v>
      </c>
      <c r="CF85" s="362">
        <f>SUM(AF85:AI85)</f>
        <v>534.24200000000019</v>
      </c>
      <c r="CG85" s="362">
        <f>SUM(AJ85:AM85)</f>
        <v>874.43599999999992</v>
      </c>
      <c r="CH85" s="362">
        <f>SUM(AN85:AQ85)</f>
        <v>792.39400000000001</v>
      </c>
      <c r="CI85" s="362">
        <f>SUM(AR85:AU85)</f>
        <v>838.45900000000006</v>
      </c>
      <c r="CJ85" s="366">
        <f>SUM(AV85:AY85)</f>
        <v>1128.7429999999999</v>
      </c>
      <c r="CK85" s="362">
        <f>SUM(AZ85:BC85)</f>
        <v>1229.5640000000003</v>
      </c>
      <c r="CL85" s="362">
        <f>SUM(BD85:BG85)</f>
        <v>1205.4170000000001</v>
      </c>
      <c r="CM85" s="362">
        <f>SUM(BH85:BK85)</f>
        <v>1757.1959999999999</v>
      </c>
      <c r="CN85" s="362">
        <f>SUM(BL85:BO85)</f>
        <v>2409.3023073919999</v>
      </c>
      <c r="CO85" s="362">
        <f>SUM(BP85:BS85)</f>
        <v>2561.7593928278056</v>
      </c>
      <c r="CP85" s="363">
        <f>SUM(BT85:BW85)</f>
        <v>2673.1461039347405</v>
      </c>
      <c r="CQ85" s="22"/>
      <c r="CR85" s="232"/>
      <c r="CS85" s="22"/>
      <c r="CT85" s="14"/>
      <c r="CU85" s="14"/>
      <c r="CV85" s="14"/>
      <c r="CW85" s="14"/>
      <c r="CX85" s="14"/>
      <c r="CY85" s="14"/>
      <c r="CZ85" s="14"/>
      <c r="DA85" s="22"/>
      <c r="DB85" s="14"/>
      <c r="DC85" s="22"/>
      <c r="DD85" s="14"/>
      <c r="DE85" s="14"/>
      <c r="DF85" s="14"/>
      <c r="DG85" s="14"/>
      <c r="DH85" s="232"/>
    </row>
    <row r="86" spans="1:112" ht="14.25" customHeight="1">
      <c r="A86" s="472"/>
      <c r="B86" s="501" t="s">
        <v>223</v>
      </c>
      <c r="C86" s="278"/>
      <c r="D86" s="429">
        <f t="shared" ref="D86:AI86" si="336">+D85/D71</f>
        <v>0.52281902198750829</v>
      </c>
      <c r="E86" s="429">
        <f t="shared" si="336"/>
        <v>0.54143831920277252</v>
      </c>
      <c r="F86" s="429">
        <f t="shared" si="336"/>
        <v>0.55467714391487644</v>
      </c>
      <c r="G86" s="367">
        <f t="shared" si="336"/>
        <v>0.5428456903786657</v>
      </c>
      <c r="H86" s="429">
        <f t="shared" si="336"/>
        <v>0.34424582876062565</v>
      </c>
      <c r="I86" s="429">
        <f t="shared" si="336"/>
        <v>0.54125565328870051</v>
      </c>
      <c r="J86" s="429">
        <f t="shared" si="336"/>
        <v>0.54515162923463345</v>
      </c>
      <c r="K86" s="367">
        <f t="shared" si="336"/>
        <v>0.55463022910966775</v>
      </c>
      <c r="L86" s="429">
        <f t="shared" si="336"/>
        <v>0.5708330395958171</v>
      </c>
      <c r="M86" s="429">
        <f t="shared" si="336"/>
        <v>0.57263450750813338</v>
      </c>
      <c r="N86" s="429">
        <f t="shared" si="336"/>
        <v>0.56863241537802356</v>
      </c>
      <c r="O86" s="367">
        <f t="shared" si="336"/>
        <v>0.57357400652624202</v>
      </c>
      <c r="P86" s="429">
        <f t="shared" si="336"/>
        <v>0.58347481089293318</v>
      </c>
      <c r="Q86" s="429">
        <f t="shared" si="336"/>
        <v>0.59198057176042018</v>
      </c>
      <c r="R86" s="429">
        <f t="shared" si="336"/>
        <v>0.59715789115182882</v>
      </c>
      <c r="S86" s="367">
        <f t="shared" si="336"/>
        <v>0.60098231191235252</v>
      </c>
      <c r="T86" s="429">
        <f t="shared" si="336"/>
        <v>0.60361750019995664</v>
      </c>
      <c r="U86" s="429">
        <f t="shared" si="336"/>
        <v>0.60448095426485626</v>
      </c>
      <c r="V86" s="429">
        <f t="shared" si="336"/>
        <v>0.59644467817245939</v>
      </c>
      <c r="W86" s="367">
        <f t="shared" si="336"/>
        <v>0.59882018468021814</v>
      </c>
      <c r="X86" s="429">
        <f t="shared" si="336"/>
        <v>0.60038550092399046</v>
      </c>
      <c r="Y86" s="429">
        <f t="shared" si="336"/>
        <v>0.59815888063654332</v>
      </c>
      <c r="Z86" s="429">
        <f t="shared" si="336"/>
        <v>0.60588677751385589</v>
      </c>
      <c r="AA86" s="367">
        <f t="shared" si="336"/>
        <v>0.60915144114462128</v>
      </c>
      <c r="AB86" s="429">
        <f t="shared" si="336"/>
        <v>0.61004504571692797</v>
      </c>
      <c r="AC86" s="429">
        <f t="shared" si="336"/>
        <v>0.60863681193595998</v>
      </c>
      <c r="AD86" s="429">
        <f t="shared" si="336"/>
        <v>0.54529417274647973</v>
      </c>
      <c r="AE86" s="367">
        <f t="shared" si="336"/>
        <v>0.48464961645685783</v>
      </c>
      <c r="AF86" s="429">
        <f t="shared" si="336"/>
        <v>0.49979528269128115</v>
      </c>
      <c r="AG86" s="429">
        <f t="shared" si="336"/>
        <v>0.54416066284010045</v>
      </c>
      <c r="AH86" s="429">
        <f t="shared" si="336"/>
        <v>0.58375283387778443</v>
      </c>
      <c r="AI86" s="367">
        <f t="shared" si="336"/>
        <v>0.60596719660456089</v>
      </c>
      <c r="AJ86" s="429">
        <f t="shared" ref="AJ86:BF86" si="337">+AJ85/AJ71</f>
        <v>0.58086944347217362</v>
      </c>
      <c r="AK86" s="429">
        <f t="shared" si="337"/>
        <v>0.58860075705455039</v>
      </c>
      <c r="AL86" s="429">
        <f t="shared" si="337"/>
        <v>0.58831669494105887</v>
      </c>
      <c r="AM86" s="367">
        <f t="shared" si="337"/>
        <v>0.59368396120899469</v>
      </c>
      <c r="AN86" s="429">
        <f t="shared" si="337"/>
        <v>0.5867660684579995</v>
      </c>
      <c r="AO86" s="429">
        <f t="shared" si="337"/>
        <v>0.5775156928027434</v>
      </c>
      <c r="AP86" s="429">
        <f t="shared" si="337"/>
        <v>0.56352610920050072</v>
      </c>
      <c r="AQ86" s="368">
        <f t="shared" si="337"/>
        <v>0.56196169495826331</v>
      </c>
      <c r="AR86" s="369">
        <f t="shared" si="337"/>
        <v>0.57670943447664813</v>
      </c>
      <c r="AS86" s="369">
        <f t="shared" si="337"/>
        <v>0.50664235138195357</v>
      </c>
      <c r="AT86" s="369">
        <f t="shared" si="337"/>
        <v>0.48174364915502343</v>
      </c>
      <c r="AU86" s="368">
        <f t="shared" si="337"/>
        <v>0.55971256137479564</v>
      </c>
      <c r="AV86" s="369">
        <f t="shared" si="337"/>
        <v>0.57601254991443229</v>
      </c>
      <c r="AW86" s="369">
        <f t="shared" si="337"/>
        <v>0.58632266288319324</v>
      </c>
      <c r="AX86" s="369">
        <f t="shared" si="337"/>
        <v>0.58610367102568151</v>
      </c>
      <c r="AY86" s="368">
        <f>+AY85/AY71</f>
        <v>0.58896518735913617</v>
      </c>
      <c r="AZ86" s="369">
        <f>+AZ85/AZ71</f>
        <v>0.5795668549905838</v>
      </c>
      <c r="BA86" s="369">
        <f t="shared" si="337"/>
        <v>0.56285206400814303</v>
      </c>
      <c r="BB86" s="369">
        <f>+BB85/BB71</f>
        <v>0.57112405666622545</v>
      </c>
      <c r="BC86" s="368">
        <f t="shared" si="337"/>
        <v>0.57737105744219042</v>
      </c>
      <c r="BD86" s="369">
        <f t="shared" si="337"/>
        <v>0.57873554177154496</v>
      </c>
      <c r="BE86" s="369">
        <f t="shared" si="337"/>
        <v>0.53798712906685731</v>
      </c>
      <c r="BF86" s="369">
        <f t="shared" si="337"/>
        <v>0.53027374355314105</v>
      </c>
      <c r="BG86" s="368">
        <f>+BG85/BG71</f>
        <v>0.53260380014074604</v>
      </c>
      <c r="BH86" s="1054">
        <f t="shared" ref="BH86:BO86" si="338">+BH85/BH71</f>
        <v>0.41290382204697157</v>
      </c>
      <c r="BI86" s="369">
        <f t="shared" si="338"/>
        <v>0.4699067901835014</v>
      </c>
      <c r="BJ86" s="369">
        <f t="shared" si="338"/>
        <v>0.52798343168406714</v>
      </c>
      <c r="BK86" s="369">
        <f t="shared" si="338"/>
        <v>0.59028034732669665</v>
      </c>
      <c r="BL86" s="1054">
        <f t="shared" ref="BL86:BM86" si="339">+BL85/BL71</f>
        <v>0.60118748206278705</v>
      </c>
      <c r="BM86" s="369">
        <f t="shared" si="339"/>
        <v>0.60672891766842307</v>
      </c>
      <c r="BN86" s="369">
        <f t="shared" ref="BN86" si="340">+BN85/BN71</f>
        <v>0.6105974120025548</v>
      </c>
      <c r="BO86" s="368">
        <f t="shared" si="338"/>
        <v>0.61257291057509733</v>
      </c>
      <c r="BP86" s="369">
        <f t="shared" ref="BP86:BW86" si="341">+BP85/BP71</f>
        <v>0.61524458072952937</v>
      </c>
      <c r="BQ86" s="369">
        <f t="shared" si="341"/>
        <v>0.6169142423423738</v>
      </c>
      <c r="BR86" s="369">
        <f t="shared" si="341"/>
        <v>0.61543958119581543</v>
      </c>
      <c r="BS86" s="368">
        <f t="shared" si="341"/>
        <v>0.61528553223831894</v>
      </c>
      <c r="BT86" s="369">
        <f t="shared" si="341"/>
        <v>0.61708322864601328</v>
      </c>
      <c r="BU86" s="369">
        <f t="shared" si="341"/>
        <v>0.61875550082052944</v>
      </c>
      <c r="BV86" s="369">
        <f t="shared" si="341"/>
        <v>0.6172667043418949</v>
      </c>
      <c r="BW86" s="368">
        <f t="shared" si="341"/>
        <v>0.61824118268482697</v>
      </c>
      <c r="BX86" s="286"/>
      <c r="BY86" s="1054">
        <f t="shared" ref="BY86:CF86" si="342">+BY85/BY71</f>
        <v>0.54068387718700417</v>
      </c>
      <c r="BZ86" s="369">
        <f t="shared" si="342"/>
        <v>0.50047049738294769</v>
      </c>
      <c r="CA86" s="369">
        <f t="shared" si="342"/>
        <v>0.5714422341239479</v>
      </c>
      <c r="CB86" s="369">
        <f t="shared" si="342"/>
        <v>0.59368590990556014</v>
      </c>
      <c r="CC86" s="369">
        <f t="shared" si="342"/>
        <v>0.60091702086525456</v>
      </c>
      <c r="CD86" s="369">
        <f t="shared" si="342"/>
        <v>0.60337518115119959</v>
      </c>
      <c r="CE86" s="369">
        <f t="shared" si="342"/>
        <v>0.5717986442997155</v>
      </c>
      <c r="CF86" s="369">
        <f t="shared" si="342"/>
        <v>0.56370755775121384</v>
      </c>
      <c r="CG86" s="369">
        <f t="shared" ref="CG86:CL86" si="343">+CG85/CG71</f>
        <v>0.58797274081246365</v>
      </c>
      <c r="CH86" s="369">
        <f t="shared" si="343"/>
        <v>0.57288009624227143</v>
      </c>
      <c r="CI86" s="369">
        <f t="shared" si="343"/>
        <v>0.53012569999298187</v>
      </c>
      <c r="CJ86" s="1054">
        <f t="shared" si="343"/>
        <v>0.5844723819229013</v>
      </c>
      <c r="CK86" s="369">
        <f t="shared" si="343"/>
        <v>0.57267973149961171</v>
      </c>
      <c r="CL86" s="369">
        <f t="shared" si="343"/>
        <v>0.5546515485529524</v>
      </c>
      <c r="CM86" s="369">
        <f>+CM85/CM71</f>
        <v>0.51563835628015309</v>
      </c>
      <c r="CN86" s="369">
        <f>+CN85/CN71</f>
        <v>0.60779310646204199</v>
      </c>
      <c r="CO86" s="369">
        <f>+CO85/CO71</f>
        <v>0.6157293750412054</v>
      </c>
      <c r="CP86" s="368">
        <f>+CP85/CP71</f>
        <v>0.61784114337380402</v>
      </c>
      <c r="CQ86" s="22"/>
      <c r="CR86" s="232"/>
      <c r="CS86" s="22"/>
      <c r="CT86" s="14"/>
      <c r="CU86" s="14"/>
      <c r="CV86" s="14"/>
      <c r="CW86" s="14"/>
      <c r="CX86" s="14"/>
      <c r="CY86" s="14"/>
      <c r="CZ86" s="14"/>
      <c r="DA86" s="22"/>
      <c r="DB86" s="14"/>
      <c r="DC86" s="22"/>
      <c r="DD86" s="14"/>
      <c r="DE86" s="14"/>
      <c r="DF86" s="14"/>
      <c r="DG86" s="14"/>
      <c r="DH86" s="232"/>
    </row>
    <row r="87" spans="1:112" ht="14.25" customHeight="1">
      <c r="A87" s="472"/>
      <c r="B87" s="259"/>
      <c r="C87" s="278"/>
      <c r="D87" s="370"/>
      <c r="E87" s="370"/>
      <c r="F87" s="370"/>
      <c r="G87" s="371"/>
      <c r="H87" s="370"/>
      <c r="I87" s="370"/>
      <c r="J87" s="370"/>
      <c r="K87" s="371"/>
      <c r="L87" s="370"/>
      <c r="M87" s="370"/>
      <c r="N87" s="370"/>
      <c r="O87" s="371"/>
      <c r="P87" s="370"/>
      <c r="Q87" s="370"/>
      <c r="R87" s="370"/>
      <c r="S87" s="371"/>
      <c r="T87" s="370"/>
      <c r="U87" s="370"/>
      <c r="V87" s="370"/>
      <c r="W87" s="371"/>
      <c r="X87" s="370"/>
      <c r="Y87" s="370"/>
      <c r="Z87" s="370"/>
      <c r="AA87" s="371"/>
      <c r="AB87" s="370"/>
      <c r="AC87" s="370"/>
      <c r="AD87" s="370"/>
      <c r="AE87" s="371"/>
      <c r="AF87" s="370"/>
      <c r="AG87" s="370"/>
      <c r="AH87" s="370"/>
      <c r="AI87" s="371"/>
      <c r="AJ87" s="370"/>
      <c r="AK87" s="370"/>
      <c r="AL87" s="370"/>
      <c r="AM87" s="371"/>
      <c r="AN87" s="431"/>
      <c r="AO87" s="431"/>
      <c r="AP87" s="431"/>
      <c r="AQ87" s="363"/>
      <c r="AR87" s="362"/>
      <c r="AS87" s="362"/>
      <c r="AT87" s="362"/>
      <c r="AU87" s="363"/>
      <c r="AV87" s="362"/>
      <c r="AW87" s="362"/>
      <c r="AX87" s="362"/>
      <c r="AY87" s="363"/>
      <c r="AZ87" s="362"/>
      <c r="BA87" s="362"/>
      <c r="BB87" s="362"/>
      <c r="BC87" s="363"/>
      <c r="BD87" s="362"/>
      <c r="BE87" s="362"/>
      <c r="BF87" s="362"/>
      <c r="BG87" s="363"/>
      <c r="BH87" s="366"/>
      <c r="BI87" s="362"/>
      <c r="BJ87" s="362"/>
      <c r="BK87" s="362"/>
      <c r="BL87" s="366"/>
      <c r="BM87" s="362"/>
      <c r="BN87" s="362"/>
      <c r="BO87" s="363"/>
      <c r="BP87" s="362"/>
      <c r="BQ87" s="362"/>
      <c r="BR87" s="362"/>
      <c r="BS87" s="363"/>
      <c r="BT87" s="362"/>
      <c r="BU87" s="362"/>
      <c r="BV87" s="362"/>
      <c r="BW87" s="363"/>
      <c r="BX87" s="286"/>
      <c r="BY87" s="431"/>
      <c r="BZ87" s="431"/>
      <c r="CA87" s="431"/>
      <c r="CB87" s="431"/>
      <c r="CC87" s="431"/>
      <c r="CD87" s="431"/>
      <c r="CE87" s="362"/>
      <c r="CF87" s="362"/>
      <c r="CG87" s="362"/>
      <c r="CH87" s="362"/>
      <c r="CI87" s="362"/>
      <c r="CJ87" s="366"/>
      <c r="CK87" s="362"/>
      <c r="CL87" s="362"/>
      <c r="CM87" s="362"/>
      <c r="CN87" s="362"/>
      <c r="CO87" s="362"/>
      <c r="CP87" s="363"/>
      <c r="CQ87" s="22"/>
      <c r="CR87" s="232"/>
      <c r="CS87" s="22"/>
      <c r="CT87" s="14"/>
      <c r="CU87" s="14"/>
      <c r="CV87" s="14"/>
      <c r="CW87" s="14"/>
      <c r="CX87" s="14"/>
      <c r="CY87" s="14"/>
      <c r="CZ87" s="14"/>
      <c r="DA87" s="22"/>
      <c r="DB87" s="14"/>
      <c r="DC87" s="22"/>
      <c r="DD87" s="14"/>
      <c r="DE87" s="14"/>
      <c r="DF87" s="14"/>
      <c r="DG87" s="14"/>
      <c r="DH87" s="232"/>
    </row>
    <row r="88" spans="1:112" ht="14.25" hidden="1" customHeight="1" outlineLevel="1">
      <c r="A88" s="472"/>
      <c r="B88" s="259" t="s">
        <v>128</v>
      </c>
      <c r="C88" s="278"/>
      <c r="D88" s="285">
        <f>IS!D20</f>
        <v>82.367000000000004</v>
      </c>
      <c r="E88" s="285">
        <f>IS!E20</f>
        <v>90.3</v>
      </c>
      <c r="F88" s="285">
        <f>IS!F20</f>
        <v>92.893999999999991</v>
      </c>
      <c r="G88" s="285">
        <f>IS!G20</f>
        <v>86.674000000000049</v>
      </c>
      <c r="H88" s="285">
        <f>IS!H20</f>
        <v>55.520999999999987</v>
      </c>
      <c r="I88" s="285">
        <f>IS!I20</f>
        <v>91.193999999999988</v>
      </c>
      <c r="J88" s="285">
        <f>IS!J20</f>
        <v>97.01900000000002</v>
      </c>
      <c r="K88" s="285">
        <f>IS!K20</f>
        <v>106.22500000000002</v>
      </c>
      <c r="L88" s="285">
        <f>IS!L20</f>
        <v>121.459</v>
      </c>
      <c r="M88" s="285">
        <f>IS!M20</f>
        <v>126.377</v>
      </c>
      <c r="N88" s="285">
        <f>IS!N20</f>
        <v>116.78799999999998</v>
      </c>
      <c r="O88" s="285">
        <f>IS!O20</f>
        <v>119.35100000000006</v>
      </c>
      <c r="P88" s="285">
        <f>IS!P20</f>
        <v>127.50499999999998</v>
      </c>
      <c r="Q88" s="285">
        <f>IS!Q20</f>
        <v>134.55599999999998</v>
      </c>
      <c r="R88" s="285">
        <f>IS!R20</f>
        <v>140.26999999999998</v>
      </c>
      <c r="S88" s="285">
        <f>IS!S20</f>
        <v>148.54599999999999</v>
      </c>
      <c r="T88" s="285">
        <f>IS!T20</f>
        <v>158.48400000000004</v>
      </c>
      <c r="U88" s="285">
        <f>IS!U20</f>
        <v>161.96100000000001</v>
      </c>
      <c r="V88" s="285">
        <f>IS!V20</f>
        <v>149.70999999999998</v>
      </c>
      <c r="W88" s="285">
        <f>IS!W20</f>
        <v>154.601</v>
      </c>
      <c r="X88" s="285">
        <f>IS!X20</f>
        <v>158.54500000000002</v>
      </c>
      <c r="Y88" s="285">
        <f>IS!Y20</f>
        <v>154.71199999999999</v>
      </c>
      <c r="Z88" s="285">
        <f>IS!Z20</f>
        <v>153.047</v>
      </c>
      <c r="AA88" s="285">
        <f>IS!AA20</f>
        <v>158.63400000000001</v>
      </c>
      <c r="AB88" s="285">
        <f>IS!AB20</f>
        <v>163.59700000000004</v>
      </c>
      <c r="AC88" s="285">
        <f>IS!AC20</f>
        <v>164.15300000000002</v>
      </c>
      <c r="AD88" s="285">
        <f>IS!AD20</f>
        <v>104.78699999999999</v>
      </c>
      <c r="AE88" s="285">
        <f>IS!AE20</f>
        <v>83.966999999999985</v>
      </c>
      <c r="AF88" s="285">
        <f>IS!AF20</f>
        <v>96.435000000000016</v>
      </c>
      <c r="AG88" s="285">
        <f>IS!AG20</f>
        <v>123.34</v>
      </c>
      <c r="AH88" s="285">
        <f>IS!AH20</f>
        <v>145.99599999999998</v>
      </c>
      <c r="AI88" s="285">
        <f>IS!AI20</f>
        <v>168.47100000000006</v>
      </c>
      <c r="AJ88" s="285">
        <f>IS!AJ20</f>
        <v>207.44300000000001</v>
      </c>
      <c r="AK88" s="285">
        <f>IS!AK20</f>
        <v>225.00500000000002</v>
      </c>
      <c r="AL88" s="285">
        <f>IS!AL20</f>
        <v>216.39700000000002</v>
      </c>
      <c r="AM88" s="285">
        <f>IS!AM20</f>
        <v>225.59099999999987</v>
      </c>
      <c r="AN88" s="285">
        <f>IS!AN20</f>
        <v>219.74800000000002</v>
      </c>
      <c r="AO88" s="285">
        <f>IS!AO20</f>
        <v>196.70299999999997</v>
      </c>
      <c r="AP88" s="285">
        <f>IS!AP20</f>
        <v>185.488</v>
      </c>
      <c r="AQ88" s="285">
        <f>IS!AQ20</f>
        <v>190.45499999999996</v>
      </c>
      <c r="AR88" s="285">
        <f>IS!AR20</f>
        <v>203.07900000000001</v>
      </c>
      <c r="AS88" s="285">
        <f>IS!AS20</f>
        <v>194.19499999999999</v>
      </c>
      <c r="AT88" s="285">
        <f>IS!AT20</f>
        <v>200.42800000000003</v>
      </c>
      <c r="AU88" s="285">
        <f>IS!AU20</f>
        <v>240.75700000000009</v>
      </c>
      <c r="AV88" s="285">
        <f>IS!AV20</f>
        <v>266.57399999999996</v>
      </c>
      <c r="AW88" s="285">
        <f>IS!AW20</f>
        <v>288.86299999999994</v>
      </c>
      <c r="AX88" s="285">
        <f>IS!AX20</f>
        <v>282.72000000000003</v>
      </c>
      <c r="AY88" s="285">
        <f>IS!AY20</f>
        <v>290.58600000000013</v>
      </c>
      <c r="AZ88" s="285">
        <f>IS!AZ20</f>
        <v>306.51900000000001</v>
      </c>
      <c r="BA88" s="285">
        <f>IS!BA20</f>
        <v>307.45400000000006</v>
      </c>
      <c r="BB88" s="285">
        <f>IS!BB20</f>
        <v>301.95900000000006</v>
      </c>
      <c r="BC88" s="285">
        <f>IS!BC20</f>
        <v>313.63200000000001</v>
      </c>
      <c r="BD88" s="285">
        <f>IS!BD20</f>
        <v>309.017</v>
      </c>
      <c r="BE88" s="285">
        <f>IS!BE20</f>
        <v>300.94999999999993</v>
      </c>
      <c r="BF88" s="285">
        <f>IS!BF20</f>
        <v>292.71800000000007</v>
      </c>
      <c r="BG88" s="285">
        <f>IS!BG20</f>
        <v>302.73200000000003</v>
      </c>
      <c r="BH88" s="284">
        <f>IS!BH20</f>
        <v>348.48999999999995</v>
      </c>
      <c r="BI88" s="284">
        <f>IS!BI20</f>
        <v>410.62100000000004</v>
      </c>
      <c r="BJ88" s="284">
        <f>IS!BJ20</f>
        <v>465.25899999999996</v>
      </c>
      <c r="BK88" s="284">
        <f>IS!BK20</f>
        <v>532.82600000000002</v>
      </c>
      <c r="BL88" s="283">
        <f>IS!BL20</f>
        <v>584.43899999999996</v>
      </c>
      <c r="BM88" s="284">
        <f>IS!BM20</f>
        <v>614.09400000000005</v>
      </c>
      <c r="BN88" s="284">
        <f>IS!BN20</f>
        <v>607.05899999999997</v>
      </c>
      <c r="BO88" s="285">
        <f>IS!BO20</f>
        <v>603.710307392</v>
      </c>
      <c r="BP88" s="284">
        <f>IS!BP20</f>
        <v>633.14933715409995</v>
      </c>
      <c r="BQ88" s="284">
        <f>IS!BQ20</f>
        <v>654.74746610869443</v>
      </c>
      <c r="BR88" s="284">
        <f>IS!BR20</f>
        <v>639.89556232146936</v>
      </c>
      <c r="BS88" s="285">
        <f>IS!BS20</f>
        <v>633.96702724354202</v>
      </c>
      <c r="BT88" s="284">
        <f>IS!BT20</f>
        <v>661.14890826465432</v>
      </c>
      <c r="BU88" s="284">
        <f>IS!BU20</f>
        <v>679.97906572473744</v>
      </c>
      <c r="BV88" s="284">
        <f>IS!BV20</f>
        <v>668.50710106471058</v>
      </c>
      <c r="BW88" s="285">
        <f>IS!BW20</f>
        <v>663.51102888063838</v>
      </c>
      <c r="BX88" s="286"/>
      <c r="BY88" s="362">
        <f>IS!BY$20</f>
        <v>352.23500000000001</v>
      </c>
      <c r="BZ88" s="362">
        <f>IS!BZ$20</f>
        <v>349.95899999999995</v>
      </c>
      <c r="CA88" s="362">
        <f>IS!CA$20</f>
        <v>483.97500000000002</v>
      </c>
      <c r="CB88" s="362">
        <f>IS!CB$20</f>
        <v>550.87700000000007</v>
      </c>
      <c r="CC88" s="362">
        <f>IS!CC$20</f>
        <v>624.75600000000009</v>
      </c>
      <c r="CD88" s="362">
        <f>IS!CD$20</f>
        <v>624.9380000000001</v>
      </c>
      <c r="CE88" s="362">
        <f>IS!CE$20</f>
        <v>516.50400000000002</v>
      </c>
      <c r="CF88" s="362">
        <f>IS!CF$20</f>
        <v>534.24200000000019</v>
      </c>
      <c r="CG88" s="362">
        <f>IS!CG$20</f>
        <v>874.43599999999992</v>
      </c>
      <c r="CH88" s="362">
        <f>IS!CH$20</f>
        <v>792.39399999999989</v>
      </c>
      <c r="CI88" s="362">
        <f>IS!CI$20</f>
        <v>838.45900000000006</v>
      </c>
      <c r="CJ88" s="366">
        <f>IS!CJ$20</f>
        <v>1128.7430000000004</v>
      </c>
      <c r="CK88" s="362">
        <f>IS!CK$20</f>
        <v>1229.5640000000001</v>
      </c>
      <c r="CL88" s="362">
        <f>IS!CL$20</f>
        <v>1205.4169999999999</v>
      </c>
      <c r="CM88" s="362">
        <f>IS!CM$20</f>
        <v>1757.1960000000004</v>
      </c>
      <c r="CN88" s="362">
        <f>IS!CN$20</f>
        <v>2409.3023073920003</v>
      </c>
      <c r="CO88" s="362">
        <f>IS!CO$20</f>
        <v>2561.7593928278061</v>
      </c>
      <c r="CP88" s="363">
        <f>IS!CP$20</f>
        <v>2673.1461039347405</v>
      </c>
      <c r="CQ88" s="22"/>
      <c r="CR88" s="232"/>
      <c r="CS88" s="283">
        <f>IS!CR$20</f>
        <v>330.40800000000013</v>
      </c>
      <c r="CT88" s="362">
        <f>IS!CS$20</f>
        <v>470.84900000000005</v>
      </c>
      <c r="CU88" s="362">
        <f>IS!CT$20</f>
        <v>521.6819999999999</v>
      </c>
      <c r="CV88" s="362">
        <f>IS!CV$20</f>
        <v>620.90499999999986</v>
      </c>
      <c r="CW88" s="362">
        <f>IS!CV$20</f>
        <v>620.90499999999986</v>
      </c>
      <c r="CX88" s="362">
        <f>IS!CW$20</f>
        <v>591.17099999999994</v>
      </c>
      <c r="CY88" s="362">
        <f>IS!CX$20</f>
        <v>449.738</v>
      </c>
      <c r="CZ88" s="362">
        <f>IS!CY$20</f>
        <v>817.31600000000026</v>
      </c>
      <c r="DA88" s="366">
        <f>IS!CZ$20</f>
        <v>827.53</v>
      </c>
      <c r="DB88" s="362">
        <f>IS!DA$20</f>
        <v>788.15700000000004</v>
      </c>
      <c r="DC88" s="366">
        <f>IS!DB$20</f>
        <v>1078.9140000000002</v>
      </c>
      <c r="DD88" s="362">
        <f>IS!DC$20</f>
        <v>1206.518</v>
      </c>
      <c r="DE88" s="362">
        <f>IS!DD$20</f>
        <v>1216.3170000000002</v>
      </c>
      <c r="DF88" s="362">
        <f>IS!DE$20</f>
        <v>1527.1020000000001</v>
      </c>
      <c r="DG88" s="362">
        <f>IS!DF$20</f>
        <v>2338.4179999999997</v>
      </c>
      <c r="DH88" s="363">
        <f>IS!DG$20</f>
        <v>2531.5026729762635</v>
      </c>
    </row>
    <row r="89" spans="1:112" ht="14.25" hidden="1" customHeight="1" outlineLevel="1">
      <c r="A89" s="472"/>
      <c r="B89" s="44" t="s">
        <v>137</v>
      </c>
      <c r="C89" s="278"/>
      <c r="D89" s="115">
        <f>IS!D$60</f>
        <v>29.566000000000003</v>
      </c>
      <c r="E89" s="115">
        <f>IS!E$60</f>
        <v>3.3359999999999985</v>
      </c>
      <c r="F89" s="115">
        <f>IS!F$60</f>
        <v>48.140999999999991</v>
      </c>
      <c r="G89" s="116">
        <f>IS!G$60</f>
        <v>43.074000000000048</v>
      </c>
      <c r="H89" s="115">
        <f>IS!H$60</f>
        <v>10.511999999999986</v>
      </c>
      <c r="I89" s="115">
        <f>IS!I$60</f>
        <v>47.593999999999987</v>
      </c>
      <c r="J89" s="115">
        <f>IS!J$60</f>
        <v>53.852000000000018</v>
      </c>
      <c r="K89" s="116">
        <f>IS!K$60</f>
        <v>59.33600000000002</v>
      </c>
      <c r="L89" s="115">
        <f>IS!L$60</f>
        <v>49.854000000000013</v>
      </c>
      <c r="M89" s="115">
        <f>IS!M$60</f>
        <v>75.050999999999988</v>
      </c>
      <c r="N89" s="115">
        <f>IS!N$60</f>
        <v>65.621999999999986</v>
      </c>
      <c r="O89" s="116">
        <f>IS!O$60</f>
        <v>68.120000000000033</v>
      </c>
      <c r="P89" s="115">
        <f>IS!P$60</f>
        <v>73.028999999999982</v>
      </c>
      <c r="Q89" s="115">
        <f>IS!Q$60</f>
        <v>79.294999999999987</v>
      </c>
      <c r="R89" s="115">
        <f>IS!R$60</f>
        <v>84.58799999999998</v>
      </c>
      <c r="S89" s="116">
        <f>IS!S$60</f>
        <v>89.451999999999998</v>
      </c>
      <c r="T89" s="115">
        <f>IS!T$60</f>
        <v>89.68100000000004</v>
      </c>
      <c r="U89" s="115">
        <f>IS!U$60</f>
        <v>91.359000000000009</v>
      </c>
      <c r="V89" s="115">
        <f>IS!V$60</f>
        <v>81.481999999999971</v>
      </c>
      <c r="W89" s="116">
        <f>IS!W$60</f>
        <v>85.289000000000001</v>
      </c>
      <c r="X89" s="115">
        <f>IS!X$60</f>
        <v>85.01900000000002</v>
      </c>
      <c r="Y89" s="115">
        <f>IS!Y$60</f>
        <v>55.673999999999978</v>
      </c>
      <c r="Z89" s="115">
        <f>IS!Z$60</f>
        <v>79.239999999999995</v>
      </c>
      <c r="AA89" s="116">
        <f>IS!AA$60</f>
        <v>81.732000000000014</v>
      </c>
      <c r="AB89" s="115">
        <f>IS!AB$60</f>
        <v>86.632000000000033</v>
      </c>
      <c r="AC89" s="115">
        <f>IS!AC$60</f>
        <v>87.181000000000026</v>
      </c>
      <c r="AD89" s="115">
        <f>IS!AD$60</f>
        <v>40.47399999999999</v>
      </c>
      <c r="AE89" s="116">
        <f>IS!AE$60</f>
        <v>19.040999999999983</v>
      </c>
      <c r="AF89" s="115">
        <f>IS!AF$60</f>
        <v>31.178000000000011</v>
      </c>
      <c r="AG89" s="115">
        <f>IS!AG$60</f>
        <v>52.725999999999999</v>
      </c>
      <c r="AH89" s="115">
        <f>IS!AH$60</f>
        <v>72.567999999999984</v>
      </c>
      <c r="AI89" s="116">
        <f>IS!AI$60</f>
        <v>88.487000000000052</v>
      </c>
      <c r="AJ89" s="115">
        <f>IS!AJ$60</f>
        <v>109.22600000000001</v>
      </c>
      <c r="AK89" s="115">
        <f>IS!AK$60</f>
        <v>123.14300000000001</v>
      </c>
      <c r="AL89" s="115">
        <f>IS!AL$60</f>
        <v>117.45300000000002</v>
      </c>
      <c r="AM89" s="116">
        <f>IS!AM$60</f>
        <v>124.36099999999988</v>
      </c>
      <c r="AN89" s="516">
        <f>IS!AN$60</f>
        <v>116.86000000000001</v>
      </c>
      <c r="AO89" s="516">
        <f>IS!AO$60</f>
        <v>97.619999999999976</v>
      </c>
      <c r="AP89" s="516">
        <f>IS!AP$60</f>
        <v>88.126999999999995</v>
      </c>
      <c r="AQ89" s="285">
        <f>IS!AQ$60</f>
        <v>93.908999999999992</v>
      </c>
      <c r="AR89" s="284">
        <f>IS!AR$60</f>
        <v>96.332999999999998</v>
      </c>
      <c r="AS89" s="284">
        <f>IS!AS$60</f>
        <v>8.0939999999999941</v>
      </c>
      <c r="AT89" s="284">
        <f>IS!AT$60</f>
        <v>17.413000000000039</v>
      </c>
      <c r="AU89" s="285">
        <f>IS!AU$60</f>
        <v>56.713000000000051</v>
      </c>
      <c r="AV89" s="284">
        <f>IS!AV$60</f>
        <v>98.400999999999954</v>
      </c>
      <c r="AW89" s="284">
        <f>IS!AW$60</f>
        <v>117.50799999999992</v>
      </c>
      <c r="AX89" s="284">
        <f>IS!AX$60</f>
        <v>116.91800000000003</v>
      </c>
      <c r="AY89" s="285">
        <f>IS!AY$60</f>
        <v>126.03700000000006</v>
      </c>
      <c r="AZ89" s="284">
        <f>+IS!AZ60</f>
        <v>115.946</v>
      </c>
      <c r="BA89" s="284">
        <f>+IS!BA60</f>
        <v>101.31800000000007</v>
      </c>
      <c r="BB89" s="284">
        <f>+IS!BB60</f>
        <v>98.009000000000043</v>
      </c>
      <c r="BC89" s="285">
        <f>+IS!BC60</f>
        <v>110.34700000000001</v>
      </c>
      <c r="BD89" s="284">
        <f>+IS!BD60</f>
        <v>121.31899999999999</v>
      </c>
      <c r="BE89" s="284">
        <f>+IS!BE60</f>
        <v>74.947999999999922</v>
      </c>
      <c r="BF89" s="284">
        <f>+IS!BF60</f>
        <v>76.132000000000062</v>
      </c>
      <c r="BG89" s="285">
        <f>+IS!BG60</f>
        <v>79.899000000000001</v>
      </c>
      <c r="BH89" s="283">
        <f>+IS!BH60</f>
        <v>-59.104000000000099</v>
      </c>
      <c r="BI89" s="284">
        <f>+IS!BI60</f>
        <v>62.760000000000048</v>
      </c>
      <c r="BJ89" s="284">
        <f>+IS!BJ60</f>
        <v>118.07399999999996</v>
      </c>
      <c r="BK89" s="284">
        <f>+IS!BK60</f>
        <v>154.08700000000005</v>
      </c>
      <c r="BL89" s="283">
        <f>+IS!BL60</f>
        <v>221.59799999999996</v>
      </c>
      <c r="BM89" s="284">
        <f>+IS!BM60</f>
        <v>225.399</v>
      </c>
      <c r="BN89" s="284">
        <f>+IS!BN60</f>
        <v>245.24599999999998</v>
      </c>
      <c r="BO89" s="285">
        <f>+IS!BO60</f>
        <v>364.7876601535657</v>
      </c>
      <c r="BP89" s="284">
        <f>+IS!BP60</f>
        <v>387.28805588282819</v>
      </c>
      <c r="BQ89" s="284">
        <f>+IS!BQ60</f>
        <v>404.22830740371433</v>
      </c>
      <c r="BR89" s="284">
        <f>+IS!BR60</f>
        <v>393.23460021920795</v>
      </c>
      <c r="BS89" s="285">
        <f>+IS!BS60</f>
        <v>389.4363438721158</v>
      </c>
      <c r="BT89" s="284">
        <f>+IS!BT60</f>
        <v>410.00841088618711</v>
      </c>
      <c r="BU89" s="284">
        <f>+IS!BU60</f>
        <v>424.47231236467638</v>
      </c>
      <c r="BV89" s="284">
        <f>+IS!BV60</f>
        <v>415.08474716626972</v>
      </c>
      <c r="BW89" s="285">
        <f>+IS!BW60</f>
        <v>411.63644748163483</v>
      </c>
      <c r="BX89" s="286"/>
      <c r="BY89" s="362">
        <f>IS!BY$60</f>
        <v>124.11700000000002</v>
      </c>
      <c r="BZ89" s="362">
        <f>IS!BZ$60</f>
        <v>171.29399999999993</v>
      </c>
      <c r="CA89" s="362">
        <f>IS!CA$60</f>
        <v>258.64700000000005</v>
      </c>
      <c r="CB89" s="362">
        <f>IS!CB$60</f>
        <v>326.36400000000009</v>
      </c>
      <c r="CC89" s="362">
        <f>IS!CC$60</f>
        <v>347.81100000000004</v>
      </c>
      <c r="CD89" s="362">
        <f>IS!CD$60</f>
        <v>301.66500000000013</v>
      </c>
      <c r="CE89" s="362">
        <f>IS!CE$60</f>
        <v>233.32799999999997</v>
      </c>
      <c r="CF89" s="362">
        <f>IS!CF$60</f>
        <v>244.95900000000017</v>
      </c>
      <c r="CG89" s="362">
        <f>IS!CG$60</f>
        <v>474.18299999999988</v>
      </c>
      <c r="CH89" s="362">
        <f>IS!CH$60</f>
        <v>396.51599999999996</v>
      </c>
      <c r="CI89" s="362">
        <f>IS!CI$60</f>
        <v>178.55300000000011</v>
      </c>
      <c r="CJ89" s="366">
        <f>IS!CJ$60</f>
        <v>458.86400000000037</v>
      </c>
      <c r="CK89" s="362">
        <f>IS!CK$60</f>
        <v>425.62000000000012</v>
      </c>
      <c r="CL89" s="362">
        <f>IS!CL$60</f>
        <v>352.29799999999977</v>
      </c>
      <c r="CM89" s="362">
        <f>IS!CM$60</f>
        <v>275.81700000000023</v>
      </c>
      <c r="CN89" s="362">
        <f>IS!CN$60</f>
        <v>1057.030660153566</v>
      </c>
      <c r="CO89" s="362">
        <f>IS!CO$60</f>
        <v>1574.1873073778665</v>
      </c>
      <c r="CP89" s="363">
        <f>IS!CP$60</f>
        <v>1661.2019178987678</v>
      </c>
      <c r="CQ89" s="22"/>
      <c r="CR89" s="232"/>
      <c r="CS89" s="283">
        <f>IS!CR$60</f>
        <v>155.0320000000001</v>
      </c>
      <c r="CT89" s="362">
        <f>IS!CS$60</f>
        <v>249.86300000000006</v>
      </c>
      <c r="CU89" s="362">
        <f>IS!CT$60</f>
        <v>305.03199999999993</v>
      </c>
      <c r="CV89" s="362">
        <f>IS!CV$60</f>
        <v>305.22199999999987</v>
      </c>
      <c r="CW89" s="362">
        <f>IS!CV$60</f>
        <v>305.22199999999987</v>
      </c>
      <c r="CX89" s="362">
        <f>IS!CW$60</f>
        <v>296.01899999999995</v>
      </c>
      <c r="CY89" s="362">
        <f>IS!CX$60</f>
        <v>175.51299999999998</v>
      </c>
      <c r="CZ89" s="362">
        <f>IS!CY$60</f>
        <v>438.30900000000031</v>
      </c>
      <c r="DA89" s="366">
        <f>IS!CZ$60</f>
        <v>426.96799999999996</v>
      </c>
      <c r="DB89" s="362">
        <f>IS!DA$60</f>
        <v>215.74900000000002</v>
      </c>
      <c r="DC89" s="366">
        <f>IS!DB$60</f>
        <v>389.54000000000019</v>
      </c>
      <c r="DD89" s="362">
        <f>IS!DC$60</f>
        <v>441.30999999999995</v>
      </c>
      <c r="DE89" s="362">
        <f>IS!DD$60</f>
        <v>382.74600000000032</v>
      </c>
      <c r="DF89" s="362">
        <f>IS!DE$60</f>
        <v>201.62900000000013</v>
      </c>
      <c r="DG89" s="362">
        <f>IS!DF$60</f>
        <v>846.32999999999993</v>
      </c>
      <c r="DH89" s="363">
        <f>IS!DG$60</f>
        <v>1549.538623659316</v>
      </c>
    </row>
    <row r="90" spans="1:112" ht="14.25" customHeight="1" collapsed="1">
      <c r="A90" s="472"/>
      <c r="B90" s="468"/>
      <c r="C90" s="280"/>
      <c r="D90" s="436"/>
      <c r="E90" s="436"/>
      <c r="F90" s="436"/>
      <c r="G90" s="446"/>
      <c r="H90" s="436"/>
      <c r="I90" s="436"/>
      <c r="J90" s="436"/>
      <c r="K90" s="446"/>
      <c r="L90" s="436"/>
      <c r="M90" s="436"/>
      <c r="N90" s="436"/>
      <c r="O90" s="446"/>
      <c r="P90" s="436"/>
      <c r="Q90" s="436"/>
      <c r="R90" s="436"/>
      <c r="S90" s="446"/>
      <c r="T90" s="436"/>
      <c r="U90" s="436"/>
      <c r="V90" s="436"/>
      <c r="W90" s="446"/>
      <c r="X90" s="436"/>
      <c r="Y90" s="436"/>
      <c r="Z90" s="436"/>
      <c r="AA90" s="446"/>
      <c r="AB90" s="436"/>
      <c r="AC90" s="436"/>
      <c r="AD90" s="436"/>
      <c r="AE90" s="446"/>
      <c r="AF90" s="436"/>
      <c r="AG90" s="436"/>
      <c r="AH90" s="436"/>
      <c r="AI90" s="446"/>
      <c r="AJ90" s="436"/>
      <c r="AK90" s="436"/>
      <c r="AL90" s="436"/>
      <c r="AM90" s="446"/>
      <c r="AN90" s="436"/>
      <c r="AO90" s="436"/>
      <c r="AP90" s="436"/>
      <c r="AQ90" s="288"/>
      <c r="AR90" s="287"/>
      <c r="AS90" s="287"/>
      <c r="AT90" s="287"/>
      <c r="AU90" s="288"/>
      <c r="AV90" s="287"/>
      <c r="AW90" s="287"/>
      <c r="AX90" s="287"/>
      <c r="AY90" s="288"/>
      <c r="AZ90" s="287"/>
      <c r="BA90" s="287"/>
      <c r="BB90" s="287"/>
      <c r="BC90" s="288"/>
      <c r="BD90" s="287"/>
      <c r="BE90" s="287"/>
      <c r="BF90" s="287"/>
      <c r="BG90" s="288"/>
      <c r="BH90" s="1182"/>
      <c r="BI90" s="287"/>
      <c r="BJ90" s="287"/>
      <c r="BK90" s="287"/>
      <c r="BL90" s="1182"/>
      <c r="BM90" s="287"/>
      <c r="BN90" s="287"/>
      <c r="BO90" s="288"/>
      <c r="BP90" s="287"/>
      <c r="BQ90" s="287"/>
      <c r="BR90" s="287"/>
      <c r="BS90" s="288"/>
      <c r="BT90" s="287"/>
      <c r="BU90" s="287"/>
      <c r="BV90" s="287"/>
      <c r="BW90" s="288"/>
      <c r="BX90" s="286"/>
      <c r="BY90" s="469"/>
      <c r="BZ90" s="469"/>
      <c r="CA90" s="469"/>
      <c r="CB90" s="469"/>
      <c r="CC90" s="469"/>
      <c r="CD90" s="469"/>
      <c r="CE90" s="469"/>
      <c r="CF90" s="469"/>
      <c r="CG90" s="469"/>
      <c r="CH90" s="469"/>
      <c r="CI90" s="469"/>
      <c r="CJ90" s="1277"/>
      <c r="CK90" s="469"/>
      <c r="CL90" s="469"/>
      <c r="CM90" s="469"/>
      <c r="CN90" s="469"/>
      <c r="CO90" s="469"/>
      <c r="CP90" s="470"/>
      <c r="CQ90" s="22"/>
      <c r="CR90" s="232"/>
      <c r="CS90" s="15"/>
      <c r="CT90" s="223"/>
      <c r="CU90" s="223"/>
      <c r="CV90" s="223"/>
      <c r="CW90" s="223"/>
      <c r="CX90" s="223"/>
      <c r="CY90" s="223"/>
      <c r="CZ90" s="223"/>
      <c r="DA90" s="15"/>
      <c r="DB90" s="223"/>
      <c r="DC90" s="15"/>
      <c r="DD90" s="223"/>
      <c r="DE90" s="223"/>
      <c r="DF90" s="223"/>
      <c r="DG90" s="223"/>
      <c r="DH90" s="16"/>
    </row>
    <row r="91" spans="1:112" ht="14.25" customHeight="1">
      <c r="A91" s="801"/>
      <c r="B91" s="428"/>
      <c r="C91" s="278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284"/>
      <c r="AR91" s="284"/>
      <c r="AS91" s="284"/>
      <c r="AT91" s="284"/>
      <c r="AU91" s="284"/>
      <c r="AV91" s="284"/>
      <c r="AW91" s="284"/>
      <c r="AX91" s="284"/>
      <c r="AY91" s="284"/>
      <c r="AZ91" s="284"/>
      <c r="BA91" s="284"/>
      <c r="BB91" s="284"/>
      <c r="BC91" s="284"/>
      <c r="BD91" s="284"/>
      <c r="BE91" s="284"/>
      <c r="BF91" s="284"/>
      <c r="BG91" s="284"/>
      <c r="BH91" s="284"/>
      <c r="BI91" s="284"/>
      <c r="BJ91" s="284"/>
      <c r="BK91" s="284"/>
      <c r="BL91" s="284"/>
      <c r="BM91" s="284"/>
      <c r="BN91" s="284"/>
      <c r="BO91" s="284"/>
      <c r="BP91" s="284"/>
      <c r="BQ91" s="284"/>
      <c r="BR91" s="284"/>
      <c r="BS91" s="284"/>
      <c r="BT91" s="284"/>
      <c r="BU91" s="284"/>
      <c r="BV91" s="284"/>
      <c r="BW91" s="284"/>
      <c r="BX91" s="278"/>
      <c r="BY91" s="362"/>
      <c r="BZ91" s="362"/>
      <c r="CA91" s="362"/>
      <c r="CB91" s="362"/>
      <c r="CC91" s="362"/>
      <c r="CD91" s="362"/>
      <c r="CE91" s="362"/>
      <c r="CF91" s="362"/>
      <c r="CG91" s="362"/>
      <c r="CH91" s="362"/>
      <c r="CI91" s="362"/>
      <c r="CJ91" s="362"/>
      <c r="CK91" s="362"/>
      <c r="CL91" s="362"/>
      <c r="CM91" s="362"/>
      <c r="CN91" s="362"/>
      <c r="CO91" s="362"/>
      <c r="CP91" s="362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</row>
    <row r="92" spans="1:112" ht="14.25" customHeight="1">
      <c r="CL92" s="331"/>
      <c r="CM92" s="1174"/>
      <c r="CN92" s="1174"/>
      <c r="CO92" s="1174"/>
      <c r="DD92" s="331"/>
      <c r="DE92" s="1174"/>
      <c r="DF92" s="1174"/>
      <c r="DG92" s="1174"/>
    </row>
    <row r="93" spans="1:112" ht="14.25" customHeight="1">
      <c r="BH93" s="586"/>
      <c r="BI93" s="586"/>
      <c r="BJ93" s="586"/>
      <c r="BK93" s="586"/>
      <c r="BL93" s="586"/>
      <c r="BM93" s="586"/>
      <c r="BN93" s="586"/>
      <c r="BO93" s="586"/>
      <c r="BP93" s="586"/>
      <c r="BQ93" s="586"/>
      <c r="BR93" s="586"/>
      <c r="BS93" s="586"/>
      <c r="BT93" s="586"/>
      <c r="BU93" s="586"/>
      <c r="BV93" s="586"/>
      <c r="BW93" s="586"/>
      <c r="CL93" s="331"/>
      <c r="CM93" s="1174"/>
      <c r="CN93" s="1174"/>
      <c r="CO93" s="1174"/>
      <c r="DD93" s="331"/>
      <c r="DE93" s="1174"/>
      <c r="DF93" s="1174"/>
      <c r="DG93" s="1174"/>
    </row>
    <row r="94" spans="1:112" ht="14.25" customHeight="1">
      <c r="CL94" s="331"/>
      <c r="CM94" s="1174"/>
      <c r="CN94" s="1174"/>
      <c r="CO94" s="1174"/>
      <c r="DD94" s="331"/>
      <c r="DE94" s="1174"/>
      <c r="DF94" s="1174"/>
      <c r="DG94" s="1174"/>
    </row>
    <row r="95" spans="1:112" ht="14.25" customHeight="1">
      <c r="A95" s="1"/>
      <c r="B95" s="141" t="s">
        <v>400</v>
      </c>
      <c r="C95" s="142"/>
      <c r="D95" s="569" t="str">
        <f t="shared" ref="D95:O95" si="344">D$8</f>
        <v>F1Q03A</v>
      </c>
      <c r="E95" s="570" t="str">
        <f t="shared" si="344"/>
        <v>F2Q03A</v>
      </c>
      <c r="F95" s="570" t="str">
        <f t="shared" si="344"/>
        <v>F3Q03A</v>
      </c>
      <c r="G95" s="570" t="str">
        <f t="shared" si="344"/>
        <v>F4Q03A</v>
      </c>
      <c r="H95" s="569" t="str">
        <f t="shared" si="344"/>
        <v>F1Q04A</v>
      </c>
      <c r="I95" s="570" t="str">
        <f t="shared" si="344"/>
        <v>F2Q04A</v>
      </c>
      <c r="J95" s="570" t="str">
        <f t="shared" si="344"/>
        <v>F3Q04A</v>
      </c>
      <c r="K95" s="570" t="str">
        <f t="shared" si="344"/>
        <v>F4Q04A</v>
      </c>
      <c r="L95" s="569" t="str">
        <f t="shared" si="344"/>
        <v>F1Q05A</v>
      </c>
      <c r="M95" s="570" t="str">
        <f t="shared" si="344"/>
        <v>F2Q05A</v>
      </c>
      <c r="N95" s="570" t="str">
        <f t="shared" si="344"/>
        <v>F3Q05A</v>
      </c>
      <c r="O95" s="570" t="str">
        <f t="shared" si="344"/>
        <v>F4Q05A</v>
      </c>
      <c r="P95" s="569" t="str">
        <f t="shared" ref="P95:BW95" si="345">P$8</f>
        <v>F1Q06A</v>
      </c>
      <c r="Q95" s="570" t="str">
        <f t="shared" si="345"/>
        <v>F2Q06A</v>
      </c>
      <c r="R95" s="570" t="str">
        <f t="shared" si="345"/>
        <v>F3Q06A</v>
      </c>
      <c r="S95" s="570" t="str">
        <f t="shared" si="345"/>
        <v>F4Q06A</v>
      </c>
      <c r="T95" s="569" t="str">
        <f t="shared" si="345"/>
        <v>F1Q07A</v>
      </c>
      <c r="U95" s="570" t="str">
        <f t="shared" si="345"/>
        <v>F2Q07A</v>
      </c>
      <c r="V95" s="570" t="str">
        <f t="shared" si="345"/>
        <v>F3Q07A</v>
      </c>
      <c r="W95" s="570" t="str">
        <f t="shared" si="345"/>
        <v>F4Q07A</v>
      </c>
      <c r="X95" s="569" t="str">
        <f t="shared" si="345"/>
        <v>F1Q08A</v>
      </c>
      <c r="Y95" s="570" t="str">
        <f t="shared" si="345"/>
        <v>F2Q08A</v>
      </c>
      <c r="Z95" s="570" t="str">
        <f t="shared" si="345"/>
        <v>F3Q08A</v>
      </c>
      <c r="AA95" s="570" t="str">
        <f t="shared" si="345"/>
        <v>F4Q08A</v>
      </c>
      <c r="AB95" s="569" t="str">
        <f t="shared" si="345"/>
        <v>F1Q09A</v>
      </c>
      <c r="AC95" s="570" t="str">
        <f t="shared" si="345"/>
        <v>F2Q09A</v>
      </c>
      <c r="AD95" s="570" t="str">
        <f t="shared" si="345"/>
        <v>F3Q09A</v>
      </c>
      <c r="AE95" s="570" t="str">
        <f t="shared" si="345"/>
        <v>F4Q09A</v>
      </c>
      <c r="AF95" s="569" t="str">
        <f t="shared" si="345"/>
        <v>F1Q10A</v>
      </c>
      <c r="AG95" s="570" t="str">
        <f t="shared" si="345"/>
        <v>F2Q10A</v>
      </c>
      <c r="AH95" s="570" t="str">
        <f t="shared" si="345"/>
        <v>F3Q10A</v>
      </c>
      <c r="AI95" s="570" t="str">
        <f t="shared" si="345"/>
        <v>F4Q10A</v>
      </c>
      <c r="AJ95" s="569" t="str">
        <f t="shared" si="345"/>
        <v>F1Q11A</v>
      </c>
      <c r="AK95" s="570" t="str">
        <f t="shared" si="345"/>
        <v>F2Q11A</v>
      </c>
      <c r="AL95" s="570" t="str">
        <f t="shared" si="345"/>
        <v>F3Q11A</v>
      </c>
      <c r="AM95" s="570" t="str">
        <f t="shared" si="345"/>
        <v>F4Q11A</v>
      </c>
      <c r="AN95" s="571" t="str">
        <f t="shared" si="345"/>
        <v>F1Q12A</v>
      </c>
      <c r="AO95" s="572" t="str">
        <f t="shared" si="345"/>
        <v>F2Q12A</v>
      </c>
      <c r="AP95" s="572" t="str">
        <f t="shared" si="345"/>
        <v>F3Q12A</v>
      </c>
      <c r="AQ95" s="570" t="str">
        <f t="shared" si="345"/>
        <v>F4Q12A</v>
      </c>
      <c r="AR95" s="569" t="str">
        <f t="shared" si="345"/>
        <v>F1Q13A</v>
      </c>
      <c r="AS95" s="570" t="str">
        <f t="shared" si="345"/>
        <v>F2Q13A</v>
      </c>
      <c r="AT95" s="572" t="str">
        <f t="shared" si="345"/>
        <v>F3Q13A</v>
      </c>
      <c r="AU95" s="570" t="str">
        <f t="shared" si="345"/>
        <v>F4Q13A</v>
      </c>
      <c r="AV95" s="569" t="str">
        <f t="shared" si="345"/>
        <v>F1Q14A</v>
      </c>
      <c r="AW95" s="570" t="str">
        <f t="shared" si="345"/>
        <v>F2Q14A</v>
      </c>
      <c r="AX95" s="570" t="str">
        <f t="shared" si="345"/>
        <v>F3Q14A</v>
      </c>
      <c r="AY95" s="570" t="str">
        <f t="shared" si="345"/>
        <v>F4Q14A</v>
      </c>
      <c r="AZ95" s="569" t="str">
        <f t="shared" si="345"/>
        <v>F1Q15A</v>
      </c>
      <c r="BA95" s="570" t="str">
        <f t="shared" si="345"/>
        <v>F2Q15A</v>
      </c>
      <c r="BB95" s="570" t="str">
        <f t="shared" si="345"/>
        <v>F3Q15A</v>
      </c>
      <c r="BC95" s="573" t="str">
        <f t="shared" si="345"/>
        <v>F4Q15A</v>
      </c>
      <c r="BD95" s="569" t="str">
        <f t="shared" si="345"/>
        <v>F1Q16A</v>
      </c>
      <c r="BE95" s="570" t="str">
        <f t="shared" si="345"/>
        <v>F2Q16A</v>
      </c>
      <c r="BF95" s="570" t="str">
        <f t="shared" si="345"/>
        <v>F3Q16A</v>
      </c>
      <c r="BG95" s="573" t="str">
        <f t="shared" si="345"/>
        <v>F4Q16A</v>
      </c>
      <c r="BH95" s="569" t="str">
        <f t="shared" si="345"/>
        <v>F1Q17A</v>
      </c>
      <c r="BI95" s="570" t="str">
        <f t="shared" si="345"/>
        <v>F2Q17A</v>
      </c>
      <c r="BJ95" s="570" t="str">
        <f t="shared" si="345"/>
        <v>F3Q17A</v>
      </c>
      <c r="BK95" s="573" t="str">
        <f t="shared" si="345"/>
        <v>F4Q17A</v>
      </c>
      <c r="BL95" s="569" t="str">
        <f t="shared" si="345"/>
        <v>F1Q18A</v>
      </c>
      <c r="BM95" s="1321" t="str">
        <f t="shared" si="345"/>
        <v>F2Q18A</v>
      </c>
      <c r="BN95" s="570" t="str">
        <f t="shared" si="345"/>
        <v>F3Q18A</v>
      </c>
      <c r="BO95" s="573" t="str">
        <f t="shared" si="345"/>
        <v>F4Q18E</v>
      </c>
      <c r="BP95" s="569" t="str">
        <f t="shared" si="345"/>
        <v>F1Q19E</v>
      </c>
      <c r="BQ95" s="570" t="str">
        <f t="shared" si="345"/>
        <v>F2Q19E</v>
      </c>
      <c r="BR95" s="570" t="str">
        <f t="shared" si="345"/>
        <v>F3Q19E</v>
      </c>
      <c r="BS95" s="573" t="str">
        <f t="shared" si="345"/>
        <v>F4Q19E</v>
      </c>
      <c r="BT95" s="569" t="str">
        <f t="shared" si="345"/>
        <v>F1Q20E</v>
      </c>
      <c r="BU95" s="1321" t="str">
        <f t="shared" si="345"/>
        <v>F2Q20E</v>
      </c>
      <c r="BV95" s="1321" t="str">
        <f t="shared" si="345"/>
        <v>F3Q20E</v>
      </c>
      <c r="BW95" s="573" t="str">
        <f t="shared" si="345"/>
        <v>F4Q20E</v>
      </c>
      <c r="BX95" s="20"/>
      <c r="BY95" s="570" t="str">
        <f>BY$8</f>
        <v>FY2003A</v>
      </c>
      <c r="BZ95" s="570" t="str">
        <f>BZ$8</f>
        <v>FY2004A</v>
      </c>
      <c r="CA95" s="570" t="str">
        <f>CA$8</f>
        <v>FY2005A</v>
      </c>
      <c r="CB95" s="570" t="str">
        <f t="shared" ref="CB95:DH95" si="346">CB$8</f>
        <v>FY2006A</v>
      </c>
      <c r="CC95" s="570" t="str">
        <f t="shared" si="346"/>
        <v>FY2007A</v>
      </c>
      <c r="CD95" s="570" t="str">
        <f t="shared" si="346"/>
        <v>FY2008A</v>
      </c>
      <c r="CE95" s="570" t="str">
        <f t="shared" si="346"/>
        <v>FY2009A</v>
      </c>
      <c r="CF95" s="570" t="str">
        <f t="shared" si="346"/>
        <v>FY2010A</v>
      </c>
      <c r="CG95" s="570" t="str">
        <f t="shared" si="346"/>
        <v>FY2011A</v>
      </c>
      <c r="CH95" s="570" t="str">
        <f t="shared" si="346"/>
        <v>FY2012A</v>
      </c>
      <c r="CI95" s="570" t="str">
        <f t="shared" si="346"/>
        <v>FY2013A</v>
      </c>
      <c r="CJ95" s="570" t="str">
        <f t="shared" si="346"/>
        <v>FY2014A</v>
      </c>
      <c r="CK95" s="570" t="str">
        <f t="shared" si="346"/>
        <v>FY2015A</v>
      </c>
      <c r="CL95" s="570" t="str">
        <f t="shared" si="346"/>
        <v>FY2016A</v>
      </c>
      <c r="CM95" s="570" t="str">
        <f t="shared" si="346"/>
        <v>FY2017A</v>
      </c>
      <c r="CN95" s="570" t="str">
        <f t="shared" si="346"/>
        <v>FY2018E</v>
      </c>
      <c r="CO95" s="1321" t="str">
        <f t="shared" si="346"/>
        <v>FY2019E</v>
      </c>
      <c r="CP95" s="573" t="str">
        <f t="shared" si="346"/>
        <v>FY2020E</v>
      </c>
      <c r="CQ95" s="281"/>
      <c r="CR95" s="332"/>
      <c r="CS95" s="569" t="str">
        <f t="shared" si="346"/>
        <v>CY2004</v>
      </c>
      <c r="CT95" s="570" t="str">
        <f t="shared" si="346"/>
        <v>CY2005</v>
      </c>
      <c r="CU95" s="570" t="str">
        <f t="shared" si="346"/>
        <v>CY2006</v>
      </c>
      <c r="CV95" s="570" t="str">
        <f t="shared" si="346"/>
        <v>CY2007</v>
      </c>
      <c r="CW95" s="570" t="str">
        <f t="shared" si="346"/>
        <v>CY2008</v>
      </c>
      <c r="CX95" s="570" t="str">
        <f t="shared" si="346"/>
        <v>CY2009</v>
      </c>
      <c r="CY95" s="570" t="str">
        <f t="shared" si="346"/>
        <v>CY2010</v>
      </c>
      <c r="CZ95" s="570" t="str">
        <f t="shared" si="346"/>
        <v>CY2011</v>
      </c>
      <c r="DA95" s="569" t="str">
        <f t="shared" si="346"/>
        <v>CY2012</v>
      </c>
      <c r="DB95" s="570" t="str">
        <f t="shared" si="346"/>
        <v>CY2013</v>
      </c>
      <c r="DC95" s="569" t="str">
        <f t="shared" si="346"/>
        <v>CY2014</v>
      </c>
      <c r="DD95" s="1321" t="str">
        <f t="shared" si="346"/>
        <v>CY2015</v>
      </c>
      <c r="DE95" s="1321" t="str">
        <f t="shared" si="346"/>
        <v>CY2016</v>
      </c>
      <c r="DF95" s="1321" t="str">
        <f t="shared" si="346"/>
        <v>CY2017</v>
      </c>
      <c r="DG95" s="1321" t="str">
        <f t="shared" si="346"/>
        <v>CY2018</v>
      </c>
      <c r="DH95" s="573" t="str">
        <f t="shared" si="346"/>
        <v>CY2019</v>
      </c>
    </row>
    <row r="96" spans="1:112" ht="14.25" customHeight="1">
      <c r="A96" s="1"/>
      <c r="B96" s="73" t="s">
        <v>423</v>
      </c>
      <c r="C96" s="1037"/>
      <c r="D96" s="1038"/>
      <c r="E96" s="1039"/>
      <c r="F96" s="1039"/>
      <c r="G96" s="1040"/>
      <c r="H96" s="1038"/>
      <c r="I96" s="1039"/>
      <c r="J96" s="1039"/>
      <c r="K96" s="1040"/>
      <c r="L96" s="1038"/>
      <c r="M96" s="1039"/>
      <c r="N96" s="1039"/>
      <c r="O96" s="1040"/>
      <c r="P96" s="1038"/>
      <c r="Q96" s="1039"/>
      <c r="R96" s="1039"/>
      <c r="S96" s="1040"/>
      <c r="T96" s="1038">
        <f t="shared" ref="T96:V98" si="347">T102*T$88</f>
        <v>103.01460000000003</v>
      </c>
      <c r="U96" s="1039">
        <f t="shared" si="347"/>
        <v>103.65504000000001</v>
      </c>
      <c r="V96" s="1039">
        <f t="shared" si="347"/>
        <v>95.814399999999992</v>
      </c>
      <c r="W96" s="1040">
        <f>CC96-V96-U96-T96</f>
        <v>103.60736000000006</v>
      </c>
      <c r="X96" s="1038">
        <f t="shared" ref="X96:Z98" si="348">X102*X$88</f>
        <v>103.05425000000001</v>
      </c>
      <c r="Y96" s="1039">
        <f t="shared" si="348"/>
        <v>99.015679999999989</v>
      </c>
      <c r="Z96" s="1039">
        <f t="shared" si="348"/>
        <v>99.480550000000008</v>
      </c>
      <c r="AA96" s="1040">
        <f>CD96-Z96-Y96-X96</f>
        <v>98.409840000000102</v>
      </c>
      <c r="AB96" s="1038">
        <f t="shared" ref="AB96:AD98" si="349">AB102*AB$88</f>
        <v>104.70208000000002</v>
      </c>
      <c r="AC96" s="1039">
        <f t="shared" si="349"/>
        <v>103.41639000000001</v>
      </c>
      <c r="AD96" s="1039">
        <f t="shared" si="349"/>
        <v>69.159419999999997</v>
      </c>
      <c r="AE96" s="1040">
        <f>CE96-AD96-AC96-AB96</f>
        <v>53.284669999999977</v>
      </c>
      <c r="AF96" s="1038">
        <f t="shared" ref="AF96:AH98" si="350">AF102*AF$88</f>
        <v>60.754050000000014</v>
      </c>
      <c r="AG96" s="1039">
        <f t="shared" si="350"/>
        <v>75.237399999999994</v>
      </c>
      <c r="AH96" s="1039">
        <f t="shared" si="350"/>
        <v>87.597599999999986</v>
      </c>
      <c r="AI96" s="1040">
        <f>CF96-AH96-AG96-AF96</f>
        <v>102.2985700000001</v>
      </c>
      <c r="AJ96" s="1038">
        <f t="shared" ref="AJ96:AL98" si="351">AJ102*AJ$88</f>
        <v>114.09365000000001</v>
      </c>
      <c r="AK96" s="1039">
        <f t="shared" si="351"/>
        <v>130.50290000000001</v>
      </c>
      <c r="AL96" s="1039">
        <f t="shared" si="351"/>
        <v>129.8382</v>
      </c>
      <c r="AM96" s="1040">
        <f>CG96-AL96-AK96-AJ96</f>
        <v>132.7381299999999</v>
      </c>
      <c r="AN96" s="1038">
        <f t="shared" ref="AN96:AP98" si="352">AN102*AN$88</f>
        <v>129.65132</v>
      </c>
      <c r="AO96" s="1039">
        <f t="shared" si="352"/>
        <v>116.05476999999998</v>
      </c>
      <c r="AP96" s="1039">
        <f t="shared" si="352"/>
        <v>109.43791999999999</v>
      </c>
      <c r="AQ96" s="1040">
        <f>CH96-AP96-AO96-AN96</f>
        <v>112.36845</v>
      </c>
      <c r="AR96" s="1038">
        <f>AR102*AR$88</f>
        <v>119.81661</v>
      </c>
      <c r="AS96" s="1039">
        <f t="shared" ref="AR96:AT98" si="353">AS102*AS$88</f>
        <v>99.039450000000002</v>
      </c>
      <c r="AT96" s="1039">
        <f t="shared" si="353"/>
        <v>104.22256000000002</v>
      </c>
      <c r="AU96" s="1040">
        <f>CI96-AT96-AS96-AR96</f>
        <v>121.30465000000001</v>
      </c>
      <c r="AV96" s="1038">
        <f t="shared" ref="AV96:AX98" si="354">AV102*AV$88</f>
        <v>143.94995999999998</v>
      </c>
      <c r="AW96" s="1039">
        <f t="shared" si="354"/>
        <v>153.38625299999998</v>
      </c>
      <c r="AX96" s="1039">
        <f t="shared" si="354"/>
        <v>151.53792000000001</v>
      </c>
      <c r="AY96" s="1040">
        <f>CJ96-AX96-AW96-AV96</f>
        <v>149.35965700000025</v>
      </c>
      <c r="AZ96" s="1038">
        <f t="shared" ref="AZ96:BA98" si="355">AZ102*AZ$88</f>
        <v>159.38988000000001</v>
      </c>
      <c r="BA96" s="1039">
        <f t="shared" si="355"/>
        <v>158.95371800000004</v>
      </c>
      <c r="BB96" s="1039">
        <f>BB102*BB$88</f>
        <v>153.99909000000002</v>
      </c>
      <c r="BC96" s="1041"/>
      <c r="BD96" s="1042"/>
      <c r="BE96" s="1043"/>
      <c r="BF96" s="1043"/>
      <c r="BG96" s="1041"/>
      <c r="BH96" s="1042"/>
      <c r="BI96" s="1043"/>
      <c r="BJ96" s="1043"/>
      <c r="BK96" s="1041"/>
      <c r="BL96" s="1042"/>
      <c r="BM96" s="1043"/>
      <c r="BN96" s="1043"/>
      <c r="BO96" s="1041"/>
      <c r="BP96" s="1042"/>
      <c r="BQ96" s="1043"/>
      <c r="BR96" s="1043"/>
      <c r="BS96" s="1041"/>
      <c r="BT96" s="1042"/>
      <c r="BU96" s="1043"/>
      <c r="BV96" s="1043"/>
      <c r="BW96" s="1041"/>
      <c r="BX96" s="1044"/>
      <c r="BY96" s="364">
        <f t="shared" ref="BY96:CA98" si="356">BY102*BY$88</f>
        <v>228.95275000000001</v>
      </c>
      <c r="BZ96" s="364">
        <f t="shared" si="356"/>
        <v>227.47334999999998</v>
      </c>
      <c r="CA96" s="364">
        <f t="shared" si="356"/>
        <v>314.58375000000001</v>
      </c>
      <c r="CB96" s="364">
        <f t="shared" ref="CB96:CH96" si="357">CB102*CB$88</f>
        <v>358.07005000000004</v>
      </c>
      <c r="CC96" s="364">
        <f t="shared" si="357"/>
        <v>406.09140000000008</v>
      </c>
      <c r="CD96" s="364">
        <f t="shared" si="357"/>
        <v>399.96032000000008</v>
      </c>
      <c r="CE96" s="364">
        <f t="shared" si="357"/>
        <v>330.56256000000002</v>
      </c>
      <c r="CF96" s="379">
        <f t="shared" si="357"/>
        <v>325.88762000000008</v>
      </c>
      <c r="CG96" s="379">
        <f t="shared" si="357"/>
        <v>507.17287999999991</v>
      </c>
      <c r="CH96" s="364">
        <f t="shared" si="357"/>
        <v>467.51245999999992</v>
      </c>
      <c r="CI96" s="364">
        <f t="shared" ref="CI96:CJ98" si="358">CI102*CI$88</f>
        <v>444.38327000000004</v>
      </c>
      <c r="CJ96" s="364">
        <f t="shared" si="358"/>
        <v>598.23379000000023</v>
      </c>
      <c r="CK96" s="364"/>
      <c r="CL96" s="364"/>
      <c r="CM96" s="364"/>
      <c r="CN96" s="364"/>
      <c r="CO96" s="364"/>
      <c r="CP96" s="365"/>
      <c r="CQ96" s="1045"/>
      <c r="CR96" s="1046"/>
      <c r="CS96" s="1032"/>
      <c r="CT96" s="379"/>
      <c r="CU96" s="379">
        <f>SUM(S96:V96)</f>
        <v>302.48404000000005</v>
      </c>
      <c r="CV96" s="379">
        <f>SUM(W96:Z96)</f>
        <v>405.15784000000002</v>
      </c>
      <c r="CW96" s="379">
        <f>SUM(AA96:AD96)</f>
        <v>375.68773000000016</v>
      </c>
      <c r="CX96" s="379">
        <f>SUM(AE96:AH96)</f>
        <v>276.87371999999999</v>
      </c>
      <c r="CY96" s="379">
        <f>SUM(AI96:AL96)</f>
        <v>476.73332000000016</v>
      </c>
      <c r="CZ96" s="379">
        <f>SUM(AM96:AP96)</f>
        <v>487.88213999999982</v>
      </c>
      <c r="DA96" s="1032">
        <f>SUM(AQ96:AT96)</f>
        <v>435.44707000000005</v>
      </c>
      <c r="DB96" s="379"/>
      <c r="DC96" s="1032"/>
      <c r="DD96" s="379"/>
      <c r="DE96" s="379"/>
      <c r="DF96" s="379"/>
      <c r="DG96" s="379"/>
      <c r="DH96" s="1033"/>
    </row>
    <row r="97" spans="1:112" ht="14.25" customHeight="1">
      <c r="A97" s="448"/>
      <c r="B97" s="27" t="s">
        <v>401</v>
      </c>
      <c r="C97" s="1046"/>
      <c r="D97" s="1047"/>
      <c r="E97" s="1048"/>
      <c r="F97" s="1048"/>
      <c r="G97" s="1049"/>
      <c r="H97" s="1047"/>
      <c r="I97" s="1048"/>
      <c r="J97" s="1048"/>
      <c r="K97" s="1049"/>
      <c r="L97" s="1047"/>
      <c r="M97" s="1048"/>
      <c r="N97" s="1048"/>
      <c r="O97" s="1049"/>
      <c r="P97" s="1047"/>
      <c r="Q97" s="1048"/>
      <c r="R97" s="1048"/>
      <c r="S97" s="1049"/>
      <c r="T97" s="1047">
        <f t="shared" si="347"/>
        <v>19.018080000000005</v>
      </c>
      <c r="U97" s="1048">
        <f t="shared" si="347"/>
        <v>19.435320000000001</v>
      </c>
      <c r="V97" s="1048">
        <f t="shared" si="347"/>
        <v>16.468099999999996</v>
      </c>
      <c r="W97" s="1049">
        <f>CC97-V97-U97-T97</f>
        <v>13.801660000000005</v>
      </c>
      <c r="X97" s="1047">
        <f t="shared" si="348"/>
        <v>17.439950000000003</v>
      </c>
      <c r="Y97" s="1048">
        <f t="shared" si="348"/>
        <v>18.565439999999999</v>
      </c>
      <c r="Z97" s="1048">
        <f t="shared" si="348"/>
        <v>16.835170000000002</v>
      </c>
      <c r="AA97" s="1049">
        <f>CD97-Z97-Y97-X97</f>
        <v>22.152000000000008</v>
      </c>
      <c r="AB97" s="1047">
        <f t="shared" si="349"/>
        <v>21.267610000000005</v>
      </c>
      <c r="AC97" s="1048">
        <f t="shared" si="349"/>
        <v>21.339890000000004</v>
      </c>
      <c r="AD97" s="1048">
        <f t="shared" si="349"/>
        <v>14.67018</v>
      </c>
      <c r="AE97" s="1049">
        <f>CE97-AD97-AC97-AB97</f>
        <v>15.032879999999999</v>
      </c>
      <c r="AF97" s="1047">
        <f t="shared" si="350"/>
        <v>12.536550000000002</v>
      </c>
      <c r="AG97" s="1048">
        <f t="shared" si="350"/>
        <v>13.567400000000001</v>
      </c>
      <c r="AH97" s="1048">
        <f t="shared" si="350"/>
        <v>17.519519999999996</v>
      </c>
      <c r="AI97" s="1049">
        <f>CF97-AH97-AG97-AF97</f>
        <v>20.48557000000002</v>
      </c>
      <c r="AJ97" s="1047">
        <f t="shared" si="351"/>
        <v>22.818730000000002</v>
      </c>
      <c r="AK97" s="1048">
        <f t="shared" si="351"/>
        <v>22.500500000000002</v>
      </c>
      <c r="AL97" s="1048">
        <f t="shared" si="351"/>
        <v>21.639700000000005</v>
      </c>
      <c r="AM97" s="1049">
        <f>CG97-AL97-AK97-AJ97</f>
        <v>20.484669999999994</v>
      </c>
      <c r="AN97" s="1047">
        <f t="shared" si="352"/>
        <v>21.974800000000002</v>
      </c>
      <c r="AO97" s="1048">
        <f t="shared" si="352"/>
        <v>17.703269999999996</v>
      </c>
      <c r="AP97" s="1048">
        <f t="shared" si="352"/>
        <v>16.693919999999999</v>
      </c>
      <c r="AQ97" s="1049">
        <f>CH97-AP97-AO97-AN97</f>
        <v>22.867409999999992</v>
      </c>
      <c r="AR97" s="1047">
        <f t="shared" si="353"/>
        <v>18.27711</v>
      </c>
      <c r="AS97" s="1048">
        <f t="shared" si="353"/>
        <v>15.535600000000001</v>
      </c>
      <c r="AT97" s="1048">
        <f t="shared" si="353"/>
        <v>14.029960000000003</v>
      </c>
      <c r="AU97" s="1049">
        <f>CI97-AT97-AS97-AR97</f>
        <v>36.003230000000009</v>
      </c>
      <c r="AV97" s="1047">
        <f t="shared" si="354"/>
        <v>0</v>
      </c>
      <c r="AW97" s="1048">
        <f t="shared" si="354"/>
        <v>0</v>
      </c>
      <c r="AX97" s="1048">
        <f t="shared" si="354"/>
        <v>0</v>
      </c>
      <c r="AY97" s="1049">
        <f>CJ97-AX97-AW97-AV97</f>
        <v>112.87430000000005</v>
      </c>
      <c r="AZ97" s="1047">
        <f t="shared" si="355"/>
        <v>0</v>
      </c>
      <c r="BA97" s="1048">
        <f t="shared" si="355"/>
        <v>0</v>
      </c>
      <c r="BB97" s="1048">
        <f>BB103*BB$88</f>
        <v>0</v>
      </c>
      <c r="BC97" s="1050"/>
      <c r="BD97" s="1051"/>
      <c r="BE97" s="1052"/>
      <c r="BF97" s="1052"/>
      <c r="BG97" s="1050"/>
      <c r="BH97" s="1051"/>
      <c r="BI97" s="1052"/>
      <c r="BJ97" s="1052"/>
      <c r="BK97" s="1050"/>
      <c r="BL97" s="1051"/>
      <c r="BM97" s="1052"/>
      <c r="BN97" s="1052"/>
      <c r="BO97" s="1050"/>
      <c r="BP97" s="1051"/>
      <c r="BQ97" s="1052"/>
      <c r="BR97" s="1052"/>
      <c r="BS97" s="1050"/>
      <c r="BT97" s="1051"/>
      <c r="BU97" s="1052"/>
      <c r="BV97" s="1052"/>
      <c r="BW97" s="1050"/>
      <c r="BX97" s="1044"/>
      <c r="BY97" s="364">
        <f t="shared" si="356"/>
        <v>38.745850000000004</v>
      </c>
      <c r="BZ97" s="364">
        <f t="shared" si="356"/>
        <v>38.495489999999997</v>
      </c>
      <c r="CA97" s="364">
        <f t="shared" si="356"/>
        <v>62.916750000000008</v>
      </c>
      <c r="CB97" s="364">
        <f t="shared" ref="CB97:CH97" si="359">CB103*CB$88</f>
        <v>71.614010000000007</v>
      </c>
      <c r="CC97" s="364">
        <f t="shared" si="359"/>
        <v>68.723160000000007</v>
      </c>
      <c r="CD97" s="364">
        <f t="shared" si="359"/>
        <v>74.992560000000012</v>
      </c>
      <c r="CE97" s="364">
        <f t="shared" si="359"/>
        <v>72.310560000000009</v>
      </c>
      <c r="CF97" s="364">
        <f t="shared" si="359"/>
        <v>64.109040000000022</v>
      </c>
      <c r="CG97" s="364">
        <f t="shared" si="359"/>
        <v>87.443600000000004</v>
      </c>
      <c r="CH97" s="364">
        <f t="shared" si="359"/>
        <v>79.239399999999989</v>
      </c>
      <c r="CI97" s="364">
        <f t="shared" si="358"/>
        <v>83.845900000000015</v>
      </c>
      <c r="CJ97" s="364">
        <f t="shared" si="358"/>
        <v>112.87430000000005</v>
      </c>
      <c r="CK97" s="364"/>
      <c r="CL97" s="364"/>
      <c r="CM97" s="364"/>
      <c r="CN97" s="364"/>
      <c r="CO97" s="364"/>
      <c r="CP97" s="365"/>
      <c r="CQ97" s="1045"/>
      <c r="CR97" s="1046"/>
      <c r="CS97" s="1034"/>
      <c r="CT97" s="364"/>
      <c r="CU97" s="364">
        <f>SUM(S97:V97)</f>
        <v>54.921499999999995</v>
      </c>
      <c r="CV97" s="364">
        <f>SUM(W97:Z97)</f>
        <v>66.642220000000009</v>
      </c>
      <c r="CW97" s="364">
        <f>SUM(AA97:AD97)</f>
        <v>79.429680000000019</v>
      </c>
      <c r="CX97" s="364">
        <f>SUM(AE97:AH97)</f>
        <v>58.656350000000003</v>
      </c>
      <c r="CY97" s="364">
        <f>SUM(AI97:AL97)</f>
        <v>87.444500000000033</v>
      </c>
      <c r="CZ97" s="364">
        <f>SUM(AM97:AP97)</f>
        <v>76.856659999999991</v>
      </c>
      <c r="DA97" s="1034">
        <f>SUM(AQ97:AT97)</f>
        <v>70.710080000000005</v>
      </c>
      <c r="DB97" s="364"/>
      <c r="DC97" s="1034"/>
      <c r="DD97" s="364"/>
      <c r="DE97" s="364"/>
      <c r="DF97" s="364"/>
      <c r="DG97" s="364"/>
      <c r="DH97" s="365"/>
    </row>
    <row r="98" spans="1:112" ht="14.25" customHeight="1">
      <c r="A98" s="448"/>
      <c r="B98" s="23" t="s">
        <v>410</v>
      </c>
      <c r="C98" s="1046"/>
      <c r="D98" s="1047"/>
      <c r="E98" s="1048"/>
      <c r="F98" s="1048"/>
      <c r="G98" s="1049"/>
      <c r="H98" s="1047"/>
      <c r="I98" s="1048"/>
      <c r="J98" s="1048"/>
      <c r="K98" s="1049"/>
      <c r="L98" s="1047"/>
      <c r="M98" s="1048"/>
      <c r="N98" s="1048"/>
      <c r="O98" s="1049"/>
      <c r="P98" s="1047"/>
      <c r="Q98" s="1048"/>
      <c r="R98" s="1048"/>
      <c r="S98" s="1049"/>
      <c r="T98" s="1047">
        <f t="shared" si="347"/>
        <v>55.469400000000007</v>
      </c>
      <c r="U98" s="1048">
        <f t="shared" si="347"/>
        <v>58.305959999999999</v>
      </c>
      <c r="V98" s="1048">
        <f t="shared" si="347"/>
        <v>53.895599999999988</v>
      </c>
      <c r="W98" s="1049">
        <f>CC98-V98-U98-T98</f>
        <v>50.993639999999999</v>
      </c>
      <c r="X98" s="1047">
        <f t="shared" si="348"/>
        <v>55.490750000000006</v>
      </c>
      <c r="Y98" s="1048">
        <f t="shared" si="348"/>
        <v>55.696319999999993</v>
      </c>
      <c r="Z98" s="1048">
        <f t="shared" si="348"/>
        <v>53.566449999999996</v>
      </c>
      <c r="AA98" s="1049">
        <f>CD98-Z98-Y98-X98</f>
        <v>60.224160000000026</v>
      </c>
      <c r="AB98" s="1047">
        <f t="shared" si="349"/>
        <v>58.894920000000013</v>
      </c>
      <c r="AC98" s="1048">
        <f t="shared" si="349"/>
        <v>60.736610000000006</v>
      </c>
      <c r="AD98" s="1048">
        <f t="shared" si="349"/>
        <v>35.627579999999995</v>
      </c>
      <c r="AE98" s="1049">
        <f>CE98-AD98-AC98-AB98</f>
        <v>30.682329999999979</v>
      </c>
      <c r="AF98" s="1047">
        <f t="shared" si="350"/>
        <v>35.680950000000003</v>
      </c>
      <c r="AG98" s="1048">
        <f t="shared" si="350"/>
        <v>48.102600000000002</v>
      </c>
      <c r="AH98" s="1048">
        <f t="shared" si="350"/>
        <v>58.398399999999995</v>
      </c>
      <c r="AI98" s="1049">
        <f>CF98-AH98-AG98-AF98</f>
        <v>66.172430000000077</v>
      </c>
      <c r="AJ98" s="1047">
        <f t="shared" si="351"/>
        <v>93.349350000000001</v>
      </c>
      <c r="AK98" s="1048">
        <f t="shared" si="351"/>
        <v>94.502100000000013</v>
      </c>
      <c r="AL98" s="1048">
        <f t="shared" si="351"/>
        <v>86.558800000000019</v>
      </c>
      <c r="AM98" s="1049">
        <f>CG98-AL98-AK98-AJ98</f>
        <v>92.852869999999982</v>
      </c>
      <c r="AN98" s="1047">
        <f t="shared" si="352"/>
        <v>90.096680000000021</v>
      </c>
      <c r="AO98" s="1048">
        <f t="shared" si="352"/>
        <v>80.648229999999998</v>
      </c>
      <c r="AP98" s="1048">
        <f t="shared" si="352"/>
        <v>76.050080000000008</v>
      </c>
      <c r="AQ98" s="1049">
        <f>CH98-AP98-AO98-AN98</f>
        <v>78.08654999999996</v>
      </c>
      <c r="AR98" s="1047">
        <f t="shared" si="353"/>
        <v>83.262390000000011</v>
      </c>
      <c r="AS98" s="1048">
        <f t="shared" si="353"/>
        <v>95.155549999999991</v>
      </c>
      <c r="AT98" s="1048">
        <f t="shared" si="353"/>
        <v>96.20544000000001</v>
      </c>
      <c r="AU98" s="1049">
        <f>CI98-AT98-AS98-AR98</f>
        <v>119.45235</v>
      </c>
      <c r="AV98" s="1047">
        <f t="shared" si="354"/>
        <v>122.62403999999997</v>
      </c>
      <c r="AW98" s="1048">
        <f t="shared" si="354"/>
        <v>135.47674699999996</v>
      </c>
      <c r="AX98" s="1048">
        <f t="shared" si="354"/>
        <v>131.18208000000001</v>
      </c>
      <c r="AY98" s="1049">
        <f>CJ98-AX98-AW98-AV98</f>
        <v>141.22634300000021</v>
      </c>
      <c r="AZ98" s="1047">
        <f t="shared" si="355"/>
        <v>147.12912</v>
      </c>
      <c r="BA98" s="1048">
        <f t="shared" si="355"/>
        <v>148.50028200000003</v>
      </c>
      <c r="BB98" s="1048">
        <f>BB104*BB$88</f>
        <v>147.95991000000004</v>
      </c>
      <c r="BC98" s="1050"/>
      <c r="BD98" s="1051"/>
      <c r="BE98" s="1052"/>
      <c r="BF98" s="1052"/>
      <c r="BG98" s="1050"/>
      <c r="BH98" s="1051"/>
      <c r="BI98" s="1052"/>
      <c r="BJ98" s="1052"/>
      <c r="BK98" s="1050"/>
      <c r="BL98" s="1051"/>
      <c r="BM98" s="1052"/>
      <c r="BN98" s="1052"/>
      <c r="BO98" s="1050"/>
      <c r="BP98" s="1051"/>
      <c r="BQ98" s="1052"/>
      <c r="BR98" s="1052"/>
      <c r="BS98" s="1050"/>
      <c r="BT98" s="1051"/>
      <c r="BU98" s="1052"/>
      <c r="BV98" s="1052"/>
      <c r="BW98" s="1050"/>
      <c r="BX98" s="1044"/>
      <c r="BY98" s="364">
        <f t="shared" si="356"/>
        <v>123.28224999999999</v>
      </c>
      <c r="BZ98" s="364">
        <f t="shared" si="356"/>
        <v>122.48564999999998</v>
      </c>
      <c r="CA98" s="364">
        <f t="shared" si="356"/>
        <v>169.39124999999999</v>
      </c>
      <c r="CB98" s="364">
        <f t="shared" ref="CB98:CH98" si="360">CB104*CB$88</f>
        <v>192.80695</v>
      </c>
      <c r="CC98" s="364">
        <f t="shared" si="360"/>
        <v>218.66460000000001</v>
      </c>
      <c r="CD98" s="364">
        <f t="shared" si="360"/>
        <v>224.97768000000002</v>
      </c>
      <c r="CE98" s="364">
        <f t="shared" si="360"/>
        <v>185.94144</v>
      </c>
      <c r="CF98" s="364">
        <f t="shared" si="360"/>
        <v>208.35438000000008</v>
      </c>
      <c r="CG98" s="364">
        <f t="shared" si="360"/>
        <v>367.26312000000001</v>
      </c>
      <c r="CH98" s="364">
        <f t="shared" si="360"/>
        <v>324.88153999999997</v>
      </c>
      <c r="CI98" s="364">
        <f t="shared" si="358"/>
        <v>394.07573000000002</v>
      </c>
      <c r="CJ98" s="364">
        <f t="shared" si="358"/>
        <v>530.50921000000017</v>
      </c>
      <c r="CK98" s="364"/>
      <c r="CL98" s="364"/>
      <c r="CM98" s="364"/>
      <c r="CN98" s="364"/>
      <c r="CO98" s="364"/>
      <c r="CP98" s="365"/>
      <c r="CQ98" s="1045"/>
      <c r="CR98" s="1046"/>
      <c r="CS98" s="1034"/>
      <c r="CT98" s="364"/>
      <c r="CU98" s="364">
        <f>SUM(S98:V98)</f>
        <v>167.67095999999998</v>
      </c>
      <c r="CV98" s="364">
        <f>SUM(W98:Z98)</f>
        <v>215.74716000000001</v>
      </c>
      <c r="CW98" s="364">
        <f>SUM(AA98:AD98)</f>
        <v>215.48327000000003</v>
      </c>
      <c r="CX98" s="364">
        <f>SUM(AE98:AH98)</f>
        <v>172.86427999999995</v>
      </c>
      <c r="CY98" s="364">
        <f>SUM(AI98:AL98)</f>
        <v>340.5826800000001</v>
      </c>
      <c r="CZ98" s="364">
        <f>SUM(AM98:AP98)</f>
        <v>339.64786000000004</v>
      </c>
      <c r="DA98" s="1034">
        <f>SUM(AQ98:AT98)</f>
        <v>352.70992999999999</v>
      </c>
      <c r="DB98" s="364"/>
      <c r="DC98" s="1034"/>
      <c r="DD98" s="364"/>
      <c r="DE98" s="364"/>
      <c r="DF98" s="364"/>
      <c r="DG98" s="364"/>
      <c r="DH98" s="365"/>
    </row>
    <row r="99" spans="1:112" ht="14.25" customHeight="1">
      <c r="A99" s="100"/>
      <c r="B99" s="387" t="s">
        <v>139</v>
      </c>
      <c r="C99" s="388"/>
      <c r="D99" s="389"/>
      <c r="E99" s="390"/>
      <c r="F99" s="390"/>
      <c r="G99" s="391"/>
      <c r="H99" s="389"/>
      <c r="I99" s="390"/>
      <c r="J99" s="390"/>
      <c r="K99" s="391"/>
      <c r="L99" s="389"/>
      <c r="M99" s="390"/>
      <c r="N99" s="390"/>
      <c r="O99" s="391"/>
      <c r="P99" s="389"/>
      <c r="Q99" s="390"/>
      <c r="R99" s="390"/>
      <c r="S99" s="391"/>
      <c r="T99" s="389">
        <f t="shared" ref="T99:AX99" si="361">SUM(T96,T98)</f>
        <v>158.48400000000004</v>
      </c>
      <c r="U99" s="390">
        <f t="shared" si="361"/>
        <v>161.96100000000001</v>
      </c>
      <c r="V99" s="390">
        <f t="shared" si="361"/>
        <v>149.70999999999998</v>
      </c>
      <c r="W99" s="391">
        <f t="shared" si="361"/>
        <v>154.60100000000006</v>
      </c>
      <c r="X99" s="389">
        <f t="shared" si="361"/>
        <v>158.54500000000002</v>
      </c>
      <c r="Y99" s="390">
        <f t="shared" si="361"/>
        <v>154.71199999999999</v>
      </c>
      <c r="Z99" s="390">
        <f t="shared" si="361"/>
        <v>153.047</v>
      </c>
      <c r="AA99" s="391">
        <f t="shared" si="361"/>
        <v>158.63400000000013</v>
      </c>
      <c r="AB99" s="389">
        <f t="shared" si="361"/>
        <v>163.59700000000004</v>
      </c>
      <c r="AC99" s="390">
        <f t="shared" si="361"/>
        <v>164.15300000000002</v>
      </c>
      <c r="AD99" s="390">
        <f t="shared" si="361"/>
        <v>104.78699999999999</v>
      </c>
      <c r="AE99" s="391">
        <f t="shared" si="361"/>
        <v>83.966999999999956</v>
      </c>
      <c r="AF99" s="389">
        <f t="shared" si="361"/>
        <v>96.435000000000016</v>
      </c>
      <c r="AG99" s="390">
        <f t="shared" si="361"/>
        <v>123.34</v>
      </c>
      <c r="AH99" s="390">
        <f t="shared" si="361"/>
        <v>145.99599999999998</v>
      </c>
      <c r="AI99" s="391">
        <f t="shared" si="361"/>
        <v>168.47100000000017</v>
      </c>
      <c r="AJ99" s="389">
        <f t="shared" si="361"/>
        <v>207.44300000000001</v>
      </c>
      <c r="AK99" s="390">
        <f t="shared" si="361"/>
        <v>225.00500000000002</v>
      </c>
      <c r="AL99" s="390">
        <f t="shared" si="361"/>
        <v>216.39700000000002</v>
      </c>
      <c r="AM99" s="391">
        <f t="shared" si="361"/>
        <v>225.59099999999989</v>
      </c>
      <c r="AN99" s="389">
        <f t="shared" si="361"/>
        <v>219.74800000000002</v>
      </c>
      <c r="AO99" s="390">
        <f t="shared" si="361"/>
        <v>196.70299999999997</v>
      </c>
      <c r="AP99" s="390">
        <f t="shared" si="361"/>
        <v>185.488</v>
      </c>
      <c r="AQ99" s="391">
        <f t="shared" si="361"/>
        <v>190.45499999999996</v>
      </c>
      <c r="AR99" s="389">
        <f t="shared" si="361"/>
        <v>203.07900000000001</v>
      </c>
      <c r="AS99" s="390">
        <f t="shared" si="361"/>
        <v>194.19499999999999</v>
      </c>
      <c r="AT99" s="390">
        <f t="shared" si="361"/>
        <v>200.42800000000003</v>
      </c>
      <c r="AU99" s="391">
        <f t="shared" si="361"/>
        <v>240.75700000000001</v>
      </c>
      <c r="AV99" s="389">
        <f t="shared" si="361"/>
        <v>266.57399999999996</v>
      </c>
      <c r="AW99" s="390">
        <f t="shared" si="361"/>
        <v>288.86299999999994</v>
      </c>
      <c r="AX99" s="390">
        <f t="shared" si="361"/>
        <v>282.72000000000003</v>
      </c>
      <c r="AY99" s="391">
        <f>SUM(AY96,AY98)</f>
        <v>290.58600000000047</v>
      </c>
      <c r="AZ99" s="389">
        <f>SUM(AZ96,AZ98)</f>
        <v>306.51900000000001</v>
      </c>
      <c r="BA99" s="390">
        <f>SUM(BA96,BA98)</f>
        <v>307.45400000000006</v>
      </c>
      <c r="BB99" s="390">
        <f>SUM(BB96,BB98)</f>
        <v>301.95900000000006</v>
      </c>
      <c r="BC99" s="393"/>
      <c r="BD99" s="394"/>
      <c r="BE99" s="392"/>
      <c r="BF99" s="392"/>
      <c r="BG99" s="393"/>
      <c r="BH99" s="394"/>
      <c r="BI99" s="392"/>
      <c r="BJ99" s="392"/>
      <c r="BK99" s="393"/>
      <c r="BL99" s="394"/>
      <c r="BM99" s="392"/>
      <c r="BN99" s="392"/>
      <c r="BO99" s="393"/>
      <c r="BP99" s="394"/>
      <c r="BQ99" s="392"/>
      <c r="BR99" s="392"/>
      <c r="BS99" s="393"/>
      <c r="BT99" s="394"/>
      <c r="BU99" s="392"/>
      <c r="BV99" s="392"/>
      <c r="BW99" s="393"/>
      <c r="BX99" s="395"/>
      <c r="BY99" s="396">
        <f>SUM(BY96,BY98)</f>
        <v>352.23500000000001</v>
      </c>
      <c r="BZ99" s="396">
        <f>SUM(BZ96,BZ98)</f>
        <v>349.95899999999995</v>
      </c>
      <c r="CA99" s="396">
        <f>SUM(CA96,CA98)</f>
        <v>483.97500000000002</v>
      </c>
      <c r="CB99" s="396">
        <f t="shared" ref="CB99:CI99" si="362">SUM(CB96,CB98)</f>
        <v>550.87700000000007</v>
      </c>
      <c r="CC99" s="396">
        <f t="shared" si="362"/>
        <v>624.75600000000009</v>
      </c>
      <c r="CD99" s="397">
        <f t="shared" si="362"/>
        <v>624.9380000000001</v>
      </c>
      <c r="CE99" s="397">
        <f t="shared" si="362"/>
        <v>516.50400000000002</v>
      </c>
      <c r="CF99" s="397">
        <f t="shared" si="362"/>
        <v>534.24200000000019</v>
      </c>
      <c r="CG99" s="397">
        <f t="shared" si="362"/>
        <v>874.43599999999992</v>
      </c>
      <c r="CH99" s="397">
        <f t="shared" si="362"/>
        <v>792.39399999999989</v>
      </c>
      <c r="CI99" s="397">
        <f t="shared" si="362"/>
        <v>838.45900000000006</v>
      </c>
      <c r="CJ99" s="397">
        <f>SUM(CJ96,CJ98)</f>
        <v>1128.7430000000004</v>
      </c>
      <c r="CK99" s="397"/>
      <c r="CL99" s="397"/>
      <c r="CM99" s="397"/>
      <c r="CN99" s="397"/>
      <c r="CO99" s="397"/>
      <c r="CP99" s="398"/>
      <c r="CQ99" s="333"/>
      <c r="CR99" s="1524"/>
      <c r="CS99" s="1036"/>
      <c r="CT99" s="397"/>
      <c r="CU99" s="397">
        <f>SUM(CU96,CU98)</f>
        <v>470.15500000000003</v>
      </c>
      <c r="CV99" s="397">
        <f t="shared" ref="CV99:DA99" si="363">SUM(CV96,CV98)</f>
        <v>620.90499999999997</v>
      </c>
      <c r="CW99" s="397">
        <f t="shared" si="363"/>
        <v>591.17100000000016</v>
      </c>
      <c r="CX99" s="397">
        <f t="shared" si="363"/>
        <v>449.73799999999994</v>
      </c>
      <c r="CY99" s="397">
        <f t="shared" si="363"/>
        <v>817.31600000000026</v>
      </c>
      <c r="CZ99" s="397">
        <f t="shared" si="363"/>
        <v>827.52999999999986</v>
      </c>
      <c r="DA99" s="1036">
        <f t="shared" si="363"/>
        <v>788.15700000000004</v>
      </c>
      <c r="DB99" s="397"/>
      <c r="DC99" s="1036"/>
      <c r="DD99" s="397"/>
      <c r="DE99" s="397"/>
      <c r="DF99" s="397"/>
      <c r="DG99" s="397"/>
      <c r="DH99" s="398"/>
    </row>
    <row r="100" spans="1:112" ht="14.25" customHeight="1">
      <c r="B100" s="68"/>
      <c r="AN100" s="8"/>
      <c r="AO100" s="8"/>
      <c r="AP100" s="8"/>
      <c r="AR100" s="8"/>
      <c r="AT100" s="8"/>
      <c r="CH100" s="8"/>
      <c r="CL100" s="331"/>
      <c r="CM100" s="1174"/>
      <c r="CN100" s="1174"/>
      <c r="CO100" s="1174"/>
      <c r="DD100" s="331"/>
      <c r="DE100" s="1174"/>
      <c r="DF100" s="1174"/>
      <c r="DG100" s="1174"/>
    </row>
    <row r="101" spans="1:112" ht="14.25" customHeight="1">
      <c r="A101" s="1"/>
      <c r="B101" s="141" t="s">
        <v>402</v>
      </c>
      <c r="C101" s="142"/>
      <c r="D101" s="569" t="str">
        <f t="shared" ref="D101:O101" si="364">D$8</f>
        <v>F1Q03A</v>
      </c>
      <c r="E101" s="570" t="str">
        <f t="shared" si="364"/>
        <v>F2Q03A</v>
      </c>
      <c r="F101" s="570" t="str">
        <f t="shared" si="364"/>
        <v>F3Q03A</v>
      </c>
      <c r="G101" s="570" t="str">
        <f t="shared" si="364"/>
        <v>F4Q03A</v>
      </c>
      <c r="H101" s="569" t="str">
        <f t="shared" si="364"/>
        <v>F1Q04A</v>
      </c>
      <c r="I101" s="570" t="str">
        <f t="shared" si="364"/>
        <v>F2Q04A</v>
      </c>
      <c r="J101" s="570" t="str">
        <f t="shared" si="364"/>
        <v>F3Q04A</v>
      </c>
      <c r="K101" s="570" t="str">
        <f t="shared" si="364"/>
        <v>F4Q04A</v>
      </c>
      <c r="L101" s="569" t="str">
        <f t="shared" si="364"/>
        <v>F1Q05A</v>
      </c>
      <c r="M101" s="570" t="str">
        <f t="shared" si="364"/>
        <v>F2Q05A</v>
      </c>
      <c r="N101" s="570" t="str">
        <f t="shared" si="364"/>
        <v>F3Q05A</v>
      </c>
      <c r="O101" s="570" t="str">
        <f t="shared" si="364"/>
        <v>F4Q05A</v>
      </c>
      <c r="P101" s="569" t="str">
        <f t="shared" ref="P101:BW101" si="365">P$8</f>
        <v>F1Q06A</v>
      </c>
      <c r="Q101" s="570" t="str">
        <f t="shared" si="365"/>
        <v>F2Q06A</v>
      </c>
      <c r="R101" s="570" t="str">
        <f t="shared" si="365"/>
        <v>F3Q06A</v>
      </c>
      <c r="S101" s="570" t="str">
        <f t="shared" si="365"/>
        <v>F4Q06A</v>
      </c>
      <c r="T101" s="569" t="str">
        <f t="shared" si="365"/>
        <v>F1Q07A</v>
      </c>
      <c r="U101" s="570" t="str">
        <f t="shared" si="365"/>
        <v>F2Q07A</v>
      </c>
      <c r="V101" s="570" t="str">
        <f t="shared" si="365"/>
        <v>F3Q07A</v>
      </c>
      <c r="W101" s="570" t="str">
        <f t="shared" si="365"/>
        <v>F4Q07A</v>
      </c>
      <c r="X101" s="569" t="str">
        <f t="shared" si="365"/>
        <v>F1Q08A</v>
      </c>
      <c r="Y101" s="570" t="str">
        <f t="shared" si="365"/>
        <v>F2Q08A</v>
      </c>
      <c r="Z101" s="570" t="str">
        <f t="shared" si="365"/>
        <v>F3Q08A</v>
      </c>
      <c r="AA101" s="570" t="str">
        <f t="shared" si="365"/>
        <v>F4Q08A</v>
      </c>
      <c r="AB101" s="569" t="str">
        <f t="shared" si="365"/>
        <v>F1Q09A</v>
      </c>
      <c r="AC101" s="570" t="str">
        <f t="shared" si="365"/>
        <v>F2Q09A</v>
      </c>
      <c r="AD101" s="570" t="str">
        <f t="shared" si="365"/>
        <v>F3Q09A</v>
      </c>
      <c r="AE101" s="570" t="str">
        <f t="shared" si="365"/>
        <v>F4Q09A</v>
      </c>
      <c r="AF101" s="569" t="str">
        <f t="shared" si="365"/>
        <v>F1Q10A</v>
      </c>
      <c r="AG101" s="570" t="str">
        <f t="shared" si="365"/>
        <v>F2Q10A</v>
      </c>
      <c r="AH101" s="570" t="str">
        <f t="shared" si="365"/>
        <v>F3Q10A</v>
      </c>
      <c r="AI101" s="570" t="str">
        <f t="shared" si="365"/>
        <v>F4Q10A</v>
      </c>
      <c r="AJ101" s="569" t="str">
        <f t="shared" si="365"/>
        <v>F1Q11A</v>
      </c>
      <c r="AK101" s="570" t="str">
        <f t="shared" si="365"/>
        <v>F2Q11A</v>
      </c>
      <c r="AL101" s="570" t="str">
        <f t="shared" si="365"/>
        <v>F3Q11A</v>
      </c>
      <c r="AM101" s="570" t="str">
        <f t="shared" si="365"/>
        <v>F4Q11A</v>
      </c>
      <c r="AN101" s="571" t="str">
        <f t="shared" si="365"/>
        <v>F1Q12A</v>
      </c>
      <c r="AO101" s="572" t="str">
        <f t="shared" si="365"/>
        <v>F2Q12A</v>
      </c>
      <c r="AP101" s="572" t="str">
        <f t="shared" si="365"/>
        <v>F3Q12A</v>
      </c>
      <c r="AQ101" s="570" t="str">
        <f t="shared" si="365"/>
        <v>F4Q12A</v>
      </c>
      <c r="AR101" s="571" t="str">
        <f t="shared" si="365"/>
        <v>F1Q13A</v>
      </c>
      <c r="AS101" s="572" t="str">
        <f t="shared" si="365"/>
        <v>F2Q13A</v>
      </c>
      <c r="AT101" s="572" t="str">
        <f t="shared" si="365"/>
        <v>F3Q13A</v>
      </c>
      <c r="AU101" s="570" t="str">
        <f t="shared" si="365"/>
        <v>F4Q13A</v>
      </c>
      <c r="AV101" s="571" t="str">
        <f t="shared" si="365"/>
        <v>F1Q14A</v>
      </c>
      <c r="AW101" s="572" t="str">
        <f t="shared" si="365"/>
        <v>F2Q14A</v>
      </c>
      <c r="AX101" s="570" t="str">
        <f t="shared" si="365"/>
        <v>F3Q14A</v>
      </c>
      <c r="AY101" s="570" t="str">
        <f t="shared" si="365"/>
        <v>F4Q14A</v>
      </c>
      <c r="AZ101" s="571" t="str">
        <f t="shared" si="365"/>
        <v>F1Q15A</v>
      </c>
      <c r="BA101" s="570" t="str">
        <f t="shared" si="365"/>
        <v>F2Q15A</v>
      </c>
      <c r="BB101" s="570" t="str">
        <f t="shared" si="365"/>
        <v>F3Q15A</v>
      </c>
      <c r="BC101" s="573" t="str">
        <f t="shared" si="365"/>
        <v>F4Q15A</v>
      </c>
      <c r="BD101" s="569" t="str">
        <f t="shared" si="365"/>
        <v>F1Q16A</v>
      </c>
      <c r="BE101" s="570" t="str">
        <f t="shared" si="365"/>
        <v>F2Q16A</v>
      </c>
      <c r="BF101" s="570" t="str">
        <f t="shared" si="365"/>
        <v>F3Q16A</v>
      </c>
      <c r="BG101" s="573" t="str">
        <f t="shared" si="365"/>
        <v>F4Q16A</v>
      </c>
      <c r="BH101" s="569" t="str">
        <f t="shared" si="365"/>
        <v>F1Q17A</v>
      </c>
      <c r="BI101" s="570" t="str">
        <f t="shared" si="365"/>
        <v>F2Q17A</v>
      </c>
      <c r="BJ101" s="570" t="str">
        <f t="shared" si="365"/>
        <v>F3Q17A</v>
      </c>
      <c r="BK101" s="573" t="str">
        <f t="shared" si="365"/>
        <v>F4Q17A</v>
      </c>
      <c r="BL101" s="569" t="str">
        <f t="shared" si="365"/>
        <v>F1Q18A</v>
      </c>
      <c r="BM101" s="1321" t="str">
        <f t="shared" si="365"/>
        <v>F2Q18A</v>
      </c>
      <c r="BN101" s="570" t="str">
        <f t="shared" si="365"/>
        <v>F3Q18A</v>
      </c>
      <c r="BO101" s="573" t="str">
        <f t="shared" si="365"/>
        <v>F4Q18E</v>
      </c>
      <c r="BP101" s="569" t="str">
        <f t="shared" si="365"/>
        <v>F1Q19E</v>
      </c>
      <c r="BQ101" s="570" t="str">
        <f t="shared" si="365"/>
        <v>F2Q19E</v>
      </c>
      <c r="BR101" s="570" t="str">
        <f t="shared" si="365"/>
        <v>F3Q19E</v>
      </c>
      <c r="BS101" s="573" t="str">
        <f t="shared" si="365"/>
        <v>F4Q19E</v>
      </c>
      <c r="BT101" s="569" t="str">
        <f t="shared" si="365"/>
        <v>F1Q20E</v>
      </c>
      <c r="BU101" s="1321" t="str">
        <f t="shared" si="365"/>
        <v>F2Q20E</v>
      </c>
      <c r="BV101" s="1321" t="str">
        <f t="shared" si="365"/>
        <v>F3Q20E</v>
      </c>
      <c r="BW101" s="573" t="str">
        <f t="shared" si="365"/>
        <v>F4Q20E</v>
      </c>
      <c r="BX101" s="20"/>
      <c r="BY101" s="570" t="str">
        <f>BY$8</f>
        <v>FY2003A</v>
      </c>
      <c r="BZ101" s="570" t="str">
        <f>BZ$8</f>
        <v>FY2004A</v>
      </c>
      <c r="CA101" s="570" t="str">
        <f>CA$8</f>
        <v>FY2005A</v>
      </c>
      <c r="CB101" s="570" t="str">
        <f t="shared" ref="CB101:DH101" si="366">CB$8</f>
        <v>FY2006A</v>
      </c>
      <c r="CC101" s="570" t="str">
        <f t="shared" si="366"/>
        <v>FY2007A</v>
      </c>
      <c r="CD101" s="570" t="str">
        <f t="shared" si="366"/>
        <v>FY2008A</v>
      </c>
      <c r="CE101" s="570" t="str">
        <f t="shared" si="366"/>
        <v>FY2009A</v>
      </c>
      <c r="CF101" s="570" t="str">
        <f t="shared" si="366"/>
        <v>FY2010A</v>
      </c>
      <c r="CG101" s="570" t="str">
        <f t="shared" si="366"/>
        <v>FY2011A</v>
      </c>
      <c r="CH101" s="570" t="str">
        <f t="shared" si="366"/>
        <v>FY2012A</v>
      </c>
      <c r="CI101" s="570" t="str">
        <f t="shared" si="366"/>
        <v>FY2013A</v>
      </c>
      <c r="CJ101" s="570" t="str">
        <f t="shared" si="366"/>
        <v>FY2014A</v>
      </c>
      <c r="CK101" s="570" t="str">
        <f t="shared" si="366"/>
        <v>FY2015A</v>
      </c>
      <c r="CL101" s="570" t="str">
        <f t="shared" si="366"/>
        <v>FY2016A</v>
      </c>
      <c r="CM101" s="570" t="str">
        <f t="shared" si="366"/>
        <v>FY2017A</v>
      </c>
      <c r="CN101" s="570" t="str">
        <f t="shared" si="366"/>
        <v>FY2018E</v>
      </c>
      <c r="CO101" s="1321" t="str">
        <f t="shared" si="366"/>
        <v>FY2019E</v>
      </c>
      <c r="CP101" s="573" t="str">
        <f t="shared" si="366"/>
        <v>FY2020E</v>
      </c>
      <c r="CQ101" s="281"/>
      <c r="CR101" s="332"/>
      <c r="CS101" s="569" t="str">
        <f t="shared" si="366"/>
        <v>CY2004</v>
      </c>
      <c r="CT101" s="570" t="str">
        <f t="shared" si="366"/>
        <v>CY2005</v>
      </c>
      <c r="CU101" s="570" t="str">
        <f t="shared" si="366"/>
        <v>CY2006</v>
      </c>
      <c r="CV101" s="570" t="str">
        <f t="shared" si="366"/>
        <v>CY2007</v>
      </c>
      <c r="CW101" s="570" t="str">
        <f t="shared" si="366"/>
        <v>CY2008</v>
      </c>
      <c r="CX101" s="570" t="str">
        <f t="shared" si="366"/>
        <v>CY2009</v>
      </c>
      <c r="CY101" s="570" t="str">
        <f t="shared" si="366"/>
        <v>CY2010</v>
      </c>
      <c r="CZ101" s="570" t="str">
        <f t="shared" si="366"/>
        <v>CY2011</v>
      </c>
      <c r="DA101" s="569" t="str">
        <f t="shared" si="366"/>
        <v>CY2012</v>
      </c>
      <c r="DB101" s="570" t="str">
        <f t="shared" si="366"/>
        <v>CY2013</v>
      </c>
      <c r="DC101" s="569" t="str">
        <f t="shared" si="366"/>
        <v>CY2014</v>
      </c>
      <c r="DD101" s="1321" t="str">
        <f t="shared" si="366"/>
        <v>CY2015</v>
      </c>
      <c r="DE101" s="1321" t="str">
        <f t="shared" si="366"/>
        <v>CY2016</v>
      </c>
      <c r="DF101" s="1321" t="str">
        <f t="shared" si="366"/>
        <v>CY2017</v>
      </c>
      <c r="DG101" s="1321" t="str">
        <f t="shared" si="366"/>
        <v>CY2018</v>
      </c>
      <c r="DH101" s="573" t="str">
        <f t="shared" si="366"/>
        <v>CY2019</v>
      </c>
    </row>
    <row r="102" spans="1:112" ht="14.25" customHeight="1">
      <c r="B102" s="402" t="s">
        <v>409</v>
      </c>
      <c r="C102" s="372"/>
      <c r="D102" s="481"/>
      <c r="E102" s="480"/>
      <c r="F102" s="480"/>
      <c r="G102" s="884"/>
      <c r="H102" s="481"/>
      <c r="I102" s="480"/>
      <c r="J102" s="480"/>
      <c r="K102" s="884"/>
      <c r="L102" s="481"/>
      <c r="M102" s="480"/>
      <c r="N102" s="480"/>
      <c r="O102" s="884"/>
      <c r="P102" s="882"/>
      <c r="Q102" s="883"/>
      <c r="R102" s="883"/>
      <c r="S102" s="884"/>
      <c r="T102" s="481">
        <v>0.65</v>
      </c>
      <c r="U102" s="480">
        <v>0.64</v>
      </c>
      <c r="V102" s="480">
        <v>0.64</v>
      </c>
      <c r="W102" s="884">
        <f>W96/W$99</f>
        <v>0.67015970142495862</v>
      </c>
      <c r="X102" s="481">
        <v>0.65</v>
      </c>
      <c r="Y102" s="480">
        <v>0.64</v>
      </c>
      <c r="Z102" s="480">
        <v>0.65</v>
      </c>
      <c r="AA102" s="884">
        <f>AA96/AA$99</f>
        <v>0.62035780475812263</v>
      </c>
      <c r="AB102" s="481">
        <v>0.64</v>
      </c>
      <c r="AC102" s="480">
        <v>0.63</v>
      </c>
      <c r="AD102" s="480">
        <v>0.66</v>
      </c>
      <c r="AE102" s="884">
        <f>AE96/AE$99</f>
        <v>0.6345906129789084</v>
      </c>
      <c r="AF102" s="481">
        <v>0.63</v>
      </c>
      <c r="AG102" s="480">
        <v>0.61</v>
      </c>
      <c r="AH102" s="480">
        <v>0.6</v>
      </c>
      <c r="AI102" s="884">
        <f>AI96/AI$99</f>
        <v>0.60721768138136534</v>
      </c>
      <c r="AJ102" s="481">
        <v>0.55000000000000004</v>
      </c>
      <c r="AK102" s="480">
        <v>0.57999999999999996</v>
      </c>
      <c r="AL102" s="480">
        <v>0.6</v>
      </c>
      <c r="AM102" s="884">
        <f>AM96/AM$99</f>
        <v>0.58840170928804769</v>
      </c>
      <c r="AN102" s="481">
        <v>0.59</v>
      </c>
      <c r="AO102" s="480">
        <v>0.59</v>
      </c>
      <c r="AP102" s="480">
        <v>0.59</v>
      </c>
      <c r="AQ102" s="884">
        <f>AQ96/AQ$99</f>
        <v>0.59000000000000008</v>
      </c>
      <c r="AR102" s="481">
        <v>0.59</v>
      </c>
      <c r="AS102" s="480">
        <v>0.51</v>
      </c>
      <c r="AT102" s="480">
        <v>0.52</v>
      </c>
      <c r="AU102" s="884">
        <f>AU96/AU$99</f>
        <v>0.50384682480675536</v>
      </c>
      <c r="AV102" s="481">
        <v>0.54</v>
      </c>
      <c r="AW102" s="480">
        <v>0.53100000000000003</v>
      </c>
      <c r="AX102" s="480">
        <v>0.53600000000000003</v>
      </c>
      <c r="AY102" s="884">
        <f>AY96/AY$99</f>
        <v>0.51399467627483775</v>
      </c>
      <c r="AZ102" s="481">
        <v>0.52</v>
      </c>
      <c r="BA102" s="480">
        <v>0.51700000000000002</v>
      </c>
      <c r="BB102" s="480">
        <v>0.51</v>
      </c>
      <c r="BC102" s="407"/>
      <c r="BD102" s="408"/>
      <c r="BE102" s="406"/>
      <c r="BF102" s="406"/>
      <c r="BG102" s="407"/>
      <c r="BH102" s="408"/>
      <c r="BI102" s="406"/>
      <c r="BJ102" s="406"/>
      <c r="BK102" s="407"/>
      <c r="BL102" s="408"/>
      <c r="BM102" s="406"/>
      <c r="BN102" s="406"/>
      <c r="BO102" s="407"/>
      <c r="BP102" s="408"/>
      <c r="BQ102" s="406"/>
      <c r="BR102" s="406"/>
      <c r="BS102" s="407"/>
      <c r="BT102" s="408"/>
      <c r="BU102" s="406"/>
      <c r="BV102" s="406"/>
      <c r="BW102" s="407"/>
      <c r="BX102" s="378"/>
      <c r="BY102" s="965">
        <v>0.65</v>
      </c>
      <c r="BZ102" s="965">
        <v>0.65</v>
      </c>
      <c r="CA102" s="965">
        <v>0.65</v>
      </c>
      <c r="CB102" s="965">
        <v>0.65</v>
      </c>
      <c r="CC102" s="965">
        <v>0.65</v>
      </c>
      <c r="CD102" s="965">
        <v>0.64</v>
      </c>
      <c r="CE102" s="965">
        <v>0.64</v>
      </c>
      <c r="CF102" s="1053">
        <v>0.61</v>
      </c>
      <c r="CG102" s="1053">
        <v>0.57999999999999996</v>
      </c>
      <c r="CH102" s="961">
        <v>0.59</v>
      </c>
      <c r="CI102" s="480">
        <v>0.53</v>
      </c>
      <c r="CJ102" s="369">
        <v>0.53</v>
      </c>
      <c r="CK102" s="369"/>
      <c r="CL102" s="369"/>
      <c r="CM102" s="369"/>
      <c r="CN102" s="369"/>
      <c r="CO102" s="369"/>
      <c r="CP102" s="368"/>
      <c r="CQ102" s="452"/>
      <c r="CR102" s="1525"/>
      <c r="CS102" s="1022"/>
      <c r="CT102" s="409"/>
      <c r="CU102" s="409">
        <f>CU96/CU$99</f>
        <v>0.64337088832406342</v>
      </c>
      <c r="CV102" s="409">
        <f t="shared" ref="CV102:DA102" si="367">CV96/CV$99</f>
        <v>0.65252790684565276</v>
      </c>
      <c r="CW102" s="409">
        <f t="shared" si="367"/>
        <v>0.635497563310785</v>
      </c>
      <c r="CX102" s="409">
        <f t="shared" si="367"/>
        <v>0.61563336876136776</v>
      </c>
      <c r="CY102" s="409">
        <f t="shared" si="367"/>
        <v>0.5832913096036294</v>
      </c>
      <c r="CZ102" s="409">
        <f t="shared" si="367"/>
        <v>0.58956429374161645</v>
      </c>
      <c r="DA102" s="1022">
        <f t="shared" si="367"/>
        <v>0.55248772769892296</v>
      </c>
      <c r="DB102" s="409"/>
      <c r="DC102" s="1022"/>
      <c r="DD102" s="409"/>
      <c r="DE102" s="409"/>
      <c r="DF102" s="409"/>
      <c r="DG102" s="409"/>
      <c r="DH102" s="1023"/>
    </row>
    <row r="103" spans="1:112" ht="14.25" customHeight="1">
      <c r="B103" s="34" t="s">
        <v>401</v>
      </c>
      <c r="C103" s="332"/>
      <c r="D103" s="959"/>
      <c r="E103" s="1090"/>
      <c r="F103" s="1090"/>
      <c r="G103" s="1091"/>
      <c r="H103" s="959"/>
      <c r="I103" s="1090"/>
      <c r="J103" s="1090"/>
      <c r="K103" s="1091"/>
      <c r="L103" s="959"/>
      <c r="M103" s="1090"/>
      <c r="N103" s="1090"/>
      <c r="O103" s="1091"/>
      <c r="P103" s="411"/>
      <c r="Q103" s="412"/>
      <c r="R103" s="412"/>
      <c r="S103" s="413"/>
      <c r="T103" s="960">
        <v>0.12</v>
      </c>
      <c r="U103" s="961">
        <v>0.12</v>
      </c>
      <c r="V103" s="961">
        <v>0.11</v>
      </c>
      <c r="W103" s="413">
        <f>W97/W$99</f>
        <v>8.9272773138595482E-2</v>
      </c>
      <c r="X103" s="960">
        <v>0.11</v>
      </c>
      <c r="Y103" s="961">
        <v>0.12</v>
      </c>
      <c r="Z103" s="961">
        <v>0.11</v>
      </c>
      <c r="AA103" s="413">
        <f>AA97/AA$99</f>
        <v>0.13964219524187746</v>
      </c>
      <c r="AB103" s="960">
        <v>0.13</v>
      </c>
      <c r="AC103" s="961">
        <v>0.13</v>
      </c>
      <c r="AD103" s="961">
        <v>0.14000000000000001</v>
      </c>
      <c r="AE103" s="413">
        <f>AE97/AE$99</f>
        <v>0.1790331916109901</v>
      </c>
      <c r="AF103" s="960">
        <v>0.13</v>
      </c>
      <c r="AG103" s="961">
        <v>0.11</v>
      </c>
      <c r="AH103" s="961">
        <v>0.12</v>
      </c>
      <c r="AI103" s="413">
        <f>AI97/AI$99</f>
        <v>0.12159701076149604</v>
      </c>
      <c r="AJ103" s="960">
        <v>0.11</v>
      </c>
      <c r="AK103" s="961">
        <v>0.1</v>
      </c>
      <c r="AL103" s="961">
        <v>0.1</v>
      </c>
      <c r="AM103" s="413">
        <f>AM97/AM$99</f>
        <v>9.0804464717120822E-2</v>
      </c>
      <c r="AN103" s="960">
        <v>0.1</v>
      </c>
      <c r="AO103" s="961">
        <v>0.09</v>
      </c>
      <c r="AP103" s="961">
        <v>0.09</v>
      </c>
      <c r="AQ103" s="413">
        <f>AQ97/AQ$99</f>
        <v>0.12006725998267306</v>
      </c>
      <c r="AR103" s="960">
        <v>0.09</v>
      </c>
      <c r="AS103" s="961">
        <v>0.08</v>
      </c>
      <c r="AT103" s="961">
        <v>7.0000000000000007E-2</v>
      </c>
      <c r="AU103" s="413">
        <f>AU97/AU$99</f>
        <v>0.14954177863987345</v>
      </c>
      <c r="AV103" s="960">
        <v>0</v>
      </c>
      <c r="AW103" s="961">
        <v>0</v>
      </c>
      <c r="AX103" s="961">
        <v>0</v>
      </c>
      <c r="AY103" s="413">
        <f>AY97/AY$99</f>
        <v>0.38843681388642215</v>
      </c>
      <c r="AZ103" s="960">
        <v>0</v>
      </c>
      <c r="BA103" s="961">
        <v>0</v>
      </c>
      <c r="BB103" s="961">
        <v>0</v>
      </c>
      <c r="BC103" s="415"/>
      <c r="BD103" s="416"/>
      <c r="BE103" s="414"/>
      <c r="BF103" s="414"/>
      <c r="BG103" s="415"/>
      <c r="BH103" s="416"/>
      <c r="BI103" s="414"/>
      <c r="BJ103" s="414"/>
      <c r="BK103" s="415"/>
      <c r="BL103" s="416"/>
      <c r="BM103" s="414"/>
      <c r="BN103" s="414"/>
      <c r="BO103" s="415"/>
      <c r="BP103" s="416"/>
      <c r="BQ103" s="414"/>
      <c r="BR103" s="414"/>
      <c r="BS103" s="415"/>
      <c r="BT103" s="416"/>
      <c r="BU103" s="414"/>
      <c r="BV103" s="414"/>
      <c r="BW103" s="415"/>
      <c r="BX103" s="378"/>
      <c r="BY103" s="965">
        <v>0.11</v>
      </c>
      <c r="BZ103" s="965">
        <v>0.11</v>
      </c>
      <c r="CA103" s="965">
        <v>0.13</v>
      </c>
      <c r="CB103" s="965">
        <v>0.13</v>
      </c>
      <c r="CC103" s="965">
        <v>0.11</v>
      </c>
      <c r="CD103" s="965">
        <v>0.12</v>
      </c>
      <c r="CE103" s="965">
        <v>0.14000000000000001</v>
      </c>
      <c r="CF103" s="965">
        <v>0.12</v>
      </c>
      <c r="CG103" s="965">
        <v>0.1</v>
      </c>
      <c r="CH103" s="961">
        <v>0.1</v>
      </c>
      <c r="CI103" s="961">
        <v>0.1</v>
      </c>
      <c r="CJ103" s="961">
        <v>0.1</v>
      </c>
      <c r="CK103" s="369"/>
      <c r="CL103" s="369"/>
      <c r="CM103" s="369"/>
      <c r="CN103" s="369"/>
      <c r="CO103" s="369"/>
      <c r="CP103" s="368"/>
      <c r="CQ103" s="452"/>
      <c r="CR103" s="1525"/>
      <c r="CS103" s="1028"/>
      <c r="CT103" s="240"/>
      <c r="CU103" s="240">
        <f>CU97/CU$99</f>
        <v>0.11681573098233559</v>
      </c>
      <c r="CV103" s="240">
        <f t="shared" ref="CV103:DA103" si="368">CV97/CV$99</f>
        <v>0.10733078329213006</v>
      </c>
      <c r="CW103" s="240">
        <f t="shared" si="368"/>
        <v>0.13435990601704076</v>
      </c>
      <c r="CX103" s="240">
        <f t="shared" si="368"/>
        <v>0.13042337983448143</v>
      </c>
      <c r="CY103" s="240">
        <f t="shared" si="368"/>
        <v>0.10698983012690319</v>
      </c>
      <c r="CZ103" s="240">
        <f t="shared" si="368"/>
        <v>9.2874771911592338E-2</v>
      </c>
      <c r="DA103" s="1028">
        <f t="shared" si="368"/>
        <v>8.9715729226537352E-2</v>
      </c>
      <c r="DB103" s="240"/>
      <c r="DC103" s="1028"/>
      <c r="DD103" s="240"/>
      <c r="DE103" s="240"/>
      <c r="DF103" s="240"/>
      <c r="DG103" s="240"/>
      <c r="DH103" s="282"/>
    </row>
    <row r="104" spans="1:112" ht="14.25" customHeight="1">
      <c r="B104" s="410" t="s">
        <v>410</v>
      </c>
      <c r="C104" s="332"/>
      <c r="D104" s="914"/>
      <c r="E104" s="1092"/>
      <c r="F104" s="1092"/>
      <c r="G104" s="1091"/>
      <c r="H104" s="914"/>
      <c r="I104" s="1092"/>
      <c r="J104" s="1092"/>
      <c r="K104" s="1091"/>
      <c r="L104" s="914"/>
      <c r="M104" s="1092"/>
      <c r="N104" s="1092"/>
      <c r="O104" s="1091"/>
      <c r="P104" s="411"/>
      <c r="Q104" s="412"/>
      <c r="R104" s="412"/>
      <c r="S104" s="413"/>
      <c r="T104" s="411">
        <f t="shared" ref="T104:AT104" si="369">1-T102</f>
        <v>0.35</v>
      </c>
      <c r="U104" s="412">
        <f t="shared" si="369"/>
        <v>0.36</v>
      </c>
      <c r="V104" s="412">
        <f t="shared" si="369"/>
        <v>0.36</v>
      </c>
      <c r="W104" s="413">
        <f t="shared" si="369"/>
        <v>0.32984029857504138</v>
      </c>
      <c r="X104" s="411">
        <f t="shared" si="369"/>
        <v>0.35</v>
      </c>
      <c r="Y104" s="412">
        <f t="shared" si="369"/>
        <v>0.36</v>
      </c>
      <c r="Z104" s="412">
        <f t="shared" si="369"/>
        <v>0.35</v>
      </c>
      <c r="AA104" s="413">
        <f t="shared" si="369"/>
        <v>0.37964219524187737</v>
      </c>
      <c r="AB104" s="411">
        <f t="shared" si="369"/>
        <v>0.36</v>
      </c>
      <c r="AC104" s="412">
        <f t="shared" si="369"/>
        <v>0.37</v>
      </c>
      <c r="AD104" s="412">
        <f t="shared" si="369"/>
        <v>0.33999999999999997</v>
      </c>
      <c r="AE104" s="413">
        <f t="shared" si="369"/>
        <v>0.3654093870210916</v>
      </c>
      <c r="AF104" s="411">
        <f t="shared" si="369"/>
        <v>0.37</v>
      </c>
      <c r="AG104" s="412">
        <f t="shared" si="369"/>
        <v>0.39</v>
      </c>
      <c r="AH104" s="412">
        <f t="shared" si="369"/>
        <v>0.4</v>
      </c>
      <c r="AI104" s="413">
        <f t="shared" si="369"/>
        <v>0.39278231861863466</v>
      </c>
      <c r="AJ104" s="411">
        <f t="shared" si="369"/>
        <v>0.44999999999999996</v>
      </c>
      <c r="AK104" s="412">
        <f t="shared" si="369"/>
        <v>0.42000000000000004</v>
      </c>
      <c r="AL104" s="412">
        <f t="shared" si="369"/>
        <v>0.4</v>
      </c>
      <c r="AM104" s="413">
        <f t="shared" si="369"/>
        <v>0.41159829071195231</v>
      </c>
      <c r="AN104" s="411">
        <f t="shared" si="369"/>
        <v>0.41000000000000003</v>
      </c>
      <c r="AO104" s="412">
        <f t="shared" si="369"/>
        <v>0.41000000000000003</v>
      </c>
      <c r="AP104" s="412">
        <f t="shared" si="369"/>
        <v>0.41000000000000003</v>
      </c>
      <c r="AQ104" s="413">
        <f t="shared" si="369"/>
        <v>0.40999999999999992</v>
      </c>
      <c r="AR104" s="411">
        <f t="shared" si="369"/>
        <v>0.41000000000000003</v>
      </c>
      <c r="AS104" s="412">
        <f t="shared" si="369"/>
        <v>0.49</v>
      </c>
      <c r="AT104" s="412">
        <f t="shared" si="369"/>
        <v>0.48</v>
      </c>
      <c r="AU104" s="413">
        <f t="shared" ref="AU104:AZ104" si="370">1-AU102</f>
        <v>0.49615317519324464</v>
      </c>
      <c r="AV104" s="411">
        <f t="shared" si="370"/>
        <v>0.45999999999999996</v>
      </c>
      <c r="AW104" s="412">
        <f t="shared" si="370"/>
        <v>0.46899999999999997</v>
      </c>
      <c r="AX104" s="412">
        <f t="shared" si="370"/>
        <v>0.46399999999999997</v>
      </c>
      <c r="AY104" s="413">
        <f t="shared" si="370"/>
        <v>0.48600532372516225</v>
      </c>
      <c r="AZ104" s="411">
        <f t="shared" si="370"/>
        <v>0.48</v>
      </c>
      <c r="BA104" s="412">
        <f>1-BA102</f>
        <v>0.48299999999999998</v>
      </c>
      <c r="BB104" s="412">
        <f>1-BB102</f>
        <v>0.49</v>
      </c>
      <c r="BC104" s="415"/>
      <c r="BD104" s="416"/>
      <c r="BE104" s="414"/>
      <c r="BF104" s="414"/>
      <c r="BG104" s="415"/>
      <c r="BH104" s="416"/>
      <c r="BI104" s="414"/>
      <c r="BJ104" s="414"/>
      <c r="BK104" s="415"/>
      <c r="BL104" s="416"/>
      <c r="BM104" s="414"/>
      <c r="BN104" s="414"/>
      <c r="BO104" s="415"/>
      <c r="BP104" s="416"/>
      <c r="BQ104" s="414"/>
      <c r="BR104" s="414"/>
      <c r="BS104" s="415"/>
      <c r="BT104" s="416"/>
      <c r="BU104" s="414"/>
      <c r="BV104" s="414"/>
      <c r="BW104" s="415"/>
      <c r="BX104" s="378"/>
      <c r="BY104" s="369">
        <f>1-BY102</f>
        <v>0.35</v>
      </c>
      <c r="BZ104" s="369">
        <f>1-BZ102</f>
        <v>0.35</v>
      </c>
      <c r="CA104" s="369">
        <f>1-CA102</f>
        <v>0.35</v>
      </c>
      <c r="CB104" s="369">
        <f t="shared" ref="CB104:CG104" si="371">1-CB102</f>
        <v>0.35</v>
      </c>
      <c r="CC104" s="369">
        <f t="shared" si="371"/>
        <v>0.35</v>
      </c>
      <c r="CD104" s="240">
        <f t="shared" si="371"/>
        <v>0.36</v>
      </c>
      <c r="CE104" s="240">
        <f t="shared" si="371"/>
        <v>0.36</v>
      </c>
      <c r="CF104" s="240">
        <f t="shared" si="371"/>
        <v>0.39</v>
      </c>
      <c r="CG104" s="240">
        <f t="shared" si="371"/>
        <v>0.42000000000000004</v>
      </c>
      <c r="CH104" s="417">
        <f>1-CH102</f>
        <v>0.41000000000000003</v>
      </c>
      <c r="CI104" s="412">
        <f>1-CI102</f>
        <v>0.47</v>
      </c>
      <c r="CJ104" s="412">
        <f>1-CJ102</f>
        <v>0.47</v>
      </c>
      <c r="CK104" s="369"/>
      <c r="CL104" s="369"/>
      <c r="CM104" s="369"/>
      <c r="CN104" s="369"/>
      <c r="CO104" s="369"/>
      <c r="CP104" s="368"/>
      <c r="CQ104" s="452"/>
      <c r="CR104" s="1525"/>
      <c r="CS104" s="1028"/>
      <c r="CT104" s="240"/>
      <c r="CU104" s="240">
        <f>CU98/CU$99</f>
        <v>0.35662911167593658</v>
      </c>
      <c r="CV104" s="240">
        <f t="shared" ref="CV104:DA104" si="372">CV98/CV$99</f>
        <v>0.34747209315434729</v>
      </c>
      <c r="CW104" s="240">
        <f t="shared" si="372"/>
        <v>0.36450243668921511</v>
      </c>
      <c r="CX104" s="240">
        <f t="shared" si="372"/>
        <v>0.38436663123863218</v>
      </c>
      <c r="CY104" s="240">
        <f t="shared" si="372"/>
        <v>0.41670869039637054</v>
      </c>
      <c r="CZ104" s="240">
        <f t="shared" si="372"/>
        <v>0.41043570625838349</v>
      </c>
      <c r="DA104" s="1028">
        <f t="shared" si="372"/>
        <v>0.44751227230107704</v>
      </c>
      <c r="DB104" s="240"/>
      <c r="DC104" s="1028"/>
      <c r="DD104" s="240"/>
      <c r="DE104" s="240"/>
      <c r="DF104" s="240"/>
      <c r="DG104" s="240"/>
      <c r="DH104" s="282"/>
    </row>
    <row r="105" spans="1:112" ht="14.25" customHeight="1">
      <c r="A105" s="100"/>
      <c r="B105" s="418" t="s">
        <v>139</v>
      </c>
      <c r="C105" s="388"/>
      <c r="D105" s="915"/>
      <c r="E105" s="1093"/>
      <c r="F105" s="1093"/>
      <c r="G105" s="1094"/>
      <c r="H105" s="915"/>
      <c r="I105" s="1093"/>
      <c r="J105" s="1093"/>
      <c r="K105" s="1094"/>
      <c r="L105" s="915"/>
      <c r="M105" s="1093"/>
      <c r="N105" s="1093"/>
      <c r="O105" s="1094"/>
      <c r="P105" s="419"/>
      <c r="Q105" s="420"/>
      <c r="R105" s="420"/>
      <c r="S105" s="421"/>
      <c r="T105" s="419">
        <f t="shared" ref="T105:AX105" si="373">SUM(T102,T104)</f>
        <v>1</v>
      </c>
      <c r="U105" s="420">
        <f t="shared" si="373"/>
        <v>1</v>
      </c>
      <c r="V105" s="420">
        <f t="shared" si="373"/>
        <v>1</v>
      </c>
      <c r="W105" s="421">
        <f t="shared" si="373"/>
        <v>1</v>
      </c>
      <c r="X105" s="419">
        <f t="shared" si="373"/>
        <v>1</v>
      </c>
      <c r="Y105" s="420">
        <f t="shared" si="373"/>
        <v>1</v>
      </c>
      <c r="Z105" s="420">
        <f t="shared" si="373"/>
        <v>1</v>
      </c>
      <c r="AA105" s="421">
        <f t="shared" si="373"/>
        <v>1</v>
      </c>
      <c r="AB105" s="419">
        <f t="shared" si="373"/>
        <v>1</v>
      </c>
      <c r="AC105" s="420">
        <f t="shared" si="373"/>
        <v>1</v>
      </c>
      <c r="AD105" s="420">
        <f t="shared" si="373"/>
        <v>1</v>
      </c>
      <c r="AE105" s="421">
        <f t="shared" si="373"/>
        <v>1</v>
      </c>
      <c r="AF105" s="419">
        <f t="shared" si="373"/>
        <v>1</v>
      </c>
      <c r="AG105" s="420">
        <f t="shared" si="373"/>
        <v>1</v>
      </c>
      <c r="AH105" s="420">
        <f t="shared" si="373"/>
        <v>1</v>
      </c>
      <c r="AI105" s="421">
        <f t="shared" si="373"/>
        <v>1</v>
      </c>
      <c r="AJ105" s="419">
        <f t="shared" si="373"/>
        <v>1</v>
      </c>
      <c r="AK105" s="420">
        <f t="shared" si="373"/>
        <v>1</v>
      </c>
      <c r="AL105" s="420">
        <f t="shared" si="373"/>
        <v>1</v>
      </c>
      <c r="AM105" s="421">
        <f t="shared" si="373"/>
        <v>1</v>
      </c>
      <c r="AN105" s="419">
        <f t="shared" si="373"/>
        <v>1</v>
      </c>
      <c r="AO105" s="420">
        <f t="shared" si="373"/>
        <v>1</v>
      </c>
      <c r="AP105" s="420">
        <f t="shared" si="373"/>
        <v>1</v>
      </c>
      <c r="AQ105" s="421">
        <f t="shared" si="373"/>
        <v>1</v>
      </c>
      <c r="AR105" s="419">
        <f t="shared" si="373"/>
        <v>1</v>
      </c>
      <c r="AS105" s="420">
        <f t="shared" si="373"/>
        <v>1</v>
      </c>
      <c r="AT105" s="420">
        <f t="shared" si="373"/>
        <v>1</v>
      </c>
      <c r="AU105" s="421">
        <f t="shared" si="373"/>
        <v>1</v>
      </c>
      <c r="AV105" s="419">
        <f t="shared" si="373"/>
        <v>1</v>
      </c>
      <c r="AW105" s="420">
        <f t="shared" si="373"/>
        <v>1</v>
      </c>
      <c r="AX105" s="420">
        <f t="shared" si="373"/>
        <v>1</v>
      </c>
      <c r="AY105" s="421">
        <f>SUM(AY102,AY104)</f>
        <v>1</v>
      </c>
      <c r="AZ105" s="419">
        <f>SUM(AZ102,AZ104)</f>
        <v>1</v>
      </c>
      <c r="BA105" s="420">
        <f>SUM(BA102,BA104)</f>
        <v>1</v>
      </c>
      <c r="BB105" s="420">
        <f>SUM(BB102,BB104)</f>
        <v>1</v>
      </c>
      <c r="BC105" s="423"/>
      <c r="BD105" s="424"/>
      <c r="BE105" s="422"/>
      <c r="BF105" s="422"/>
      <c r="BG105" s="423"/>
      <c r="BH105" s="424"/>
      <c r="BI105" s="422"/>
      <c r="BJ105" s="422"/>
      <c r="BK105" s="423"/>
      <c r="BL105" s="424"/>
      <c r="BM105" s="422"/>
      <c r="BN105" s="422"/>
      <c r="BO105" s="423"/>
      <c r="BP105" s="424"/>
      <c r="BQ105" s="422"/>
      <c r="BR105" s="422"/>
      <c r="BS105" s="423"/>
      <c r="BT105" s="424"/>
      <c r="BU105" s="422"/>
      <c r="BV105" s="422"/>
      <c r="BW105" s="423"/>
      <c r="BX105" s="395"/>
      <c r="BY105" s="425">
        <f>SUM(BY102,BY104)</f>
        <v>1</v>
      </c>
      <c r="BZ105" s="425">
        <f>SUM(BZ102,BZ104)</f>
        <v>1</v>
      </c>
      <c r="CA105" s="425">
        <f>SUM(CA102,CA104)</f>
        <v>1</v>
      </c>
      <c r="CB105" s="425">
        <f t="shared" ref="CB105:CI105" si="374">SUM(CB102,CB104)</f>
        <v>1</v>
      </c>
      <c r="CC105" s="425">
        <f t="shared" si="374"/>
        <v>1</v>
      </c>
      <c r="CD105" s="426">
        <f t="shared" si="374"/>
        <v>1</v>
      </c>
      <c r="CE105" s="426">
        <f t="shared" si="374"/>
        <v>1</v>
      </c>
      <c r="CF105" s="426">
        <f t="shared" si="374"/>
        <v>1</v>
      </c>
      <c r="CG105" s="426">
        <f t="shared" si="374"/>
        <v>1</v>
      </c>
      <c r="CH105" s="426">
        <f t="shared" si="374"/>
        <v>1</v>
      </c>
      <c r="CI105" s="420">
        <f t="shared" si="374"/>
        <v>1</v>
      </c>
      <c r="CJ105" s="420">
        <f>SUM(CJ102,CJ104)</f>
        <v>1</v>
      </c>
      <c r="CK105" s="425"/>
      <c r="CL105" s="425"/>
      <c r="CM105" s="425"/>
      <c r="CN105" s="425"/>
      <c r="CO105" s="425"/>
      <c r="CP105" s="427"/>
      <c r="CQ105" s="333"/>
      <c r="CR105" s="1524"/>
      <c r="CS105" s="1029"/>
      <c r="CT105" s="426"/>
      <c r="CU105" s="426">
        <f>SUM(CU102,CU104)</f>
        <v>1</v>
      </c>
      <c r="CV105" s="426">
        <f t="shared" ref="CV105:DA105" si="375">SUM(CV102,CV104)</f>
        <v>1</v>
      </c>
      <c r="CW105" s="426">
        <f t="shared" si="375"/>
        <v>1</v>
      </c>
      <c r="CX105" s="426">
        <f t="shared" si="375"/>
        <v>1</v>
      </c>
      <c r="CY105" s="426">
        <f t="shared" si="375"/>
        <v>1</v>
      </c>
      <c r="CZ105" s="426">
        <f t="shared" si="375"/>
        <v>1</v>
      </c>
      <c r="DA105" s="1029">
        <f t="shared" si="375"/>
        <v>1</v>
      </c>
      <c r="DB105" s="426"/>
      <c r="DC105" s="1029"/>
      <c r="DD105" s="426"/>
      <c r="DE105" s="426"/>
      <c r="DF105" s="426"/>
      <c r="DG105" s="426"/>
      <c r="DH105" s="1030"/>
    </row>
    <row r="106" spans="1:112" ht="14.25" customHeight="1">
      <c r="B106" s="331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14"/>
      <c r="CM106" s="14"/>
      <c r="CN106" s="14"/>
      <c r="CO106" s="14"/>
      <c r="CP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14"/>
      <c r="DE106" s="14"/>
      <c r="DF106" s="14"/>
      <c r="DG106" s="14"/>
      <c r="DH106" s="8"/>
    </row>
    <row r="107" spans="1:112" ht="14.25" customHeight="1">
      <c r="B107" s="331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14"/>
      <c r="CM107" s="14"/>
      <c r="CN107" s="14"/>
      <c r="CO107" s="14"/>
      <c r="CP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14"/>
      <c r="DE107" s="14"/>
      <c r="DF107" s="14"/>
      <c r="DG107" s="14"/>
      <c r="DH107" s="8"/>
    </row>
    <row r="108" spans="1:112" ht="14.25" customHeight="1">
      <c r="B108" s="331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14"/>
      <c r="CM108" s="14"/>
      <c r="CN108" s="14"/>
      <c r="CO108" s="14"/>
      <c r="CP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14"/>
      <c r="DE108" s="14"/>
      <c r="DF108" s="14"/>
      <c r="DG108" s="14"/>
      <c r="DH108" s="8"/>
    </row>
    <row r="109" spans="1:112" ht="14.25" customHeight="1">
      <c r="A109" s="1"/>
      <c r="B109" s="141" t="s">
        <v>206</v>
      </c>
      <c r="C109" s="142"/>
      <c r="D109" s="569" t="str">
        <f t="shared" ref="D109:O109" si="376">D8</f>
        <v>F1Q03A</v>
      </c>
      <c r="E109" s="570" t="str">
        <f t="shared" si="376"/>
        <v>F2Q03A</v>
      </c>
      <c r="F109" s="570" t="str">
        <f t="shared" si="376"/>
        <v>F3Q03A</v>
      </c>
      <c r="G109" s="570" t="str">
        <f t="shared" si="376"/>
        <v>F4Q03A</v>
      </c>
      <c r="H109" s="569" t="str">
        <f t="shared" si="376"/>
        <v>F1Q04A</v>
      </c>
      <c r="I109" s="570" t="str">
        <f t="shared" si="376"/>
        <v>F2Q04A</v>
      </c>
      <c r="J109" s="570" t="str">
        <f t="shared" si="376"/>
        <v>F3Q04A</v>
      </c>
      <c r="K109" s="570" t="str">
        <f t="shared" si="376"/>
        <v>F4Q04A</v>
      </c>
      <c r="L109" s="569" t="str">
        <f t="shared" si="376"/>
        <v>F1Q05A</v>
      </c>
      <c r="M109" s="570" t="str">
        <f t="shared" si="376"/>
        <v>F2Q05A</v>
      </c>
      <c r="N109" s="570" t="str">
        <f t="shared" si="376"/>
        <v>F3Q05A</v>
      </c>
      <c r="O109" s="570" t="str">
        <f t="shared" si="376"/>
        <v>F4Q05A</v>
      </c>
      <c r="P109" s="569" t="str">
        <f t="shared" ref="P109:BC109" si="377">P8</f>
        <v>F1Q06A</v>
      </c>
      <c r="Q109" s="570" t="str">
        <f t="shared" si="377"/>
        <v>F2Q06A</v>
      </c>
      <c r="R109" s="570" t="str">
        <f t="shared" si="377"/>
        <v>F3Q06A</v>
      </c>
      <c r="S109" s="570" t="str">
        <f t="shared" si="377"/>
        <v>F4Q06A</v>
      </c>
      <c r="T109" s="569" t="str">
        <f t="shared" si="377"/>
        <v>F1Q07A</v>
      </c>
      <c r="U109" s="570" t="str">
        <f t="shared" si="377"/>
        <v>F2Q07A</v>
      </c>
      <c r="V109" s="570" t="str">
        <f t="shared" si="377"/>
        <v>F3Q07A</v>
      </c>
      <c r="W109" s="570" t="str">
        <f t="shared" si="377"/>
        <v>F4Q07A</v>
      </c>
      <c r="X109" s="569" t="str">
        <f t="shared" si="377"/>
        <v>F1Q08A</v>
      </c>
      <c r="Y109" s="570" t="str">
        <f t="shared" si="377"/>
        <v>F2Q08A</v>
      </c>
      <c r="Z109" s="570" t="str">
        <f t="shared" si="377"/>
        <v>F3Q08A</v>
      </c>
      <c r="AA109" s="570" t="str">
        <f t="shared" si="377"/>
        <v>F4Q08A</v>
      </c>
      <c r="AB109" s="569" t="str">
        <f t="shared" si="377"/>
        <v>F1Q09A</v>
      </c>
      <c r="AC109" s="570" t="str">
        <f t="shared" si="377"/>
        <v>F2Q09A</v>
      </c>
      <c r="AD109" s="570" t="str">
        <f t="shared" si="377"/>
        <v>F3Q09A</v>
      </c>
      <c r="AE109" s="570" t="str">
        <f t="shared" si="377"/>
        <v>F4Q09A</v>
      </c>
      <c r="AF109" s="569" t="str">
        <f t="shared" si="377"/>
        <v>F1Q10A</v>
      </c>
      <c r="AG109" s="570" t="str">
        <f t="shared" si="377"/>
        <v>F2Q10A</v>
      </c>
      <c r="AH109" s="570" t="str">
        <f t="shared" si="377"/>
        <v>F3Q10A</v>
      </c>
      <c r="AI109" s="570" t="str">
        <f t="shared" si="377"/>
        <v>F4Q10A</v>
      </c>
      <c r="AJ109" s="569" t="str">
        <f t="shared" si="377"/>
        <v>F1Q11A</v>
      </c>
      <c r="AK109" s="570" t="str">
        <f t="shared" si="377"/>
        <v>F2Q11A</v>
      </c>
      <c r="AL109" s="570" t="str">
        <f t="shared" si="377"/>
        <v>F3Q11A</v>
      </c>
      <c r="AM109" s="570" t="str">
        <f t="shared" si="377"/>
        <v>F4Q11A</v>
      </c>
      <c r="AN109" s="571" t="str">
        <f t="shared" si="377"/>
        <v>F1Q12A</v>
      </c>
      <c r="AO109" s="572" t="str">
        <f t="shared" si="377"/>
        <v>F2Q12A</v>
      </c>
      <c r="AP109" s="572" t="str">
        <f t="shared" si="377"/>
        <v>F3Q12A</v>
      </c>
      <c r="AQ109" s="570" t="str">
        <f>AQ8</f>
        <v>F4Q12A</v>
      </c>
      <c r="AR109" s="571" t="str">
        <f t="shared" si="377"/>
        <v>F1Q13A</v>
      </c>
      <c r="AS109" s="572" t="str">
        <f t="shared" si="377"/>
        <v>F2Q13A</v>
      </c>
      <c r="AT109" s="572" t="str">
        <f t="shared" si="377"/>
        <v>F3Q13A</v>
      </c>
      <c r="AU109" s="570" t="str">
        <f>AU8</f>
        <v>F4Q13A</v>
      </c>
      <c r="AV109" s="569" t="str">
        <f t="shared" si="377"/>
        <v>F1Q14A</v>
      </c>
      <c r="AW109" s="572" t="str">
        <f t="shared" si="377"/>
        <v>F2Q14A</v>
      </c>
      <c r="AX109" s="570" t="str">
        <f t="shared" si="377"/>
        <v>F3Q14A</v>
      </c>
      <c r="AY109" s="573" t="str">
        <f t="shared" si="377"/>
        <v>F4Q14A</v>
      </c>
      <c r="AZ109" s="569" t="str">
        <f t="shared" si="377"/>
        <v>F1Q15A</v>
      </c>
      <c r="BA109" s="570" t="str">
        <f t="shared" si="377"/>
        <v>F2Q15A</v>
      </c>
      <c r="BB109" s="570" t="str">
        <f t="shared" si="377"/>
        <v>F3Q15A</v>
      </c>
      <c r="BC109" s="573" t="str">
        <f t="shared" si="377"/>
        <v>F4Q15A</v>
      </c>
      <c r="BD109" s="1255" t="str">
        <f t="shared" ref="BD109:BK109" si="378">BD8</f>
        <v>F1Q16A</v>
      </c>
      <c r="BE109" s="574" t="str">
        <f t="shared" si="378"/>
        <v>F2Q16A</v>
      </c>
      <c r="BF109" s="574" t="str">
        <f t="shared" si="378"/>
        <v>F3Q16A</v>
      </c>
      <c r="BG109" s="573" t="str">
        <f t="shared" si="378"/>
        <v>F4Q16A</v>
      </c>
      <c r="BH109" s="570" t="str">
        <f t="shared" si="378"/>
        <v>F1Q17A</v>
      </c>
      <c r="BI109" s="570" t="str">
        <f t="shared" si="378"/>
        <v>F2Q17A</v>
      </c>
      <c r="BJ109" s="570" t="str">
        <f t="shared" si="378"/>
        <v>F3Q17A</v>
      </c>
      <c r="BK109" s="573" t="str">
        <f t="shared" si="378"/>
        <v>F4Q17A</v>
      </c>
      <c r="BL109" s="569" t="str">
        <f t="shared" ref="BL109:BS109" si="379">BL8</f>
        <v>F1Q18A</v>
      </c>
      <c r="BM109" s="1321" t="str">
        <f t="shared" si="379"/>
        <v>F2Q18A</v>
      </c>
      <c r="BN109" s="570" t="str">
        <f t="shared" si="379"/>
        <v>F3Q18A</v>
      </c>
      <c r="BO109" s="573" t="str">
        <f t="shared" si="379"/>
        <v>F4Q18E</v>
      </c>
      <c r="BP109" s="569" t="str">
        <f t="shared" si="379"/>
        <v>F1Q19E</v>
      </c>
      <c r="BQ109" s="570" t="str">
        <f t="shared" si="379"/>
        <v>F2Q19E</v>
      </c>
      <c r="BR109" s="570" t="str">
        <f t="shared" si="379"/>
        <v>F3Q19E</v>
      </c>
      <c r="BS109" s="573" t="str">
        <f t="shared" si="379"/>
        <v>F4Q19E</v>
      </c>
      <c r="BT109" s="569" t="str">
        <f t="shared" ref="BT109:BW109" si="380">BT8</f>
        <v>F1Q20E</v>
      </c>
      <c r="BU109" s="1321" t="str">
        <f t="shared" si="380"/>
        <v>F2Q20E</v>
      </c>
      <c r="BV109" s="1321" t="str">
        <f t="shared" si="380"/>
        <v>F3Q20E</v>
      </c>
      <c r="BW109" s="573" t="str">
        <f t="shared" si="380"/>
        <v>F4Q20E</v>
      </c>
      <c r="BX109" s="20"/>
      <c r="BY109" s="570" t="str">
        <f>BY8</f>
        <v>FY2003A</v>
      </c>
      <c r="BZ109" s="570" t="str">
        <f>BZ8</f>
        <v>FY2004A</v>
      </c>
      <c r="CA109" s="570" t="str">
        <f>CA8</f>
        <v>FY2005A</v>
      </c>
      <c r="CB109" s="570" t="str">
        <f t="shared" ref="CB109:CL109" si="381">CB8</f>
        <v>FY2006A</v>
      </c>
      <c r="CC109" s="570" t="str">
        <f t="shared" si="381"/>
        <v>FY2007A</v>
      </c>
      <c r="CD109" s="570" t="str">
        <f t="shared" si="381"/>
        <v>FY2008A</v>
      </c>
      <c r="CE109" s="570" t="str">
        <f t="shared" si="381"/>
        <v>FY2009A</v>
      </c>
      <c r="CF109" s="570" t="str">
        <f t="shared" si="381"/>
        <v>FY2010A</v>
      </c>
      <c r="CG109" s="570" t="str">
        <f t="shared" si="381"/>
        <v>FY2011A</v>
      </c>
      <c r="CH109" s="570" t="str">
        <f t="shared" si="381"/>
        <v>FY2012A</v>
      </c>
      <c r="CI109" s="570" t="str">
        <f t="shared" si="381"/>
        <v>FY2013A</v>
      </c>
      <c r="CJ109" s="570" t="str">
        <f t="shared" si="381"/>
        <v>FY2014A</v>
      </c>
      <c r="CK109" s="570" t="str">
        <f t="shared" si="381"/>
        <v>FY2015A</v>
      </c>
      <c r="CL109" s="570" t="str">
        <f t="shared" si="381"/>
        <v>FY2016A</v>
      </c>
      <c r="CM109" s="570" t="str">
        <f>CM8</f>
        <v>FY2017A</v>
      </c>
      <c r="CN109" s="570" t="str">
        <f>CN8</f>
        <v>FY2018E</v>
      </c>
      <c r="CO109" s="1321" t="str">
        <f>CO8</f>
        <v>FY2019E</v>
      </c>
      <c r="CP109" s="573" t="str">
        <f>CP8</f>
        <v>FY2020E</v>
      </c>
      <c r="CQ109" s="281"/>
      <c r="CR109" s="332"/>
      <c r="CS109" s="569" t="str">
        <f>CS8</f>
        <v>CY2004</v>
      </c>
      <c r="CT109" s="570" t="str">
        <f>CT8</f>
        <v>CY2005</v>
      </c>
      <c r="CU109" s="570" t="str">
        <f>CU8</f>
        <v>CY2006</v>
      </c>
      <c r="CV109" s="570" t="str">
        <f t="shared" ref="CV109:DC109" si="382">CV8</f>
        <v>CY2007</v>
      </c>
      <c r="CW109" s="570" t="str">
        <f t="shared" si="382"/>
        <v>CY2008</v>
      </c>
      <c r="CX109" s="570" t="str">
        <f t="shared" si="382"/>
        <v>CY2009</v>
      </c>
      <c r="CY109" s="570" t="str">
        <f t="shared" si="382"/>
        <v>CY2010</v>
      </c>
      <c r="CZ109" s="570" t="str">
        <f t="shared" si="382"/>
        <v>CY2011</v>
      </c>
      <c r="DA109" s="569" t="str">
        <f t="shared" si="382"/>
        <v>CY2012</v>
      </c>
      <c r="DB109" s="570" t="str">
        <f t="shared" si="382"/>
        <v>CY2013</v>
      </c>
      <c r="DC109" s="570" t="str">
        <f t="shared" si="382"/>
        <v>CY2014</v>
      </c>
      <c r="DD109" s="570" t="str">
        <f>DD8</f>
        <v>CY2015</v>
      </c>
      <c r="DE109" s="570" t="str">
        <f>DE8</f>
        <v>CY2016</v>
      </c>
      <c r="DF109" s="570" t="str">
        <f>DF8</f>
        <v>CY2017</v>
      </c>
      <c r="DG109" s="1321" t="str">
        <f>DG8</f>
        <v>CY2018</v>
      </c>
      <c r="DH109" s="573" t="str">
        <f>DH8</f>
        <v>CY2019</v>
      </c>
    </row>
    <row r="110" spans="1:112" ht="14.25" customHeight="1">
      <c r="B110" s="329" t="s">
        <v>387</v>
      </c>
      <c r="C110" s="372"/>
      <c r="D110" s="1110">
        <v>123.15</v>
      </c>
      <c r="E110" s="1111">
        <v>130.53</v>
      </c>
      <c r="F110" s="1111">
        <v>133.80000000000001</v>
      </c>
      <c r="G110" s="1112">
        <f>516.383-F110-E110-D110</f>
        <v>128.90300000000002</v>
      </c>
      <c r="H110" s="1110">
        <v>129.37700000000001</v>
      </c>
      <c r="I110" s="1111">
        <v>133.41999999999999</v>
      </c>
      <c r="J110" s="1111">
        <v>141.39699999999999</v>
      </c>
      <c r="K110" s="1112">
        <f>556.764-J110-I110-H110</f>
        <v>152.57</v>
      </c>
      <c r="L110" s="1110">
        <v>166.691</v>
      </c>
      <c r="M110" s="1111">
        <v>176.316</v>
      </c>
      <c r="N110" s="1111">
        <v>166.06100000000001</v>
      </c>
      <c r="O110" s="1112">
        <f>674.902-N110-M110-L110</f>
        <v>165.83399999999997</v>
      </c>
      <c r="P110" s="373">
        <v>174.6</v>
      </c>
      <c r="Q110" s="374">
        <v>179.982</v>
      </c>
      <c r="R110" s="374">
        <v>186.23500000000001</v>
      </c>
      <c r="S110" s="912">
        <f>736.179-R110-Q110-P110</f>
        <v>195.36199999999999</v>
      </c>
      <c r="T110" s="373">
        <v>211.316</v>
      </c>
      <c r="U110" s="374">
        <v>214.77799999999999</v>
      </c>
      <c r="V110" s="374">
        <v>200.07300000000001</v>
      </c>
      <c r="W110" s="912">
        <f>834.293-V110-U110-T110</f>
        <v>208.126</v>
      </c>
      <c r="X110" s="373">
        <v>213.304</v>
      </c>
      <c r="Y110" s="374">
        <v>205.529</v>
      </c>
      <c r="Z110" s="374">
        <v>202.94200000000001</v>
      </c>
      <c r="AA110" s="912">
        <f>832.921-Z110-Y110-X110</f>
        <v>211.14600000000004</v>
      </c>
      <c r="AB110" s="373">
        <v>217.60300000000001</v>
      </c>
      <c r="AC110" s="374">
        <v>217.089</v>
      </c>
      <c r="AD110" s="374">
        <v>155.86600000000001</v>
      </c>
      <c r="AE110" s="912">
        <f>731.648-AD110-AC110-AB110</f>
        <v>141.09000000000003</v>
      </c>
      <c r="AF110" s="373">
        <v>157.917</v>
      </c>
      <c r="AG110" s="374">
        <v>184.14400000000001</v>
      </c>
      <c r="AH110" s="374">
        <v>202.416</v>
      </c>
      <c r="AI110" s="912">
        <f>767.723-AH110-AG110-AF110</f>
        <v>223.24600000000001</v>
      </c>
      <c r="AJ110" s="373">
        <v>245.18700000000001</v>
      </c>
      <c r="AK110" s="374">
        <v>256.72000000000003</v>
      </c>
      <c r="AL110" s="374">
        <v>251.01499999999999</v>
      </c>
      <c r="AM110" s="911">
        <f>1013.937-AL110-AK110-AJ110</f>
        <v>261.01499999999999</v>
      </c>
      <c r="AN110" s="373">
        <v>255.75700000000001</v>
      </c>
      <c r="AO110" s="374">
        <v>226.995</v>
      </c>
      <c r="AP110" s="374">
        <v>216.91499999999999</v>
      </c>
      <c r="AQ110" s="911">
        <f>928.509-AP110-AO110-AN110</f>
        <v>228.84200000000004</v>
      </c>
      <c r="AR110" s="373">
        <v>240.34200000000001</v>
      </c>
      <c r="AS110" s="374">
        <v>253.315</v>
      </c>
      <c r="AT110" s="374">
        <v>266.03300000000002</v>
      </c>
      <c r="AU110" s="474">
        <v>275.8</v>
      </c>
      <c r="AV110" s="373">
        <v>300.3</v>
      </c>
      <c r="AW110" s="374">
        <v>321.00400000000002</v>
      </c>
      <c r="AX110" s="374">
        <v>313.3</v>
      </c>
      <c r="AY110" s="911">
        <f>1260.988-AX110-AW110-AV110</f>
        <v>326.38400000000007</v>
      </c>
      <c r="AZ110" s="373">
        <v>343.76100000000002</v>
      </c>
      <c r="BA110" s="374">
        <v>361.8</v>
      </c>
      <c r="BB110" s="374">
        <v>338.392</v>
      </c>
      <c r="BC110" s="374">
        <v>353.6</v>
      </c>
      <c r="BD110" s="373">
        <v>348.2</v>
      </c>
      <c r="BE110" s="374">
        <v>334.3</v>
      </c>
      <c r="BF110" s="374">
        <v>322.66399999999999</v>
      </c>
      <c r="BG110" s="474">
        <v>340.41</v>
      </c>
      <c r="BH110" s="374">
        <v>537.97299999999996</v>
      </c>
      <c r="BI110" s="374">
        <v>554.30299999999988</v>
      </c>
      <c r="BJ110" s="374">
        <v>555.952</v>
      </c>
      <c r="BK110" s="374">
        <v>580.45699999999999</v>
      </c>
      <c r="BL110" s="373">
        <v>635.51300000000003</v>
      </c>
      <c r="BM110" s="374">
        <v>665.23400000000004</v>
      </c>
      <c r="BN110" s="374">
        <v>661.01400000000001</v>
      </c>
      <c r="BO110" s="376"/>
      <c r="BP110" s="377"/>
      <c r="BQ110" s="375"/>
      <c r="BR110" s="375"/>
      <c r="BS110" s="376"/>
      <c r="BT110" s="377"/>
      <c r="BU110" s="375"/>
      <c r="BV110" s="375"/>
      <c r="BW110" s="376"/>
      <c r="BX110" s="378"/>
      <c r="BY110" s="364">
        <f>SUM(D110:G110)</f>
        <v>516.38300000000004</v>
      </c>
      <c r="BZ110" s="364">
        <f>SUM(H110:K110)</f>
        <v>556.76400000000001</v>
      </c>
      <c r="CA110" s="364">
        <f>SUM(L110:O110)</f>
        <v>674.90199999999993</v>
      </c>
      <c r="CB110" s="364">
        <f>SUM(P110:S110)</f>
        <v>736.17899999999997</v>
      </c>
      <c r="CC110" s="364">
        <f>SUM(T110:W110)</f>
        <v>834.29300000000001</v>
      </c>
      <c r="CD110" s="364">
        <f>SUM(X110:AA110)</f>
        <v>832.92100000000005</v>
      </c>
      <c r="CE110" s="364">
        <f>SUM(AB110:AE110)</f>
        <v>731.64800000000002</v>
      </c>
      <c r="CF110" s="379">
        <f>SUM(AF110:AI110)</f>
        <v>767.72300000000007</v>
      </c>
      <c r="CG110" s="379">
        <f>SUM(AJ110:AM110)</f>
        <v>1013.937</v>
      </c>
      <c r="CH110" s="379">
        <f>SUM(AN110:AQ110)</f>
        <v>928.50900000000001</v>
      </c>
      <c r="CI110" s="364">
        <f>SUM(AR110:AU110)</f>
        <v>1035.49</v>
      </c>
      <c r="CJ110" s="364">
        <f>SUM(AV110:AY110)</f>
        <v>1260.9880000000001</v>
      </c>
      <c r="CK110" s="364"/>
      <c r="CL110" s="364"/>
      <c r="CM110" s="364"/>
      <c r="CN110" s="364"/>
      <c r="CO110" s="364"/>
      <c r="CP110" s="365"/>
      <c r="CQ110" s="281"/>
      <c r="CR110" s="332"/>
      <c r="CS110" s="1032">
        <f>SUM(K110:N110)</f>
        <v>661.63800000000003</v>
      </c>
      <c r="CT110" s="379">
        <f>SUM(O110:R110)</f>
        <v>706.65099999999995</v>
      </c>
      <c r="CU110" s="379">
        <f>SUM(S110:V110)</f>
        <v>821.529</v>
      </c>
      <c r="CV110" s="379">
        <f>SUM(W110:Z110)</f>
        <v>829.90100000000007</v>
      </c>
      <c r="CW110" s="379">
        <f>SUM(AA110:AD110)</f>
        <v>801.70399999999995</v>
      </c>
      <c r="CX110" s="379">
        <f>SUM(AE110:AH110)</f>
        <v>685.56700000000001</v>
      </c>
      <c r="CY110" s="379">
        <f>SUM(AI110:AL110)</f>
        <v>976.16800000000001</v>
      </c>
      <c r="CZ110" s="379">
        <f>SUM(AM110:AP110)</f>
        <v>960.6819999999999</v>
      </c>
      <c r="DA110" s="1032">
        <f>SUM(AQ110:AT110)</f>
        <v>988.53200000000004</v>
      </c>
      <c r="DB110" s="379"/>
      <c r="DC110" s="379"/>
      <c r="DD110" s="379"/>
      <c r="DE110" s="379"/>
      <c r="DF110" s="379"/>
      <c r="DG110" s="379"/>
      <c r="DH110" s="1033"/>
    </row>
    <row r="111" spans="1:112" ht="14.25" customHeight="1">
      <c r="B111" s="330" t="s">
        <v>388</v>
      </c>
      <c r="C111" s="332"/>
      <c r="D111" s="916">
        <v>22.588000000000001</v>
      </c>
      <c r="E111" s="917">
        <v>23.905999999999999</v>
      </c>
      <c r="F111" s="917">
        <v>20.83</v>
      </c>
      <c r="G111" s="1112">
        <f>87.158-F111-E111-D111</f>
        <v>19.834000000000003</v>
      </c>
      <c r="H111" s="916">
        <v>20.143000000000001</v>
      </c>
      <c r="I111" s="917">
        <v>22.614000000000001</v>
      </c>
      <c r="J111" s="917">
        <v>23.736999999999998</v>
      </c>
      <c r="K111" s="1112">
        <f>91.64-J111-I111-H111</f>
        <v>25.146000000000001</v>
      </c>
      <c r="L111" s="916">
        <v>30.138999999999999</v>
      </c>
      <c r="M111" s="917">
        <v>29.2</v>
      </c>
      <c r="N111" s="917">
        <v>26.902000000000001</v>
      </c>
      <c r="O111" s="1112">
        <f>115.12-N111-M111-L111</f>
        <v>28.879000000000001</v>
      </c>
      <c r="P111" s="380">
        <v>29.981000000000002</v>
      </c>
      <c r="Q111" s="381">
        <v>32.603000000000002</v>
      </c>
      <c r="R111" s="381">
        <v>31.323</v>
      </c>
      <c r="S111" s="912">
        <f>125.235-R111-Q111-P111</f>
        <v>31.328000000000003</v>
      </c>
      <c r="T111" s="380">
        <v>30.606999999999999</v>
      </c>
      <c r="U111" s="381">
        <v>32.131</v>
      </c>
      <c r="V111" s="381">
        <v>30.105</v>
      </c>
      <c r="W111" s="912">
        <f>122.748-V111-U111-T111</f>
        <v>29.905000000000001</v>
      </c>
      <c r="X111" s="380">
        <v>30.291</v>
      </c>
      <c r="Y111" s="381">
        <v>32.637</v>
      </c>
      <c r="Z111" s="381">
        <v>29.672000000000001</v>
      </c>
      <c r="AA111" s="912">
        <f>120.28-Z111-Y111-X111</f>
        <v>27.680000000000003</v>
      </c>
      <c r="AB111" s="380">
        <v>28.437000000000001</v>
      </c>
      <c r="AC111" s="381">
        <v>27.893000000000001</v>
      </c>
      <c r="AD111" s="381">
        <v>17.341000000000001</v>
      </c>
      <c r="AE111" s="912">
        <f>89.336-AD111-AC111-AB111</f>
        <v>15.665000000000003</v>
      </c>
      <c r="AF111" s="380">
        <v>16.523</v>
      </c>
      <c r="AG111" s="381">
        <v>19.294</v>
      </c>
      <c r="AH111" s="381">
        <v>21.181999999999999</v>
      </c>
      <c r="AI111" s="912">
        <f>80.158-AH111-AG111-AF111</f>
        <v>23.159000000000002</v>
      </c>
      <c r="AJ111" s="916">
        <v>55.01</v>
      </c>
      <c r="AK111" s="381">
        <v>61.878</v>
      </c>
      <c r="AL111" s="381">
        <v>53.512</v>
      </c>
      <c r="AM111" s="912">
        <f>221.219-AL112-AK112-AJ111</f>
        <v>75.568999999999988</v>
      </c>
      <c r="AN111" s="380">
        <v>51.14</v>
      </c>
      <c r="AO111" s="381">
        <v>44.671999999999997</v>
      </c>
      <c r="AP111" s="381">
        <v>41.704999999999998</v>
      </c>
      <c r="AQ111" s="912">
        <f>179.217-AP111-AO111-AN111</f>
        <v>41.7</v>
      </c>
      <c r="AR111" s="380">
        <v>40.718000000000004</v>
      </c>
      <c r="AS111" s="381">
        <v>36.57</v>
      </c>
      <c r="AT111" s="381">
        <v>32.475999999999999</v>
      </c>
      <c r="AU111" s="475">
        <v>32.799999999999997</v>
      </c>
      <c r="AV111" s="380">
        <v>34</v>
      </c>
      <c r="AW111" s="381">
        <v>34.987000000000002</v>
      </c>
      <c r="AX111" s="381">
        <v>32.5</v>
      </c>
      <c r="AY111" s="912">
        <f>134.624-AX111-AW111-AV111</f>
        <v>33.137</v>
      </c>
      <c r="AZ111" s="380">
        <v>33.378999999999998</v>
      </c>
      <c r="BA111" s="381">
        <v>32.5</v>
      </c>
      <c r="BB111" s="381">
        <v>33.174999999999997</v>
      </c>
      <c r="BC111" s="381">
        <v>33.200000000000003</v>
      </c>
      <c r="BD111" s="380">
        <v>31.8</v>
      </c>
      <c r="BE111" s="381">
        <v>30.2</v>
      </c>
      <c r="BF111" s="381">
        <v>27.715</v>
      </c>
      <c r="BG111" s="475">
        <v>27.216999999999999</v>
      </c>
      <c r="BH111" s="381">
        <v>47.573999999999998</v>
      </c>
      <c r="BI111" s="381">
        <v>46.63</v>
      </c>
      <c r="BJ111" s="381">
        <v>46.585999999999999</v>
      </c>
      <c r="BK111" s="381">
        <v>45.496000000000002</v>
      </c>
      <c r="BL111" s="380">
        <v>49.48</v>
      </c>
      <c r="BM111" s="381">
        <v>52.106999999999999</v>
      </c>
      <c r="BN111" s="381">
        <v>48.155999999999999</v>
      </c>
      <c r="BO111" s="383"/>
      <c r="BP111" s="384"/>
      <c r="BQ111" s="382"/>
      <c r="BR111" s="382"/>
      <c r="BS111" s="383"/>
      <c r="BT111" s="384"/>
      <c r="BU111" s="382"/>
      <c r="BV111" s="382"/>
      <c r="BW111" s="383"/>
      <c r="BX111" s="378"/>
      <c r="BY111" s="364">
        <f>SUM(D111:G111)</f>
        <v>87.158000000000001</v>
      </c>
      <c r="BZ111" s="364">
        <f>SUM(H111:K111)</f>
        <v>91.64</v>
      </c>
      <c r="CA111" s="364">
        <f>SUM(L111:O111)</f>
        <v>115.12</v>
      </c>
      <c r="CB111" s="364">
        <f>SUM(P111:S111)</f>
        <v>125.23500000000001</v>
      </c>
      <c r="CC111" s="364">
        <f>SUM(T111:W111)</f>
        <v>122.748</v>
      </c>
      <c r="CD111" s="364">
        <f>SUM(X111:AA111)</f>
        <v>120.28</v>
      </c>
      <c r="CE111" s="364">
        <f>SUM(AB111:AE111)</f>
        <v>89.335999999999999</v>
      </c>
      <c r="CF111" s="364">
        <f>SUM(AF111:AI111)</f>
        <v>80.158000000000001</v>
      </c>
      <c r="CG111" s="364">
        <f>SUM(AJ111:AM111)</f>
        <v>245.96899999999999</v>
      </c>
      <c r="CH111" s="364">
        <f>SUM(AN111:AQ111)</f>
        <v>179.21699999999998</v>
      </c>
      <c r="CI111" s="364">
        <f>SUM(AR111:AU111)</f>
        <v>142.56400000000002</v>
      </c>
      <c r="CJ111" s="364">
        <f>SUM(AV111:AY111)</f>
        <v>134.624</v>
      </c>
      <c r="CK111" s="364"/>
      <c r="CL111" s="364"/>
      <c r="CM111" s="364"/>
      <c r="CN111" s="364"/>
      <c r="CO111" s="364"/>
      <c r="CP111" s="365"/>
      <c r="CQ111" s="281"/>
      <c r="CR111" s="332"/>
      <c r="CS111" s="1034">
        <f>SUM(K111:N111)</f>
        <v>111.387</v>
      </c>
      <c r="CT111" s="364">
        <f>SUM(O111:R111)</f>
        <v>122.786</v>
      </c>
      <c r="CU111" s="364">
        <f>SUM(S111:V111)</f>
        <v>124.17100000000001</v>
      </c>
      <c r="CV111" s="364">
        <f>SUM(W111:Z111)</f>
        <v>122.505</v>
      </c>
      <c r="CW111" s="364">
        <f>SUM(AA111:AD111)</f>
        <v>101.351</v>
      </c>
      <c r="CX111" s="364">
        <f>SUM(AE111:AH111)</f>
        <v>72.664000000000001</v>
      </c>
      <c r="CY111" s="364">
        <f>SUM(AI111:AL111)</f>
        <v>193.559</v>
      </c>
      <c r="CZ111" s="364">
        <f>SUM(AM111:AP111)</f>
        <v>213.08599999999996</v>
      </c>
      <c r="DA111" s="1034">
        <f>SUM(AQ111:AT111)</f>
        <v>151.464</v>
      </c>
      <c r="DB111" s="364"/>
      <c r="DC111" s="364"/>
      <c r="DD111" s="364"/>
      <c r="DE111" s="364"/>
      <c r="DF111" s="364"/>
      <c r="DG111" s="364"/>
      <c r="DH111" s="365"/>
    </row>
    <row r="112" spans="1:112" ht="14.25" customHeight="1">
      <c r="B112" s="330" t="s">
        <v>389</v>
      </c>
      <c r="C112" s="332"/>
      <c r="D112" s="916">
        <v>11.805999999999999</v>
      </c>
      <c r="E112" s="917">
        <v>12.340999999999999</v>
      </c>
      <c r="F112" s="917">
        <v>12.843999999999999</v>
      </c>
      <c r="G112" s="1112">
        <f>47.921-F112-E112-D112</f>
        <v>10.929999999999998</v>
      </c>
      <c r="H112" s="916">
        <v>11.763</v>
      </c>
      <c r="I112" s="917">
        <v>12.452</v>
      </c>
      <c r="J112" s="917">
        <v>12.833</v>
      </c>
      <c r="K112" s="1112">
        <f>50.856-J112-I112-H112</f>
        <v>13.808000000000005</v>
      </c>
      <c r="L112" s="916">
        <v>15.945</v>
      </c>
      <c r="M112" s="917">
        <v>15.178000000000001</v>
      </c>
      <c r="N112" s="917">
        <v>12.420999999999999</v>
      </c>
      <c r="O112" s="1112">
        <f>56.914-N112-M112-L112</f>
        <v>13.370000000000001</v>
      </c>
      <c r="P112" s="380">
        <v>13.946</v>
      </c>
      <c r="Q112" s="381">
        <v>14.712999999999999</v>
      </c>
      <c r="R112" s="381">
        <v>17.338000000000001</v>
      </c>
      <c r="S112" s="912">
        <f>66.379-R112-Q112-P112</f>
        <v>20.382000000000005</v>
      </c>
      <c r="T112" s="380">
        <v>20.634</v>
      </c>
      <c r="U112" s="381">
        <v>21.024999999999999</v>
      </c>
      <c r="V112" s="381">
        <v>20.826000000000001</v>
      </c>
      <c r="W112" s="912">
        <f>82.63-V112-U112-T112</f>
        <v>20.144999999999996</v>
      </c>
      <c r="X112" s="380">
        <v>20.477</v>
      </c>
      <c r="Y112" s="381">
        <v>20.481000000000002</v>
      </c>
      <c r="Z112" s="381">
        <v>19.986000000000001</v>
      </c>
      <c r="AA112" s="912">
        <f>82.536-Z112-Y112-X112</f>
        <v>21.591999999999995</v>
      </c>
      <c r="AB112" s="380">
        <v>22.132000000000001</v>
      </c>
      <c r="AC112" s="381">
        <v>24.724</v>
      </c>
      <c r="AD112" s="381">
        <v>18.959</v>
      </c>
      <c r="AE112" s="912">
        <f>82.313-AD112-AC112-AB112</f>
        <v>16.497999999999994</v>
      </c>
      <c r="AF112" s="380">
        <v>18.509</v>
      </c>
      <c r="AG112" s="381">
        <v>23.222999999999999</v>
      </c>
      <c r="AH112" s="381">
        <v>26.501000000000001</v>
      </c>
      <c r="AI112" s="912">
        <f>99.848-AH112-AG112-AF112</f>
        <v>31.614999999999995</v>
      </c>
      <c r="AJ112" s="916">
        <v>41.570999999999998</v>
      </c>
      <c r="AK112" s="381">
        <v>46.401000000000003</v>
      </c>
      <c r="AL112" s="381">
        <v>44.238999999999997</v>
      </c>
      <c r="AM112" s="912">
        <f>177.994-AL111-AK111-AJ112</f>
        <v>21.033000000000001</v>
      </c>
      <c r="AN112" s="380">
        <v>42.575000000000003</v>
      </c>
      <c r="AO112" s="381">
        <v>42.274999999999999</v>
      </c>
      <c r="AP112" s="381">
        <v>43.014000000000003</v>
      </c>
      <c r="AQ112" s="912">
        <f>171.165-AP112-AO112-AN112</f>
        <v>43.300999999999974</v>
      </c>
      <c r="AR112" s="380">
        <v>47.183999999999997</v>
      </c>
      <c r="AS112" s="381">
        <v>70.069000000000003</v>
      </c>
      <c r="AT112" s="381">
        <v>93.305000000000007</v>
      </c>
      <c r="AU112" s="475">
        <v>97.2</v>
      </c>
      <c r="AV112" s="380">
        <v>103.2</v>
      </c>
      <c r="AW112" s="381">
        <v>108.46</v>
      </c>
      <c r="AX112" s="381">
        <v>108.9</v>
      </c>
      <c r="AY112" s="912">
        <f>428.088-AX112-AW112-AV112</f>
        <v>107.52800000000001</v>
      </c>
      <c r="AZ112" s="380">
        <v>125.357</v>
      </c>
      <c r="BA112" s="381">
        <v>122.6</v>
      </c>
      <c r="BB112" s="381">
        <v>125.542</v>
      </c>
      <c r="BC112" s="381">
        <v>127.6</v>
      </c>
      <c r="BD112" s="380">
        <v>127.1</v>
      </c>
      <c r="BE112" s="381">
        <v>165.3</v>
      </c>
      <c r="BF112" s="381">
        <v>171.96</v>
      </c>
      <c r="BG112" s="475">
        <v>171.68600000000001</v>
      </c>
      <c r="BH112" s="381">
        <v>214.91200000000001</v>
      </c>
      <c r="BI112" s="381">
        <v>224.958</v>
      </c>
      <c r="BJ112" s="381">
        <v>228.07599999999999</v>
      </c>
      <c r="BK112" s="381">
        <v>230.482</v>
      </c>
      <c r="BL112" s="380">
        <v>239.05500000000001</v>
      </c>
      <c r="BM112" s="381">
        <v>239.18899999999999</v>
      </c>
      <c r="BN112" s="381">
        <v>231.45400000000001</v>
      </c>
      <c r="BO112" s="383"/>
      <c r="BP112" s="384"/>
      <c r="BQ112" s="382"/>
      <c r="BR112" s="382"/>
      <c r="BS112" s="383"/>
      <c r="BT112" s="384"/>
      <c r="BU112" s="382"/>
      <c r="BV112" s="382"/>
      <c r="BW112" s="383"/>
      <c r="BX112" s="378"/>
      <c r="BY112" s="364">
        <f>SUM(D112:G112)</f>
        <v>47.920999999999999</v>
      </c>
      <c r="BZ112" s="364">
        <f>SUM(H112:K112)</f>
        <v>50.856000000000009</v>
      </c>
      <c r="CA112" s="364">
        <f>SUM(L112:O112)</f>
        <v>56.914000000000001</v>
      </c>
      <c r="CB112" s="364">
        <f>SUM(P112:S112)</f>
        <v>66.379000000000005</v>
      </c>
      <c r="CC112" s="364">
        <f>SUM(T112:W112)</f>
        <v>82.63</v>
      </c>
      <c r="CD112" s="364">
        <f>SUM(X112:AA112)</f>
        <v>82.536000000000001</v>
      </c>
      <c r="CE112" s="364">
        <f>SUM(AB112:AE112)</f>
        <v>82.312999999999988</v>
      </c>
      <c r="CF112" s="364">
        <f>SUM(AF112:AI112)</f>
        <v>99.847999999999999</v>
      </c>
      <c r="CG112" s="364">
        <f>SUM(AJ112:AM112)</f>
        <v>153.24400000000003</v>
      </c>
      <c r="CH112" s="364">
        <f>SUM(AN112:AQ112)</f>
        <v>171.16499999999996</v>
      </c>
      <c r="CI112" s="364">
        <f>SUM(AR112:AU112)</f>
        <v>307.75799999999998</v>
      </c>
      <c r="CJ112" s="364">
        <f>SUM(AV112:AY112)</f>
        <v>428.08800000000002</v>
      </c>
      <c r="CK112" s="364"/>
      <c r="CL112" s="364"/>
      <c r="CM112" s="364"/>
      <c r="CN112" s="364"/>
      <c r="CO112" s="364"/>
      <c r="CP112" s="365"/>
      <c r="CQ112" s="281"/>
      <c r="CR112" s="332"/>
      <c r="CS112" s="1034">
        <f>SUM(K112:N112)</f>
        <v>57.352000000000011</v>
      </c>
      <c r="CT112" s="364">
        <f>SUM(O112:R112)</f>
        <v>59.367000000000004</v>
      </c>
      <c r="CU112" s="364">
        <f>SUM(S112:V112)</f>
        <v>82.867000000000004</v>
      </c>
      <c r="CV112" s="364">
        <f>SUM(W112:Z112)</f>
        <v>81.088999999999999</v>
      </c>
      <c r="CW112" s="364">
        <f>SUM(AA112:AD112)</f>
        <v>87.406999999999996</v>
      </c>
      <c r="CX112" s="364">
        <f>SUM(AE112:AH112)</f>
        <v>84.730999999999995</v>
      </c>
      <c r="CY112" s="364">
        <f>SUM(AI112:AL112)</f>
        <v>163.82599999999999</v>
      </c>
      <c r="CZ112" s="364">
        <f>SUM(AM112:AP112)</f>
        <v>148.89700000000002</v>
      </c>
      <c r="DA112" s="1034">
        <f>SUM(AQ112:AT112)</f>
        <v>253.85899999999998</v>
      </c>
      <c r="DB112" s="364"/>
      <c r="DC112" s="364"/>
      <c r="DD112" s="364"/>
      <c r="DE112" s="364"/>
      <c r="DF112" s="364"/>
      <c r="DG112" s="364"/>
      <c r="DH112" s="365"/>
    </row>
    <row r="113" spans="1:112" ht="14.25" customHeight="1">
      <c r="B113" s="23" t="s">
        <v>357</v>
      </c>
      <c r="C113" s="332"/>
      <c r="D113" s="916">
        <v>0</v>
      </c>
      <c r="E113" s="917">
        <v>0</v>
      </c>
      <c r="F113" s="917">
        <v>0</v>
      </c>
      <c r="G113" s="1112">
        <v>0</v>
      </c>
      <c r="H113" s="916">
        <v>0</v>
      </c>
      <c r="I113" s="917">
        <v>0</v>
      </c>
      <c r="J113" s="917">
        <v>0</v>
      </c>
      <c r="K113" s="1112">
        <v>0</v>
      </c>
      <c r="L113" s="916">
        <v>0</v>
      </c>
      <c r="M113" s="917">
        <v>0</v>
      </c>
      <c r="N113" s="917">
        <v>0</v>
      </c>
      <c r="O113" s="1112">
        <v>0</v>
      </c>
      <c r="P113" s="380">
        <v>0</v>
      </c>
      <c r="Q113" s="381">
        <v>0</v>
      </c>
      <c r="R113" s="381">
        <v>0</v>
      </c>
      <c r="S113" s="912">
        <v>0</v>
      </c>
      <c r="T113" s="380">
        <v>0</v>
      </c>
      <c r="U113" s="381">
        <v>0</v>
      </c>
      <c r="V113" s="381">
        <v>0</v>
      </c>
      <c r="W113" s="912">
        <v>0</v>
      </c>
      <c r="X113" s="380">
        <v>0</v>
      </c>
      <c r="Y113" s="381">
        <v>0</v>
      </c>
      <c r="Z113" s="381">
        <v>0</v>
      </c>
      <c r="AA113" s="912">
        <v>0</v>
      </c>
      <c r="AB113" s="380">
        <v>0</v>
      </c>
      <c r="AC113" s="381">
        <v>0</v>
      </c>
      <c r="AD113" s="381">
        <v>0</v>
      </c>
      <c r="AE113" s="912">
        <v>0</v>
      </c>
      <c r="AF113" s="380">
        <v>0</v>
      </c>
      <c r="AG113" s="381">
        <v>0</v>
      </c>
      <c r="AH113" s="381">
        <v>0</v>
      </c>
      <c r="AI113" s="912">
        <v>0</v>
      </c>
      <c r="AJ113" s="380">
        <v>15.356999999999999</v>
      </c>
      <c r="AK113" s="381">
        <v>17.271999999999998</v>
      </c>
      <c r="AL113" s="381">
        <v>19.058</v>
      </c>
      <c r="AM113" s="912">
        <f>72.068-AL113-AK113-AJ113</f>
        <v>20.381</v>
      </c>
      <c r="AN113" s="380">
        <v>20.646999999999998</v>
      </c>
      <c r="AO113" s="381">
        <v>21.984000000000002</v>
      </c>
      <c r="AP113" s="381">
        <v>23.056999999999999</v>
      </c>
      <c r="AQ113" s="912">
        <f>87.001-AP113-AO113-AN113</f>
        <v>21.313000000000002</v>
      </c>
      <c r="AR113" s="380">
        <v>20.282</v>
      </c>
      <c r="AS113" s="381">
        <v>20.120999999999999</v>
      </c>
      <c r="AT113" s="381">
        <v>21.338000000000001</v>
      </c>
      <c r="AU113" s="475">
        <v>22.1</v>
      </c>
      <c r="AV113" s="380">
        <v>22.5</v>
      </c>
      <c r="AW113" s="381">
        <v>24.826000000000001</v>
      </c>
      <c r="AX113" s="381">
        <v>24.1</v>
      </c>
      <c r="AY113" s="912">
        <f>94.578-AX113-AW113-AV113</f>
        <v>23.152000000000008</v>
      </c>
      <c r="AZ113" s="380">
        <v>20.399999999999999</v>
      </c>
      <c r="BA113" s="381">
        <v>22.6</v>
      </c>
      <c r="BB113" s="381">
        <v>22.946999999999999</v>
      </c>
      <c r="BC113" s="381">
        <v>23.6</v>
      </c>
      <c r="BD113" s="380">
        <v>23.3</v>
      </c>
      <c r="BE113" s="381">
        <v>23.2</v>
      </c>
      <c r="BF113" s="381">
        <v>22.716000000000001</v>
      </c>
      <c r="BG113" s="475">
        <v>19.97</v>
      </c>
      <c r="BH113" s="381">
        <v>20.588000000000001</v>
      </c>
      <c r="BI113" s="381">
        <v>23.67</v>
      </c>
      <c r="BJ113" s="381">
        <v>23.834</v>
      </c>
      <c r="BK113" s="381">
        <v>23.064</v>
      </c>
      <c r="BL113" s="380">
        <v>25.035</v>
      </c>
      <c r="BM113" s="381">
        <v>25.777999999999999</v>
      </c>
      <c r="BN113" s="381">
        <v>27.57</v>
      </c>
      <c r="BO113" s="383"/>
      <c r="BP113" s="384"/>
      <c r="BQ113" s="382"/>
      <c r="BR113" s="382"/>
      <c r="BS113" s="383"/>
      <c r="BT113" s="384"/>
      <c r="BU113" s="382"/>
      <c r="BV113" s="382"/>
      <c r="BW113" s="383"/>
      <c r="BX113" s="378"/>
      <c r="BY113" s="364">
        <f>SUM(D113:G113)</f>
        <v>0</v>
      </c>
      <c r="BZ113" s="364">
        <f>SUM(H113:K113)</f>
        <v>0</v>
      </c>
      <c r="CA113" s="364">
        <f>SUM(L113:O113)</f>
        <v>0</v>
      </c>
      <c r="CB113" s="364">
        <f>SUM(P113:S113)</f>
        <v>0</v>
      </c>
      <c r="CC113" s="364">
        <f>SUM(T113:W113)</f>
        <v>0</v>
      </c>
      <c r="CD113" s="364">
        <f>SUM(X113:AA113)</f>
        <v>0</v>
      </c>
      <c r="CE113" s="364">
        <f>SUM(AB113:AE113)</f>
        <v>0</v>
      </c>
      <c r="CF113" s="364">
        <f>SUM(AF113:AI113)</f>
        <v>0</v>
      </c>
      <c r="CG113" s="364">
        <f>SUM(AJ113:AM113)</f>
        <v>72.067999999999998</v>
      </c>
      <c r="CH113" s="364">
        <f>SUM(AN113:AQ113)</f>
        <v>87.001000000000005</v>
      </c>
      <c r="CI113" s="364">
        <f>SUM(AR113:AU113)</f>
        <v>83.841000000000008</v>
      </c>
      <c r="CJ113" s="364">
        <f>SUM(AV113:AY113)</f>
        <v>94.578000000000003</v>
      </c>
      <c r="CK113" s="364"/>
      <c r="CL113" s="364"/>
      <c r="CM113" s="364"/>
      <c r="CN113" s="364"/>
      <c r="CO113" s="364"/>
      <c r="CP113" s="365"/>
      <c r="CQ113" s="281"/>
      <c r="CR113" s="332"/>
      <c r="CS113" s="1034">
        <f>SUM(K113:N113)</f>
        <v>0</v>
      </c>
      <c r="CT113" s="364">
        <f>SUM(O113:R113)</f>
        <v>0</v>
      </c>
      <c r="CU113" s="364">
        <f>SUM(S113:V113)</f>
        <v>0</v>
      </c>
      <c r="CV113" s="364">
        <f>SUM(W113:Z113)</f>
        <v>0</v>
      </c>
      <c r="CW113" s="364">
        <f>SUM(AA113:AD113)</f>
        <v>0</v>
      </c>
      <c r="CX113" s="364">
        <f>SUM(AE113:AH113)</f>
        <v>0</v>
      </c>
      <c r="CY113" s="364">
        <f>SUM(AI113:AL113)</f>
        <v>51.686999999999998</v>
      </c>
      <c r="CZ113" s="364">
        <f>SUM(AM113:AP113)</f>
        <v>86.069000000000003</v>
      </c>
      <c r="DA113" s="1034">
        <f>SUM(AQ113:AT113)</f>
        <v>83.054000000000002</v>
      </c>
      <c r="DB113" s="364"/>
      <c r="DC113" s="364"/>
      <c r="DD113" s="364"/>
      <c r="DE113" s="364"/>
      <c r="DF113" s="364"/>
      <c r="DG113" s="364"/>
      <c r="DH113" s="365"/>
    </row>
    <row r="114" spans="1:112" ht="14.25" customHeight="1">
      <c r="B114" s="23" t="s">
        <v>541</v>
      </c>
      <c r="C114" s="332"/>
      <c r="D114" s="916">
        <v>0</v>
      </c>
      <c r="E114" s="917">
        <v>0</v>
      </c>
      <c r="F114" s="917">
        <v>0</v>
      </c>
      <c r="G114" s="1112">
        <v>0</v>
      </c>
      <c r="H114" s="916">
        <v>0</v>
      </c>
      <c r="I114" s="917">
        <v>0</v>
      </c>
      <c r="J114" s="917">
        <v>0</v>
      </c>
      <c r="K114" s="1112">
        <v>0</v>
      </c>
      <c r="L114" s="916">
        <v>0</v>
      </c>
      <c r="M114" s="917">
        <v>0</v>
      </c>
      <c r="N114" s="917">
        <v>0</v>
      </c>
      <c r="O114" s="1112">
        <v>0</v>
      </c>
      <c r="P114" s="380">
        <v>0</v>
      </c>
      <c r="Q114" s="381">
        <v>0</v>
      </c>
      <c r="R114" s="381">
        <v>0</v>
      </c>
      <c r="S114" s="912">
        <v>0</v>
      </c>
      <c r="T114" s="380">
        <v>0</v>
      </c>
      <c r="U114" s="381">
        <v>0</v>
      </c>
      <c r="V114" s="381">
        <v>0</v>
      </c>
      <c r="W114" s="912">
        <v>0</v>
      </c>
      <c r="X114" s="380">
        <v>0</v>
      </c>
      <c r="Y114" s="381">
        <v>0</v>
      </c>
      <c r="Z114" s="381">
        <v>0</v>
      </c>
      <c r="AA114" s="912">
        <v>0</v>
      </c>
      <c r="AB114" s="380">
        <v>0</v>
      </c>
      <c r="AC114" s="381">
        <v>0</v>
      </c>
      <c r="AD114" s="381">
        <v>0</v>
      </c>
      <c r="AE114" s="912">
        <v>0</v>
      </c>
      <c r="AF114" s="380">
        <v>0</v>
      </c>
      <c r="AG114" s="381">
        <v>0</v>
      </c>
      <c r="AH114" s="381">
        <v>0</v>
      </c>
      <c r="AI114" s="912">
        <v>0</v>
      </c>
      <c r="AJ114" s="380">
        <v>0</v>
      </c>
      <c r="AK114" s="381">
        <v>0</v>
      </c>
      <c r="AL114" s="381">
        <v>0</v>
      </c>
      <c r="AM114" s="912">
        <f>1.987-AL114-AK114-AJ114</f>
        <v>1.9870000000000001</v>
      </c>
      <c r="AN114" s="380">
        <v>4.3879999999999999</v>
      </c>
      <c r="AO114" s="381">
        <v>4.6760000000000002</v>
      </c>
      <c r="AP114" s="381">
        <v>4.4649999999999999</v>
      </c>
      <c r="AQ114" s="912">
        <f>17.284-AP114-AO114-AN114</f>
        <v>3.754999999999999</v>
      </c>
      <c r="AR114" s="380">
        <v>3.6080000000000001</v>
      </c>
      <c r="AS114" s="381">
        <v>3.2229999999999999</v>
      </c>
      <c r="AT114" s="381">
        <v>2.895</v>
      </c>
      <c r="AU114" s="475">
        <v>2.2999999999999998</v>
      </c>
      <c r="AV114" s="1156">
        <v>2.8</v>
      </c>
      <c r="AW114" s="1175">
        <v>3.3919999999999999</v>
      </c>
      <c r="AX114" s="1175">
        <v>3.6</v>
      </c>
      <c r="AY114" s="912">
        <f>12.939-AX114-AW114-AV114</f>
        <v>3.1470000000000011</v>
      </c>
      <c r="AZ114" s="1156">
        <v>5.9</v>
      </c>
      <c r="BA114" s="1175">
        <v>6.8</v>
      </c>
      <c r="BB114" s="1175">
        <v>8.6539999999999999</v>
      </c>
      <c r="BC114" s="1175">
        <v>9.1999999999999993</v>
      </c>
      <c r="BD114" s="1156">
        <v>3.7</v>
      </c>
      <c r="BE114" s="1175">
        <v>6.5</v>
      </c>
      <c r="BF114" s="1175">
        <v>6.9580000000000002</v>
      </c>
      <c r="BG114">
        <v>9.1549999999999994</v>
      </c>
      <c r="BH114" s="1175">
        <v>22.951000000000001</v>
      </c>
      <c r="BI114" s="1175">
        <v>24.274000000000001</v>
      </c>
      <c r="BJ114" s="1175">
        <v>26.739000000000001</v>
      </c>
      <c r="BK114" s="1175">
        <v>23.167000000000002</v>
      </c>
      <c r="BL114" s="1156">
        <v>23.058</v>
      </c>
      <c r="BM114" s="1175">
        <v>29.831</v>
      </c>
      <c r="BN114" s="1175">
        <v>26.053999999999998</v>
      </c>
      <c r="BO114" s="383"/>
      <c r="BP114" s="384"/>
      <c r="BQ114" s="382"/>
      <c r="BR114" s="382"/>
      <c r="BS114" s="383"/>
      <c r="BT114" s="384"/>
      <c r="BU114" s="382"/>
      <c r="BV114" s="382"/>
      <c r="BW114" s="383"/>
      <c r="BX114" s="378"/>
      <c r="BY114" s="364">
        <f>SUM(D114:G114)</f>
        <v>0</v>
      </c>
      <c r="BZ114" s="364">
        <f>SUM(H114:K114)</f>
        <v>0</v>
      </c>
      <c r="CA114" s="364">
        <f>SUM(L114:O114)</f>
        <v>0</v>
      </c>
      <c r="CB114" s="364">
        <f>SUM(P114:S114)</f>
        <v>0</v>
      </c>
      <c r="CC114" s="364">
        <f>SUM(T114:W114)</f>
        <v>0</v>
      </c>
      <c r="CD114" s="364">
        <f>SUM(X114:AA114)</f>
        <v>0</v>
      </c>
      <c r="CE114" s="364">
        <f>SUM(AB114:AE114)</f>
        <v>0</v>
      </c>
      <c r="CF114" s="364">
        <f>SUM(AF114:AI114)</f>
        <v>0</v>
      </c>
      <c r="CG114" s="364">
        <f>SUM(AJ114:AM114)</f>
        <v>1.9870000000000001</v>
      </c>
      <c r="CH114" s="364">
        <f>SUM(AN114:AQ114)</f>
        <v>17.283999999999999</v>
      </c>
      <c r="CI114" s="364">
        <f>SUM(AR114:AU114)</f>
        <v>12.026</v>
      </c>
      <c r="CJ114" s="364">
        <f>SUM(AV114:AY114)</f>
        <v>12.939</v>
      </c>
      <c r="CK114" s="364"/>
      <c r="CL114" s="364"/>
      <c r="CM114" s="364"/>
      <c r="CN114" s="364"/>
      <c r="CO114" s="364"/>
      <c r="CP114" s="365"/>
      <c r="CQ114" s="281"/>
      <c r="CR114" s="332"/>
      <c r="CS114" s="1034">
        <f>SUM(K114:N114)</f>
        <v>0</v>
      </c>
      <c r="CT114" s="364">
        <f>SUM(O114:R114)</f>
        <v>0</v>
      </c>
      <c r="CU114" s="364">
        <f>SUM(S114:V114)</f>
        <v>0</v>
      </c>
      <c r="CV114" s="364">
        <f>SUM(W114:Z114)</f>
        <v>0</v>
      </c>
      <c r="CW114" s="364">
        <f>SUM(AA114:AD114)</f>
        <v>0</v>
      </c>
      <c r="CX114" s="364">
        <f>SUM(AE114:AH114)</f>
        <v>0</v>
      </c>
      <c r="CY114" s="364">
        <f>SUM(AI114:AL114)</f>
        <v>0</v>
      </c>
      <c r="CZ114" s="364">
        <f>SUM(AM114:AP114)</f>
        <v>15.516</v>
      </c>
      <c r="DA114" s="1034">
        <f>SUM(AQ114:AT114)</f>
        <v>13.480999999999998</v>
      </c>
      <c r="DB114" s="364"/>
      <c r="DC114" s="364"/>
      <c r="DD114" s="364"/>
      <c r="DE114" s="364"/>
      <c r="DF114" s="364"/>
      <c r="DG114" s="364"/>
      <c r="DH114" s="365"/>
    </row>
    <row r="115" spans="1:112" ht="14.25" customHeight="1">
      <c r="A115" s="100"/>
      <c r="B115" s="387" t="s">
        <v>139</v>
      </c>
      <c r="C115" s="388"/>
      <c r="D115" s="389">
        <f t="shared" ref="D115:Q115" si="383">SUM(D110:D114)</f>
        <v>157.54400000000001</v>
      </c>
      <c r="E115" s="390">
        <f t="shared" si="383"/>
        <v>166.77700000000002</v>
      </c>
      <c r="F115" s="390">
        <f t="shared" si="383"/>
        <v>167.47399999999999</v>
      </c>
      <c r="G115" s="391">
        <f t="shared" si="383"/>
        <v>159.66700000000003</v>
      </c>
      <c r="H115" s="389">
        <f t="shared" si="383"/>
        <v>161.28300000000002</v>
      </c>
      <c r="I115" s="390">
        <f t="shared" si="383"/>
        <v>168.48599999999999</v>
      </c>
      <c r="J115" s="390">
        <f t="shared" si="383"/>
        <v>177.96699999999998</v>
      </c>
      <c r="K115" s="391">
        <f t="shared" si="383"/>
        <v>191.524</v>
      </c>
      <c r="L115" s="389">
        <f t="shared" si="383"/>
        <v>212.77500000000001</v>
      </c>
      <c r="M115" s="390">
        <f t="shared" si="383"/>
        <v>220.69399999999999</v>
      </c>
      <c r="N115" s="390">
        <f t="shared" si="383"/>
        <v>205.38400000000001</v>
      </c>
      <c r="O115" s="391">
        <f t="shared" si="383"/>
        <v>208.08299999999997</v>
      </c>
      <c r="P115" s="389">
        <f t="shared" si="383"/>
        <v>218.52699999999999</v>
      </c>
      <c r="Q115" s="390">
        <f t="shared" si="383"/>
        <v>227.298</v>
      </c>
      <c r="R115" s="390">
        <f t="shared" ref="R115:AW115" si="384">SUM(R110:R114)</f>
        <v>234.89600000000002</v>
      </c>
      <c r="S115" s="391">
        <f t="shared" si="384"/>
        <v>247.072</v>
      </c>
      <c r="T115" s="389">
        <f t="shared" si="384"/>
        <v>262.55700000000002</v>
      </c>
      <c r="U115" s="390">
        <f t="shared" si="384"/>
        <v>267.93399999999997</v>
      </c>
      <c r="V115" s="390">
        <f t="shared" si="384"/>
        <v>251.00399999999999</v>
      </c>
      <c r="W115" s="391">
        <f t="shared" si="384"/>
        <v>258.17599999999999</v>
      </c>
      <c r="X115" s="389">
        <f t="shared" si="384"/>
        <v>264.072</v>
      </c>
      <c r="Y115" s="390">
        <f t="shared" si="384"/>
        <v>258.64699999999999</v>
      </c>
      <c r="Z115" s="390">
        <f t="shared" si="384"/>
        <v>252.6</v>
      </c>
      <c r="AA115" s="391">
        <f t="shared" si="384"/>
        <v>260.41800000000006</v>
      </c>
      <c r="AB115" s="389">
        <f t="shared" si="384"/>
        <v>268.17200000000003</v>
      </c>
      <c r="AC115" s="390">
        <f t="shared" si="384"/>
        <v>269.70600000000002</v>
      </c>
      <c r="AD115" s="390">
        <f t="shared" si="384"/>
        <v>192.16600000000003</v>
      </c>
      <c r="AE115" s="391">
        <f t="shared" si="384"/>
        <v>173.25300000000001</v>
      </c>
      <c r="AF115" s="389">
        <f t="shared" si="384"/>
        <v>192.94900000000001</v>
      </c>
      <c r="AG115" s="390">
        <f t="shared" si="384"/>
        <v>226.661</v>
      </c>
      <c r="AH115" s="390">
        <f t="shared" si="384"/>
        <v>250.09899999999999</v>
      </c>
      <c r="AI115" s="391">
        <f t="shared" si="384"/>
        <v>278.02</v>
      </c>
      <c r="AJ115" s="389">
        <f t="shared" si="384"/>
        <v>357.125</v>
      </c>
      <c r="AK115" s="390">
        <f t="shared" si="384"/>
        <v>382.27100000000002</v>
      </c>
      <c r="AL115" s="390">
        <f t="shared" si="384"/>
        <v>367.82399999999996</v>
      </c>
      <c r="AM115" s="391">
        <f t="shared" si="384"/>
        <v>379.98499999999996</v>
      </c>
      <c r="AN115" s="389">
        <f t="shared" si="384"/>
        <v>374.50699999999995</v>
      </c>
      <c r="AO115" s="390">
        <f t="shared" si="384"/>
        <v>340.60199999999998</v>
      </c>
      <c r="AP115" s="390">
        <f t="shared" si="384"/>
        <v>329.15600000000001</v>
      </c>
      <c r="AQ115" s="391">
        <f t="shared" si="384"/>
        <v>338.911</v>
      </c>
      <c r="AR115" s="389">
        <f t="shared" si="384"/>
        <v>352.13400000000001</v>
      </c>
      <c r="AS115" s="390">
        <f t="shared" si="384"/>
        <v>383.298</v>
      </c>
      <c r="AT115" s="390">
        <f t="shared" si="384"/>
        <v>416.04700000000003</v>
      </c>
      <c r="AU115" s="391">
        <f t="shared" si="384"/>
        <v>430.20000000000005</v>
      </c>
      <c r="AV115" s="1155">
        <f t="shared" si="384"/>
        <v>462.8</v>
      </c>
      <c r="AW115" s="390">
        <f t="shared" si="384"/>
        <v>492.66900000000004</v>
      </c>
      <c r="AX115" s="390">
        <f t="shared" ref="AX115:BC115" si="385">SUM(AX110:AX114)</f>
        <v>482.40000000000009</v>
      </c>
      <c r="AY115" s="391">
        <f t="shared" si="385"/>
        <v>493.34800000000007</v>
      </c>
      <c r="AZ115" s="1155">
        <f t="shared" si="385"/>
        <v>528.79700000000003</v>
      </c>
      <c r="BA115" s="390">
        <f t="shared" si="385"/>
        <v>546.29999999999995</v>
      </c>
      <c r="BB115" s="390">
        <f t="shared" si="385"/>
        <v>528.71</v>
      </c>
      <c r="BC115" s="390">
        <f t="shared" si="385"/>
        <v>547.20000000000005</v>
      </c>
      <c r="BD115" s="389">
        <f t="shared" ref="BD115:BI115" si="386">SUM(BD110:BD114)</f>
        <v>534.1</v>
      </c>
      <c r="BE115" s="390">
        <f t="shared" si="386"/>
        <v>559.5</v>
      </c>
      <c r="BF115" s="390">
        <f t="shared" si="386"/>
        <v>552.01299999999992</v>
      </c>
      <c r="BG115" s="391">
        <f t="shared" si="386"/>
        <v>568.43799999999999</v>
      </c>
      <c r="BH115" s="390">
        <f t="shared" si="386"/>
        <v>843.99799999999993</v>
      </c>
      <c r="BI115" s="390">
        <f t="shared" si="386"/>
        <v>873.83499999999981</v>
      </c>
      <c r="BJ115" s="390">
        <f t="shared" ref="BJ115:BM115" si="387">SUM(BJ110:BJ114)</f>
        <v>881.18700000000001</v>
      </c>
      <c r="BK115" s="390">
        <f t="shared" si="387"/>
        <v>902.66599999999994</v>
      </c>
      <c r="BL115" s="390">
        <f t="shared" si="387"/>
        <v>972.14099999999996</v>
      </c>
      <c r="BM115" s="390">
        <f t="shared" si="387"/>
        <v>1012.139</v>
      </c>
      <c r="BN115" s="390">
        <f t="shared" ref="BN115" si="388">SUM(BN110:BN114)</f>
        <v>994.24800000000005</v>
      </c>
      <c r="BO115" s="393"/>
      <c r="BP115" s="394"/>
      <c r="BQ115" s="392"/>
      <c r="BR115" s="392"/>
      <c r="BS115" s="393"/>
      <c r="BT115" s="394"/>
      <c r="BU115" s="392"/>
      <c r="BV115" s="392"/>
      <c r="BW115" s="393"/>
      <c r="BX115" s="395"/>
      <c r="BY115" s="396">
        <f>SUM(BY110:BY114)</f>
        <v>651.4620000000001</v>
      </c>
      <c r="BZ115" s="396">
        <f>SUM(BZ110:BZ114)</f>
        <v>699.26</v>
      </c>
      <c r="CA115" s="396">
        <f>SUM(CA110:CA114)</f>
        <v>846.93599999999992</v>
      </c>
      <c r="CB115" s="396">
        <f t="shared" ref="CB115:CI115" si="389">SUM(CB110:CB114)</f>
        <v>927.79300000000001</v>
      </c>
      <c r="CC115" s="396">
        <f t="shared" si="389"/>
        <v>1039.671</v>
      </c>
      <c r="CD115" s="397">
        <f t="shared" si="389"/>
        <v>1035.7370000000001</v>
      </c>
      <c r="CE115" s="397">
        <f t="shared" si="389"/>
        <v>903.29700000000003</v>
      </c>
      <c r="CF115" s="397">
        <f t="shared" si="389"/>
        <v>947.72900000000004</v>
      </c>
      <c r="CG115" s="397">
        <f t="shared" si="389"/>
        <v>1487.2050000000002</v>
      </c>
      <c r="CH115" s="397">
        <f t="shared" si="389"/>
        <v>1383.1760000000002</v>
      </c>
      <c r="CI115" s="397">
        <f t="shared" si="389"/>
        <v>1581.6790000000003</v>
      </c>
      <c r="CJ115" s="397">
        <f>SUM(CJ110:CJ114)</f>
        <v>1931.2170000000001</v>
      </c>
      <c r="CK115" s="397"/>
      <c r="CL115" s="397"/>
      <c r="CM115" s="397"/>
      <c r="CN115" s="397"/>
      <c r="CO115" s="397"/>
      <c r="CP115" s="398"/>
      <c r="CQ115" s="333"/>
      <c r="CR115" s="1524"/>
      <c r="CS115" s="1036">
        <f>SUM(CS110:CS114)</f>
        <v>830.37700000000007</v>
      </c>
      <c r="CT115" s="397">
        <f>SUM(CT110:CT114)</f>
        <v>888.80399999999986</v>
      </c>
      <c r="CU115" s="397">
        <f>SUM(CU110:CU114)</f>
        <v>1028.567</v>
      </c>
      <c r="CV115" s="397">
        <f t="shared" ref="CV115:DA115" si="390">SUM(CV110:CV114)</f>
        <v>1033.4950000000001</v>
      </c>
      <c r="CW115" s="397">
        <f t="shared" si="390"/>
        <v>990.46199999999999</v>
      </c>
      <c r="CX115" s="397">
        <f t="shared" si="390"/>
        <v>842.96199999999999</v>
      </c>
      <c r="CY115" s="397">
        <f t="shared" si="390"/>
        <v>1385.24</v>
      </c>
      <c r="CZ115" s="397">
        <f t="shared" si="390"/>
        <v>1424.2499999999998</v>
      </c>
      <c r="DA115" s="1036">
        <f t="shared" si="390"/>
        <v>1490.39</v>
      </c>
      <c r="DB115" s="397"/>
      <c r="DC115" s="397"/>
      <c r="DD115" s="397"/>
      <c r="DE115" s="397"/>
      <c r="DF115" s="397"/>
      <c r="DG115" s="397"/>
      <c r="DH115" s="398"/>
    </row>
    <row r="116" spans="1:112" ht="14.25" customHeight="1">
      <c r="B116" s="68"/>
      <c r="AN116" s="8"/>
      <c r="AO116" s="8"/>
      <c r="AP116" s="8"/>
      <c r="AR116" s="8"/>
      <c r="AS116" s="8"/>
      <c r="AT116" s="8"/>
      <c r="AW116" s="8"/>
      <c r="BI116" s="1336"/>
      <c r="BJ116" s="1366"/>
      <c r="BK116" s="1422"/>
      <c r="BN116" s="1527"/>
      <c r="BX116" s="331"/>
      <c r="BY116" s="331"/>
      <c r="BZ116" s="331"/>
      <c r="CA116" s="331"/>
      <c r="CB116" s="331"/>
      <c r="CC116" s="331"/>
      <c r="CD116" s="331"/>
      <c r="CE116" s="331"/>
      <c r="CF116" s="331"/>
      <c r="CG116" s="331"/>
      <c r="CH116" s="331"/>
      <c r="CI116" s="331"/>
      <c r="CJ116" s="331"/>
      <c r="CK116" s="331"/>
      <c r="CL116" s="331"/>
      <c r="CM116" s="331"/>
      <c r="CN116" s="331"/>
      <c r="CO116" s="331"/>
      <c r="CP116" s="331"/>
      <c r="CS116" s="331"/>
      <c r="CT116" s="331"/>
      <c r="CU116" s="331"/>
      <c r="CV116" s="331"/>
      <c r="CW116" s="331"/>
      <c r="CX116" s="331"/>
      <c r="CY116" s="331"/>
      <c r="CZ116" s="331"/>
      <c r="DA116" s="331"/>
      <c r="DB116" s="331"/>
      <c r="DC116" s="331"/>
      <c r="DD116" s="331"/>
      <c r="DE116" s="331"/>
      <c r="DF116" s="331"/>
      <c r="DG116" s="331"/>
      <c r="DH116" s="331"/>
    </row>
    <row r="117" spans="1:112" ht="14.25" customHeight="1">
      <c r="A117" s="8"/>
      <c r="B117" s="289" t="s">
        <v>103</v>
      </c>
      <c r="C117" s="290"/>
      <c r="D117" s="521" t="str">
        <f t="shared" ref="D117:O117" si="391">IF(ABS(D115-D71)&lt;1,"OK",D115-D71)</f>
        <v>OK</v>
      </c>
      <c r="E117" s="522" t="str">
        <f t="shared" si="391"/>
        <v>OK</v>
      </c>
      <c r="F117" s="522" t="str">
        <f t="shared" si="391"/>
        <v>OK</v>
      </c>
      <c r="G117" s="522" t="str">
        <f t="shared" si="391"/>
        <v>OK</v>
      </c>
      <c r="H117" s="521" t="str">
        <f t="shared" si="391"/>
        <v>OK</v>
      </c>
      <c r="I117" s="522" t="str">
        <f t="shared" si="391"/>
        <v>OK</v>
      </c>
      <c r="J117" s="522" t="str">
        <f t="shared" si="391"/>
        <v>OK</v>
      </c>
      <c r="K117" s="522" t="str">
        <f t="shared" si="391"/>
        <v>OK</v>
      </c>
      <c r="L117" s="521" t="str">
        <f t="shared" si="391"/>
        <v>OK</v>
      </c>
      <c r="M117" s="522" t="str">
        <f t="shared" si="391"/>
        <v>OK</v>
      </c>
      <c r="N117" s="522" t="str">
        <f t="shared" si="391"/>
        <v>OK</v>
      </c>
      <c r="O117" s="522" t="str">
        <f t="shared" si="391"/>
        <v>OK</v>
      </c>
      <c r="P117" s="521" t="str">
        <f t="shared" ref="P117:AX117" si="392">IF(ABS(P115-P71)&lt;1,"OK",P115-P71)</f>
        <v>OK</v>
      </c>
      <c r="Q117" s="522" t="str">
        <f t="shared" si="392"/>
        <v>OK</v>
      </c>
      <c r="R117" s="522" t="str">
        <f t="shared" si="392"/>
        <v>OK</v>
      </c>
      <c r="S117" s="522" t="str">
        <f t="shared" si="392"/>
        <v>OK</v>
      </c>
      <c r="T117" s="521" t="str">
        <f t="shared" si="392"/>
        <v>OK</v>
      </c>
      <c r="U117" s="522" t="str">
        <f t="shared" si="392"/>
        <v>OK</v>
      </c>
      <c r="V117" s="522" t="str">
        <f t="shared" si="392"/>
        <v>OK</v>
      </c>
      <c r="W117" s="522" t="str">
        <f t="shared" si="392"/>
        <v>OK</v>
      </c>
      <c r="X117" s="521" t="str">
        <f t="shared" si="392"/>
        <v>OK</v>
      </c>
      <c r="Y117" s="522" t="str">
        <f t="shared" si="392"/>
        <v>OK</v>
      </c>
      <c r="Z117" s="522" t="str">
        <f t="shared" si="392"/>
        <v>OK</v>
      </c>
      <c r="AA117" s="522" t="str">
        <f t="shared" si="392"/>
        <v>OK</v>
      </c>
      <c r="AB117" s="521" t="str">
        <f t="shared" si="392"/>
        <v>OK</v>
      </c>
      <c r="AC117" s="522" t="str">
        <f t="shared" si="392"/>
        <v>OK</v>
      </c>
      <c r="AD117" s="522" t="str">
        <f t="shared" si="392"/>
        <v>OK</v>
      </c>
      <c r="AE117" s="522" t="str">
        <f t="shared" si="392"/>
        <v>OK</v>
      </c>
      <c r="AF117" s="521" t="str">
        <f t="shared" si="392"/>
        <v>OK</v>
      </c>
      <c r="AG117" s="522" t="str">
        <f t="shared" si="392"/>
        <v>OK</v>
      </c>
      <c r="AH117" s="522" t="str">
        <f t="shared" si="392"/>
        <v>OK</v>
      </c>
      <c r="AI117" s="522" t="str">
        <f t="shared" si="392"/>
        <v>OK</v>
      </c>
      <c r="AJ117" s="521" t="str">
        <f t="shared" si="392"/>
        <v>OK</v>
      </c>
      <c r="AK117" s="522" t="str">
        <f t="shared" si="392"/>
        <v>OK</v>
      </c>
      <c r="AL117" s="522" t="str">
        <f t="shared" si="392"/>
        <v>OK</v>
      </c>
      <c r="AM117" s="522" t="str">
        <f t="shared" si="392"/>
        <v>OK</v>
      </c>
      <c r="AN117" s="521" t="str">
        <f t="shared" si="392"/>
        <v>OK</v>
      </c>
      <c r="AO117" s="522" t="str">
        <f t="shared" si="392"/>
        <v>OK</v>
      </c>
      <c r="AP117" s="522" t="str">
        <f t="shared" si="392"/>
        <v>OK</v>
      </c>
      <c r="AQ117" s="522" t="str">
        <f t="shared" si="392"/>
        <v>OK</v>
      </c>
      <c r="AR117" s="521" t="str">
        <f t="shared" si="392"/>
        <v>OK</v>
      </c>
      <c r="AS117" s="522" t="str">
        <f t="shared" si="392"/>
        <v>OK</v>
      </c>
      <c r="AT117" s="522" t="str">
        <f t="shared" si="392"/>
        <v>OK</v>
      </c>
      <c r="AU117" s="522" t="str">
        <f>IF(ABS(AU115-AU71)&lt;1,"OK",AU115-AU71)</f>
        <v>OK</v>
      </c>
      <c r="AV117" s="521" t="str">
        <f t="shared" si="392"/>
        <v>OK</v>
      </c>
      <c r="AW117" s="522" t="str">
        <f t="shared" si="392"/>
        <v>OK</v>
      </c>
      <c r="AX117" s="522" t="str">
        <f t="shared" si="392"/>
        <v>OK</v>
      </c>
      <c r="AY117" s="1176" t="str">
        <f t="shared" ref="AY117:BD117" si="393">IF(ABS(AY115-AY71)&lt;1,"OK",AY115-AY71)</f>
        <v>OK</v>
      </c>
      <c r="AZ117" s="522" t="str">
        <f t="shared" si="393"/>
        <v>OK</v>
      </c>
      <c r="BA117" s="292" t="str">
        <f t="shared" si="393"/>
        <v>OK</v>
      </c>
      <c r="BB117" s="292" t="str">
        <f t="shared" si="393"/>
        <v>OK</v>
      </c>
      <c r="BC117" s="1176">
        <f t="shared" si="393"/>
        <v>3.9930000000000518</v>
      </c>
      <c r="BD117" s="1183" t="str">
        <f t="shared" si="393"/>
        <v>OK</v>
      </c>
      <c r="BE117" s="1183" t="str">
        <f t="shared" ref="BE117:BL117" si="394">IF(ABS(BE115-BE71)&lt;1,"OK",BE115-BE71)</f>
        <v>OK</v>
      </c>
      <c r="BF117" s="1183" t="str">
        <f t="shared" si="394"/>
        <v>OK</v>
      </c>
      <c r="BG117" s="1176" t="str">
        <f t="shared" si="394"/>
        <v>OK</v>
      </c>
      <c r="BH117" s="1176" t="str">
        <f t="shared" si="394"/>
        <v>OK</v>
      </c>
      <c r="BI117" s="1183" t="str">
        <f t="shared" si="394"/>
        <v>OK</v>
      </c>
      <c r="BJ117" s="1183" t="str">
        <f t="shared" si="394"/>
        <v>OK</v>
      </c>
      <c r="BK117" s="1183" t="str">
        <f t="shared" ref="BK117" si="395">IF(ABS(BK115-BK71)&lt;1,"OK",BK115-BK71)</f>
        <v>OK</v>
      </c>
      <c r="BL117" s="1176" t="str">
        <f t="shared" si="394"/>
        <v>OK</v>
      </c>
      <c r="BM117" s="1183" t="str">
        <f t="shared" ref="BM117:BN117" si="396">IF(ABS(BM115-BM71)&lt;1,"OK",BM115-BM71)</f>
        <v>OK</v>
      </c>
      <c r="BN117" s="1183" t="str">
        <f t="shared" si="396"/>
        <v>OK</v>
      </c>
      <c r="BO117" s="292"/>
      <c r="BP117" s="291"/>
      <c r="BQ117" s="292"/>
      <c r="BR117" s="292"/>
      <c r="BS117" s="292"/>
      <c r="BT117" s="291"/>
      <c r="BU117" s="292"/>
      <c r="BV117" s="292"/>
      <c r="BW117" s="292"/>
      <c r="BX117" s="20"/>
      <c r="BY117" s="292" t="str">
        <f>IF(ABS(BY115-BY71)&lt;1,"OK",BY115-BY71)</f>
        <v>OK</v>
      </c>
      <c r="BZ117" s="292" t="str">
        <f>IF(ABS(BZ115-BZ71)&lt;1,"OK",BZ115-BZ71)</f>
        <v>OK</v>
      </c>
      <c r="CA117" s="292" t="str">
        <f>IF(ABS(CA115-CA71)&lt;1,"OK",CA115-CA71)</f>
        <v>OK</v>
      </c>
      <c r="CB117" s="292" t="str">
        <f t="shared" ref="CB117:CI117" si="397">IF(ABS(CB115-CB71)&lt;1,"OK",CB115-CB71)</f>
        <v>OK</v>
      </c>
      <c r="CC117" s="292" t="str">
        <f t="shared" si="397"/>
        <v>OK</v>
      </c>
      <c r="CD117" s="292" t="str">
        <f t="shared" si="397"/>
        <v>OK</v>
      </c>
      <c r="CE117" s="292" t="str">
        <f t="shared" si="397"/>
        <v>OK</v>
      </c>
      <c r="CF117" s="292" t="str">
        <f t="shared" si="397"/>
        <v>OK</v>
      </c>
      <c r="CG117" s="400" t="str">
        <f t="shared" si="397"/>
        <v>OK</v>
      </c>
      <c r="CH117" s="400" t="str">
        <f t="shared" si="397"/>
        <v>OK</v>
      </c>
      <c r="CI117" s="400" t="str">
        <f t="shared" si="397"/>
        <v>OK</v>
      </c>
      <c r="CJ117" s="400" t="str">
        <f>IF(ABS(CJ115-CJ71)&lt;1,"OK",CJ115-CJ71)</f>
        <v>OK</v>
      </c>
      <c r="CK117" s="292"/>
      <c r="CL117" s="292"/>
      <c r="CM117" s="292"/>
      <c r="CN117" s="292"/>
      <c r="CO117" s="292"/>
      <c r="CP117" s="293"/>
      <c r="CQ117" s="22"/>
      <c r="CR117" s="232"/>
      <c r="CS117" s="399" t="str">
        <f>IF(ABS(CS115-CS71)&lt;1,"OK",CS115-CS71)</f>
        <v>OK</v>
      </c>
      <c r="CT117" s="400" t="str">
        <f>IF(ABS(CT115-CT71)&lt;1,"OK",CT115-CT71)</f>
        <v>OK</v>
      </c>
      <c r="CU117" s="400" t="str">
        <f>IF(ABS(CU115-CU71)&lt;1,"OK",CU115-CU71)</f>
        <v>OK</v>
      </c>
      <c r="CV117" s="400" t="str">
        <f t="shared" ref="CV117:DA117" si="398">IF(ABS(CV115-CV71)&lt;1,"OK",CV115-CV71)</f>
        <v>OK</v>
      </c>
      <c r="CW117" s="400" t="str">
        <f t="shared" si="398"/>
        <v>OK</v>
      </c>
      <c r="CX117" s="400" t="str">
        <f t="shared" si="398"/>
        <v>OK</v>
      </c>
      <c r="CY117" s="400" t="str">
        <f t="shared" si="398"/>
        <v>OK</v>
      </c>
      <c r="CZ117" s="400" t="str">
        <f t="shared" si="398"/>
        <v>OK</v>
      </c>
      <c r="DA117" s="400" t="str">
        <f t="shared" si="398"/>
        <v>OK</v>
      </c>
      <c r="DB117" s="400"/>
      <c r="DC117" s="400"/>
      <c r="DD117" s="400"/>
      <c r="DE117" s="400"/>
      <c r="DF117" s="400"/>
      <c r="DG117" s="400"/>
      <c r="DH117" s="1031"/>
    </row>
    <row r="118" spans="1:112" ht="14.25" customHeight="1">
      <c r="B118" s="68"/>
      <c r="AN118" s="8"/>
      <c r="AO118" s="8"/>
      <c r="AP118" s="8"/>
      <c r="AR118" s="8"/>
      <c r="AS118" s="8"/>
      <c r="AT118" s="8"/>
      <c r="AW118" s="8"/>
      <c r="BI118" s="1336"/>
      <c r="BJ118" s="1366"/>
      <c r="BK118" s="1422"/>
      <c r="CL118" s="331"/>
      <c r="CM118" s="1174"/>
      <c r="CN118" s="1174"/>
      <c r="CO118" s="1174"/>
      <c r="DD118" s="331"/>
      <c r="DE118" s="1174"/>
      <c r="DF118" s="1174"/>
      <c r="DG118" s="1174"/>
    </row>
    <row r="119" spans="1:112" ht="14.25" customHeight="1">
      <c r="A119" s="1"/>
      <c r="B119" s="141" t="s">
        <v>207</v>
      </c>
      <c r="C119" s="142"/>
      <c r="D119" s="569" t="str">
        <f t="shared" ref="D119:S119" si="399">D8</f>
        <v>F1Q03A</v>
      </c>
      <c r="E119" s="570" t="str">
        <f t="shared" si="399"/>
        <v>F2Q03A</v>
      </c>
      <c r="F119" s="570" t="str">
        <f t="shared" si="399"/>
        <v>F3Q03A</v>
      </c>
      <c r="G119" s="570" t="str">
        <f t="shared" si="399"/>
        <v>F4Q03A</v>
      </c>
      <c r="H119" s="569" t="str">
        <f t="shared" si="399"/>
        <v>F1Q04A</v>
      </c>
      <c r="I119" s="570" t="str">
        <f t="shared" si="399"/>
        <v>F2Q04A</v>
      </c>
      <c r="J119" s="570" t="str">
        <f t="shared" si="399"/>
        <v>F3Q04A</v>
      </c>
      <c r="K119" s="570" t="str">
        <f t="shared" si="399"/>
        <v>F4Q04A</v>
      </c>
      <c r="L119" s="569" t="str">
        <f t="shared" si="399"/>
        <v>F1Q05A</v>
      </c>
      <c r="M119" s="570" t="str">
        <f t="shared" si="399"/>
        <v>F2Q05A</v>
      </c>
      <c r="N119" s="570" t="str">
        <f t="shared" si="399"/>
        <v>F3Q05A</v>
      </c>
      <c r="O119" s="570" t="str">
        <f t="shared" si="399"/>
        <v>F4Q05A</v>
      </c>
      <c r="P119" s="569" t="str">
        <f t="shared" si="399"/>
        <v>F1Q06A</v>
      </c>
      <c r="Q119" s="570" t="str">
        <f t="shared" si="399"/>
        <v>F2Q06A</v>
      </c>
      <c r="R119" s="570" t="str">
        <f t="shared" si="399"/>
        <v>F3Q06A</v>
      </c>
      <c r="S119" s="570" t="str">
        <f t="shared" si="399"/>
        <v>F4Q06A</v>
      </c>
      <c r="T119" s="569" t="str">
        <f t="shared" ref="T119:BC119" si="400">T8</f>
        <v>F1Q07A</v>
      </c>
      <c r="U119" s="570" t="str">
        <f t="shared" si="400"/>
        <v>F2Q07A</v>
      </c>
      <c r="V119" s="570" t="str">
        <f t="shared" si="400"/>
        <v>F3Q07A</v>
      </c>
      <c r="W119" s="570" t="str">
        <f t="shared" si="400"/>
        <v>F4Q07A</v>
      </c>
      <c r="X119" s="569" t="str">
        <f t="shared" si="400"/>
        <v>F1Q08A</v>
      </c>
      <c r="Y119" s="570" t="str">
        <f t="shared" si="400"/>
        <v>F2Q08A</v>
      </c>
      <c r="Z119" s="570" t="str">
        <f t="shared" si="400"/>
        <v>F3Q08A</v>
      </c>
      <c r="AA119" s="570" t="str">
        <f t="shared" si="400"/>
        <v>F4Q08A</v>
      </c>
      <c r="AB119" s="569" t="str">
        <f t="shared" si="400"/>
        <v>F1Q09A</v>
      </c>
      <c r="AC119" s="570" t="str">
        <f t="shared" si="400"/>
        <v>F2Q09A</v>
      </c>
      <c r="AD119" s="570" t="str">
        <f t="shared" si="400"/>
        <v>F3Q09A</v>
      </c>
      <c r="AE119" s="570" t="str">
        <f t="shared" si="400"/>
        <v>F4Q09A</v>
      </c>
      <c r="AF119" s="569" t="str">
        <f t="shared" si="400"/>
        <v>F1Q10A</v>
      </c>
      <c r="AG119" s="570" t="str">
        <f t="shared" si="400"/>
        <v>F2Q10A</v>
      </c>
      <c r="AH119" s="570" t="str">
        <f t="shared" si="400"/>
        <v>F3Q10A</v>
      </c>
      <c r="AI119" s="570" t="str">
        <f t="shared" si="400"/>
        <v>F4Q10A</v>
      </c>
      <c r="AJ119" s="569" t="str">
        <f t="shared" si="400"/>
        <v>F1Q11A</v>
      </c>
      <c r="AK119" s="570" t="str">
        <f t="shared" si="400"/>
        <v>F2Q11A</v>
      </c>
      <c r="AL119" s="570" t="str">
        <f t="shared" si="400"/>
        <v>F3Q11A</v>
      </c>
      <c r="AM119" s="570" t="str">
        <f t="shared" si="400"/>
        <v>F4Q11A</v>
      </c>
      <c r="AN119" s="571" t="str">
        <f t="shared" si="400"/>
        <v>F1Q12A</v>
      </c>
      <c r="AO119" s="572" t="str">
        <f t="shared" si="400"/>
        <v>F2Q12A</v>
      </c>
      <c r="AP119" s="572" t="str">
        <f t="shared" si="400"/>
        <v>F3Q12A</v>
      </c>
      <c r="AQ119" s="570" t="str">
        <f>AQ8</f>
        <v>F4Q12A</v>
      </c>
      <c r="AR119" s="571" t="str">
        <f t="shared" si="400"/>
        <v>F1Q13A</v>
      </c>
      <c r="AS119" s="572" t="str">
        <f t="shared" si="400"/>
        <v>F2Q13A</v>
      </c>
      <c r="AT119" s="572" t="str">
        <f t="shared" si="400"/>
        <v>F3Q13A</v>
      </c>
      <c r="AU119" s="570" t="str">
        <f>AU8</f>
        <v>F4Q13A</v>
      </c>
      <c r="AV119" s="569" t="str">
        <f t="shared" si="400"/>
        <v>F1Q14A</v>
      </c>
      <c r="AW119" s="572" t="str">
        <f t="shared" si="400"/>
        <v>F2Q14A</v>
      </c>
      <c r="AX119" s="570" t="str">
        <f t="shared" si="400"/>
        <v>F3Q14A</v>
      </c>
      <c r="AY119" s="570" t="str">
        <f t="shared" si="400"/>
        <v>F4Q14A</v>
      </c>
      <c r="AZ119" s="569" t="str">
        <f t="shared" si="400"/>
        <v>F1Q15A</v>
      </c>
      <c r="BA119" s="570" t="str">
        <f t="shared" si="400"/>
        <v>F2Q15A</v>
      </c>
      <c r="BB119" s="570" t="str">
        <f t="shared" si="400"/>
        <v>F3Q15A</v>
      </c>
      <c r="BC119" s="573" t="str">
        <f t="shared" si="400"/>
        <v>F4Q15A</v>
      </c>
      <c r="BD119" s="569" t="str">
        <f>BD8</f>
        <v>F1Q16A</v>
      </c>
      <c r="BE119" s="570" t="str">
        <f>BE8</f>
        <v>F2Q16A</v>
      </c>
      <c r="BF119" s="570" t="str">
        <f t="shared" ref="BF119:BH119" si="401">BF8</f>
        <v>F3Q16A</v>
      </c>
      <c r="BG119" s="573" t="str">
        <f t="shared" si="401"/>
        <v>F4Q16A</v>
      </c>
      <c r="BH119" s="569" t="str">
        <f t="shared" si="401"/>
        <v>F1Q17A</v>
      </c>
      <c r="BI119" s="1321" t="str">
        <f>BI8</f>
        <v>F2Q17A</v>
      </c>
      <c r="BJ119" s="1321" t="str">
        <f>BJ8</f>
        <v>F3Q17A</v>
      </c>
      <c r="BK119" s="1321" t="str">
        <f>BK8</f>
        <v>F4Q17A</v>
      </c>
      <c r="BL119" s="569" t="str">
        <f t="shared" ref="BL119:BS119" si="402">BL8</f>
        <v>F1Q18A</v>
      </c>
      <c r="BM119" s="1321" t="str">
        <f>BM8</f>
        <v>F2Q18A</v>
      </c>
      <c r="BN119" s="570" t="str">
        <f t="shared" si="402"/>
        <v>F3Q18A</v>
      </c>
      <c r="BO119" s="573" t="str">
        <f t="shared" si="402"/>
        <v>F4Q18E</v>
      </c>
      <c r="BP119" s="569" t="str">
        <f t="shared" si="402"/>
        <v>F1Q19E</v>
      </c>
      <c r="BQ119" s="570" t="str">
        <f t="shared" si="402"/>
        <v>F2Q19E</v>
      </c>
      <c r="BR119" s="570" t="str">
        <f t="shared" si="402"/>
        <v>F3Q19E</v>
      </c>
      <c r="BS119" s="573" t="str">
        <f t="shared" si="402"/>
        <v>F4Q19E</v>
      </c>
      <c r="BT119" s="569" t="str">
        <f t="shared" ref="BT119:BW119" si="403">BT8</f>
        <v>F1Q20E</v>
      </c>
      <c r="BU119" s="1321" t="str">
        <f t="shared" si="403"/>
        <v>F2Q20E</v>
      </c>
      <c r="BV119" s="1321" t="str">
        <f t="shared" si="403"/>
        <v>F3Q20E</v>
      </c>
      <c r="BW119" s="573" t="str">
        <f t="shared" si="403"/>
        <v>F4Q20E</v>
      </c>
      <c r="BX119" s="20"/>
      <c r="BY119" s="570" t="str">
        <f>BY8</f>
        <v>FY2003A</v>
      </c>
      <c r="BZ119" s="570" t="str">
        <f>BZ8</f>
        <v>FY2004A</v>
      </c>
      <c r="CA119" s="570" t="str">
        <f>CA8</f>
        <v>FY2005A</v>
      </c>
      <c r="CB119" s="570" t="str">
        <f t="shared" ref="CB119:CL119" si="404">CB8</f>
        <v>FY2006A</v>
      </c>
      <c r="CC119" s="570" t="str">
        <f t="shared" si="404"/>
        <v>FY2007A</v>
      </c>
      <c r="CD119" s="570" t="str">
        <f t="shared" si="404"/>
        <v>FY2008A</v>
      </c>
      <c r="CE119" s="570" t="str">
        <f t="shared" si="404"/>
        <v>FY2009A</v>
      </c>
      <c r="CF119" s="570" t="str">
        <f t="shared" si="404"/>
        <v>FY2010A</v>
      </c>
      <c r="CG119" s="570" t="str">
        <f t="shared" si="404"/>
        <v>FY2011A</v>
      </c>
      <c r="CH119" s="570" t="str">
        <f t="shared" si="404"/>
        <v>FY2012A</v>
      </c>
      <c r="CI119" s="570" t="str">
        <f t="shared" si="404"/>
        <v>FY2013A</v>
      </c>
      <c r="CJ119" s="570" t="str">
        <f t="shared" si="404"/>
        <v>FY2014A</v>
      </c>
      <c r="CK119" s="570" t="str">
        <f t="shared" si="404"/>
        <v>FY2015A</v>
      </c>
      <c r="CL119" s="570" t="str">
        <f t="shared" si="404"/>
        <v>FY2016A</v>
      </c>
      <c r="CM119" s="570" t="str">
        <f>CM8</f>
        <v>FY2017A</v>
      </c>
      <c r="CN119" s="570" t="str">
        <f>CN8</f>
        <v>FY2018E</v>
      </c>
      <c r="CO119" s="1321" t="str">
        <f>CO8</f>
        <v>FY2019E</v>
      </c>
      <c r="CP119" s="573" t="str">
        <f>CP8</f>
        <v>FY2020E</v>
      </c>
      <c r="CQ119" s="281"/>
      <c r="CR119" s="332"/>
      <c r="CS119" s="569" t="str">
        <f>CS8</f>
        <v>CY2004</v>
      </c>
      <c r="CT119" s="570" t="str">
        <f>CT8</f>
        <v>CY2005</v>
      </c>
      <c r="CU119" s="570" t="str">
        <f>CU8</f>
        <v>CY2006</v>
      </c>
      <c r="CV119" s="570" t="str">
        <f t="shared" ref="CV119:DA119" si="405">CV8</f>
        <v>CY2007</v>
      </c>
      <c r="CW119" s="570" t="str">
        <f t="shared" si="405"/>
        <v>CY2008</v>
      </c>
      <c r="CX119" s="570" t="str">
        <f t="shared" si="405"/>
        <v>CY2009</v>
      </c>
      <c r="CY119" s="570" t="str">
        <f t="shared" si="405"/>
        <v>CY2010</v>
      </c>
      <c r="CZ119" s="570" t="str">
        <f t="shared" si="405"/>
        <v>CY2011</v>
      </c>
      <c r="DA119" s="569" t="str">
        <f t="shared" si="405"/>
        <v>CY2012</v>
      </c>
      <c r="DB119" s="570" t="str">
        <f t="shared" ref="DB119:DG119" si="406">DB8</f>
        <v>CY2013</v>
      </c>
      <c r="DC119" s="570" t="str">
        <f t="shared" si="406"/>
        <v>CY2014</v>
      </c>
      <c r="DD119" s="570" t="str">
        <f t="shared" si="406"/>
        <v>CY2015</v>
      </c>
      <c r="DE119" s="570" t="str">
        <f t="shared" si="406"/>
        <v>CY2016</v>
      </c>
      <c r="DF119" s="570" t="str">
        <f t="shared" si="406"/>
        <v>CY2017</v>
      </c>
      <c r="DG119" s="1321" t="str">
        <f t="shared" si="406"/>
        <v>CY2018</v>
      </c>
      <c r="DH119" s="573" t="str">
        <f t="shared" ref="DH119" si="407">DH8</f>
        <v>CY2019</v>
      </c>
    </row>
    <row r="120" spans="1:112" ht="14.25" customHeight="1">
      <c r="B120" s="402" t="str">
        <f>B110</f>
        <v>Microcontrollers</v>
      </c>
      <c r="C120" s="372"/>
      <c r="D120" s="882">
        <f t="shared" ref="D120:O120" si="408">D110/D$115</f>
        <v>0.78168638602549123</v>
      </c>
      <c r="E120" s="883">
        <f t="shared" si="408"/>
        <v>0.78266187783687191</v>
      </c>
      <c r="F120" s="883">
        <f t="shared" si="408"/>
        <v>0.79892998316156549</v>
      </c>
      <c r="G120" s="884">
        <f t="shared" si="408"/>
        <v>0.80732399306055724</v>
      </c>
      <c r="H120" s="882">
        <f t="shared" si="408"/>
        <v>0.80217381869136861</v>
      </c>
      <c r="I120" s="883">
        <f t="shared" si="408"/>
        <v>0.79187588286267108</v>
      </c>
      <c r="J120" s="883">
        <f t="shared" si="408"/>
        <v>0.7945124657942203</v>
      </c>
      <c r="K120" s="884">
        <f t="shared" si="408"/>
        <v>0.79661034648399154</v>
      </c>
      <c r="L120" s="882">
        <f t="shared" si="408"/>
        <v>0.78341440488779224</v>
      </c>
      <c r="M120" s="883">
        <f t="shared" si="408"/>
        <v>0.79891614633836905</v>
      </c>
      <c r="N120" s="883">
        <f t="shared" si="408"/>
        <v>0.80853912670899386</v>
      </c>
      <c r="O120" s="884">
        <f t="shared" si="408"/>
        <v>0.79696082813108227</v>
      </c>
      <c r="P120" s="882">
        <f t="shared" ref="P120:AT120" si="409">P110/P$115</f>
        <v>0.79898593766445336</v>
      </c>
      <c r="Q120" s="883">
        <f t="shared" si="409"/>
        <v>0.79183274819840033</v>
      </c>
      <c r="R120" s="883">
        <f t="shared" si="409"/>
        <v>0.79284023567876849</v>
      </c>
      <c r="S120" s="884">
        <f t="shared" si="409"/>
        <v>0.79070878124595256</v>
      </c>
      <c r="T120" s="882">
        <f t="shared" si="409"/>
        <v>0.80483856838705492</v>
      </c>
      <c r="U120" s="883">
        <f t="shared" si="409"/>
        <v>0.80160785865175754</v>
      </c>
      <c r="V120" s="883">
        <f t="shared" si="409"/>
        <v>0.79709088301381659</v>
      </c>
      <c r="W120" s="884">
        <f t="shared" si="409"/>
        <v>0.80613999752107091</v>
      </c>
      <c r="X120" s="882">
        <f t="shared" si="409"/>
        <v>0.8077494016783302</v>
      </c>
      <c r="Y120" s="883">
        <f t="shared" si="409"/>
        <v>0.79463129284314149</v>
      </c>
      <c r="Z120" s="883">
        <f t="shared" si="409"/>
        <v>0.80341250989707047</v>
      </c>
      <c r="AA120" s="884">
        <f t="shared" si="409"/>
        <v>0.81079648872197774</v>
      </c>
      <c r="AB120" s="882">
        <f t="shared" si="409"/>
        <v>0.81143072356547286</v>
      </c>
      <c r="AC120" s="883">
        <f t="shared" si="409"/>
        <v>0.80490979066094182</v>
      </c>
      <c r="AD120" s="883">
        <f t="shared" si="409"/>
        <v>0.81110081908350073</v>
      </c>
      <c r="AE120" s="884">
        <f t="shared" si="409"/>
        <v>0.81435819293172429</v>
      </c>
      <c r="AF120" s="882">
        <f t="shared" si="409"/>
        <v>0.81843906939139355</v>
      </c>
      <c r="AG120" s="883">
        <f t="shared" si="409"/>
        <v>0.81242031050776276</v>
      </c>
      <c r="AH120" s="883">
        <f t="shared" si="409"/>
        <v>0.80934349997401034</v>
      </c>
      <c r="AI120" s="884">
        <f t="shared" si="409"/>
        <v>0.80298539673404801</v>
      </c>
      <c r="AJ120" s="882">
        <f t="shared" si="409"/>
        <v>0.6865579278963948</v>
      </c>
      <c r="AK120" s="883">
        <f t="shared" si="409"/>
        <v>0.67156546010552731</v>
      </c>
      <c r="AL120" s="883">
        <f t="shared" si="409"/>
        <v>0.68243235895428256</v>
      </c>
      <c r="AM120" s="884">
        <f t="shared" si="409"/>
        <v>0.68690869376422758</v>
      </c>
      <c r="AN120" s="882">
        <f t="shared" si="409"/>
        <v>0.68291647419140378</v>
      </c>
      <c r="AO120" s="883">
        <f t="shared" si="409"/>
        <v>0.66645234026811362</v>
      </c>
      <c r="AP120" s="883">
        <f t="shared" si="409"/>
        <v>0.65900363353546643</v>
      </c>
      <c r="AQ120" s="884">
        <f t="shared" si="409"/>
        <v>0.67522741958803356</v>
      </c>
      <c r="AR120" s="882">
        <f t="shared" si="409"/>
        <v>0.6825299459864711</v>
      </c>
      <c r="AS120" s="883">
        <f t="shared" si="409"/>
        <v>0.66088265527083367</v>
      </c>
      <c r="AT120" s="883">
        <f t="shared" si="409"/>
        <v>0.63943016053474733</v>
      </c>
      <c r="AU120" s="884">
        <f t="shared" ref="AU120:AX124" si="410">AU110/AU$115</f>
        <v>0.6410971641097164</v>
      </c>
      <c r="AV120" s="882">
        <f t="shared" si="410"/>
        <v>0.648876404494382</v>
      </c>
      <c r="AW120" s="883">
        <f t="shared" ref="AW120:BB120" si="411">AW110/AW$115</f>
        <v>0.65156119017027658</v>
      </c>
      <c r="AX120" s="883">
        <f t="shared" si="411"/>
        <v>0.64946102819237139</v>
      </c>
      <c r="AY120" s="884">
        <f t="shared" si="411"/>
        <v>0.6615695209061353</v>
      </c>
      <c r="AZ120" s="882">
        <f t="shared" si="411"/>
        <v>0.65008122209467911</v>
      </c>
      <c r="BA120" s="883">
        <f t="shared" si="411"/>
        <v>0.66227347611202647</v>
      </c>
      <c r="BB120" s="883">
        <f t="shared" si="411"/>
        <v>0.64003328857029373</v>
      </c>
      <c r="BC120" s="883">
        <f t="shared" ref="BC120:BH120" si="412">BC110/BC$115</f>
        <v>0.64619883040935666</v>
      </c>
      <c r="BD120" s="914">
        <f t="shared" si="412"/>
        <v>0.65193783935592575</v>
      </c>
      <c r="BE120" s="1092">
        <f t="shared" si="412"/>
        <v>0.59749776586237713</v>
      </c>
      <c r="BF120" s="1092">
        <f t="shared" si="412"/>
        <v>0.58452246595641777</v>
      </c>
      <c r="BG120" s="883">
        <f t="shared" si="412"/>
        <v>0.59885158979519315</v>
      </c>
      <c r="BH120" s="914">
        <f t="shared" si="412"/>
        <v>0.63741027822340812</v>
      </c>
      <c r="BI120" s="1092">
        <f t="shared" ref="BI120" si="413">BI110/BI$115</f>
        <v>0.63433371288630003</v>
      </c>
      <c r="BJ120" s="1092">
        <f t="shared" ref="BJ120:BM120" si="414">BJ110/BJ$115</f>
        <v>0.63091262127108094</v>
      </c>
      <c r="BK120" s="1092">
        <f t="shared" si="414"/>
        <v>0.6430473730039683</v>
      </c>
      <c r="BL120" s="914">
        <f t="shared" si="414"/>
        <v>0.65372512835072283</v>
      </c>
      <c r="BM120" s="1092">
        <f t="shared" si="414"/>
        <v>0.65725557458017136</v>
      </c>
      <c r="BN120" s="1092">
        <f t="shared" ref="BN120" si="415">BN110/BN$115</f>
        <v>0.66483814903323912</v>
      </c>
      <c r="BO120" s="407"/>
      <c r="BP120" s="408"/>
      <c r="BQ120" s="406"/>
      <c r="BR120" s="406"/>
      <c r="BS120" s="407"/>
      <c r="BT120" s="408"/>
      <c r="BU120" s="406"/>
      <c r="BV120" s="406"/>
      <c r="BW120" s="407"/>
      <c r="BX120" s="378"/>
      <c r="BY120" s="369">
        <f>BY110/IS!BY$8</f>
        <v>0.79265252616422766</v>
      </c>
      <c r="BZ120" s="369">
        <f>BZ110/IS!BZ$8</f>
        <v>0.7962188599376484</v>
      </c>
      <c r="CA120" s="369">
        <f>CA110/IS!CA$8</f>
        <v>0.79687485240915479</v>
      </c>
      <c r="CB120" s="369">
        <f>CB110/IS!CB$8</f>
        <v>0.79338781518989787</v>
      </c>
      <c r="CC120" s="369">
        <f>CC110/IS!CC$8</f>
        <v>0.80245866240377961</v>
      </c>
      <c r="CD120" s="240">
        <f>CD110/IS!CD$8</f>
        <v>0.80418194966482803</v>
      </c>
      <c r="CE120" s="240">
        <f>CE110/IS!CE$8</f>
        <v>0.80997501375516578</v>
      </c>
      <c r="CF120" s="409">
        <f>CF110/IS!CF$8</f>
        <v>0.81006595767355427</v>
      </c>
      <c r="CG120" s="409">
        <f>CG110/IS!CG$8</f>
        <v>0.68177352819550774</v>
      </c>
      <c r="CH120" s="409">
        <f>CH110/IS!CH$8</f>
        <v>0.67128767416438695</v>
      </c>
      <c r="CI120" s="409">
        <f>CI110/IS!CI$8</f>
        <v>0.65470089901322881</v>
      </c>
      <c r="CJ120" s="409">
        <f>CJ110/IS!CJ$8</f>
        <v>0.65294992742918057</v>
      </c>
      <c r="CK120" s="369"/>
      <c r="CL120" s="369"/>
      <c r="CM120" s="369"/>
      <c r="CN120" s="369"/>
      <c r="CO120" s="369"/>
      <c r="CP120" s="368"/>
      <c r="CQ120" s="452"/>
      <c r="CR120" s="1525"/>
      <c r="CS120" s="1022">
        <f>CS110/IS!CS$8</f>
        <v>0.796792300364774</v>
      </c>
      <c r="CT120" s="409">
        <f>CT110/IS!CT$8</f>
        <v>0.79505830306794301</v>
      </c>
      <c r="CU120" s="409">
        <f>CU110/IS!CU$8</f>
        <v>0.79863454354032948</v>
      </c>
      <c r="CV120" s="409">
        <f>CV110/IS!CV$8</f>
        <v>0.80300436867135316</v>
      </c>
      <c r="CW120" s="409">
        <f>CW110/IS!CW$8</f>
        <v>0.80942428886721551</v>
      </c>
      <c r="CX120" s="409">
        <f>CX110/IS!CX$8</f>
        <v>0.81328339830265184</v>
      </c>
      <c r="CY120" s="409">
        <f>CY110/IS!CY$8</f>
        <v>0.70469232768328938</v>
      </c>
      <c r="CZ120" s="409">
        <f>CZ110/IS!CZ$8</f>
        <v>0.67451781639459363</v>
      </c>
      <c r="DA120" s="1022">
        <f>DA110/IS!DA$8</f>
        <v>0.6632706875381611</v>
      </c>
      <c r="DB120" s="409"/>
      <c r="DC120" s="409"/>
      <c r="DD120" s="409"/>
      <c r="DE120" s="409"/>
      <c r="DF120" s="409"/>
      <c r="DG120" s="409"/>
      <c r="DH120" s="1023"/>
    </row>
    <row r="121" spans="1:112" ht="14.25" customHeight="1">
      <c r="B121" s="410" t="str">
        <f>B111</f>
        <v>Memory</v>
      </c>
      <c r="C121" s="332"/>
      <c r="D121" s="411">
        <f t="shared" ref="D121:O121" si="416">D111/D$115</f>
        <v>0.14337581881886965</v>
      </c>
      <c r="E121" s="412">
        <f t="shared" si="416"/>
        <v>0.1433411081863806</v>
      </c>
      <c r="F121" s="412">
        <f t="shared" si="416"/>
        <v>0.12437751531581022</v>
      </c>
      <c r="G121" s="413">
        <f t="shared" si="416"/>
        <v>0.12422103502915442</v>
      </c>
      <c r="H121" s="411">
        <f t="shared" si="416"/>
        <v>0.12489227010906294</v>
      </c>
      <c r="I121" s="412">
        <f t="shared" si="416"/>
        <v>0.13421886684947118</v>
      </c>
      <c r="J121" s="412">
        <f t="shared" si="416"/>
        <v>0.13337866008866814</v>
      </c>
      <c r="K121" s="413">
        <f t="shared" si="416"/>
        <v>0.13129425032894051</v>
      </c>
      <c r="L121" s="411">
        <f t="shared" si="416"/>
        <v>0.14164727999060039</v>
      </c>
      <c r="M121" s="412">
        <f t="shared" si="416"/>
        <v>0.13230989514893926</v>
      </c>
      <c r="N121" s="412">
        <f t="shared" si="416"/>
        <v>0.13098391306041365</v>
      </c>
      <c r="O121" s="413">
        <f t="shared" si="416"/>
        <v>0.13878596521580333</v>
      </c>
      <c r="P121" s="411">
        <f t="shared" ref="P121:AT121" si="417">P111/P$115</f>
        <v>0.13719586138097353</v>
      </c>
      <c r="Q121" s="412">
        <f t="shared" si="417"/>
        <v>0.14343724977782471</v>
      </c>
      <c r="R121" s="412">
        <f t="shared" si="417"/>
        <v>0.13334837545126352</v>
      </c>
      <c r="S121" s="413">
        <f t="shared" si="417"/>
        <v>0.12679704701463543</v>
      </c>
      <c r="T121" s="411">
        <f t="shared" si="417"/>
        <v>0.11657278229108345</v>
      </c>
      <c r="U121" s="412">
        <f t="shared" si="417"/>
        <v>0.11992132390812664</v>
      </c>
      <c r="V121" s="412">
        <f t="shared" si="417"/>
        <v>0.11993832767605297</v>
      </c>
      <c r="W121" s="413">
        <f t="shared" si="417"/>
        <v>0.1158318356470005</v>
      </c>
      <c r="X121" s="411">
        <f t="shared" si="417"/>
        <v>0.1147073525402163</v>
      </c>
      <c r="Y121" s="412">
        <f t="shared" si="417"/>
        <v>0.12618356292553171</v>
      </c>
      <c r="Z121" s="412">
        <f t="shared" si="417"/>
        <v>0.11746634996041172</v>
      </c>
      <c r="AA121" s="413">
        <f t="shared" si="417"/>
        <v>0.10629065579184233</v>
      </c>
      <c r="AB121" s="411">
        <f t="shared" si="417"/>
        <v>0.10604015333442715</v>
      </c>
      <c r="AC121" s="412">
        <f t="shared" si="417"/>
        <v>0.10342002031842079</v>
      </c>
      <c r="AD121" s="412">
        <f t="shared" si="417"/>
        <v>9.023968860256236E-2</v>
      </c>
      <c r="AE121" s="413">
        <f t="shared" si="417"/>
        <v>9.0416904757781982E-2</v>
      </c>
      <c r="AF121" s="411">
        <f t="shared" si="417"/>
        <v>8.5634027644610741E-2</v>
      </c>
      <c r="AG121" s="412">
        <f t="shared" si="417"/>
        <v>8.5122716303201701E-2</v>
      </c>
      <c r="AH121" s="412">
        <f t="shared" si="417"/>
        <v>8.4694460993446588E-2</v>
      </c>
      <c r="AI121" s="413">
        <f t="shared" si="417"/>
        <v>8.3299762607006708E-2</v>
      </c>
      <c r="AJ121" s="411">
        <f t="shared" si="417"/>
        <v>0.15403570178508924</v>
      </c>
      <c r="AK121" s="412">
        <f t="shared" si="417"/>
        <v>0.16186945910100425</v>
      </c>
      <c r="AL121" s="412">
        <f t="shared" si="417"/>
        <v>0.14548262212362437</v>
      </c>
      <c r="AM121" s="413">
        <f t="shared" si="417"/>
        <v>0.19887363974893746</v>
      </c>
      <c r="AN121" s="411">
        <f t="shared" si="417"/>
        <v>0.13655285481980312</v>
      </c>
      <c r="AO121" s="412">
        <f t="shared" si="417"/>
        <v>0.13115601200227833</v>
      </c>
      <c r="AP121" s="412">
        <f t="shared" si="417"/>
        <v>0.12670283999076426</v>
      </c>
      <c r="AQ121" s="413">
        <f t="shared" si="417"/>
        <v>0.12304115239694198</v>
      </c>
      <c r="AR121" s="411">
        <f t="shared" si="417"/>
        <v>0.11563211731897517</v>
      </c>
      <c r="AS121" s="412">
        <f t="shared" si="417"/>
        <v>9.5408794201900349E-2</v>
      </c>
      <c r="AT121" s="412">
        <f t="shared" si="417"/>
        <v>7.8058488584222444E-2</v>
      </c>
      <c r="AU121" s="413">
        <f t="shared" si="410"/>
        <v>7.6243607624360749E-2</v>
      </c>
      <c r="AV121" s="411">
        <f t="shared" si="410"/>
        <v>7.3465859982713919E-2</v>
      </c>
      <c r="AW121" s="412">
        <f t="shared" si="410"/>
        <v>7.1015225232356816E-2</v>
      </c>
      <c r="AX121" s="412">
        <f t="shared" si="410"/>
        <v>6.7371475953565491E-2</v>
      </c>
      <c r="AY121" s="413">
        <f t="shared" ref="AY121:BA124" si="418">AY111/AY$115</f>
        <v>6.7167597720067779E-2</v>
      </c>
      <c r="AZ121" s="411">
        <f t="shared" si="418"/>
        <v>6.3122521496907127E-2</v>
      </c>
      <c r="BA121" s="412">
        <f>BA112/BA$115</f>
        <v>0.22441881749954237</v>
      </c>
      <c r="BB121" s="412">
        <f>BB112/BB$115</f>
        <v>0.23744964158045051</v>
      </c>
      <c r="BC121" s="412">
        <f>BC112/BC$115</f>
        <v>0.23318713450292394</v>
      </c>
      <c r="BD121" s="411">
        <f t="shared" ref="BD121:BE124" si="419">BD111/BD$115</f>
        <v>5.9539412095113271E-2</v>
      </c>
      <c r="BE121" s="412">
        <f t="shared" si="419"/>
        <v>5.3976764968722071E-2</v>
      </c>
      <c r="BF121" s="412">
        <f t="shared" ref="BF121:BI124" si="420">BF111/BF$115</f>
        <v>5.0207150918547216E-2</v>
      </c>
      <c r="BG121" s="412">
        <f t="shared" si="420"/>
        <v>4.7880331716035875E-2</v>
      </c>
      <c r="BH121" s="411">
        <f t="shared" si="420"/>
        <v>5.6367432150313153E-2</v>
      </c>
      <c r="BI121" s="412">
        <f t="shared" si="420"/>
        <v>5.3362476897812532E-2</v>
      </c>
      <c r="BJ121" s="412">
        <f t="shared" ref="BJ121:BM121" si="421">BJ111/BJ$115</f>
        <v>5.286732555064929E-2</v>
      </c>
      <c r="BK121" s="412">
        <f t="shared" si="421"/>
        <v>5.0401809750228774E-2</v>
      </c>
      <c r="BL121" s="411">
        <f t="shared" si="421"/>
        <v>5.0897966447254049E-2</v>
      </c>
      <c r="BM121" s="412">
        <f t="shared" si="421"/>
        <v>5.1482059282371297E-2</v>
      </c>
      <c r="BN121" s="412">
        <f t="shared" ref="BN121" si="422">BN111/BN$115</f>
        <v>4.8434595795012914E-2</v>
      </c>
      <c r="BO121" s="415"/>
      <c r="BP121" s="416"/>
      <c r="BQ121" s="414"/>
      <c r="BR121" s="414"/>
      <c r="BS121" s="415"/>
      <c r="BT121" s="416"/>
      <c r="BU121" s="414"/>
      <c r="BV121" s="414"/>
      <c r="BW121" s="415"/>
      <c r="BX121" s="378"/>
      <c r="BY121" s="369">
        <f>BY111/IS!BY$8</f>
        <v>0.13378830998584723</v>
      </c>
      <c r="BZ121" s="369">
        <f>BZ111/IS!BZ$8</f>
        <v>0.13105282727454737</v>
      </c>
      <c r="CA121" s="369">
        <f>CA111/IS!CA$8</f>
        <v>0.13592526471893981</v>
      </c>
      <c r="CB121" s="369">
        <f>CB111/IS!CB$8</f>
        <v>0.13496707055662668</v>
      </c>
      <c r="CC121" s="369">
        <f>CC111/IS!CC$8</f>
        <v>0.11806427225535771</v>
      </c>
      <c r="CD121" s="240">
        <f>CD111/IS!CD$8</f>
        <v>0.11612986694498699</v>
      </c>
      <c r="CE121" s="240">
        <f>CE111/IS!CE$8</f>
        <v>9.8899918852824703E-2</v>
      </c>
      <c r="CF121" s="240">
        <f>CF111/IS!CF$8</f>
        <v>8.457903050344559E-2</v>
      </c>
      <c r="CG121" s="240">
        <f>CG111/IS!CG$8</f>
        <v>0.16539011097999268</v>
      </c>
      <c r="CH121" s="240">
        <f>CH111/IS!CH$8</f>
        <v>0.12956919437584227</v>
      </c>
      <c r="CI121" s="240">
        <f>CI111/IS!CI$8</f>
        <v>9.0137788840956426E-2</v>
      </c>
      <c r="CJ121" s="240">
        <f>CJ111/IS!CJ$8</f>
        <v>6.9709411215829173E-2</v>
      </c>
      <c r="CK121" s="369"/>
      <c r="CL121" s="369"/>
      <c r="CM121" s="369"/>
      <c r="CN121" s="369"/>
      <c r="CO121" s="369"/>
      <c r="CP121" s="368"/>
      <c r="CQ121" s="452"/>
      <c r="CR121" s="1525"/>
      <c r="CS121" s="1028">
        <f>CS111/IS!CS$8</f>
        <v>0.13414027604329118</v>
      </c>
      <c r="CT121" s="240">
        <f>CT111/IS!CT$8</f>
        <v>0.13814744308081423</v>
      </c>
      <c r="CU121" s="240">
        <f>CU111/IS!CU$8</f>
        <v>0.12071058952994508</v>
      </c>
      <c r="CV121" s="240">
        <f>CV111/IS!CV$8</f>
        <v>0.11853468086444541</v>
      </c>
      <c r="CW121" s="240">
        <f>CW111/IS!CW$8</f>
        <v>0.10232699487713814</v>
      </c>
      <c r="CX121" s="240">
        <f>CX111/IS!CX$8</f>
        <v>8.620080145961502E-2</v>
      </c>
      <c r="CY121" s="240">
        <f>CY111/IS!CY$8</f>
        <v>0.13972957754612916</v>
      </c>
      <c r="CZ121" s="240">
        <f>CZ111/IS!CZ$8</f>
        <v>0.14961277865543265</v>
      </c>
      <c r="DA121" s="1028">
        <f>DA111/IS!DA$8</f>
        <v>0.1016270908956716</v>
      </c>
      <c r="DB121" s="240"/>
      <c r="DC121" s="240"/>
      <c r="DD121" s="240"/>
      <c r="DE121" s="240"/>
      <c r="DF121" s="240"/>
      <c r="DG121" s="240"/>
      <c r="DH121" s="282"/>
    </row>
    <row r="122" spans="1:112" ht="14.25" customHeight="1">
      <c r="B122" s="410" t="str">
        <f>B112</f>
        <v>Analog and interface</v>
      </c>
      <c r="C122" s="332"/>
      <c r="D122" s="411">
        <f t="shared" ref="D122:O122" si="423">D112/D$115</f>
        <v>7.4937795155639045E-2</v>
      </c>
      <c r="E122" s="412">
        <f t="shared" si="423"/>
        <v>7.3997013976747378E-2</v>
      </c>
      <c r="F122" s="412">
        <f t="shared" si="423"/>
        <v>7.6692501522624412E-2</v>
      </c>
      <c r="G122" s="413">
        <f t="shared" si="423"/>
        <v>6.8454971910288265E-2</v>
      </c>
      <c r="H122" s="411">
        <f t="shared" si="423"/>
        <v>7.2933911199568449E-2</v>
      </c>
      <c r="I122" s="412">
        <f t="shared" si="423"/>
        <v>7.3905250287857743E-2</v>
      </c>
      <c r="J122" s="412">
        <f t="shared" si="423"/>
        <v>7.2108874117111602E-2</v>
      </c>
      <c r="K122" s="413">
        <f t="shared" si="423"/>
        <v>7.2095403187067961E-2</v>
      </c>
      <c r="L122" s="411">
        <f t="shared" si="423"/>
        <v>7.4938315121607327E-2</v>
      </c>
      <c r="M122" s="412">
        <f t="shared" si="423"/>
        <v>6.8773958512691788E-2</v>
      </c>
      <c r="N122" s="412">
        <f t="shared" si="423"/>
        <v>6.0476960230592444E-2</v>
      </c>
      <c r="O122" s="413">
        <f t="shared" si="423"/>
        <v>6.4253206653114403E-2</v>
      </c>
      <c r="P122" s="411">
        <f t="shared" ref="P122:AT122" si="424">P112/P$115</f>
        <v>6.381820095457312E-2</v>
      </c>
      <c r="Q122" s="412">
        <f t="shared" si="424"/>
        <v>6.4730002023774949E-2</v>
      </c>
      <c r="R122" s="412">
        <f t="shared" si="424"/>
        <v>7.3811388869967992E-2</v>
      </c>
      <c r="S122" s="413">
        <f t="shared" si="424"/>
        <v>8.2494171739412009E-2</v>
      </c>
      <c r="T122" s="411">
        <f t="shared" si="424"/>
        <v>7.8588649321861534E-2</v>
      </c>
      <c r="U122" s="412">
        <f t="shared" si="424"/>
        <v>7.8470817440115859E-2</v>
      </c>
      <c r="V122" s="412">
        <f t="shared" si="424"/>
        <v>8.2970789310130522E-2</v>
      </c>
      <c r="W122" s="413">
        <f t="shared" si="424"/>
        <v>7.8028166831928591E-2</v>
      </c>
      <c r="X122" s="411">
        <f t="shared" si="424"/>
        <v>7.7543245781453538E-2</v>
      </c>
      <c r="Y122" s="412">
        <f t="shared" si="424"/>
        <v>7.9185144231326873E-2</v>
      </c>
      <c r="Z122" s="412">
        <f t="shared" si="424"/>
        <v>7.9121140142517823E-2</v>
      </c>
      <c r="AA122" s="413">
        <f t="shared" si="424"/>
        <v>8.2912855486179868E-2</v>
      </c>
      <c r="AB122" s="411">
        <f t="shared" si="424"/>
        <v>8.2529123100099938E-2</v>
      </c>
      <c r="AC122" s="412">
        <f t="shared" si="424"/>
        <v>9.1670189020637283E-2</v>
      </c>
      <c r="AD122" s="412">
        <f t="shared" si="424"/>
        <v>9.8659492313936892E-2</v>
      </c>
      <c r="AE122" s="413">
        <f t="shared" si="424"/>
        <v>9.5224902310493853E-2</v>
      </c>
      <c r="AF122" s="411">
        <f t="shared" si="424"/>
        <v>9.5926902963995669E-2</v>
      </c>
      <c r="AG122" s="412">
        <f t="shared" si="424"/>
        <v>0.1024569731890356</v>
      </c>
      <c r="AH122" s="412">
        <f t="shared" si="424"/>
        <v>0.10596203903254313</v>
      </c>
      <c r="AI122" s="413">
        <f t="shared" si="424"/>
        <v>0.11371484065894538</v>
      </c>
      <c r="AJ122" s="411">
        <f t="shared" si="424"/>
        <v>0.11640462023101154</v>
      </c>
      <c r="AK122" s="412">
        <f t="shared" si="424"/>
        <v>0.12138247473650893</v>
      </c>
      <c r="AL122" s="412">
        <f t="shared" si="424"/>
        <v>0.12027219539779896</v>
      </c>
      <c r="AM122" s="413">
        <f t="shared" si="424"/>
        <v>5.5352184954669273E-2</v>
      </c>
      <c r="AN122" s="411">
        <f t="shared" si="424"/>
        <v>0.11368278830569258</v>
      </c>
      <c r="AO122" s="412">
        <f t="shared" si="424"/>
        <v>0.12411847258677283</v>
      </c>
      <c r="AP122" s="412">
        <f t="shared" si="424"/>
        <v>0.13067967772120212</v>
      </c>
      <c r="AQ122" s="413">
        <f t="shared" si="424"/>
        <v>0.12776510647338085</v>
      </c>
      <c r="AR122" s="411">
        <f t="shared" si="424"/>
        <v>0.13399444529639284</v>
      </c>
      <c r="AS122" s="412">
        <f t="shared" si="424"/>
        <v>0.18280554555463374</v>
      </c>
      <c r="AT122" s="412">
        <f t="shared" si="424"/>
        <v>0.22426552769278471</v>
      </c>
      <c r="AU122" s="413">
        <f t="shared" si="410"/>
        <v>0.22594142259414224</v>
      </c>
      <c r="AV122" s="411">
        <f t="shared" si="410"/>
        <v>0.222990492653414</v>
      </c>
      <c r="AW122" s="412">
        <f t="shared" si="410"/>
        <v>0.22014780714840995</v>
      </c>
      <c r="AX122" s="412">
        <f t="shared" si="410"/>
        <v>0.22574626865671638</v>
      </c>
      <c r="AY122" s="413">
        <f t="shared" si="418"/>
        <v>0.21795568239863136</v>
      </c>
      <c r="AZ122" s="411">
        <f t="shared" si="418"/>
        <v>0.23706072462589611</v>
      </c>
      <c r="BA122" s="412">
        <f>BA111/BA$115</f>
        <v>5.9491122094087502E-2</v>
      </c>
      <c r="BB122" s="412">
        <f>BB111/BB$115</f>
        <v>6.2747063607648798E-2</v>
      </c>
      <c r="BC122" s="412">
        <f>BC111/BC$115</f>
        <v>6.0672514619883045E-2</v>
      </c>
      <c r="BD122" s="411">
        <f t="shared" si="419"/>
        <v>0.23797041752480808</v>
      </c>
      <c r="BE122" s="412">
        <f t="shared" si="419"/>
        <v>0.29544235924932977</v>
      </c>
      <c r="BF122" s="412">
        <f t="shared" si="420"/>
        <v>0.31151440274051523</v>
      </c>
      <c r="BG122" s="412">
        <f t="shared" si="420"/>
        <v>0.30203118018147979</v>
      </c>
      <c r="BH122" s="411">
        <f t="shared" si="420"/>
        <v>0.25463567449211966</v>
      </c>
      <c r="BI122" s="412">
        <f t="shared" si="420"/>
        <v>0.25743761694141348</v>
      </c>
      <c r="BJ122" s="412">
        <f t="shared" ref="BJ122:BM122" si="425">BJ112/BJ$115</f>
        <v>0.25882814884922267</v>
      </c>
      <c r="BK122" s="412">
        <f t="shared" si="425"/>
        <v>0.25533475283216606</v>
      </c>
      <c r="BL122" s="411">
        <f t="shared" si="425"/>
        <v>0.24590568652078248</v>
      </c>
      <c r="BM122" s="412">
        <f t="shared" si="425"/>
        <v>0.2363203077838123</v>
      </c>
      <c r="BN122" s="412">
        <f t="shared" ref="BN122" si="426">BN112/BN$115</f>
        <v>0.23279302548257577</v>
      </c>
      <c r="BO122" s="415"/>
      <c r="BP122" s="416"/>
      <c r="BQ122" s="414"/>
      <c r="BR122" s="414"/>
      <c r="BS122" s="415"/>
      <c r="BT122" s="416"/>
      <c r="BU122" s="414"/>
      <c r="BV122" s="414"/>
      <c r="BW122" s="415"/>
      <c r="BX122" s="378"/>
      <c r="BY122" s="369">
        <f>BY112/IS!BY$8</f>
        <v>7.3559163849925252E-2</v>
      </c>
      <c r="BZ122" s="369">
        <f>BZ112/IS!BZ$8</f>
        <v>7.272831278780427E-2</v>
      </c>
      <c r="CA122" s="369">
        <f>CA112/IS!CA$8</f>
        <v>6.7199882871905314E-2</v>
      </c>
      <c r="CB122" s="369">
        <f>CB112/IS!CB$8</f>
        <v>7.1537343206598172E-2</v>
      </c>
      <c r="CC122" s="369">
        <f>CC112/IS!CC$8</f>
        <v>7.9477065340862629E-2</v>
      </c>
      <c r="CD122" s="240">
        <f>CD112/IS!CD$8</f>
        <v>7.968818339018495E-2</v>
      </c>
      <c r="CE122" s="240">
        <f>CE112/IS!CE$8</f>
        <v>9.1125067392009484E-2</v>
      </c>
      <c r="CF122" s="240">
        <f>CF112/IS!CF$8</f>
        <v>0.10535501182300001</v>
      </c>
      <c r="CG122" s="240">
        <f>CG112/IS!CG$8</f>
        <v>0.10304161161373182</v>
      </c>
      <c r="CH122" s="240">
        <f>CH112/IS!CH$8</f>
        <v>0.12374780938940523</v>
      </c>
      <c r="CI122" s="240">
        <f>CI112/IS!CI$8</f>
        <v>0.1945836650074006</v>
      </c>
      <c r="CJ122" s="240">
        <f>CJ112/IS!CJ$8</f>
        <v>0.2216674770365008</v>
      </c>
      <c r="CK122" s="369"/>
      <c r="CL122" s="369"/>
      <c r="CM122" s="369"/>
      <c r="CN122" s="369"/>
      <c r="CO122" s="369"/>
      <c r="CP122" s="368"/>
      <c r="CQ122" s="452"/>
      <c r="CR122" s="1525"/>
      <c r="CS122" s="1028">
        <f>CS112/IS!CS$8</f>
        <v>6.9067423591934754E-2</v>
      </c>
      <c r="CT122" s="240">
        <f>CT112/IS!CT$8</f>
        <v>6.6794253851242796E-2</v>
      </c>
      <c r="CU122" s="240">
        <f>CU112/IS!CU$8</f>
        <v>8.0557653740228871E-2</v>
      </c>
      <c r="CV122" s="240">
        <f>CV112/IS!CV$8</f>
        <v>7.8460950464201581E-2</v>
      </c>
      <c r="CW122" s="240">
        <f>CW112/IS!CW$8</f>
        <v>8.8248716255646356E-2</v>
      </c>
      <c r="CX122" s="240">
        <f>CX112/IS!CX$8</f>
        <v>0.10051580023773313</v>
      </c>
      <c r="CY122" s="240">
        <f>CY112/IS!CY$8</f>
        <v>0.11826542692962949</v>
      </c>
      <c r="CZ122" s="240">
        <f>CZ112/IS!CZ$8</f>
        <v>0.10454414604177639</v>
      </c>
      <c r="DA122" s="1028">
        <f>DA112/IS!DA$8</f>
        <v>0.17033058461208136</v>
      </c>
      <c r="DB122" s="240"/>
      <c r="DC122" s="240"/>
      <c r="DD122" s="240"/>
      <c r="DE122" s="240"/>
      <c r="DF122" s="240"/>
      <c r="DG122" s="240"/>
      <c r="DH122" s="282"/>
    </row>
    <row r="123" spans="1:112" ht="14.25" customHeight="1">
      <c r="B123" s="410" t="str">
        <f>B113</f>
        <v>Technology licensing</v>
      </c>
      <c r="C123" s="332"/>
      <c r="D123" s="411">
        <f t="shared" ref="D123:O123" si="427">D113/D$115</f>
        <v>0</v>
      </c>
      <c r="E123" s="412">
        <f t="shared" si="427"/>
        <v>0</v>
      </c>
      <c r="F123" s="412">
        <f t="shared" si="427"/>
        <v>0</v>
      </c>
      <c r="G123" s="413">
        <f t="shared" si="427"/>
        <v>0</v>
      </c>
      <c r="H123" s="411">
        <f t="shared" si="427"/>
        <v>0</v>
      </c>
      <c r="I123" s="412">
        <f t="shared" si="427"/>
        <v>0</v>
      </c>
      <c r="J123" s="412">
        <f t="shared" si="427"/>
        <v>0</v>
      </c>
      <c r="K123" s="413">
        <f t="shared" si="427"/>
        <v>0</v>
      </c>
      <c r="L123" s="411">
        <f t="shared" si="427"/>
        <v>0</v>
      </c>
      <c r="M123" s="412">
        <f t="shared" si="427"/>
        <v>0</v>
      </c>
      <c r="N123" s="412">
        <f t="shared" si="427"/>
        <v>0</v>
      </c>
      <c r="O123" s="413">
        <f t="shared" si="427"/>
        <v>0</v>
      </c>
      <c r="P123" s="411">
        <f t="shared" ref="P123:S124" si="428">P113/P$115</f>
        <v>0</v>
      </c>
      <c r="Q123" s="412">
        <f t="shared" si="428"/>
        <v>0</v>
      </c>
      <c r="R123" s="412">
        <f t="shared" si="428"/>
        <v>0</v>
      </c>
      <c r="S123" s="413">
        <f t="shared" si="428"/>
        <v>0</v>
      </c>
      <c r="T123" s="411">
        <f t="shared" ref="T123:AM123" si="429">T113/T$115</f>
        <v>0</v>
      </c>
      <c r="U123" s="412">
        <f t="shared" si="429"/>
        <v>0</v>
      </c>
      <c r="V123" s="412">
        <f t="shared" si="429"/>
        <v>0</v>
      </c>
      <c r="W123" s="413">
        <f t="shared" si="429"/>
        <v>0</v>
      </c>
      <c r="X123" s="411">
        <f t="shared" si="429"/>
        <v>0</v>
      </c>
      <c r="Y123" s="412">
        <f t="shared" si="429"/>
        <v>0</v>
      </c>
      <c r="Z123" s="412">
        <f t="shared" si="429"/>
        <v>0</v>
      </c>
      <c r="AA123" s="413">
        <f t="shared" si="429"/>
        <v>0</v>
      </c>
      <c r="AB123" s="411">
        <f t="shared" si="429"/>
        <v>0</v>
      </c>
      <c r="AC123" s="412">
        <f t="shared" si="429"/>
        <v>0</v>
      </c>
      <c r="AD123" s="412">
        <f t="shared" si="429"/>
        <v>0</v>
      </c>
      <c r="AE123" s="413">
        <f t="shared" si="429"/>
        <v>0</v>
      </c>
      <c r="AF123" s="411">
        <f t="shared" si="429"/>
        <v>0</v>
      </c>
      <c r="AG123" s="412">
        <f t="shared" si="429"/>
        <v>0</v>
      </c>
      <c r="AH123" s="412">
        <f t="shared" si="429"/>
        <v>0</v>
      </c>
      <c r="AI123" s="413">
        <f t="shared" si="429"/>
        <v>0</v>
      </c>
      <c r="AJ123" s="411">
        <f t="shared" si="429"/>
        <v>4.300175008750437E-2</v>
      </c>
      <c r="AK123" s="412">
        <f t="shared" si="429"/>
        <v>4.5182606056959583E-2</v>
      </c>
      <c r="AL123" s="412">
        <f t="shared" si="429"/>
        <v>5.1812823524294234E-2</v>
      </c>
      <c r="AM123" s="413">
        <f t="shared" si="429"/>
        <v>5.3636327749779604E-2</v>
      </c>
      <c r="AN123" s="411">
        <f t="shared" ref="AN123:AT123" si="430">AN113/AN$115</f>
        <v>5.5131145746274438E-2</v>
      </c>
      <c r="AO123" s="412">
        <f t="shared" si="430"/>
        <v>6.4544541723184259E-2</v>
      </c>
      <c r="AP123" s="412">
        <f t="shared" si="430"/>
        <v>7.0048852215970542E-2</v>
      </c>
      <c r="AQ123" s="413">
        <f t="shared" si="430"/>
        <v>6.2886716571607298E-2</v>
      </c>
      <c r="AR123" s="411">
        <f t="shared" si="430"/>
        <v>5.7597391901946418E-2</v>
      </c>
      <c r="AS123" s="412">
        <f t="shared" si="430"/>
        <v>5.2494403832005383E-2</v>
      </c>
      <c r="AT123" s="412">
        <f t="shared" si="430"/>
        <v>5.128747473242206E-2</v>
      </c>
      <c r="AU123" s="413">
        <f t="shared" si="410"/>
        <v>5.1371455137145514E-2</v>
      </c>
      <c r="AV123" s="411">
        <f t="shared" si="410"/>
        <v>4.8617113223854792E-2</v>
      </c>
      <c r="AW123" s="412">
        <f t="shared" si="410"/>
        <v>5.0390830354660021E-2</v>
      </c>
      <c r="AX123" s="412">
        <f>AX113/AX$115</f>
        <v>4.9958540630182416E-2</v>
      </c>
      <c r="AY123" s="413">
        <f t="shared" si="418"/>
        <v>4.6928334563026516E-2</v>
      </c>
      <c r="AZ123" s="411">
        <f t="shared" si="418"/>
        <v>3.8578131116477586E-2</v>
      </c>
      <c r="BA123" s="412">
        <f t="shared" si="418"/>
        <v>4.1369211056196238E-2</v>
      </c>
      <c r="BB123" s="412">
        <f>BB113/BB$115</f>
        <v>4.3401864916494858E-2</v>
      </c>
      <c r="BC123" s="412">
        <f>BC113/BC$115</f>
        <v>4.3128654970760232E-2</v>
      </c>
      <c r="BD123" s="411">
        <f t="shared" si="419"/>
        <v>4.3624789365287402E-2</v>
      </c>
      <c r="BE123" s="412">
        <f t="shared" si="419"/>
        <v>4.1465594280607684E-2</v>
      </c>
      <c r="BF123" s="412">
        <f t="shared" si="420"/>
        <v>4.1151204772351381E-2</v>
      </c>
      <c r="BG123" s="412">
        <f t="shared" si="420"/>
        <v>3.5131359972415635E-2</v>
      </c>
      <c r="BH123" s="411">
        <f t="shared" si="420"/>
        <v>2.4393422733229229E-2</v>
      </c>
      <c r="BI123" s="412">
        <f t="shared" si="420"/>
        <v>2.7087493634381784E-2</v>
      </c>
      <c r="BJ123" s="412">
        <f t="shared" ref="BJ123:BM123" si="431">BJ113/BJ$115</f>
        <v>2.704760737505206E-2</v>
      </c>
      <c r="BK123" s="412">
        <f t="shared" si="431"/>
        <v>2.5550978988906198E-2</v>
      </c>
      <c r="BL123" s="411">
        <f t="shared" si="431"/>
        <v>2.5752437146463324E-2</v>
      </c>
      <c r="BM123" s="412">
        <f t="shared" si="431"/>
        <v>2.5468833826183951E-2</v>
      </c>
      <c r="BN123" s="412">
        <f t="shared" ref="BN123" si="432">BN113/BN$115</f>
        <v>2.7729500084485961E-2</v>
      </c>
      <c r="BO123" s="415"/>
      <c r="BP123" s="416"/>
      <c r="BQ123" s="414"/>
      <c r="BR123" s="414"/>
      <c r="BS123" s="415"/>
      <c r="BT123" s="416"/>
      <c r="BU123" s="414"/>
      <c r="BV123" s="414"/>
      <c r="BW123" s="415"/>
      <c r="BX123" s="378"/>
      <c r="BY123" s="369">
        <f>BY113/IS!BY$8</f>
        <v>0</v>
      </c>
      <c r="BZ123" s="369">
        <f>BZ113/IS!BZ$8</f>
        <v>0</v>
      </c>
      <c r="CA123" s="369">
        <f>CA113/IS!CA$8</f>
        <v>0</v>
      </c>
      <c r="CB123" s="369">
        <f>CB113/IS!CB$8</f>
        <v>0</v>
      </c>
      <c r="CC123" s="369">
        <f>CC113/IS!CC$8</f>
        <v>0</v>
      </c>
      <c r="CD123" s="240">
        <f>CD113/IS!CD$8</f>
        <v>0</v>
      </c>
      <c r="CE123" s="240">
        <f>CE113/IS!CE$8</f>
        <v>0</v>
      </c>
      <c r="CF123" s="240">
        <f>CF113/IS!CF$8</f>
        <v>0</v>
      </c>
      <c r="CG123" s="240">
        <f>CG113/IS!CG$8</f>
        <v>4.8458685924267338E-2</v>
      </c>
      <c r="CH123" s="240">
        <f>CH113/IS!CH$8</f>
        <v>6.2899443020989376E-2</v>
      </c>
      <c r="CI123" s="240">
        <f>CI113/IS!CI$8</f>
        <v>5.3009471915873761E-2</v>
      </c>
      <c r="CJ123" s="240">
        <f>CJ113/IS!CJ$8</f>
        <v>4.8973264009171409E-2</v>
      </c>
      <c r="CK123" s="369"/>
      <c r="CL123" s="369"/>
      <c r="CM123" s="369"/>
      <c r="CN123" s="369"/>
      <c r="CO123" s="369"/>
      <c r="CP123" s="368"/>
      <c r="CQ123" s="452"/>
      <c r="CR123" s="1525"/>
      <c r="CS123" s="1028">
        <f>CS113/IS!CS$8</f>
        <v>0</v>
      </c>
      <c r="CT123" s="240">
        <f>CT113/IS!CT$8</f>
        <v>0</v>
      </c>
      <c r="CU123" s="240">
        <f>CU113/IS!CU$8</f>
        <v>0</v>
      </c>
      <c r="CV123" s="240">
        <f>CV113/IS!CV$8</f>
        <v>0</v>
      </c>
      <c r="CW123" s="240">
        <f>CW113/IS!CW$8</f>
        <v>0</v>
      </c>
      <c r="CX123" s="240">
        <f>CX113/IS!CX$8</f>
        <v>0</v>
      </c>
      <c r="CY123" s="240">
        <f>CY113/IS!CY$8</f>
        <v>3.731266784095174E-2</v>
      </c>
      <c r="CZ123" s="240">
        <f>CZ113/IS!CZ$8</f>
        <v>6.0431104089871866E-2</v>
      </c>
      <c r="DA123" s="1028">
        <f>DA113/IS!DA$8</f>
        <v>5.5726353504787336E-2</v>
      </c>
      <c r="DB123" s="240"/>
      <c r="DC123" s="240"/>
      <c r="DD123" s="240"/>
      <c r="DE123" s="240"/>
      <c r="DF123" s="240"/>
      <c r="DG123" s="240"/>
      <c r="DH123" s="282"/>
    </row>
    <row r="124" spans="1:112" ht="14.25" customHeight="1">
      <c r="B124" s="410" t="s">
        <v>541</v>
      </c>
      <c r="C124" s="332"/>
      <c r="D124" s="411">
        <f t="shared" ref="D124:O124" si="433">D114/D$115</f>
        <v>0</v>
      </c>
      <c r="E124" s="412">
        <f t="shared" si="433"/>
        <v>0</v>
      </c>
      <c r="F124" s="412">
        <f t="shared" si="433"/>
        <v>0</v>
      </c>
      <c r="G124" s="413">
        <f t="shared" si="433"/>
        <v>0</v>
      </c>
      <c r="H124" s="411">
        <f t="shared" si="433"/>
        <v>0</v>
      </c>
      <c r="I124" s="412">
        <f t="shared" si="433"/>
        <v>0</v>
      </c>
      <c r="J124" s="412">
        <f t="shared" si="433"/>
        <v>0</v>
      </c>
      <c r="K124" s="413">
        <f t="shared" si="433"/>
        <v>0</v>
      </c>
      <c r="L124" s="411">
        <f t="shared" si="433"/>
        <v>0</v>
      </c>
      <c r="M124" s="412">
        <f t="shared" si="433"/>
        <v>0</v>
      </c>
      <c r="N124" s="412">
        <f t="shared" si="433"/>
        <v>0</v>
      </c>
      <c r="O124" s="413">
        <f t="shared" si="433"/>
        <v>0</v>
      </c>
      <c r="P124" s="411">
        <f t="shared" si="428"/>
        <v>0</v>
      </c>
      <c r="Q124" s="412">
        <f t="shared" si="428"/>
        <v>0</v>
      </c>
      <c r="R124" s="412">
        <f t="shared" si="428"/>
        <v>0</v>
      </c>
      <c r="S124" s="413">
        <f t="shared" si="428"/>
        <v>0</v>
      </c>
      <c r="T124" s="411">
        <f t="shared" ref="T124:AM124" si="434">T114/T$115</f>
        <v>0</v>
      </c>
      <c r="U124" s="412">
        <f t="shared" si="434"/>
        <v>0</v>
      </c>
      <c r="V124" s="412">
        <f t="shared" si="434"/>
        <v>0</v>
      </c>
      <c r="W124" s="413">
        <f t="shared" si="434"/>
        <v>0</v>
      </c>
      <c r="X124" s="411">
        <f t="shared" si="434"/>
        <v>0</v>
      </c>
      <c r="Y124" s="412">
        <f t="shared" si="434"/>
        <v>0</v>
      </c>
      <c r="Z124" s="412">
        <f t="shared" si="434"/>
        <v>0</v>
      </c>
      <c r="AA124" s="413">
        <f t="shared" si="434"/>
        <v>0</v>
      </c>
      <c r="AB124" s="411">
        <f t="shared" si="434"/>
        <v>0</v>
      </c>
      <c r="AC124" s="412">
        <f t="shared" si="434"/>
        <v>0</v>
      </c>
      <c r="AD124" s="412">
        <f t="shared" si="434"/>
        <v>0</v>
      </c>
      <c r="AE124" s="413">
        <f t="shared" si="434"/>
        <v>0</v>
      </c>
      <c r="AF124" s="411">
        <f t="shared" si="434"/>
        <v>0</v>
      </c>
      <c r="AG124" s="412">
        <f t="shared" si="434"/>
        <v>0</v>
      </c>
      <c r="AH124" s="412">
        <f t="shared" si="434"/>
        <v>0</v>
      </c>
      <c r="AI124" s="413">
        <f t="shared" si="434"/>
        <v>0</v>
      </c>
      <c r="AJ124" s="411">
        <f t="shared" si="434"/>
        <v>0</v>
      </c>
      <c r="AK124" s="412">
        <f t="shared" si="434"/>
        <v>0</v>
      </c>
      <c r="AL124" s="412">
        <f t="shared" si="434"/>
        <v>0</v>
      </c>
      <c r="AM124" s="413">
        <f t="shared" si="434"/>
        <v>5.2291537823861475E-3</v>
      </c>
      <c r="AN124" s="411">
        <f t="shared" ref="AN124:AT124" si="435">AN114/AN$115</f>
        <v>1.1716736936826282E-2</v>
      </c>
      <c r="AO124" s="412">
        <f t="shared" si="435"/>
        <v>1.372863341965109E-2</v>
      </c>
      <c r="AP124" s="412">
        <f t="shared" si="435"/>
        <v>1.3564996536596628E-2</v>
      </c>
      <c r="AQ124" s="413">
        <f t="shared" si="435"/>
        <v>1.1079604970036377E-2</v>
      </c>
      <c r="AR124" s="411">
        <f t="shared" si="435"/>
        <v>1.0246099496214509E-2</v>
      </c>
      <c r="AS124" s="412">
        <f t="shared" si="435"/>
        <v>8.4086011406268747E-3</v>
      </c>
      <c r="AT124" s="412">
        <f t="shared" si="435"/>
        <v>6.9583484558235001E-3</v>
      </c>
      <c r="AU124" s="413">
        <f t="shared" si="410"/>
        <v>5.3463505346350521E-3</v>
      </c>
      <c r="AV124" s="411">
        <f t="shared" si="410"/>
        <v>6.0501296456352627E-3</v>
      </c>
      <c r="AW124" s="412">
        <f t="shared" si="410"/>
        <v>6.8849470942965755E-3</v>
      </c>
      <c r="AX124" s="412">
        <f>AX114/AX$115</f>
        <v>7.4626865671641781E-3</v>
      </c>
      <c r="AY124" s="413">
        <f t="shared" si="418"/>
        <v>6.3788644121391003E-3</v>
      </c>
      <c r="AZ124" s="411">
        <f t="shared" si="418"/>
        <v>1.1157400666040087E-2</v>
      </c>
      <c r="BA124" s="412">
        <f t="shared" si="418"/>
        <v>1.2447373238147539E-2</v>
      </c>
      <c r="BB124" s="412">
        <f>BB114/BB$115</f>
        <v>1.6368141325112065E-2</v>
      </c>
      <c r="BC124" s="412">
        <f>BC114/BC$115</f>
        <v>1.6812865497076019E-2</v>
      </c>
      <c r="BD124" s="411">
        <f t="shared" si="419"/>
        <v>6.9275416588653813E-3</v>
      </c>
      <c r="BE124" s="412">
        <f t="shared" si="419"/>
        <v>1.161751563896336E-2</v>
      </c>
      <c r="BF124" s="412">
        <f t="shared" si="420"/>
        <v>1.2604775612168556E-2</v>
      </c>
      <c r="BG124" s="412">
        <f t="shared" si="420"/>
        <v>1.6105538334875571E-2</v>
      </c>
      <c r="BH124" s="411">
        <f t="shared" si="420"/>
        <v>2.7193192400929864E-2</v>
      </c>
      <c r="BI124" s="412">
        <f t="shared" si="420"/>
        <v>2.7778699640092244E-2</v>
      </c>
      <c r="BJ124" s="412">
        <f t="shared" ref="BJ124:BM124" si="436">BJ114/BJ$115</f>
        <v>3.0344296953995008E-2</v>
      </c>
      <c r="BK124" s="412">
        <f t="shared" si="436"/>
        <v>2.5665085424730744E-2</v>
      </c>
      <c r="BL124" s="411">
        <f t="shared" si="436"/>
        <v>2.3718781534777363E-2</v>
      </c>
      <c r="BM124" s="412">
        <f t="shared" si="436"/>
        <v>2.9473224527461147E-2</v>
      </c>
      <c r="BN124" s="412">
        <f t="shared" ref="BN124" si="437">BN114/BN$115</f>
        <v>2.6204729604686151E-2</v>
      </c>
      <c r="BO124" s="415"/>
      <c r="BP124" s="416"/>
      <c r="BQ124" s="414"/>
      <c r="BR124" s="414"/>
      <c r="BS124" s="415"/>
      <c r="BT124" s="416"/>
      <c r="BU124" s="414"/>
      <c r="BV124" s="414"/>
      <c r="BW124" s="415"/>
      <c r="BX124" s="378"/>
      <c r="BY124" s="369">
        <f>BY114/IS!BY$8</f>
        <v>0</v>
      </c>
      <c r="BZ124" s="369">
        <f>BZ114/IS!BZ$8</f>
        <v>0</v>
      </c>
      <c r="CA124" s="369">
        <f>CA114/IS!CA$8</f>
        <v>0</v>
      </c>
      <c r="CB124" s="369">
        <f>CB114/IS!CB$8</f>
        <v>0</v>
      </c>
      <c r="CC124" s="369">
        <f>CC114/IS!CC$8</f>
        <v>0</v>
      </c>
      <c r="CD124" s="240">
        <f>CD114/IS!CD$8</f>
        <v>0</v>
      </c>
      <c r="CE124" s="240">
        <f>CE114/IS!CE$8</f>
        <v>0</v>
      </c>
      <c r="CF124" s="240">
        <f>CF114/IS!CF$8</f>
        <v>0</v>
      </c>
      <c r="CG124" s="240">
        <f>CG114/IS!CG$8</f>
        <v>1.3360632865005162E-3</v>
      </c>
      <c r="CH124" s="240">
        <f>CH114/IS!CH$8</f>
        <v>1.2495879049376218E-2</v>
      </c>
      <c r="CI124" s="240">
        <f>CI114/IS!CI$8</f>
        <v>7.6035818902481815E-3</v>
      </c>
      <c r="CJ124" s="240">
        <f>CJ114/IS!CJ$8</f>
        <v>6.6999203093179053E-3</v>
      </c>
      <c r="CK124" s="369"/>
      <c r="CL124" s="369"/>
      <c r="CM124" s="369"/>
      <c r="CN124" s="369"/>
      <c r="CO124" s="369"/>
      <c r="CP124" s="368"/>
      <c r="CQ124" s="452"/>
      <c r="CR124" s="1525"/>
      <c r="CS124" s="1028">
        <f>CS114/IS!CS$8</f>
        <v>0</v>
      </c>
      <c r="CT124" s="240">
        <f>CT114/IS!CT$8</f>
        <v>0</v>
      </c>
      <c r="CU124" s="240">
        <f>CU114/IS!CU$8</f>
        <v>0</v>
      </c>
      <c r="CV124" s="240">
        <f>CV114/IS!CV$8</f>
        <v>0</v>
      </c>
      <c r="CW124" s="240">
        <f>CW114/IS!CW$8</f>
        <v>0</v>
      </c>
      <c r="CX124" s="240">
        <f>CX114/IS!CX$8</f>
        <v>0</v>
      </c>
      <c r="CY124" s="240">
        <f>CY114/IS!CY$8</f>
        <v>0</v>
      </c>
      <c r="CZ124" s="240">
        <f>CZ114/IS!CZ$8</f>
        <v>1.0894154818325435E-2</v>
      </c>
      <c r="DA124" s="1028">
        <f>DA114/IS!DA$8</f>
        <v>9.0452834492985041E-3</v>
      </c>
      <c r="DB124" s="240"/>
      <c r="DC124" s="240"/>
      <c r="DD124" s="240"/>
      <c r="DE124" s="240"/>
      <c r="DF124" s="240"/>
      <c r="DG124" s="240"/>
      <c r="DH124" s="282"/>
    </row>
    <row r="125" spans="1:112" ht="14.25" customHeight="1">
      <c r="A125" s="100"/>
      <c r="B125" s="418" t="s">
        <v>139</v>
      </c>
      <c r="C125" s="388"/>
      <c r="D125" s="419">
        <f t="shared" ref="D125:S125" si="438">SUM(D120:D124)</f>
        <v>0.99999999999999989</v>
      </c>
      <c r="E125" s="420">
        <f t="shared" si="438"/>
        <v>0.99999999999999989</v>
      </c>
      <c r="F125" s="420">
        <f t="shared" si="438"/>
        <v>1</v>
      </c>
      <c r="G125" s="421">
        <f t="shared" si="438"/>
        <v>0.99999999999999989</v>
      </c>
      <c r="H125" s="419">
        <f t="shared" si="438"/>
        <v>1</v>
      </c>
      <c r="I125" s="420">
        <f t="shared" si="438"/>
        <v>1</v>
      </c>
      <c r="J125" s="420">
        <f t="shared" si="438"/>
        <v>1</v>
      </c>
      <c r="K125" s="421">
        <f t="shared" si="438"/>
        <v>1</v>
      </c>
      <c r="L125" s="419">
        <f t="shared" si="438"/>
        <v>0.99999999999999989</v>
      </c>
      <c r="M125" s="420">
        <f t="shared" si="438"/>
        <v>1.0000000000000002</v>
      </c>
      <c r="N125" s="420">
        <f t="shared" si="438"/>
        <v>1</v>
      </c>
      <c r="O125" s="421">
        <f t="shared" si="438"/>
        <v>1</v>
      </c>
      <c r="P125" s="419">
        <f t="shared" si="438"/>
        <v>1</v>
      </c>
      <c r="Q125" s="420">
        <f t="shared" si="438"/>
        <v>1</v>
      </c>
      <c r="R125" s="420">
        <f t="shared" si="438"/>
        <v>1</v>
      </c>
      <c r="S125" s="421">
        <f t="shared" si="438"/>
        <v>1</v>
      </c>
      <c r="T125" s="419">
        <f t="shared" ref="T125:AW125" si="439">SUM(T120:T124)</f>
        <v>0.99999999999999989</v>
      </c>
      <c r="U125" s="420">
        <f t="shared" si="439"/>
        <v>1</v>
      </c>
      <c r="V125" s="420">
        <f t="shared" si="439"/>
        <v>1</v>
      </c>
      <c r="W125" s="421">
        <f t="shared" si="439"/>
        <v>1</v>
      </c>
      <c r="X125" s="419">
        <f t="shared" si="439"/>
        <v>1</v>
      </c>
      <c r="Y125" s="420">
        <f t="shared" si="439"/>
        <v>1</v>
      </c>
      <c r="Z125" s="420">
        <f t="shared" si="439"/>
        <v>1</v>
      </c>
      <c r="AA125" s="421">
        <f t="shared" si="439"/>
        <v>0.99999999999999989</v>
      </c>
      <c r="AB125" s="419">
        <f t="shared" si="439"/>
        <v>1</v>
      </c>
      <c r="AC125" s="420">
        <f t="shared" si="439"/>
        <v>0.99999999999999989</v>
      </c>
      <c r="AD125" s="420">
        <f t="shared" si="439"/>
        <v>1</v>
      </c>
      <c r="AE125" s="421">
        <f t="shared" si="439"/>
        <v>1</v>
      </c>
      <c r="AF125" s="419">
        <f t="shared" si="439"/>
        <v>0.99999999999999989</v>
      </c>
      <c r="AG125" s="420">
        <f t="shared" si="439"/>
        <v>1</v>
      </c>
      <c r="AH125" s="420">
        <f t="shared" si="439"/>
        <v>1</v>
      </c>
      <c r="AI125" s="421">
        <f t="shared" si="439"/>
        <v>1</v>
      </c>
      <c r="AJ125" s="419">
        <f t="shared" si="439"/>
        <v>0.99999999999999989</v>
      </c>
      <c r="AK125" s="420">
        <f t="shared" si="439"/>
        <v>1</v>
      </c>
      <c r="AL125" s="420">
        <f t="shared" si="439"/>
        <v>1.0000000000000002</v>
      </c>
      <c r="AM125" s="421">
        <f t="shared" si="439"/>
        <v>1</v>
      </c>
      <c r="AN125" s="419">
        <f t="shared" si="439"/>
        <v>1.0000000000000002</v>
      </c>
      <c r="AO125" s="420">
        <f t="shared" si="439"/>
        <v>1.0000000000000002</v>
      </c>
      <c r="AP125" s="420">
        <f t="shared" si="439"/>
        <v>1</v>
      </c>
      <c r="AQ125" s="421">
        <f t="shared" si="439"/>
        <v>1.0000000000000002</v>
      </c>
      <c r="AR125" s="419">
        <f t="shared" si="439"/>
        <v>1</v>
      </c>
      <c r="AS125" s="420">
        <f t="shared" si="439"/>
        <v>1</v>
      </c>
      <c r="AT125" s="420">
        <f t="shared" si="439"/>
        <v>1</v>
      </c>
      <c r="AU125" s="421">
        <f t="shared" si="439"/>
        <v>1</v>
      </c>
      <c r="AV125" s="419">
        <f t="shared" si="439"/>
        <v>0.99999999999999989</v>
      </c>
      <c r="AW125" s="420">
        <f t="shared" si="439"/>
        <v>0.99999999999999989</v>
      </c>
      <c r="AX125" s="420">
        <f t="shared" ref="AX125:BC125" si="440">SUM(AX120:AX124)</f>
        <v>1</v>
      </c>
      <c r="AY125" s="421">
        <f t="shared" si="440"/>
        <v>1</v>
      </c>
      <c r="AZ125" s="419">
        <f t="shared" si="440"/>
        <v>1</v>
      </c>
      <c r="BA125" s="420">
        <f t="shared" si="440"/>
        <v>1.0000000000000002</v>
      </c>
      <c r="BB125" s="420">
        <f t="shared" si="440"/>
        <v>1</v>
      </c>
      <c r="BC125" s="420">
        <f t="shared" si="440"/>
        <v>0.99999999999999989</v>
      </c>
      <c r="BD125" s="419">
        <f t="shared" ref="BD125:BI125" si="441">SUM(BD120:BD124)</f>
        <v>0.99999999999999978</v>
      </c>
      <c r="BE125" s="420">
        <f t="shared" si="441"/>
        <v>1</v>
      </c>
      <c r="BF125" s="420">
        <f t="shared" si="441"/>
        <v>1.0000000000000002</v>
      </c>
      <c r="BG125" s="420">
        <f t="shared" si="441"/>
        <v>1</v>
      </c>
      <c r="BH125" s="419">
        <f t="shared" si="441"/>
        <v>1</v>
      </c>
      <c r="BI125" s="420">
        <f t="shared" si="441"/>
        <v>1</v>
      </c>
      <c r="BJ125" s="420">
        <f t="shared" ref="BJ125:BM125" si="442">SUM(BJ120:BJ124)</f>
        <v>1</v>
      </c>
      <c r="BK125" s="420">
        <f t="shared" si="442"/>
        <v>1.0000000000000002</v>
      </c>
      <c r="BL125" s="419">
        <f t="shared" si="442"/>
        <v>1.0000000000000002</v>
      </c>
      <c r="BM125" s="420">
        <f t="shared" si="442"/>
        <v>1</v>
      </c>
      <c r="BN125" s="420">
        <f t="shared" ref="BN125" si="443">SUM(BN120:BN124)</f>
        <v>0.99999999999999989</v>
      </c>
      <c r="BO125" s="423"/>
      <c r="BP125" s="424"/>
      <c r="BQ125" s="422"/>
      <c r="BR125" s="422"/>
      <c r="BS125" s="423"/>
      <c r="BT125" s="424"/>
      <c r="BU125" s="422"/>
      <c r="BV125" s="422"/>
      <c r="BW125" s="423"/>
      <c r="BX125" s="395"/>
      <c r="BY125" s="425">
        <f>SUM(BY120:BY124)</f>
        <v>1.0000000000000002</v>
      </c>
      <c r="BZ125" s="425">
        <f>SUM(BZ120:BZ124)</f>
        <v>1</v>
      </c>
      <c r="CA125" s="425">
        <f>SUM(CA120:CA124)</f>
        <v>1</v>
      </c>
      <c r="CB125" s="425">
        <f t="shared" ref="CB125:CH125" si="444">SUM(CB120:CB124)</f>
        <v>0.9998922289531228</v>
      </c>
      <c r="CC125" s="425">
        <f t="shared" si="444"/>
        <v>0.99999999999999989</v>
      </c>
      <c r="CD125" s="426">
        <f t="shared" si="444"/>
        <v>0.99999999999999989</v>
      </c>
      <c r="CE125" s="426">
        <f t="shared" si="444"/>
        <v>1</v>
      </c>
      <c r="CF125" s="426">
        <f t="shared" si="444"/>
        <v>0.99999999999999989</v>
      </c>
      <c r="CG125" s="426">
        <f t="shared" si="444"/>
        <v>1.0000000000000002</v>
      </c>
      <c r="CH125" s="426">
        <f t="shared" si="444"/>
        <v>1</v>
      </c>
      <c r="CI125" s="426">
        <f>SUM(CI120:CI124)</f>
        <v>1.000035406667708</v>
      </c>
      <c r="CJ125" s="426">
        <f>SUM(CJ120:CJ124)</f>
        <v>0.99999999999999989</v>
      </c>
      <c r="CK125" s="425"/>
      <c r="CL125" s="425"/>
      <c r="CM125" s="425"/>
      <c r="CN125" s="425"/>
      <c r="CO125" s="425"/>
      <c r="CP125" s="427"/>
      <c r="CQ125" s="333"/>
      <c r="CR125" s="1524"/>
      <c r="CS125" s="1029">
        <f>SUM(CS120:CS124)</f>
        <v>0.99999999999999989</v>
      </c>
      <c r="CT125" s="426">
        <f>SUM(CT120:CT124)</f>
        <v>1</v>
      </c>
      <c r="CU125" s="426">
        <f>SUM(CU120:CU124)</f>
        <v>0.99990278681050337</v>
      </c>
      <c r="CV125" s="426">
        <f t="shared" ref="CV125:DA125" si="445">SUM(CV120:CV124)</f>
        <v>1.0000000000000002</v>
      </c>
      <c r="CW125" s="426">
        <f t="shared" si="445"/>
        <v>1</v>
      </c>
      <c r="CX125" s="426">
        <f t="shared" si="445"/>
        <v>1</v>
      </c>
      <c r="CY125" s="426">
        <f t="shared" si="445"/>
        <v>0.99999999999999978</v>
      </c>
      <c r="CZ125" s="426">
        <f t="shared" si="445"/>
        <v>1</v>
      </c>
      <c r="DA125" s="1029">
        <f t="shared" si="445"/>
        <v>1</v>
      </c>
      <c r="DB125" s="426"/>
      <c r="DC125" s="426"/>
      <c r="DD125" s="426"/>
      <c r="DE125" s="426"/>
      <c r="DF125" s="426"/>
      <c r="DG125" s="426"/>
      <c r="DH125" s="1030"/>
    </row>
    <row r="126" spans="1:112" ht="14.25" customHeight="1">
      <c r="B126" s="331"/>
      <c r="BE126" s="1174"/>
      <c r="BI126" s="1174"/>
      <c r="BJ126" s="1174"/>
      <c r="BM126" s="1174"/>
      <c r="BN126" s="1174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14"/>
      <c r="CM126" s="14"/>
      <c r="CN126" s="14"/>
      <c r="CO126" s="14"/>
      <c r="CP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14"/>
      <c r="DE126" s="14"/>
      <c r="DF126" s="14"/>
      <c r="DG126" s="14"/>
      <c r="DH126" s="8"/>
    </row>
    <row r="127" spans="1:112" ht="14.25" hidden="1" customHeight="1" outlineLevel="1">
      <c r="A127" s="8"/>
      <c r="B127" s="289" t="s">
        <v>138</v>
      </c>
      <c r="C127" s="290"/>
      <c r="D127" s="521" t="str">
        <f t="shared" ref="D127:S127" si="446">IF(ROUND(D125,1)=1,"OK",D125)</f>
        <v>OK</v>
      </c>
      <c r="E127" s="522" t="str">
        <f t="shared" si="446"/>
        <v>OK</v>
      </c>
      <c r="F127" s="522" t="str">
        <f t="shared" si="446"/>
        <v>OK</v>
      </c>
      <c r="G127" s="522" t="str">
        <f t="shared" si="446"/>
        <v>OK</v>
      </c>
      <c r="H127" s="521" t="str">
        <f t="shared" si="446"/>
        <v>OK</v>
      </c>
      <c r="I127" s="522" t="str">
        <f t="shared" si="446"/>
        <v>OK</v>
      </c>
      <c r="J127" s="522" t="str">
        <f t="shared" si="446"/>
        <v>OK</v>
      </c>
      <c r="K127" s="522" t="str">
        <f t="shared" si="446"/>
        <v>OK</v>
      </c>
      <c r="L127" s="521" t="str">
        <f t="shared" si="446"/>
        <v>OK</v>
      </c>
      <c r="M127" s="522" t="str">
        <f t="shared" si="446"/>
        <v>OK</v>
      </c>
      <c r="N127" s="522" t="str">
        <f t="shared" si="446"/>
        <v>OK</v>
      </c>
      <c r="O127" s="522" t="str">
        <f t="shared" si="446"/>
        <v>OK</v>
      </c>
      <c r="P127" s="521" t="str">
        <f t="shared" si="446"/>
        <v>OK</v>
      </c>
      <c r="Q127" s="522" t="str">
        <f t="shared" si="446"/>
        <v>OK</v>
      </c>
      <c r="R127" s="522" t="str">
        <f t="shared" si="446"/>
        <v>OK</v>
      </c>
      <c r="S127" s="522" t="str">
        <f t="shared" si="446"/>
        <v>OK</v>
      </c>
      <c r="T127" s="521" t="str">
        <f t="shared" ref="T127:AM127" si="447">IF(ROUND(T125,1)=1,"OK",T125)</f>
        <v>OK</v>
      </c>
      <c r="U127" s="522" t="str">
        <f t="shared" si="447"/>
        <v>OK</v>
      </c>
      <c r="V127" s="522" t="str">
        <f t="shared" si="447"/>
        <v>OK</v>
      </c>
      <c r="W127" s="522" t="str">
        <f t="shared" si="447"/>
        <v>OK</v>
      </c>
      <c r="X127" s="521" t="str">
        <f t="shared" si="447"/>
        <v>OK</v>
      </c>
      <c r="Y127" s="522" t="str">
        <f t="shared" si="447"/>
        <v>OK</v>
      </c>
      <c r="Z127" s="522" t="str">
        <f t="shared" si="447"/>
        <v>OK</v>
      </c>
      <c r="AA127" s="522" t="str">
        <f t="shared" si="447"/>
        <v>OK</v>
      </c>
      <c r="AB127" s="521" t="str">
        <f t="shared" si="447"/>
        <v>OK</v>
      </c>
      <c r="AC127" s="522" t="str">
        <f t="shared" si="447"/>
        <v>OK</v>
      </c>
      <c r="AD127" s="522" t="str">
        <f t="shared" si="447"/>
        <v>OK</v>
      </c>
      <c r="AE127" s="522" t="str">
        <f t="shared" si="447"/>
        <v>OK</v>
      </c>
      <c r="AF127" s="521" t="str">
        <f t="shared" si="447"/>
        <v>OK</v>
      </c>
      <c r="AG127" s="522" t="str">
        <f t="shared" si="447"/>
        <v>OK</v>
      </c>
      <c r="AH127" s="522" t="str">
        <f t="shared" si="447"/>
        <v>OK</v>
      </c>
      <c r="AI127" s="522" t="str">
        <f t="shared" si="447"/>
        <v>OK</v>
      </c>
      <c r="AJ127" s="521" t="str">
        <f t="shared" si="447"/>
        <v>OK</v>
      </c>
      <c r="AK127" s="522" t="str">
        <f t="shared" si="447"/>
        <v>OK</v>
      </c>
      <c r="AL127" s="522" t="str">
        <f t="shared" si="447"/>
        <v>OK</v>
      </c>
      <c r="AM127" s="522" t="str">
        <f t="shared" si="447"/>
        <v>OK</v>
      </c>
      <c r="AN127" s="521" t="str">
        <f t="shared" ref="AN127:AT127" si="448">IF(ROUND(AN125,1)=1,"OK",AN125)</f>
        <v>OK</v>
      </c>
      <c r="AO127" s="522" t="str">
        <f t="shared" si="448"/>
        <v>OK</v>
      </c>
      <c r="AP127" s="522" t="str">
        <f t="shared" si="448"/>
        <v>OK</v>
      </c>
      <c r="AQ127" s="522" t="str">
        <f t="shared" si="448"/>
        <v>OK</v>
      </c>
      <c r="AR127" s="521" t="str">
        <f t="shared" si="448"/>
        <v>OK</v>
      </c>
      <c r="AS127" s="522" t="str">
        <f t="shared" si="448"/>
        <v>OK</v>
      </c>
      <c r="AT127" s="522" t="str">
        <f t="shared" si="448"/>
        <v>OK</v>
      </c>
      <c r="AU127" s="522" t="str">
        <f t="shared" ref="AU127:BC127" si="449">IF(ROUND(AU125,1)=1,"OK",AU125)</f>
        <v>OK</v>
      </c>
      <c r="AV127" s="521" t="str">
        <f t="shared" si="449"/>
        <v>OK</v>
      </c>
      <c r="AW127" s="522" t="str">
        <f t="shared" si="449"/>
        <v>OK</v>
      </c>
      <c r="AX127" s="522" t="str">
        <f t="shared" si="449"/>
        <v>OK</v>
      </c>
      <c r="AY127" s="522" t="str">
        <f t="shared" si="449"/>
        <v>OK</v>
      </c>
      <c r="AZ127" s="521" t="str">
        <f t="shared" si="449"/>
        <v>OK</v>
      </c>
      <c r="BA127" s="292" t="str">
        <f t="shared" si="449"/>
        <v>OK</v>
      </c>
      <c r="BB127" s="292" t="str">
        <f t="shared" si="449"/>
        <v>OK</v>
      </c>
      <c r="BC127" s="522" t="str">
        <f t="shared" si="449"/>
        <v>OK</v>
      </c>
      <c r="BD127" s="521" t="str">
        <f t="shared" ref="BD127:BL127" si="450">IF(ROUND(BD125,1)=1,"OK",BD125)</f>
        <v>OK</v>
      </c>
      <c r="BE127" s="522" t="str">
        <f t="shared" si="450"/>
        <v>OK</v>
      </c>
      <c r="BF127" s="292" t="str">
        <f t="shared" si="450"/>
        <v>OK</v>
      </c>
      <c r="BG127" s="522" t="str">
        <f t="shared" si="450"/>
        <v>OK</v>
      </c>
      <c r="BH127" s="521" t="str">
        <f t="shared" si="450"/>
        <v>OK</v>
      </c>
      <c r="BI127" s="522" t="str">
        <f t="shared" si="450"/>
        <v>OK</v>
      </c>
      <c r="BJ127" s="522" t="str">
        <f t="shared" ref="BJ127" si="451">IF(ROUND(BJ125,1)=1,"OK",BJ125)</f>
        <v>OK</v>
      </c>
      <c r="BK127" s="1433" t="str">
        <f t="shared" si="450"/>
        <v>OK</v>
      </c>
      <c r="BL127" s="521" t="str">
        <f t="shared" si="450"/>
        <v>OK</v>
      </c>
      <c r="BM127" s="522" t="str">
        <f t="shared" ref="BM127:BN127" si="452">IF(ROUND(BM125,1)=1,"OK",BM125)</f>
        <v>OK</v>
      </c>
      <c r="BN127" s="522" t="str">
        <f t="shared" si="452"/>
        <v>OK</v>
      </c>
      <c r="BO127" s="292"/>
      <c r="BP127" s="291"/>
      <c r="BQ127" s="292"/>
      <c r="BR127" s="292"/>
      <c r="BS127" s="292"/>
      <c r="BT127" s="291"/>
      <c r="BU127" s="292"/>
      <c r="BV127" s="292"/>
      <c r="BW127" s="292"/>
      <c r="BX127" s="20"/>
      <c r="BY127" s="292" t="str">
        <f>IF(ROUND(BY125,1)=1,"OK",BY125)</f>
        <v>OK</v>
      </c>
      <c r="BZ127" s="292" t="str">
        <f>IF(ROUND(BZ125,1)=1,"OK",BZ125)</f>
        <v>OK</v>
      </c>
      <c r="CA127" s="292" t="str">
        <f>IF(ROUND(CA125,1)=1,"OK",CA125)</f>
        <v>OK</v>
      </c>
      <c r="CB127" s="292" t="str">
        <f t="shared" ref="CB127:CH127" si="453">IF(ROUND(CB125,1)=1,"OK",CB125)</f>
        <v>OK</v>
      </c>
      <c r="CC127" s="292" t="str">
        <f t="shared" si="453"/>
        <v>OK</v>
      </c>
      <c r="CD127" s="292" t="str">
        <f t="shared" si="453"/>
        <v>OK</v>
      </c>
      <c r="CE127" s="292" t="str">
        <f t="shared" si="453"/>
        <v>OK</v>
      </c>
      <c r="CF127" s="292" t="str">
        <f t="shared" si="453"/>
        <v>OK</v>
      </c>
      <c r="CG127" s="400" t="str">
        <f t="shared" si="453"/>
        <v>OK</v>
      </c>
      <c r="CH127" s="400" t="str">
        <f t="shared" si="453"/>
        <v>OK</v>
      </c>
      <c r="CI127" s="400" t="str">
        <f>IF(ROUND(CI125,1)=1,"OK",CI125)</f>
        <v>OK</v>
      </c>
      <c r="CJ127" s="400" t="str">
        <f>IF(ROUND(CJ125,1)=1,"OK",CJ125)</f>
        <v>OK</v>
      </c>
      <c r="CK127" s="292"/>
      <c r="CL127" s="292"/>
      <c r="CM127" s="292"/>
      <c r="CN127" s="292"/>
      <c r="CO127" s="292"/>
      <c r="CP127" s="293"/>
      <c r="CQ127" s="22"/>
      <c r="CR127" s="232"/>
      <c r="CS127" s="399" t="str">
        <f>IF(ROUND(CS125,1)=1,"OK",CS125)</f>
        <v>OK</v>
      </c>
      <c r="CT127" s="400" t="str">
        <f>IF(ROUND(CT125,1)=1,"OK",CT125)</f>
        <v>OK</v>
      </c>
      <c r="CU127" s="400" t="str">
        <f>IF(ROUND(CU125,1)=1,"OK",CU125)</f>
        <v>OK</v>
      </c>
      <c r="CV127" s="400" t="str">
        <f t="shared" ref="CV127:DA127" si="454">IF(ROUND(CV125,1)=1,"OK",CV125)</f>
        <v>OK</v>
      </c>
      <c r="CW127" s="400" t="str">
        <f t="shared" si="454"/>
        <v>OK</v>
      </c>
      <c r="CX127" s="400" t="str">
        <f t="shared" si="454"/>
        <v>OK</v>
      </c>
      <c r="CY127" s="400" t="str">
        <f t="shared" si="454"/>
        <v>OK</v>
      </c>
      <c r="CZ127" s="400" t="str">
        <f t="shared" si="454"/>
        <v>OK</v>
      </c>
      <c r="DA127" s="400" t="str">
        <f t="shared" si="454"/>
        <v>OK</v>
      </c>
      <c r="DB127" s="400"/>
      <c r="DC127" s="400"/>
      <c r="DD127" s="400"/>
      <c r="DE127" s="400"/>
      <c r="DF127" s="400"/>
      <c r="DG127" s="400"/>
      <c r="DH127" s="1031"/>
    </row>
    <row r="128" spans="1:112" ht="14.25" customHeight="1" collapsed="1">
      <c r="B128" s="331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14"/>
      <c r="CM128" s="14"/>
      <c r="CN128" s="14"/>
      <c r="CO128" s="14"/>
      <c r="CP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14"/>
      <c r="DE128" s="14"/>
      <c r="DF128" s="14"/>
      <c r="DG128" s="14"/>
      <c r="DH128" s="8"/>
    </row>
    <row r="129" spans="1:112" ht="14.25" customHeight="1">
      <c r="B129" s="331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14"/>
      <c r="CM129" s="14"/>
      <c r="CN129" s="14"/>
      <c r="CO129" s="14"/>
      <c r="CP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14"/>
      <c r="DE129" s="14"/>
      <c r="DF129" s="14"/>
      <c r="DG129" s="14"/>
      <c r="DH129" s="8"/>
    </row>
    <row r="130" spans="1:112" ht="14.25" customHeight="1">
      <c r="B130" s="331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14"/>
      <c r="CM130" s="14"/>
      <c r="CN130" s="14"/>
      <c r="CO130" s="14"/>
      <c r="CP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14"/>
      <c r="DE130" s="14"/>
      <c r="DF130" s="14"/>
      <c r="DG130" s="14"/>
      <c r="DH130" s="8"/>
    </row>
    <row r="131" spans="1:112" ht="14.25" customHeight="1">
      <c r="A131" s="1"/>
      <c r="B131" s="141" t="s">
        <v>384</v>
      </c>
      <c r="C131" s="142"/>
      <c r="D131" s="569" t="str">
        <f t="shared" ref="D131:O131" si="455">D8</f>
        <v>F1Q03A</v>
      </c>
      <c r="E131" s="570" t="str">
        <f t="shared" si="455"/>
        <v>F2Q03A</v>
      </c>
      <c r="F131" s="570" t="str">
        <f t="shared" si="455"/>
        <v>F3Q03A</v>
      </c>
      <c r="G131" s="570" t="str">
        <f t="shared" si="455"/>
        <v>F4Q03A</v>
      </c>
      <c r="H131" s="569" t="str">
        <f t="shared" si="455"/>
        <v>F1Q04A</v>
      </c>
      <c r="I131" s="570" t="str">
        <f t="shared" si="455"/>
        <v>F2Q04A</v>
      </c>
      <c r="J131" s="570" t="str">
        <f t="shared" si="455"/>
        <v>F3Q04A</v>
      </c>
      <c r="K131" s="570" t="str">
        <f t="shared" si="455"/>
        <v>F4Q04A</v>
      </c>
      <c r="L131" s="569" t="str">
        <f t="shared" si="455"/>
        <v>F1Q05A</v>
      </c>
      <c r="M131" s="570" t="str">
        <f t="shared" si="455"/>
        <v>F2Q05A</v>
      </c>
      <c r="N131" s="570" t="str">
        <f t="shared" si="455"/>
        <v>F3Q05A</v>
      </c>
      <c r="O131" s="570" t="str">
        <f t="shared" si="455"/>
        <v>F4Q05A</v>
      </c>
      <c r="P131" s="569" t="str">
        <f t="shared" ref="P131:AT131" si="456">P8</f>
        <v>F1Q06A</v>
      </c>
      <c r="Q131" s="570" t="str">
        <f t="shared" si="456"/>
        <v>F2Q06A</v>
      </c>
      <c r="R131" s="570" t="str">
        <f t="shared" si="456"/>
        <v>F3Q06A</v>
      </c>
      <c r="S131" s="570" t="str">
        <f t="shared" si="456"/>
        <v>F4Q06A</v>
      </c>
      <c r="T131" s="569" t="str">
        <f t="shared" si="456"/>
        <v>F1Q07A</v>
      </c>
      <c r="U131" s="570" t="str">
        <f t="shared" si="456"/>
        <v>F2Q07A</v>
      </c>
      <c r="V131" s="570" t="str">
        <f t="shared" si="456"/>
        <v>F3Q07A</v>
      </c>
      <c r="W131" s="570" t="str">
        <f t="shared" si="456"/>
        <v>F4Q07A</v>
      </c>
      <c r="X131" s="569" t="str">
        <f t="shared" si="456"/>
        <v>F1Q08A</v>
      </c>
      <c r="Y131" s="570" t="str">
        <f t="shared" si="456"/>
        <v>F2Q08A</v>
      </c>
      <c r="Z131" s="570" t="str">
        <f t="shared" si="456"/>
        <v>F3Q08A</v>
      </c>
      <c r="AA131" s="570" t="str">
        <f t="shared" si="456"/>
        <v>F4Q08A</v>
      </c>
      <c r="AB131" s="569" t="str">
        <f t="shared" si="456"/>
        <v>F1Q09A</v>
      </c>
      <c r="AC131" s="570" t="str">
        <f t="shared" si="456"/>
        <v>F2Q09A</v>
      </c>
      <c r="AD131" s="570" t="str">
        <f t="shared" si="456"/>
        <v>F3Q09A</v>
      </c>
      <c r="AE131" s="570" t="str">
        <f t="shared" si="456"/>
        <v>F4Q09A</v>
      </c>
      <c r="AF131" s="569" t="str">
        <f t="shared" si="456"/>
        <v>F1Q10A</v>
      </c>
      <c r="AG131" s="570" t="str">
        <f t="shared" si="456"/>
        <v>F2Q10A</v>
      </c>
      <c r="AH131" s="570" t="str">
        <f t="shared" si="456"/>
        <v>F3Q10A</v>
      </c>
      <c r="AI131" s="570" t="str">
        <f t="shared" si="456"/>
        <v>F4Q10A</v>
      </c>
      <c r="AJ131" s="569" t="str">
        <f t="shared" si="456"/>
        <v>F1Q11A</v>
      </c>
      <c r="AK131" s="570" t="str">
        <f t="shared" si="456"/>
        <v>F2Q11A</v>
      </c>
      <c r="AL131" s="570" t="str">
        <f t="shared" si="456"/>
        <v>F3Q11A</v>
      </c>
      <c r="AM131" s="570" t="str">
        <f t="shared" si="456"/>
        <v>F4Q11A</v>
      </c>
      <c r="AN131" s="571" t="str">
        <f t="shared" si="456"/>
        <v>F1Q12A</v>
      </c>
      <c r="AO131" s="572" t="str">
        <f t="shared" si="456"/>
        <v>F2Q12A</v>
      </c>
      <c r="AP131" s="572" t="str">
        <f t="shared" si="456"/>
        <v>F3Q12A</v>
      </c>
      <c r="AQ131" s="570" t="str">
        <f t="shared" si="456"/>
        <v>F4Q12A</v>
      </c>
      <c r="AR131" s="569" t="str">
        <f t="shared" si="456"/>
        <v>F1Q13A</v>
      </c>
      <c r="AS131" s="570" t="str">
        <f t="shared" si="456"/>
        <v>F2Q13A</v>
      </c>
      <c r="AT131" s="572" t="str">
        <f t="shared" si="456"/>
        <v>F3Q13A</v>
      </c>
      <c r="AU131" s="570" t="str">
        <f>AU8</f>
        <v>F4Q13A</v>
      </c>
      <c r="AV131" s="569" t="str">
        <f t="shared" ref="AV131:BG131" si="457">AV8</f>
        <v>F1Q14A</v>
      </c>
      <c r="AW131" s="570" t="str">
        <f t="shared" si="457"/>
        <v>F2Q14A</v>
      </c>
      <c r="AX131" s="570" t="str">
        <f t="shared" si="457"/>
        <v>F3Q14A</v>
      </c>
      <c r="AY131" s="570" t="str">
        <f t="shared" si="457"/>
        <v>F4Q14A</v>
      </c>
      <c r="AZ131" s="569" t="str">
        <f t="shared" si="457"/>
        <v>F1Q15A</v>
      </c>
      <c r="BA131" s="570" t="str">
        <f t="shared" si="457"/>
        <v>F2Q15A</v>
      </c>
      <c r="BB131" s="570" t="str">
        <f t="shared" si="457"/>
        <v>F3Q15A</v>
      </c>
      <c r="BC131" s="573" t="str">
        <f t="shared" si="457"/>
        <v>F4Q15A</v>
      </c>
      <c r="BD131" s="569" t="str">
        <f t="shared" si="457"/>
        <v>F1Q16A</v>
      </c>
      <c r="BE131" s="570" t="str">
        <f t="shared" si="457"/>
        <v>F2Q16A</v>
      </c>
      <c r="BF131" s="570" t="str">
        <f t="shared" si="457"/>
        <v>F3Q16A</v>
      </c>
      <c r="BG131" s="573" t="str">
        <f t="shared" si="457"/>
        <v>F4Q16A</v>
      </c>
      <c r="BH131" s="569" t="str">
        <f t="shared" ref="BH131:BO131" si="458">BH8</f>
        <v>F1Q17A</v>
      </c>
      <c r="BI131" s="570" t="str">
        <f t="shared" si="458"/>
        <v>F2Q17A</v>
      </c>
      <c r="BJ131" s="570" t="str">
        <f t="shared" si="458"/>
        <v>F3Q17A</v>
      </c>
      <c r="BK131" s="573" t="str">
        <f t="shared" si="458"/>
        <v>F4Q17A</v>
      </c>
      <c r="BL131" s="569" t="str">
        <f t="shared" si="458"/>
        <v>F1Q18A</v>
      </c>
      <c r="BM131" s="1321" t="str">
        <f t="shared" ref="BM131" si="459">BM8</f>
        <v>F2Q18A</v>
      </c>
      <c r="BN131" s="570" t="str">
        <f t="shared" si="458"/>
        <v>F3Q18A</v>
      </c>
      <c r="BO131" s="573" t="str">
        <f t="shared" si="458"/>
        <v>F4Q18E</v>
      </c>
      <c r="BP131" s="569" t="str">
        <f t="shared" ref="BP131:BW131" si="460">BP8</f>
        <v>F1Q19E</v>
      </c>
      <c r="BQ131" s="570" t="str">
        <f t="shared" si="460"/>
        <v>F2Q19E</v>
      </c>
      <c r="BR131" s="570" t="str">
        <f t="shared" si="460"/>
        <v>F3Q19E</v>
      </c>
      <c r="BS131" s="573" t="str">
        <f t="shared" si="460"/>
        <v>F4Q19E</v>
      </c>
      <c r="BT131" s="569" t="str">
        <f t="shared" si="460"/>
        <v>F1Q20E</v>
      </c>
      <c r="BU131" s="1321" t="str">
        <f t="shared" si="460"/>
        <v>F2Q20E</v>
      </c>
      <c r="BV131" s="1321" t="str">
        <f t="shared" si="460"/>
        <v>F3Q20E</v>
      </c>
      <c r="BW131" s="573" t="str">
        <f t="shared" si="460"/>
        <v>F4Q20E</v>
      </c>
      <c r="BX131" s="473"/>
      <c r="BY131" s="570" t="str">
        <f>BY8</f>
        <v>FY2003A</v>
      </c>
      <c r="BZ131" s="570" t="str">
        <f>BZ8</f>
        <v>FY2004A</v>
      </c>
      <c r="CA131" s="570" t="str">
        <f>CA8</f>
        <v>FY2005A</v>
      </c>
      <c r="CB131" s="570" t="str">
        <f t="shared" ref="CB131:CK131" si="461">CB8</f>
        <v>FY2006A</v>
      </c>
      <c r="CC131" s="570" t="str">
        <f t="shared" si="461"/>
        <v>FY2007A</v>
      </c>
      <c r="CD131" s="570" t="str">
        <f t="shared" si="461"/>
        <v>FY2008A</v>
      </c>
      <c r="CE131" s="570" t="str">
        <f t="shared" si="461"/>
        <v>FY2009A</v>
      </c>
      <c r="CF131" s="570" t="str">
        <f t="shared" si="461"/>
        <v>FY2010A</v>
      </c>
      <c r="CG131" s="570" t="str">
        <f t="shared" si="461"/>
        <v>FY2011A</v>
      </c>
      <c r="CH131" s="570" t="str">
        <f t="shared" si="461"/>
        <v>FY2012A</v>
      </c>
      <c r="CI131" s="570" t="str">
        <f t="shared" si="461"/>
        <v>FY2013A</v>
      </c>
      <c r="CJ131" s="570" t="str">
        <f t="shared" si="461"/>
        <v>FY2014A</v>
      </c>
      <c r="CK131" s="570" t="str">
        <f t="shared" si="461"/>
        <v>FY2015A</v>
      </c>
      <c r="CL131" s="570" t="str">
        <f>CL8</f>
        <v>FY2016A</v>
      </c>
      <c r="CM131" s="570" t="str">
        <f>CM8</f>
        <v>FY2017A</v>
      </c>
      <c r="CN131" s="570" t="str">
        <f>CN8</f>
        <v>FY2018E</v>
      </c>
      <c r="CO131" s="1321" t="str">
        <f>CO8</f>
        <v>FY2019E</v>
      </c>
      <c r="CP131" s="573" t="str">
        <f>CP8</f>
        <v>FY2020E</v>
      </c>
      <c r="CQ131" s="913"/>
      <c r="CR131" s="1526"/>
      <c r="CS131" s="569" t="str">
        <f>CS8</f>
        <v>CY2004</v>
      </c>
      <c r="CT131" s="570" t="str">
        <f>CT8</f>
        <v>CY2005</v>
      </c>
      <c r="CU131" s="570" t="str">
        <f>CU8</f>
        <v>CY2006</v>
      </c>
      <c r="CV131" s="570" t="str">
        <f t="shared" ref="CV131:DC131" si="462">CV8</f>
        <v>CY2007</v>
      </c>
      <c r="CW131" s="570" t="str">
        <f t="shared" si="462"/>
        <v>CY2008</v>
      </c>
      <c r="CX131" s="570" t="str">
        <f t="shared" si="462"/>
        <v>CY2009</v>
      </c>
      <c r="CY131" s="570" t="str">
        <f t="shared" si="462"/>
        <v>CY2010</v>
      </c>
      <c r="CZ131" s="570" t="str">
        <f t="shared" si="462"/>
        <v>CY2011</v>
      </c>
      <c r="DA131" s="569" t="str">
        <f t="shared" si="462"/>
        <v>CY2012</v>
      </c>
      <c r="DB131" s="570" t="str">
        <f t="shared" si="462"/>
        <v>CY2013</v>
      </c>
      <c r="DC131" s="570" t="str">
        <f t="shared" si="462"/>
        <v>CY2014</v>
      </c>
      <c r="DD131" s="570" t="str">
        <f>DD8</f>
        <v>CY2015</v>
      </c>
      <c r="DE131" s="570" t="str">
        <f>DE8</f>
        <v>CY2016</v>
      </c>
      <c r="DF131" s="570" t="str">
        <f>DF8</f>
        <v>CY2017</v>
      </c>
      <c r="DG131" s="1321" t="str">
        <f>DG8</f>
        <v>CY2018</v>
      </c>
      <c r="DH131" s="573" t="str">
        <f>DH8</f>
        <v>CY2019</v>
      </c>
    </row>
    <row r="132" spans="1:112" ht="14.25" customHeight="1">
      <c r="B132" s="329" t="s">
        <v>356</v>
      </c>
      <c r="C132" s="372"/>
      <c r="D132" s="373"/>
      <c r="E132" s="374"/>
      <c r="F132" s="374"/>
      <c r="G132" s="474"/>
      <c r="H132" s="373"/>
      <c r="I132" s="374"/>
      <c r="J132" s="374"/>
      <c r="K132" s="474"/>
      <c r="L132" s="373"/>
      <c r="M132" s="374"/>
      <c r="N132" s="374"/>
      <c r="O132" s="474"/>
      <c r="P132" s="373"/>
      <c r="Q132" s="374"/>
      <c r="R132" s="374"/>
      <c r="S132" s="474"/>
      <c r="T132" s="373"/>
      <c r="U132" s="374"/>
      <c r="V132" s="374"/>
      <c r="W132" s="474"/>
      <c r="X132" s="373"/>
      <c r="Y132" s="374"/>
      <c r="Z132" s="374"/>
      <c r="AA132" s="474"/>
      <c r="AB132" s="373"/>
      <c r="AC132" s="374"/>
      <c r="AD132" s="374"/>
      <c r="AE132" s="474"/>
      <c r="AF132" s="373"/>
      <c r="AG132" s="374"/>
      <c r="AH132" s="374"/>
      <c r="AI132" s="474"/>
      <c r="AJ132" s="373">
        <v>341.76799999999997</v>
      </c>
      <c r="AK132" s="374">
        <v>364.99900000000002</v>
      </c>
      <c r="AL132" s="374">
        <v>348.76600000000002</v>
      </c>
      <c r="AM132" s="911">
        <f>1415.137-AL132-AK132-AJ132</f>
        <v>359.60399999999987</v>
      </c>
      <c r="AN132" s="373">
        <v>353.86</v>
      </c>
      <c r="AO132" s="374">
        <v>318.61799999999999</v>
      </c>
      <c r="AP132" s="374">
        <v>306.09899999999999</v>
      </c>
      <c r="AQ132" s="911">
        <f>1296.175-AP132-AO132-AN132</f>
        <v>317.59800000000007</v>
      </c>
      <c r="AR132" s="373">
        <v>331.85199999999998</v>
      </c>
      <c r="AS132" s="374">
        <v>363.17700000000002</v>
      </c>
      <c r="AT132" s="374">
        <v>394.709</v>
      </c>
      <c r="AU132" s="911">
        <f>1497.82-AR132-AS132-AT132</f>
        <v>408.08199999999982</v>
      </c>
      <c r="AV132" s="373">
        <v>440.3</v>
      </c>
      <c r="AW132" s="374">
        <v>467.84300000000002</v>
      </c>
      <c r="AX132" s="374">
        <v>458.298</v>
      </c>
      <c r="AY132" s="911">
        <f>1836.639-AV132-AW132-AX132</f>
        <v>470.19799999999987</v>
      </c>
      <c r="AZ132" s="373">
        <v>508.43900000000002</v>
      </c>
      <c r="BA132" s="374">
        <v>523.65899999999999</v>
      </c>
      <c r="BB132" s="374">
        <v>505.76299999999998</v>
      </c>
      <c r="BC132" s="376"/>
      <c r="BD132" s="377"/>
      <c r="BE132" s="375"/>
      <c r="BF132" s="375"/>
      <c r="BG132" s="376"/>
      <c r="BH132" s="377"/>
      <c r="BI132" s="375"/>
      <c r="BJ132" s="375"/>
      <c r="BK132" s="376"/>
      <c r="BL132" s="377"/>
      <c r="BM132" s="375"/>
      <c r="BN132" s="375"/>
      <c r="BO132" s="376"/>
      <c r="BP132" s="377"/>
      <c r="BQ132" s="375"/>
      <c r="BR132" s="375"/>
      <c r="BS132" s="376"/>
      <c r="BT132" s="377"/>
      <c r="BU132" s="375"/>
      <c r="BV132" s="375"/>
      <c r="BW132" s="376"/>
      <c r="BX132" s="378"/>
      <c r="BY132" s="364"/>
      <c r="BZ132" s="364"/>
      <c r="CA132" s="364"/>
      <c r="CB132" s="364"/>
      <c r="CC132" s="364"/>
      <c r="CD132" s="364"/>
      <c r="CE132" s="364"/>
      <c r="CF132" s="379"/>
      <c r="CG132" s="379">
        <f>SUM(AJ132:AM132)</f>
        <v>1415.1369999999999</v>
      </c>
      <c r="CH132" s="379">
        <f>SUM(AN132:AQ132)</f>
        <v>1296.1750000000002</v>
      </c>
      <c r="CI132" s="379">
        <f>SUM(AR132:AU132)</f>
        <v>1497.82</v>
      </c>
      <c r="CJ132" s="379">
        <f>SUM(AV132:AY132)</f>
        <v>1836.6389999999999</v>
      </c>
      <c r="CK132" s="364"/>
      <c r="CL132" s="364"/>
      <c r="CM132" s="364"/>
      <c r="CN132" s="364"/>
      <c r="CO132" s="364"/>
      <c r="CP132" s="365"/>
      <c r="CQ132" s="281"/>
      <c r="CR132" s="332"/>
      <c r="CS132" s="1032"/>
      <c r="CT132" s="379"/>
      <c r="CU132" s="379"/>
      <c r="CV132" s="379"/>
      <c r="CW132" s="379"/>
      <c r="CX132" s="379"/>
      <c r="CY132" s="379"/>
      <c r="CZ132" s="379">
        <f>SUM(AM132:AP132)</f>
        <v>1338.1809999999998</v>
      </c>
      <c r="DA132" s="1032">
        <f>SUM(AQ132:AT132)</f>
        <v>1407.336</v>
      </c>
      <c r="DB132" s="379"/>
      <c r="DC132" s="379"/>
      <c r="DD132" s="379"/>
      <c r="DE132" s="379"/>
      <c r="DF132" s="379"/>
      <c r="DG132" s="379"/>
      <c r="DH132" s="1033"/>
    </row>
    <row r="133" spans="1:112" ht="14.25" customHeight="1">
      <c r="B133" s="330" t="s">
        <v>357</v>
      </c>
      <c r="C133" s="332"/>
      <c r="D133" s="380"/>
      <c r="E133" s="381"/>
      <c r="F133" s="381"/>
      <c r="G133" s="475"/>
      <c r="H133" s="380"/>
      <c r="I133" s="381"/>
      <c r="J133" s="381"/>
      <c r="K133" s="475"/>
      <c r="L133" s="380"/>
      <c r="M133" s="381"/>
      <c r="N133" s="381"/>
      <c r="O133" s="475"/>
      <c r="P133" s="380"/>
      <c r="Q133" s="381"/>
      <c r="R133" s="381"/>
      <c r="S133" s="475"/>
      <c r="T133" s="380"/>
      <c r="U133" s="381"/>
      <c r="V133" s="381"/>
      <c r="W133" s="475"/>
      <c r="X133" s="380"/>
      <c r="Y133" s="381"/>
      <c r="Z133" s="381"/>
      <c r="AA133" s="475"/>
      <c r="AB133" s="380"/>
      <c r="AC133" s="381"/>
      <c r="AD133" s="381"/>
      <c r="AE133" s="475"/>
      <c r="AF133" s="380"/>
      <c r="AG133" s="381"/>
      <c r="AH133" s="381"/>
      <c r="AI133" s="475"/>
      <c r="AJ133" s="380">
        <v>15.356999999999999</v>
      </c>
      <c r="AK133" s="381">
        <v>17.271999999999998</v>
      </c>
      <c r="AL133" s="381">
        <v>19.058</v>
      </c>
      <c r="AM133" s="912">
        <f>72.068-AL133-AK133-AJ133</f>
        <v>20.381</v>
      </c>
      <c r="AN133" s="380">
        <v>20.646999999999998</v>
      </c>
      <c r="AO133" s="381">
        <v>21.984000000000002</v>
      </c>
      <c r="AP133" s="381">
        <v>23.056999999999999</v>
      </c>
      <c r="AQ133" s="912">
        <f>87.001-AP133-AO133-AN133</f>
        <v>21.313000000000002</v>
      </c>
      <c r="AR133" s="380">
        <v>20.282</v>
      </c>
      <c r="AS133" s="381">
        <v>20.120999999999999</v>
      </c>
      <c r="AT133" s="381">
        <v>21.338000000000001</v>
      </c>
      <c r="AU133" s="912">
        <f>83.803-AR133-AS133-AT133</f>
        <v>22.062000000000005</v>
      </c>
      <c r="AV133" s="380">
        <v>22.5</v>
      </c>
      <c r="AW133" s="381">
        <v>24.826000000000001</v>
      </c>
      <c r="AX133" s="381">
        <v>24.074000000000002</v>
      </c>
      <c r="AY133" s="912">
        <f>94.578-AV133-AW133-AX133</f>
        <v>23.178000000000001</v>
      </c>
      <c r="AZ133" s="380">
        <v>20.437000000000001</v>
      </c>
      <c r="BA133" s="381">
        <v>22.584</v>
      </c>
      <c r="BB133" s="381">
        <v>22.946999999999999</v>
      </c>
      <c r="BC133" s="383"/>
      <c r="BD133" s="384"/>
      <c r="BE133" s="382"/>
      <c r="BF133" s="382"/>
      <c r="BG133" s="383"/>
      <c r="BH133" s="384"/>
      <c r="BI133" s="382"/>
      <c r="BJ133" s="382"/>
      <c r="BK133" s="383"/>
      <c r="BL133" s="384"/>
      <c r="BM133" s="382"/>
      <c r="BN133" s="382"/>
      <c r="BO133" s="383"/>
      <c r="BP133" s="384"/>
      <c r="BQ133" s="382"/>
      <c r="BR133" s="382"/>
      <c r="BS133" s="383"/>
      <c r="BT133" s="384"/>
      <c r="BU133" s="382"/>
      <c r="BV133" s="382"/>
      <c r="BW133" s="383"/>
      <c r="BX133" s="378"/>
      <c r="BY133" s="364"/>
      <c r="BZ133" s="364"/>
      <c r="CA133" s="364"/>
      <c r="CB133" s="364"/>
      <c r="CC133" s="364"/>
      <c r="CD133" s="364"/>
      <c r="CE133" s="364"/>
      <c r="CF133" s="364"/>
      <c r="CG133" s="364">
        <f>SUM(AJ133:AM133)</f>
        <v>72.067999999999998</v>
      </c>
      <c r="CH133" s="364">
        <f>SUM(AN133:AQ133)</f>
        <v>87.001000000000005</v>
      </c>
      <c r="CI133" s="364">
        <f>SUM(AR133:AU133)</f>
        <v>83.802999999999997</v>
      </c>
      <c r="CJ133" s="364">
        <f>SUM(AV133:AY133)</f>
        <v>94.578000000000003</v>
      </c>
      <c r="CK133" s="364"/>
      <c r="CL133" s="364"/>
      <c r="CM133" s="364"/>
      <c r="CN133" s="364"/>
      <c r="CO133" s="364"/>
      <c r="CP133" s="365"/>
      <c r="CQ133" s="281"/>
      <c r="CR133" s="332"/>
      <c r="CS133" s="1034"/>
      <c r="CT133" s="364"/>
      <c r="CU133" s="364"/>
      <c r="CV133" s="364"/>
      <c r="CW133" s="364"/>
      <c r="CX133" s="364"/>
      <c r="CY133" s="364"/>
      <c r="CZ133" s="364">
        <f>SUM(AM133:AP133)</f>
        <v>86.069000000000003</v>
      </c>
      <c r="DA133" s="1034">
        <f>SUM(AQ133:AT133)</f>
        <v>83.054000000000002</v>
      </c>
      <c r="DB133" s="364"/>
      <c r="DC133" s="364"/>
      <c r="DD133" s="364"/>
      <c r="DE133" s="364"/>
      <c r="DF133" s="364"/>
      <c r="DG133" s="364"/>
      <c r="DH133" s="365"/>
    </row>
    <row r="134" spans="1:112" ht="14.25" customHeight="1">
      <c r="A134" s="100"/>
      <c r="B134" s="387" t="s">
        <v>139</v>
      </c>
      <c r="C134" s="388"/>
      <c r="D134" s="389"/>
      <c r="E134" s="390"/>
      <c r="F134" s="390"/>
      <c r="G134" s="391"/>
      <c r="H134" s="389"/>
      <c r="I134" s="390"/>
      <c r="J134" s="390"/>
      <c r="K134" s="391"/>
      <c r="L134" s="389"/>
      <c r="M134" s="390"/>
      <c r="N134" s="390"/>
      <c r="O134" s="391"/>
      <c r="P134" s="389"/>
      <c r="Q134" s="390"/>
      <c r="R134" s="390"/>
      <c r="S134" s="391"/>
      <c r="T134" s="389"/>
      <c r="U134" s="390"/>
      <c r="V134" s="390"/>
      <c r="W134" s="391"/>
      <c r="X134" s="389"/>
      <c r="Y134" s="390"/>
      <c r="Z134" s="390"/>
      <c r="AA134" s="391"/>
      <c r="AB134" s="389"/>
      <c r="AC134" s="390"/>
      <c r="AD134" s="390"/>
      <c r="AE134" s="391"/>
      <c r="AF134" s="389"/>
      <c r="AG134" s="390"/>
      <c r="AH134" s="390"/>
      <c r="AI134" s="391"/>
      <c r="AJ134" s="389">
        <f t="shared" ref="AJ134:AX134" si="463">SUM(AJ132:AJ133)</f>
        <v>357.125</v>
      </c>
      <c r="AK134" s="390">
        <f t="shared" si="463"/>
        <v>382.27100000000002</v>
      </c>
      <c r="AL134" s="390">
        <f t="shared" si="463"/>
        <v>367.82400000000001</v>
      </c>
      <c r="AM134" s="391">
        <f t="shared" si="463"/>
        <v>379.9849999999999</v>
      </c>
      <c r="AN134" s="389">
        <f t="shared" si="463"/>
        <v>374.50700000000001</v>
      </c>
      <c r="AO134" s="390">
        <f t="shared" si="463"/>
        <v>340.60199999999998</v>
      </c>
      <c r="AP134" s="390">
        <f t="shared" si="463"/>
        <v>329.15600000000001</v>
      </c>
      <c r="AQ134" s="391">
        <f t="shared" si="463"/>
        <v>338.91100000000006</v>
      </c>
      <c r="AR134" s="389">
        <f t="shared" si="463"/>
        <v>352.13399999999996</v>
      </c>
      <c r="AS134" s="390">
        <f t="shared" si="463"/>
        <v>383.298</v>
      </c>
      <c r="AT134" s="390">
        <f t="shared" si="463"/>
        <v>416.04700000000003</v>
      </c>
      <c r="AU134" s="391">
        <f t="shared" si="463"/>
        <v>430.14399999999983</v>
      </c>
      <c r="AV134" s="389">
        <f t="shared" si="463"/>
        <v>462.8</v>
      </c>
      <c r="AW134" s="390">
        <f t="shared" si="463"/>
        <v>492.66900000000004</v>
      </c>
      <c r="AX134" s="390">
        <f t="shared" si="463"/>
        <v>482.37200000000001</v>
      </c>
      <c r="AY134" s="391">
        <f>SUM(AY132:AY133)</f>
        <v>493.37599999999986</v>
      </c>
      <c r="AZ134" s="389">
        <f>SUM(AZ132:AZ133)</f>
        <v>528.87599999999998</v>
      </c>
      <c r="BA134" s="390">
        <f>SUM(BA132:BA133)</f>
        <v>546.24299999999994</v>
      </c>
      <c r="BB134" s="390">
        <f>SUM(BB132:BB133)</f>
        <v>528.70999999999992</v>
      </c>
      <c r="BC134" s="393"/>
      <c r="BD134" s="394"/>
      <c r="BE134" s="392"/>
      <c r="BF134" s="392"/>
      <c r="BG134" s="393"/>
      <c r="BH134" s="394"/>
      <c r="BI134" s="392"/>
      <c r="BJ134" s="392"/>
      <c r="BK134" s="393"/>
      <c r="BL134" s="394"/>
      <c r="BM134" s="392"/>
      <c r="BN134" s="392"/>
      <c r="BO134" s="393"/>
      <c r="BP134" s="394"/>
      <c r="BQ134" s="392"/>
      <c r="BR134" s="392"/>
      <c r="BS134" s="393"/>
      <c r="BT134" s="394"/>
      <c r="BU134" s="392"/>
      <c r="BV134" s="392"/>
      <c r="BW134" s="393"/>
      <c r="BX134" s="395"/>
      <c r="BY134" s="396"/>
      <c r="BZ134" s="396"/>
      <c r="CA134" s="396"/>
      <c r="CB134" s="396"/>
      <c r="CC134" s="396"/>
      <c r="CD134" s="397"/>
      <c r="CE134" s="397"/>
      <c r="CF134" s="397"/>
      <c r="CG134" s="397">
        <f>SUM(CG132:CG133)</f>
        <v>1487.2049999999999</v>
      </c>
      <c r="CH134" s="397">
        <f>SUM(CH132:CH133)</f>
        <v>1383.1760000000002</v>
      </c>
      <c r="CI134" s="397">
        <f>SUM(CI132:CI133)</f>
        <v>1581.623</v>
      </c>
      <c r="CJ134" s="397">
        <f>SUM(AV134:AY134)</f>
        <v>1931.2170000000001</v>
      </c>
      <c r="CK134" s="397"/>
      <c r="CL134" s="397"/>
      <c r="CM134" s="397"/>
      <c r="CN134" s="397"/>
      <c r="CO134" s="397"/>
      <c r="CP134" s="398"/>
      <c r="CQ134" s="333"/>
      <c r="CR134" s="1524"/>
      <c r="CS134" s="1036"/>
      <c r="CT134" s="397"/>
      <c r="CU134" s="397"/>
      <c r="CV134" s="397"/>
      <c r="CW134" s="397"/>
      <c r="CX134" s="397"/>
      <c r="CY134" s="397"/>
      <c r="CZ134" s="397">
        <f>SUM(CZ132:CZ133)</f>
        <v>1424.2499999999998</v>
      </c>
      <c r="DA134" s="1036">
        <f>SUM(DA132:DA133)</f>
        <v>1490.39</v>
      </c>
      <c r="DB134" s="397"/>
      <c r="DC134" s="397"/>
      <c r="DD134" s="397"/>
      <c r="DE134" s="397"/>
      <c r="DF134" s="397"/>
      <c r="DG134" s="397"/>
      <c r="DH134" s="398"/>
    </row>
    <row r="135" spans="1:112" ht="14.25" customHeight="1">
      <c r="B135" s="68"/>
      <c r="AN135" s="8"/>
      <c r="AO135" s="8"/>
      <c r="AP135" s="8"/>
      <c r="AR135" s="8"/>
      <c r="AT135" s="8"/>
      <c r="AV135" s="8"/>
      <c r="AX135" s="8"/>
      <c r="AZ135" s="14"/>
      <c r="BA135" s="8"/>
      <c r="BB135" s="8"/>
      <c r="BX135" s="331"/>
      <c r="BY135" s="331"/>
      <c r="BZ135" s="331"/>
      <c r="CA135" s="331"/>
      <c r="CB135" s="331"/>
      <c r="CC135" s="331"/>
      <c r="CD135" s="331"/>
      <c r="CE135" s="331"/>
      <c r="CF135" s="331"/>
      <c r="CG135" s="331"/>
      <c r="CH135" s="331"/>
      <c r="CI135" s="331"/>
      <c r="CJ135" s="331"/>
      <c r="CK135" s="331"/>
      <c r="CL135" s="331"/>
      <c r="CM135" s="331"/>
      <c r="CN135" s="331"/>
      <c r="CO135" s="331"/>
      <c r="CP135" s="331"/>
      <c r="CS135" s="331"/>
      <c r="CT135" s="331"/>
      <c r="CU135" s="331"/>
      <c r="CV135" s="331"/>
      <c r="CW135" s="331"/>
      <c r="CX135" s="331"/>
      <c r="CY135" s="331"/>
      <c r="CZ135" s="331"/>
      <c r="DA135" s="331"/>
      <c r="DB135" s="331"/>
      <c r="DC135" s="331"/>
      <c r="DD135" s="331"/>
      <c r="DE135" s="331"/>
      <c r="DF135" s="331"/>
      <c r="DG135" s="331"/>
      <c r="DH135" s="331"/>
    </row>
    <row r="136" spans="1:112" ht="14.25" customHeight="1">
      <c r="A136" s="8"/>
      <c r="B136" s="289" t="s">
        <v>103</v>
      </c>
      <c r="C136" s="290"/>
      <c r="D136" s="521"/>
      <c r="E136" s="522"/>
      <c r="F136" s="522"/>
      <c r="G136" s="522"/>
      <c r="H136" s="521"/>
      <c r="I136" s="522"/>
      <c r="J136" s="522"/>
      <c r="K136" s="522"/>
      <c r="L136" s="521"/>
      <c r="M136" s="522"/>
      <c r="N136" s="522"/>
      <c r="O136" s="522"/>
      <c r="P136" s="521"/>
      <c r="Q136" s="522"/>
      <c r="R136" s="522"/>
      <c r="S136" s="522"/>
      <c r="T136" s="521"/>
      <c r="U136" s="522"/>
      <c r="V136" s="522"/>
      <c r="W136" s="522"/>
      <c r="X136" s="521"/>
      <c r="Y136" s="522"/>
      <c r="Z136" s="522"/>
      <c r="AA136" s="522"/>
      <c r="AB136" s="521"/>
      <c r="AC136" s="522"/>
      <c r="AD136" s="522"/>
      <c r="AE136" s="522"/>
      <c r="AF136" s="521"/>
      <c r="AG136" s="522"/>
      <c r="AH136" s="522"/>
      <c r="AI136" s="522"/>
      <c r="AJ136" s="521" t="str">
        <f t="shared" ref="AJ136:AT136" si="464">IF(ABS(AJ134-AJ71)&lt;1,"OK",AJ134-AJ71)</f>
        <v>OK</v>
      </c>
      <c r="AK136" s="522" t="str">
        <f t="shared" si="464"/>
        <v>OK</v>
      </c>
      <c r="AL136" s="522" t="str">
        <f t="shared" si="464"/>
        <v>OK</v>
      </c>
      <c r="AM136" s="522" t="str">
        <f t="shared" si="464"/>
        <v>OK</v>
      </c>
      <c r="AN136" s="521" t="str">
        <f t="shared" si="464"/>
        <v>OK</v>
      </c>
      <c r="AO136" s="522" t="str">
        <f t="shared" si="464"/>
        <v>OK</v>
      </c>
      <c r="AP136" s="522" t="str">
        <f t="shared" si="464"/>
        <v>OK</v>
      </c>
      <c r="AQ136" s="522" t="str">
        <f t="shared" si="464"/>
        <v>OK</v>
      </c>
      <c r="AR136" s="521" t="str">
        <f t="shared" si="464"/>
        <v>OK</v>
      </c>
      <c r="AS136" s="522" t="str">
        <f t="shared" si="464"/>
        <v>OK</v>
      </c>
      <c r="AT136" s="522" t="str">
        <f t="shared" si="464"/>
        <v>OK</v>
      </c>
      <c r="AU136" s="522" t="str">
        <f t="shared" ref="AU136:AZ136" si="465">IF(ABS(AU134-AU71)&lt;1,"OK",AU134-AU71)</f>
        <v>OK</v>
      </c>
      <c r="AV136" s="521" t="str">
        <f t="shared" si="465"/>
        <v>OK</v>
      </c>
      <c r="AW136" s="522" t="str">
        <f t="shared" si="465"/>
        <v>OK</v>
      </c>
      <c r="AX136" s="522" t="str">
        <f t="shared" si="465"/>
        <v>OK</v>
      </c>
      <c r="AY136" s="1183" t="str">
        <f t="shared" si="465"/>
        <v>OK</v>
      </c>
      <c r="AZ136" s="521" t="str">
        <f t="shared" si="465"/>
        <v>OK</v>
      </c>
      <c r="BA136" s="522" t="str">
        <f>IF(ABS(BA134-BA71)&lt;1,"OK",BA134-BA71)</f>
        <v>OK</v>
      </c>
      <c r="BB136" s="522" t="str">
        <f>IF(ABS(BB134-BB71)&lt;1,"OK",BB134-BB71)</f>
        <v>OK</v>
      </c>
      <c r="BC136" s="292"/>
      <c r="BD136" s="291"/>
      <c r="BE136" s="292"/>
      <c r="BF136" s="292"/>
      <c r="BG136" s="292"/>
      <c r="BH136" s="291"/>
      <c r="BI136" s="292"/>
      <c r="BJ136" s="292"/>
      <c r="BK136" s="292"/>
      <c r="BL136" s="291"/>
      <c r="BM136" s="292"/>
      <c r="BN136" s="292"/>
      <c r="BO136" s="292"/>
      <c r="BP136" s="291"/>
      <c r="BQ136" s="292"/>
      <c r="BR136" s="292"/>
      <c r="BS136" s="292"/>
      <c r="BT136" s="291"/>
      <c r="BU136" s="292"/>
      <c r="BV136" s="292"/>
      <c r="BW136" s="292"/>
      <c r="BX136" s="20"/>
      <c r="BY136" s="292"/>
      <c r="BZ136" s="292"/>
      <c r="CA136" s="292"/>
      <c r="CB136" s="292"/>
      <c r="CC136" s="292"/>
      <c r="CD136" s="292"/>
      <c r="CE136" s="292"/>
      <c r="CF136" s="292"/>
      <c r="CG136" s="400" t="str">
        <f>IF(ABS(CG134-CG71)&lt;1,"OK",CG134-CG71)</f>
        <v>OK</v>
      </c>
      <c r="CH136" s="400" t="str">
        <f>IF(ABS(CH134-CH71)&lt;1,"OK",CH134-CH71)</f>
        <v>OK</v>
      </c>
      <c r="CI136" s="400" t="str">
        <f>IF(ABS(CI134-CI71)&lt;1,"OK",CI134-CI71)</f>
        <v>OK</v>
      </c>
      <c r="CJ136" s="400" t="str">
        <f>IF(ABS(CJ134-CJ71)&lt;1,"OK",CJ134-CJ71)</f>
        <v>OK</v>
      </c>
      <c r="CK136" s="292"/>
      <c r="CL136" s="292"/>
      <c r="CM136" s="292"/>
      <c r="CN136" s="292"/>
      <c r="CO136" s="292"/>
      <c r="CP136" s="293"/>
      <c r="CQ136" s="22"/>
      <c r="CR136" s="232"/>
      <c r="CS136" s="399"/>
      <c r="CT136" s="400"/>
      <c r="CU136" s="400"/>
      <c r="CV136" s="400"/>
      <c r="CW136" s="400"/>
      <c r="CX136" s="400"/>
      <c r="CY136" s="400"/>
      <c r="CZ136" s="400" t="str">
        <f>IF(ABS(CZ134-CZ71)&lt;1,"OK",CZ134-CZ71)</f>
        <v>OK</v>
      </c>
      <c r="DA136" s="400" t="str">
        <f>IF(ABS(DA134-DA71)&lt;1,"OK",DA134-DA71)</f>
        <v>OK</v>
      </c>
      <c r="DB136" s="400"/>
      <c r="DC136" s="400"/>
      <c r="DD136" s="400"/>
      <c r="DE136" s="400"/>
      <c r="DF136" s="400"/>
      <c r="DG136" s="400"/>
      <c r="DH136" s="1031"/>
    </row>
    <row r="137" spans="1:112" ht="14.25" customHeight="1">
      <c r="B137" s="68"/>
      <c r="AN137" s="8"/>
      <c r="AO137" s="8"/>
      <c r="AP137" s="8"/>
      <c r="AR137" s="8"/>
      <c r="AT137" s="8"/>
      <c r="AV137" s="8"/>
      <c r="AX137" s="8"/>
      <c r="AZ137" s="14"/>
      <c r="BA137" s="8"/>
      <c r="BB137" s="8"/>
      <c r="CL137" s="331"/>
      <c r="CM137" s="1174"/>
      <c r="CN137" s="1174"/>
      <c r="CO137" s="1174"/>
      <c r="DD137" s="331"/>
      <c r="DE137" s="1174"/>
      <c r="DF137" s="1174"/>
      <c r="DG137" s="1174"/>
    </row>
    <row r="138" spans="1:112" ht="14.25" customHeight="1">
      <c r="A138" s="1"/>
      <c r="B138" s="141" t="s">
        <v>385</v>
      </c>
      <c r="C138" s="142"/>
      <c r="D138" s="569" t="str">
        <f t="shared" ref="D138:O138" si="466">D8</f>
        <v>F1Q03A</v>
      </c>
      <c r="E138" s="570" t="str">
        <f t="shared" si="466"/>
        <v>F2Q03A</v>
      </c>
      <c r="F138" s="570" t="str">
        <f t="shared" si="466"/>
        <v>F3Q03A</v>
      </c>
      <c r="G138" s="570" t="str">
        <f t="shared" si="466"/>
        <v>F4Q03A</v>
      </c>
      <c r="H138" s="569" t="str">
        <f t="shared" si="466"/>
        <v>F1Q04A</v>
      </c>
      <c r="I138" s="570" t="str">
        <f t="shared" si="466"/>
        <v>F2Q04A</v>
      </c>
      <c r="J138" s="570" t="str">
        <f t="shared" si="466"/>
        <v>F3Q04A</v>
      </c>
      <c r="K138" s="570" t="str">
        <f t="shared" si="466"/>
        <v>F4Q04A</v>
      </c>
      <c r="L138" s="569" t="str">
        <f t="shared" si="466"/>
        <v>F1Q05A</v>
      </c>
      <c r="M138" s="570" t="str">
        <f t="shared" si="466"/>
        <v>F2Q05A</v>
      </c>
      <c r="N138" s="570" t="str">
        <f t="shared" si="466"/>
        <v>F3Q05A</v>
      </c>
      <c r="O138" s="570" t="str">
        <f t="shared" si="466"/>
        <v>F4Q05A</v>
      </c>
      <c r="P138" s="569" t="str">
        <f t="shared" ref="P138:AT138" si="467">P8</f>
        <v>F1Q06A</v>
      </c>
      <c r="Q138" s="570" t="str">
        <f t="shared" si="467"/>
        <v>F2Q06A</v>
      </c>
      <c r="R138" s="570" t="str">
        <f t="shared" si="467"/>
        <v>F3Q06A</v>
      </c>
      <c r="S138" s="570" t="str">
        <f t="shared" si="467"/>
        <v>F4Q06A</v>
      </c>
      <c r="T138" s="569" t="str">
        <f t="shared" si="467"/>
        <v>F1Q07A</v>
      </c>
      <c r="U138" s="570" t="str">
        <f t="shared" si="467"/>
        <v>F2Q07A</v>
      </c>
      <c r="V138" s="570" t="str">
        <f t="shared" si="467"/>
        <v>F3Q07A</v>
      </c>
      <c r="W138" s="570" t="str">
        <f t="shared" si="467"/>
        <v>F4Q07A</v>
      </c>
      <c r="X138" s="569" t="str">
        <f t="shared" si="467"/>
        <v>F1Q08A</v>
      </c>
      <c r="Y138" s="570" t="str">
        <f t="shared" si="467"/>
        <v>F2Q08A</v>
      </c>
      <c r="Z138" s="570" t="str">
        <f t="shared" si="467"/>
        <v>F3Q08A</v>
      </c>
      <c r="AA138" s="570" t="str">
        <f t="shared" si="467"/>
        <v>F4Q08A</v>
      </c>
      <c r="AB138" s="569" t="str">
        <f t="shared" si="467"/>
        <v>F1Q09A</v>
      </c>
      <c r="AC138" s="570" t="str">
        <f t="shared" si="467"/>
        <v>F2Q09A</v>
      </c>
      <c r="AD138" s="570" t="str">
        <f t="shared" si="467"/>
        <v>F3Q09A</v>
      </c>
      <c r="AE138" s="570" t="str">
        <f t="shared" si="467"/>
        <v>F4Q09A</v>
      </c>
      <c r="AF138" s="569" t="str">
        <f t="shared" si="467"/>
        <v>F1Q10A</v>
      </c>
      <c r="AG138" s="570" t="str">
        <f t="shared" si="467"/>
        <v>F2Q10A</v>
      </c>
      <c r="AH138" s="570" t="str">
        <f t="shared" si="467"/>
        <v>F3Q10A</v>
      </c>
      <c r="AI138" s="570" t="str">
        <f t="shared" si="467"/>
        <v>F4Q10A</v>
      </c>
      <c r="AJ138" s="569" t="str">
        <f t="shared" si="467"/>
        <v>F1Q11A</v>
      </c>
      <c r="AK138" s="570" t="str">
        <f t="shared" si="467"/>
        <v>F2Q11A</v>
      </c>
      <c r="AL138" s="570" t="str">
        <f t="shared" si="467"/>
        <v>F3Q11A</v>
      </c>
      <c r="AM138" s="570" t="str">
        <f t="shared" si="467"/>
        <v>F4Q11A</v>
      </c>
      <c r="AN138" s="571" t="str">
        <f t="shared" si="467"/>
        <v>F1Q12A</v>
      </c>
      <c r="AO138" s="572" t="str">
        <f t="shared" si="467"/>
        <v>F2Q12A</v>
      </c>
      <c r="AP138" s="572" t="str">
        <f t="shared" si="467"/>
        <v>F3Q12A</v>
      </c>
      <c r="AQ138" s="570" t="str">
        <f t="shared" si="467"/>
        <v>F4Q12A</v>
      </c>
      <c r="AR138" s="569" t="str">
        <f t="shared" si="467"/>
        <v>F1Q13A</v>
      </c>
      <c r="AS138" s="570" t="str">
        <f t="shared" si="467"/>
        <v>F2Q13A</v>
      </c>
      <c r="AT138" s="572" t="str">
        <f t="shared" si="467"/>
        <v>F3Q13A</v>
      </c>
      <c r="AU138" s="570" t="str">
        <f>AU8</f>
        <v>F4Q13A</v>
      </c>
      <c r="AV138" s="569" t="str">
        <f>AV8</f>
        <v>F1Q14A</v>
      </c>
      <c r="AW138" s="570" t="str">
        <f>AW8</f>
        <v>F2Q14A</v>
      </c>
      <c r="AX138" s="572" t="str">
        <f>AX8</f>
        <v>F3Q14A</v>
      </c>
      <c r="AY138" s="570" t="str">
        <f t="shared" ref="AY138:BG138" si="468">AY8</f>
        <v>F4Q14A</v>
      </c>
      <c r="AZ138" s="569" t="str">
        <f>AZ8</f>
        <v>F1Q15A</v>
      </c>
      <c r="BA138" s="570" t="str">
        <f>BA8</f>
        <v>F2Q15A</v>
      </c>
      <c r="BB138" s="570" t="str">
        <f>BB8</f>
        <v>F3Q15A</v>
      </c>
      <c r="BC138" s="573" t="str">
        <f t="shared" si="468"/>
        <v>F4Q15A</v>
      </c>
      <c r="BD138" s="569" t="str">
        <f t="shared" si="468"/>
        <v>F1Q16A</v>
      </c>
      <c r="BE138" s="570" t="str">
        <f t="shared" si="468"/>
        <v>F2Q16A</v>
      </c>
      <c r="BF138" s="570" t="str">
        <f t="shared" si="468"/>
        <v>F3Q16A</v>
      </c>
      <c r="BG138" s="573" t="str">
        <f t="shared" si="468"/>
        <v>F4Q16A</v>
      </c>
      <c r="BH138" s="569" t="str">
        <f t="shared" ref="BH138:BO138" si="469">BH8</f>
        <v>F1Q17A</v>
      </c>
      <c r="BI138" s="570" t="str">
        <f t="shared" si="469"/>
        <v>F2Q17A</v>
      </c>
      <c r="BJ138" s="570" t="str">
        <f t="shared" si="469"/>
        <v>F3Q17A</v>
      </c>
      <c r="BK138" s="573" t="str">
        <f t="shared" si="469"/>
        <v>F4Q17A</v>
      </c>
      <c r="BL138" s="569" t="str">
        <f t="shared" si="469"/>
        <v>F1Q18A</v>
      </c>
      <c r="BM138" s="1321" t="str">
        <f t="shared" ref="BM138" si="470">BM8</f>
        <v>F2Q18A</v>
      </c>
      <c r="BN138" s="570" t="str">
        <f t="shared" si="469"/>
        <v>F3Q18A</v>
      </c>
      <c r="BO138" s="573" t="str">
        <f t="shared" si="469"/>
        <v>F4Q18E</v>
      </c>
      <c r="BP138" s="569" t="str">
        <f t="shared" ref="BP138:BW138" si="471">BP8</f>
        <v>F1Q19E</v>
      </c>
      <c r="BQ138" s="570" t="str">
        <f t="shared" si="471"/>
        <v>F2Q19E</v>
      </c>
      <c r="BR138" s="570" t="str">
        <f t="shared" si="471"/>
        <v>F3Q19E</v>
      </c>
      <c r="BS138" s="573" t="str">
        <f t="shared" si="471"/>
        <v>F4Q19E</v>
      </c>
      <c r="BT138" s="569" t="str">
        <f t="shared" si="471"/>
        <v>F1Q20E</v>
      </c>
      <c r="BU138" s="1321" t="str">
        <f t="shared" si="471"/>
        <v>F2Q20E</v>
      </c>
      <c r="BV138" s="1321" t="str">
        <f t="shared" si="471"/>
        <v>F3Q20E</v>
      </c>
      <c r="BW138" s="573" t="str">
        <f t="shared" si="471"/>
        <v>F4Q20E</v>
      </c>
      <c r="BX138" s="473"/>
      <c r="BY138" s="570" t="str">
        <f>BY8</f>
        <v>FY2003A</v>
      </c>
      <c r="BZ138" s="570" t="str">
        <f>BZ8</f>
        <v>FY2004A</v>
      </c>
      <c r="CA138" s="570" t="str">
        <f>CA8</f>
        <v>FY2005A</v>
      </c>
      <c r="CB138" s="570" t="str">
        <f t="shared" ref="CB138:CK138" si="472">CB8</f>
        <v>FY2006A</v>
      </c>
      <c r="CC138" s="570" t="str">
        <f t="shared" si="472"/>
        <v>FY2007A</v>
      </c>
      <c r="CD138" s="570" t="str">
        <f t="shared" si="472"/>
        <v>FY2008A</v>
      </c>
      <c r="CE138" s="570" t="str">
        <f t="shared" si="472"/>
        <v>FY2009A</v>
      </c>
      <c r="CF138" s="570" t="str">
        <f t="shared" si="472"/>
        <v>FY2010A</v>
      </c>
      <c r="CG138" s="570" t="str">
        <f t="shared" si="472"/>
        <v>FY2011A</v>
      </c>
      <c r="CH138" s="570" t="str">
        <f>CH8</f>
        <v>FY2012A</v>
      </c>
      <c r="CI138" s="570" t="str">
        <f t="shared" si="472"/>
        <v>FY2013A</v>
      </c>
      <c r="CJ138" s="570" t="str">
        <f t="shared" si="472"/>
        <v>FY2014A</v>
      </c>
      <c r="CK138" s="570" t="str">
        <f t="shared" si="472"/>
        <v>FY2015A</v>
      </c>
      <c r="CL138" s="570" t="str">
        <f>CL8</f>
        <v>FY2016A</v>
      </c>
      <c r="CM138" s="570" t="str">
        <f>CM8</f>
        <v>FY2017A</v>
      </c>
      <c r="CN138" s="570" t="str">
        <f>CN8</f>
        <v>FY2018E</v>
      </c>
      <c r="CO138" s="1321" t="str">
        <f>CO8</f>
        <v>FY2019E</v>
      </c>
      <c r="CP138" s="573" t="str">
        <f>CP8</f>
        <v>FY2020E</v>
      </c>
      <c r="CQ138" s="913"/>
      <c r="CR138" s="1526"/>
      <c r="CS138" s="569" t="str">
        <f>CS8</f>
        <v>CY2004</v>
      </c>
      <c r="CT138" s="570" t="str">
        <f>CT8</f>
        <v>CY2005</v>
      </c>
      <c r="CU138" s="570" t="str">
        <f>CU8</f>
        <v>CY2006</v>
      </c>
      <c r="CV138" s="570" t="str">
        <f t="shared" ref="CV138:DA138" si="473">CV8</f>
        <v>CY2007</v>
      </c>
      <c r="CW138" s="570" t="str">
        <f t="shared" si="473"/>
        <v>CY2008</v>
      </c>
      <c r="CX138" s="570" t="str">
        <f t="shared" si="473"/>
        <v>CY2009</v>
      </c>
      <c r="CY138" s="570" t="str">
        <f t="shared" si="473"/>
        <v>CY2010</v>
      </c>
      <c r="CZ138" s="570" t="str">
        <f t="shared" si="473"/>
        <v>CY2011</v>
      </c>
      <c r="DA138" s="569" t="str">
        <f t="shared" si="473"/>
        <v>CY2012</v>
      </c>
      <c r="DB138" s="570" t="str">
        <f t="shared" ref="DB138:DG138" si="474">DB8</f>
        <v>CY2013</v>
      </c>
      <c r="DC138" s="570" t="str">
        <f t="shared" si="474"/>
        <v>CY2014</v>
      </c>
      <c r="DD138" s="570" t="str">
        <f t="shared" si="474"/>
        <v>CY2015</v>
      </c>
      <c r="DE138" s="570" t="str">
        <f t="shared" si="474"/>
        <v>CY2016</v>
      </c>
      <c r="DF138" s="570" t="str">
        <f t="shared" si="474"/>
        <v>CY2017</v>
      </c>
      <c r="DG138" s="1321" t="str">
        <f t="shared" si="474"/>
        <v>CY2018</v>
      </c>
      <c r="DH138" s="573" t="str">
        <f t="shared" ref="DH138" si="475">DH8</f>
        <v>CY2019</v>
      </c>
    </row>
    <row r="139" spans="1:112" ht="14.25" customHeight="1">
      <c r="B139" s="402" t="str">
        <f>B132</f>
        <v>Semiconductor products</v>
      </c>
      <c r="C139" s="372"/>
      <c r="D139" s="882"/>
      <c r="E139" s="883"/>
      <c r="F139" s="883"/>
      <c r="G139" s="884"/>
      <c r="H139" s="882"/>
      <c r="I139" s="883"/>
      <c r="J139" s="883"/>
      <c r="K139" s="884"/>
      <c r="L139" s="882"/>
      <c r="M139" s="883"/>
      <c r="N139" s="883"/>
      <c r="O139" s="884"/>
      <c r="P139" s="882"/>
      <c r="Q139" s="883"/>
      <c r="R139" s="883"/>
      <c r="S139" s="884"/>
      <c r="T139" s="882"/>
      <c r="U139" s="883"/>
      <c r="V139" s="883"/>
      <c r="W139" s="884"/>
      <c r="X139" s="882"/>
      <c r="Y139" s="883"/>
      <c r="Z139" s="883"/>
      <c r="AA139" s="884"/>
      <c r="AB139" s="882"/>
      <c r="AC139" s="883"/>
      <c r="AD139" s="883"/>
      <c r="AE139" s="884"/>
      <c r="AF139" s="882"/>
      <c r="AG139" s="883"/>
      <c r="AH139" s="883"/>
      <c r="AI139" s="884"/>
      <c r="AJ139" s="882">
        <f>AJ132/AJ$134</f>
        <v>0.9569982499124956</v>
      </c>
      <c r="AK139" s="883">
        <f t="shared" ref="AK139:AT139" si="476">AK132/AK$134</f>
        <v>0.95481739394304044</v>
      </c>
      <c r="AL139" s="883">
        <f t="shared" si="476"/>
        <v>0.94818717647570583</v>
      </c>
      <c r="AM139" s="884">
        <f t="shared" si="476"/>
        <v>0.94636367225022033</v>
      </c>
      <c r="AN139" s="882">
        <f t="shared" si="476"/>
        <v>0.94486885425372558</v>
      </c>
      <c r="AO139" s="883">
        <f t="shared" si="476"/>
        <v>0.93545545827681575</v>
      </c>
      <c r="AP139" s="883">
        <f t="shared" si="476"/>
        <v>0.92995114778402943</v>
      </c>
      <c r="AQ139" s="884">
        <f t="shared" si="476"/>
        <v>0.93711328342839273</v>
      </c>
      <c r="AR139" s="403">
        <f t="shared" si="476"/>
        <v>0.94240260809805365</v>
      </c>
      <c r="AS139" s="883">
        <f t="shared" si="476"/>
        <v>0.94750559616799468</v>
      </c>
      <c r="AT139" s="883">
        <f t="shared" si="476"/>
        <v>0.94871252526757788</v>
      </c>
      <c r="AU139" s="884">
        <f t="shared" ref="AU139:AX140" si="477">AU132/AU$134</f>
        <v>0.94871019937509293</v>
      </c>
      <c r="AV139" s="403">
        <f t="shared" si="477"/>
        <v>0.95138288677614524</v>
      </c>
      <c r="AW139" s="883">
        <f t="shared" si="477"/>
        <v>0.94960916964533992</v>
      </c>
      <c r="AX139" s="883">
        <f t="shared" si="477"/>
        <v>0.95009245976134604</v>
      </c>
      <c r="AY139" s="884">
        <f t="shared" ref="AY139:BA140" si="478">AY132/AY$134</f>
        <v>0.9530216305616811</v>
      </c>
      <c r="AZ139" s="403">
        <f t="shared" si="478"/>
        <v>0.96135767174158038</v>
      </c>
      <c r="BA139" s="404">
        <f t="shared" si="478"/>
        <v>0.95865576309444711</v>
      </c>
      <c r="BB139" s="404">
        <f>BB132/BB$134</f>
        <v>0.95659813508350522</v>
      </c>
      <c r="BC139" s="407"/>
      <c r="BD139" s="408"/>
      <c r="BE139" s="406"/>
      <c r="BF139" s="406"/>
      <c r="BG139" s="407"/>
      <c r="BH139" s="408"/>
      <c r="BI139" s="406"/>
      <c r="BJ139" s="406"/>
      <c r="BK139" s="407"/>
      <c r="BL139" s="408"/>
      <c r="BM139" s="406"/>
      <c r="BN139" s="406"/>
      <c r="BO139" s="407"/>
      <c r="BP139" s="408"/>
      <c r="BQ139" s="406"/>
      <c r="BR139" s="406"/>
      <c r="BS139" s="407"/>
      <c r="BT139" s="408"/>
      <c r="BU139" s="406"/>
      <c r="BV139" s="406"/>
      <c r="BW139" s="407"/>
      <c r="BX139" s="378"/>
      <c r="BY139" s="369"/>
      <c r="BZ139" s="369"/>
      <c r="CA139" s="369"/>
      <c r="CB139" s="369"/>
      <c r="CC139" s="369"/>
      <c r="CD139" s="240"/>
      <c r="CE139" s="240"/>
      <c r="CF139" s="409"/>
      <c r="CG139" s="409">
        <f>CG132/IS!CG$8</f>
        <v>0.95154131407573272</v>
      </c>
      <c r="CH139" s="409">
        <f>CH132/IS!CH$8</f>
        <v>0.93710055697901085</v>
      </c>
      <c r="CI139" s="409">
        <f>CI132/IS!CI$8</f>
        <v>0.94701455403721357</v>
      </c>
      <c r="CJ139" s="409">
        <f>CJ132/IS!CJ$8</f>
        <v>0.95102673599082832</v>
      </c>
      <c r="CK139" s="369"/>
      <c r="CL139" s="369"/>
      <c r="CM139" s="369"/>
      <c r="CN139" s="369"/>
      <c r="CO139" s="369"/>
      <c r="CP139" s="368"/>
      <c r="CQ139" s="452"/>
      <c r="CR139" s="1525"/>
      <c r="CS139" s="1022"/>
      <c r="CT139" s="409"/>
      <c r="CU139" s="409"/>
      <c r="CV139" s="409"/>
      <c r="CW139" s="409"/>
      <c r="CX139" s="409"/>
      <c r="CY139" s="409"/>
      <c r="CZ139" s="409">
        <f>CZ132/IS!CZ$8</f>
        <v>0.93956889591012804</v>
      </c>
      <c r="DA139" s="1022">
        <f>DA132/IS!DA$8</f>
        <v>0.94427364649521262</v>
      </c>
      <c r="DB139" s="409"/>
      <c r="DC139" s="409"/>
      <c r="DD139" s="409"/>
      <c r="DE139" s="409"/>
      <c r="DF139" s="409"/>
      <c r="DG139" s="409"/>
      <c r="DH139" s="1023"/>
    </row>
    <row r="140" spans="1:112" ht="14.25" customHeight="1">
      <c r="B140" s="410" t="str">
        <f>B133</f>
        <v>Technology licensing</v>
      </c>
      <c r="C140" s="332"/>
      <c r="D140" s="411"/>
      <c r="E140" s="412"/>
      <c r="F140" s="412"/>
      <c r="G140" s="413"/>
      <c r="H140" s="411"/>
      <c r="I140" s="412"/>
      <c r="J140" s="412"/>
      <c r="K140" s="413"/>
      <c r="L140" s="411"/>
      <c r="M140" s="412"/>
      <c r="N140" s="412"/>
      <c r="O140" s="413"/>
      <c r="P140" s="411"/>
      <c r="Q140" s="412"/>
      <c r="R140" s="412"/>
      <c r="S140" s="413"/>
      <c r="T140" s="411"/>
      <c r="U140" s="412"/>
      <c r="V140" s="412"/>
      <c r="W140" s="413"/>
      <c r="X140" s="411"/>
      <c r="Y140" s="412"/>
      <c r="Z140" s="412"/>
      <c r="AA140" s="413"/>
      <c r="AB140" s="411"/>
      <c r="AC140" s="412"/>
      <c r="AD140" s="412"/>
      <c r="AE140" s="413"/>
      <c r="AF140" s="411"/>
      <c r="AG140" s="412"/>
      <c r="AH140" s="412"/>
      <c r="AI140" s="413"/>
      <c r="AJ140" s="411">
        <f t="shared" ref="AJ140:AT140" si="479">AJ133/AJ$134</f>
        <v>4.300175008750437E-2</v>
      </c>
      <c r="AK140" s="412">
        <f t="shared" si="479"/>
        <v>4.5182606056959583E-2</v>
      </c>
      <c r="AL140" s="412">
        <f t="shared" si="479"/>
        <v>5.1812823524294227E-2</v>
      </c>
      <c r="AM140" s="413">
        <f t="shared" si="479"/>
        <v>5.3636327749779611E-2</v>
      </c>
      <c r="AN140" s="411">
        <f t="shared" si="479"/>
        <v>5.5131145746274431E-2</v>
      </c>
      <c r="AO140" s="412">
        <f t="shared" si="479"/>
        <v>6.4544541723184259E-2</v>
      </c>
      <c r="AP140" s="412">
        <f t="shared" si="479"/>
        <v>7.0048852215970542E-2</v>
      </c>
      <c r="AQ140" s="413">
        <f t="shared" si="479"/>
        <v>6.2886716571607285E-2</v>
      </c>
      <c r="AR140" s="411">
        <f t="shared" si="479"/>
        <v>5.7597391901946425E-2</v>
      </c>
      <c r="AS140" s="412">
        <f t="shared" si="479"/>
        <v>5.2494403832005383E-2</v>
      </c>
      <c r="AT140" s="412">
        <f t="shared" si="479"/>
        <v>5.128747473242206E-2</v>
      </c>
      <c r="AU140" s="413">
        <f t="shared" si="477"/>
        <v>5.1289800624907039E-2</v>
      </c>
      <c r="AV140" s="411">
        <f t="shared" si="477"/>
        <v>4.8617113223854792E-2</v>
      </c>
      <c r="AW140" s="412">
        <f t="shared" si="477"/>
        <v>5.0390830354660021E-2</v>
      </c>
      <c r="AX140" s="412">
        <f t="shared" si="477"/>
        <v>4.9907540238653986E-2</v>
      </c>
      <c r="AY140" s="413">
        <f t="shared" si="478"/>
        <v>4.6978369438318866E-2</v>
      </c>
      <c r="AZ140" s="411">
        <f t="shared" si="478"/>
        <v>3.8642328258419747E-2</v>
      </c>
      <c r="BA140" s="412">
        <f t="shared" si="478"/>
        <v>4.1344236905553028E-2</v>
      </c>
      <c r="BB140" s="412">
        <f>BB133/BB$134</f>
        <v>4.3401864916494871E-2</v>
      </c>
      <c r="BC140" s="415"/>
      <c r="BD140" s="416"/>
      <c r="BE140" s="414"/>
      <c r="BF140" s="414"/>
      <c r="BG140" s="415"/>
      <c r="BH140" s="416"/>
      <c r="BI140" s="414"/>
      <c r="BJ140" s="414"/>
      <c r="BK140" s="415"/>
      <c r="BL140" s="416"/>
      <c r="BM140" s="414"/>
      <c r="BN140" s="414"/>
      <c r="BO140" s="415"/>
      <c r="BP140" s="416"/>
      <c r="BQ140" s="414"/>
      <c r="BR140" s="414"/>
      <c r="BS140" s="415"/>
      <c r="BT140" s="416"/>
      <c r="BU140" s="414"/>
      <c r="BV140" s="414"/>
      <c r="BW140" s="415"/>
      <c r="BX140" s="378"/>
      <c r="BY140" s="369"/>
      <c r="BZ140" s="369"/>
      <c r="CA140" s="369"/>
      <c r="CB140" s="369"/>
      <c r="CC140" s="369"/>
      <c r="CD140" s="240"/>
      <c r="CE140" s="240"/>
      <c r="CF140" s="240"/>
      <c r="CG140" s="240">
        <f>CG133/IS!CG$8</f>
        <v>4.8458685924267338E-2</v>
      </c>
      <c r="CH140" s="240">
        <f>CH133/IS!CH$8</f>
        <v>6.2899443020989376E-2</v>
      </c>
      <c r="CI140" s="240">
        <f>CI133/IS!CI$8</f>
        <v>5.2985445962786322E-2</v>
      </c>
      <c r="CJ140" s="240">
        <f>CJ133/IS!CJ$8</f>
        <v>4.8973264009171409E-2</v>
      </c>
      <c r="CK140" s="369"/>
      <c r="CL140" s="369"/>
      <c r="CM140" s="369"/>
      <c r="CN140" s="369"/>
      <c r="CO140" s="369"/>
      <c r="CP140" s="368"/>
      <c r="CQ140" s="452"/>
      <c r="CR140" s="1525"/>
      <c r="CS140" s="1028"/>
      <c r="CT140" s="240"/>
      <c r="CU140" s="240"/>
      <c r="CV140" s="240"/>
      <c r="CW140" s="240"/>
      <c r="CX140" s="240"/>
      <c r="CY140" s="240"/>
      <c r="CZ140" s="240">
        <f>CZ133/IS!CZ$8</f>
        <v>6.0431104089871866E-2</v>
      </c>
      <c r="DA140" s="1028">
        <f>DA133/IS!DA$8</f>
        <v>5.5726353504787336E-2</v>
      </c>
      <c r="DB140" s="240"/>
      <c r="DC140" s="240"/>
      <c r="DD140" s="240"/>
      <c r="DE140" s="240"/>
      <c r="DF140" s="240"/>
      <c r="DG140" s="240"/>
      <c r="DH140" s="282"/>
    </row>
    <row r="141" spans="1:112" ht="14.25" customHeight="1">
      <c r="A141" s="100"/>
      <c r="B141" s="418" t="s">
        <v>139</v>
      </c>
      <c r="C141" s="388"/>
      <c r="D141" s="419"/>
      <c r="E141" s="420"/>
      <c r="F141" s="420"/>
      <c r="G141" s="421"/>
      <c r="H141" s="419"/>
      <c r="I141" s="420"/>
      <c r="J141" s="420"/>
      <c r="K141" s="421"/>
      <c r="L141" s="419"/>
      <c r="M141" s="420"/>
      <c r="N141" s="420"/>
      <c r="O141" s="421"/>
      <c r="P141" s="419"/>
      <c r="Q141" s="420"/>
      <c r="R141" s="420"/>
      <c r="S141" s="421"/>
      <c r="T141" s="419"/>
      <c r="U141" s="420"/>
      <c r="V141" s="420"/>
      <c r="W141" s="421"/>
      <c r="X141" s="419"/>
      <c r="Y141" s="420"/>
      <c r="Z141" s="420"/>
      <c r="AA141" s="421"/>
      <c r="AB141" s="419"/>
      <c r="AC141" s="420"/>
      <c r="AD141" s="420"/>
      <c r="AE141" s="421"/>
      <c r="AF141" s="419"/>
      <c r="AG141" s="420"/>
      <c r="AH141" s="420"/>
      <c r="AI141" s="421"/>
      <c r="AJ141" s="419">
        <f t="shared" ref="AJ141:AX141" si="480">SUM(AJ139:AJ140)</f>
        <v>1</v>
      </c>
      <c r="AK141" s="420">
        <f t="shared" si="480"/>
        <v>1</v>
      </c>
      <c r="AL141" s="420">
        <f t="shared" si="480"/>
        <v>1</v>
      </c>
      <c r="AM141" s="421">
        <f t="shared" si="480"/>
        <v>1</v>
      </c>
      <c r="AN141" s="419">
        <f t="shared" si="480"/>
        <v>1</v>
      </c>
      <c r="AO141" s="420">
        <f t="shared" si="480"/>
        <v>1</v>
      </c>
      <c r="AP141" s="420">
        <f t="shared" si="480"/>
        <v>1</v>
      </c>
      <c r="AQ141" s="421">
        <f t="shared" si="480"/>
        <v>1</v>
      </c>
      <c r="AR141" s="419">
        <f t="shared" si="480"/>
        <v>1</v>
      </c>
      <c r="AS141" s="420">
        <f t="shared" si="480"/>
        <v>1</v>
      </c>
      <c r="AT141" s="420">
        <f t="shared" si="480"/>
        <v>0.99999999999999989</v>
      </c>
      <c r="AU141" s="421">
        <f t="shared" si="480"/>
        <v>1</v>
      </c>
      <c r="AV141" s="419">
        <f t="shared" si="480"/>
        <v>1</v>
      </c>
      <c r="AW141" s="420">
        <f t="shared" si="480"/>
        <v>1</v>
      </c>
      <c r="AX141" s="420">
        <f t="shared" si="480"/>
        <v>1</v>
      </c>
      <c r="AY141" s="421">
        <f>SUM(AY139:AY140)</f>
        <v>1</v>
      </c>
      <c r="AZ141" s="419">
        <f>SUM(AZ139:AZ140)</f>
        <v>1.0000000000000002</v>
      </c>
      <c r="BA141" s="420">
        <f>SUM(BA139:BA140)</f>
        <v>1.0000000000000002</v>
      </c>
      <c r="BB141" s="420">
        <f>SUM(BB139:BB140)</f>
        <v>1</v>
      </c>
      <c r="BC141" s="423"/>
      <c r="BD141" s="424"/>
      <c r="BE141" s="422"/>
      <c r="BF141" s="422"/>
      <c r="BG141" s="423"/>
      <c r="BH141" s="424"/>
      <c r="BI141" s="422"/>
      <c r="BJ141" s="422"/>
      <c r="BK141" s="423"/>
      <c r="BL141" s="424"/>
      <c r="BM141" s="422"/>
      <c r="BN141" s="422"/>
      <c r="BO141" s="423"/>
      <c r="BP141" s="424"/>
      <c r="BQ141" s="422"/>
      <c r="BR141" s="422"/>
      <c r="BS141" s="423"/>
      <c r="BT141" s="424"/>
      <c r="BU141" s="422"/>
      <c r="BV141" s="422"/>
      <c r="BW141" s="423"/>
      <c r="BX141" s="395"/>
      <c r="BY141" s="425"/>
      <c r="BZ141" s="425"/>
      <c r="CA141" s="425"/>
      <c r="CB141" s="425"/>
      <c r="CC141" s="425"/>
      <c r="CD141" s="426"/>
      <c r="CE141" s="426"/>
      <c r="CF141" s="426"/>
      <c r="CG141" s="426">
        <f>SUM(CG139:CG140)</f>
        <v>1</v>
      </c>
      <c r="CH141" s="426">
        <f>SUM(CH139:CH140)</f>
        <v>1.0000000000000002</v>
      </c>
      <c r="CI141" s="426">
        <f>SUM(CI139:CI140)</f>
        <v>0.99999999999999989</v>
      </c>
      <c r="CJ141" s="426">
        <f>SUM(CJ139:CJ140)</f>
        <v>0.99999999999999978</v>
      </c>
      <c r="CK141" s="425"/>
      <c r="CL141" s="425"/>
      <c r="CM141" s="425"/>
      <c r="CN141" s="425"/>
      <c r="CO141" s="425"/>
      <c r="CP141" s="427"/>
      <c r="CQ141" s="333"/>
      <c r="CR141" s="1524"/>
      <c r="CS141" s="1029"/>
      <c r="CT141" s="426"/>
      <c r="CU141" s="426"/>
      <c r="CV141" s="426"/>
      <c r="CW141" s="426"/>
      <c r="CX141" s="426"/>
      <c r="CY141" s="426"/>
      <c r="CZ141" s="426">
        <f>SUM(CZ139:CZ140)</f>
        <v>0.99999999999999989</v>
      </c>
      <c r="DA141" s="1029">
        <f>SUM(DA139:DA140)</f>
        <v>1</v>
      </c>
      <c r="DB141" s="426"/>
      <c r="DC141" s="426"/>
      <c r="DD141" s="426"/>
      <c r="DE141" s="426"/>
      <c r="DF141" s="426"/>
      <c r="DG141" s="426"/>
      <c r="DH141" s="1030"/>
    </row>
    <row r="142" spans="1:112" ht="14.25" customHeight="1">
      <c r="B142" s="331"/>
      <c r="AZ142" s="1174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14"/>
      <c r="CM142" s="14"/>
      <c r="CN142" s="14"/>
      <c r="CO142" s="14"/>
      <c r="CP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14"/>
      <c r="DE142" s="14"/>
      <c r="DF142" s="14"/>
      <c r="DG142" s="14"/>
      <c r="DH142" s="8"/>
    </row>
    <row r="143" spans="1:112" ht="14.25" hidden="1" customHeight="1" outlineLevel="1">
      <c r="A143" s="8"/>
      <c r="B143" s="289" t="s">
        <v>138</v>
      </c>
      <c r="C143" s="290"/>
      <c r="D143" s="399"/>
      <c r="E143" s="400"/>
      <c r="F143" s="400"/>
      <c r="G143" s="400"/>
      <c r="H143" s="399"/>
      <c r="I143" s="400"/>
      <c r="J143" s="400"/>
      <c r="K143" s="400"/>
      <c r="L143" s="399"/>
      <c r="M143" s="400"/>
      <c r="N143" s="400"/>
      <c r="O143" s="400"/>
      <c r="P143" s="399"/>
      <c r="Q143" s="400"/>
      <c r="R143" s="400"/>
      <c r="S143" s="400"/>
      <c r="T143" s="399"/>
      <c r="U143" s="400"/>
      <c r="V143" s="400"/>
      <c r="W143" s="400"/>
      <c r="X143" s="399"/>
      <c r="Y143" s="400"/>
      <c r="Z143" s="400"/>
      <c r="AA143" s="400"/>
      <c r="AB143" s="399"/>
      <c r="AC143" s="400"/>
      <c r="AD143" s="400"/>
      <c r="AE143" s="400"/>
      <c r="AF143" s="399"/>
      <c r="AG143" s="400"/>
      <c r="AH143" s="400"/>
      <c r="AI143" s="400"/>
      <c r="AJ143" s="399" t="str">
        <f t="shared" ref="AJ143:AT143" si="481">IF(ROUND(AJ141,1)=1,"OK",AJ141)</f>
        <v>OK</v>
      </c>
      <c r="AK143" s="400" t="str">
        <f t="shared" si="481"/>
        <v>OK</v>
      </c>
      <c r="AL143" s="400" t="str">
        <f t="shared" si="481"/>
        <v>OK</v>
      </c>
      <c r="AM143" s="400" t="str">
        <f t="shared" si="481"/>
        <v>OK</v>
      </c>
      <c r="AN143" s="517" t="str">
        <f t="shared" si="481"/>
        <v>OK</v>
      </c>
      <c r="AO143" s="518" t="str">
        <f t="shared" si="481"/>
        <v>OK</v>
      </c>
      <c r="AP143" s="518" t="str">
        <f t="shared" si="481"/>
        <v>OK</v>
      </c>
      <c r="AQ143" s="400" t="str">
        <f t="shared" si="481"/>
        <v>OK</v>
      </c>
      <c r="AR143" s="517" t="str">
        <f t="shared" si="481"/>
        <v>OK</v>
      </c>
      <c r="AS143" s="518" t="str">
        <f t="shared" si="481"/>
        <v>OK</v>
      </c>
      <c r="AT143" s="518" t="str">
        <f t="shared" si="481"/>
        <v>OK</v>
      </c>
      <c r="AU143" s="400" t="str">
        <f t="shared" ref="AU143:AZ143" si="482">IF(ROUND(AU141,1)=1,"OK",AU141)</f>
        <v>OK</v>
      </c>
      <c r="AV143" s="517" t="str">
        <f t="shared" si="482"/>
        <v>OK</v>
      </c>
      <c r="AW143" s="518" t="str">
        <f t="shared" si="482"/>
        <v>OK</v>
      </c>
      <c r="AX143" s="518" t="str">
        <f t="shared" si="482"/>
        <v>OK</v>
      </c>
      <c r="AY143" s="400" t="str">
        <f t="shared" si="482"/>
        <v>OK</v>
      </c>
      <c r="AZ143" s="517" t="str">
        <f t="shared" si="482"/>
        <v>OK</v>
      </c>
      <c r="BA143" s="518" t="str">
        <f>IF(ROUND(BA141,1)=1,"OK",BA141)</f>
        <v>OK</v>
      </c>
      <c r="BB143" s="518" t="str">
        <f>IF(ROUND(BB141,1)=1,"OK",BB141)</f>
        <v>OK</v>
      </c>
      <c r="BC143" s="292"/>
      <c r="BD143" s="291"/>
      <c r="BE143" s="292"/>
      <c r="BF143" s="292"/>
      <c r="BG143" s="292"/>
      <c r="BH143" s="291"/>
      <c r="BI143" s="292"/>
      <c r="BJ143" s="292"/>
      <c r="BK143" s="292"/>
      <c r="BL143" s="291"/>
      <c r="BM143" s="292"/>
      <c r="BN143" s="292"/>
      <c r="BO143" s="292"/>
      <c r="BP143" s="291"/>
      <c r="BQ143" s="292"/>
      <c r="BR143" s="292"/>
      <c r="BS143" s="292"/>
      <c r="BT143" s="291"/>
      <c r="BU143" s="292"/>
      <c r="BV143" s="292"/>
      <c r="BW143" s="292"/>
      <c r="BX143" s="20"/>
      <c r="BY143" s="292"/>
      <c r="BZ143" s="292"/>
      <c r="CA143" s="292"/>
      <c r="CB143" s="292"/>
      <c r="CC143" s="292"/>
      <c r="CD143" s="292"/>
      <c r="CE143" s="292"/>
      <c r="CF143" s="292"/>
      <c r="CG143" s="400" t="str">
        <f>IF(ROUND(CG141,1)=1,"OK",CG141)</f>
        <v>OK</v>
      </c>
      <c r="CH143" s="400" t="str">
        <f>IF(ROUND(CH141,1)=1,"OK",CH141)</f>
        <v>OK</v>
      </c>
      <c r="CI143" s="400" t="str">
        <f>IF(ROUND(CI141,1)=1,"OK",CI141)</f>
        <v>OK</v>
      </c>
      <c r="CJ143" s="400" t="str">
        <f>IF(ROUND(CJ141,1)=1,"OK",CJ141)</f>
        <v>OK</v>
      </c>
      <c r="CK143" s="292"/>
      <c r="CL143" s="292"/>
      <c r="CM143" s="292"/>
      <c r="CN143" s="292"/>
      <c r="CO143" s="292"/>
      <c r="CP143" s="293"/>
      <c r="CQ143" s="8"/>
      <c r="CR143" s="232"/>
      <c r="CS143" s="399"/>
      <c r="CT143" s="400"/>
      <c r="CU143" s="400"/>
      <c r="CV143" s="400"/>
      <c r="CW143" s="400"/>
      <c r="CX143" s="400"/>
      <c r="CY143" s="400"/>
      <c r="CZ143" s="400" t="str">
        <f>IF(ROUND(CZ141,1)=1,"OK",CZ141)</f>
        <v>OK</v>
      </c>
      <c r="DA143" s="400" t="str">
        <f>IF(ROUND(DA141,1)=1,"OK",DA141)</f>
        <v>OK</v>
      </c>
      <c r="DB143" s="400"/>
      <c r="DC143" s="400"/>
      <c r="DD143" s="400"/>
      <c r="DE143" s="400"/>
      <c r="DF143" s="400"/>
      <c r="DG143" s="400"/>
      <c r="DH143" s="1031"/>
    </row>
    <row r="144" spans="1:112" ht="14.25" customHeight="1" collapsed="1">
      <c r="B144" s="331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14"/>
      <c r="CM144" s="14"/>
      <c r="CN144" s="14"/>
      <c r="CO144" s="14"/>
      <c r="CP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14"/>
      <c r="DE144" s="14"/>
      <c r="DF144" s="14"/>
      <c r="DG144" s="14"/>
      <c r="DH144" s="8"/>
    </row>
    <row r="145" spans="1:112" ht="14.25" customHeight="1">
      <c r="B145" s="331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14"/>
      <c r="CM145" s="14"/>
      <c r="CN145" s="14"/>
      <c r="CO145" s="14"/>
      <c r="CP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14"/>
      <c r="DE145" s="14"/>
      <c r="DF145" s="14"/>
      <c r="DG145" s="14"/>
      <c r="DH145" s="8"/>
    </row>
    <row r="146" spans="1:112" ht="14.25" customHeight="1">
      <c r="B146" s="331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14"/>
      <c r="CM146" s="14"/>
      <c r="CN146" s="14"/>
      <c r="CO146" s="14"/>
      <c r="CP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14"/>
      <c r="DE146" s="14"/>
      <c r="DF146" s="14"/>
      <c r="DG146" s="14"/>
      <c r="DH146" s="8"/>
    </row>
    <row r="147" spans="1:112" ht="14.25" customHeight="1">
      <c r="A147" s="1"/>
      <c r="B147" s="141" t="s">
        <v>383</v>
      </c>
      <c r="C147" s="142"/>
      <c r="D147" s="569" t="str">
        <f t="shared" ref="D147:O147" si="483">D8</f>
        <v>F1Q03A</v>
      </c>
      <c r="E147" s="570" t="str">
        <f t="shared" si="483"/>
        <v>F2Q03A</v>
      </c>
      <c r="F147" s="570" t="str">
        <f t="shared" si="483"/>
        <v>F3Q03A</v>
      </c>
      <c r="G147" s="570" t="str">
        <f t="shared" si="483"/>
        <v>F4Q03A</v>
      </c>
      <c r="H147" s="569" t="str">
        <f t="shared" si="483"/>
        <v>F1Q04A</v>
      </c>
      <c r="I147" s="570" t="str">
        <f t="shared" si="483"/>
        <v>F2Q04A</v>
      </c>
      <c r="J147" s="570" t="str">
        <f t="shared" si="483"/>
        <v>F3Q04A</v>
      </c>
      <c r="K147" s="570" t="str">
        <f t="shared" si="483"/>
        <v>F4Q04A</v>
      </c>
      <c r="L147" s="569" t="str">
        <f t="shared" si="483"/>
        <v>F1Q05A</v>
      </c>
      <c r="M147" s="570" t="str">
        <f t="shared" si="483"/>
        <v>F2Q05A</v>
      </c>
      <c r="N147" s="570" t="str">
        <f t="shared" si="483"/>
        <v>F3Q05A</v>
      </c>
      <c r="O147" s="570" t="str">
        <f t="shared" si="483"/>
        <v>F4Q05A</v>
      </c>
      <c r="P147" s="569" t="str">
        <f t="shared" ref="P147:AU147" si="484">P8</f>
        <v>F1Q06A</v>
      </c>
      <c r="Q147" s="570" t="str">
        <f t="shared" si="484"/>
        <v>F2Q06A</v>
      </c>
      <c r="R147" s="570" t="str">
        <f t="shared" si="484"/>
        <v>F3Q06A</v>
      </c>
      <c r="S147" s="570" t="str">
        <f t="shared" si="484"/>
        <v>F4Q06A</v>
      </c>
      <c r="T147" s="569" t="str">
        <f t="shared" si="484"/>
        <v>F1Q07A</v>
      </c>
      <c r="U147" s="570" t="str">
        <f t="shared" si="484"/>
        <v>F2Q07A</v>
      </c>
      <c r="V147" s="570" t="str">
        <f t="shared" si="484"/>
        <v>F3Q07A</v>
      </c>
      <c r="W147" s="570" t="str">
        <f t="shared" si="484"/>
        <v>F4Q07A</v>
      </c>
      <c r="X147" s="569" t="str">
        <f t="shared" si="484"/>
        <v>F1Q08A</v>
      </c>
      <c r="Y147" s="570" t="str">
        <f t="shared" si="484"/>
        <v>F2Q08A</v>
      </c>
      <c r="Z147" s="570" t="str">
        <f t="shared" si="484"/>
        <v>F3Q08A</v>
      </c>
      <c r="AA147" s="570" t="str">
        <f t="shared" si="484"/>
        <v>F4Q08A</v>
      </c>
      <c r="AB147" s="569" t="str">
        <f t="shared" si="484"/>
        <v>F1Q09A</v>
      </c>
      <c r="AC147" s="570" t="str">
        <f t="shared" si="484"/>
        <v>F2Q09A</v>
      </c>
      <c r="AD147" s="570" t="str">
        <f t="shared" si="484"/>
        <v>F3Q09A</v>
      </c>
      <c r="AE147" s="570" t="str">
        <f t="shared" si="484"/>
        <v>F4Q09A</v>
      </c>
      <c r="AF147" s="569" t="str">
        <f t="shared" si="484"/>
        <v>F1Q10A</v>
      </c>
      <c r="AG147" s="570" t="str">
        <f t="shared" si="484"/>
        <v>F2Q10A</v>
      </c>
      <c r="AH147" s="570" t="str">
        <f t="shared" si="484"/>
        <v>F3Q10A</v>
      </c>
      <c r="AI147" s="570" t="str">
        <f t="shared" si="484"/>
        <v>F4Q10A</v>
      </c>
      <c r="AJ147" s="569" t="str">
        <f t="shared" si="484"/>
        <v>F1Q11A</v>
      </c>
      <c r="AK147" s="570" t="str">
        <f t="shared" si="484"/>
        <v>F2Q11A</v>
      </c>
      <c r="AL147" s="570" t="str">
        <f t="shared" si="484"/>
        <v>F3Q11A</v>
      </c>
      <c r="AM147" s="570" t="str">
        <f t="shared" si="484"/>
        <v>F4Q11A</v>
      </c>
      <c r="AN147" s="571" t="str">
        <f t="shared" si="484"/>
        <v>F1Q12A</v>
      </c>
      <c r="AO147" s="572" t="str">
        <f t="shared" si="484"/>
        <v>F2Q12A</v>
      </c>
      <c r="AP147" s="572" t="str">
        <f t="shared" si="484"/>
        <v>F3Q12A</v>
      </c>
      <c r="AQ147" s="570" t="str">
        <f t="shared" si="484"/>
        <v>F4Q12A</v>
      </c>
      <c r="AR147" s="569" t="str">
        <f t="shared" si="484"/>
        <v>F1Q13A</v>
      </c>
      <c r="AS147" s="570" t="str">
        <f t="shared" si="484"/>
        <v>F2Q13A</v>
      </c>
      <c r="AT147" s="572" t="str">
        <f t="shared" si="484"/>
        <v>F3Q13A</v>
      </c>
      <c r="AU147" s="570" t="str">
        <f t="shared" si="484"/>
        <v>F4Q13A</v>
      </c>
      <c r="AV147" s="569" t="str">
        <f t="shared" ref="AV147:BG147" si="485">AV8</f>
        <v>F1Q14A</v>
      </c>
      <c r="AW147" s="570" t="str">
        <f t="shared" si="485"/>
        <v>F2Q14A</v>
      </c>
      <c r="AX147" s="570" t="str">
        <f t="shared" si="485"/>
        <v>F3Q14A</v>
      </c>
      <c r="AY147" s="570" t="str">
        <f t="shared" si="485"/>
        <v>F4Q14A</v>
      </c>
      <c r="AZ147" s="569" t="str">
        <f t="shared" si="485"/>
        <v>F1Q15A</v>
      </c>
      <c r="BA147" s="569" t="str">
        <f>BA8</f>
        <v>F2Q15A</v>
      </c>
      <c r="BB147" s="569" t="str">
        <f>BB8</f>
        <v>F3Q15A</v>
      </c>
      <c r="BC147" s="573" t="str">
        <f t="shared" si="485"/>
        <v>F4Q15A</v>
      </c>
      <c r="BD147" s="569" t="str">
        <f t="shared" si="485"/>
        <v>F1Q16A</v>
      </c>
      <c r="BE147" s="570" t="str">
        <f t="shared" si="485"/>
        <v>F2Q16A</v>
      </c>
      <c r="BF147" s="570" t="str">
        <f t="shared" si="485"/>
        <v>F3Q16A</v>
      </c>
      <c r="BG147" s="573" t="str">
        <f t="shared" si="485"/>
        <v>F4Q16A</v>
      </c>
      <c r="BH147" s="569" t="str">
        <f t="shared" ref="BH147:BO147" si="486">BH8</f>
        <v>F1Q17A</v>
      </c>
      <c r="BI147" s="570" t="str">
        <f t="shared" si="486"/>
        <v>F2Q17A</v>
      </c>
      <c r="BJ147" s="570" t="str">
        <f t="shared" si="486"/>
        <v>F3Q17A</v>
      </c>
      <c r="BK147" s="573" t="str">
        <f t="shared" si="486"/>
        <v>F4Q17A</v>
      </c>
      <c r="BL147" s="569" t="str">
        <f t="shared" si="486"/>
        <v>F1Q18A</v>
      </c>
      <c r="BM147" s="1321" t="str">
        <f t="shared" ref="BM147" si="487">BM8</f>
        <v>F2Q18A</v>
      </c>
      <c r="BN147" s="570" t="str">
        <f t="shared" si="486"/>
        <v>F3Q18A</v>
      </c>
      <c r="BO147" s="573" t="str">
        <f t="shared" si="486"/>
        <v>F4Q18E</v>
      </c>
      <c r="BP147" s="569" t="str">
        <f t="shared" ref="BP147:BW147" si="488">BP8</f>
        <v>F1Q19E</v>
      </c>
      <c r="BQ147" s="570" t="str">
        <f t="shared" si="488"/>
        <v>F2Q19E</v>
      </c>
      <c r="BR147" s="570" t="str">
        <f t="shared" si="488"/>
        <v>F3Q19E</v>
      </c>
      <c r="BS147" s="573" t="str">
        <f t="shared" si="488"/>
        <v>F4Q19E</v>
      </c>
      <c r="BT147" s="569" t="str">
        <f t="shared" si="488"/>
        <v>F1Q20E</v>
      </c>
      <c r="BU147" s="1321" t="str">
        <f t="shared" si="488"/>
        <v>F2Q20E</v>
      </c>
      <c r="BV147" s="1321" t="str">
        <f t="shared" si="488"/>
        <v>F3Q20E</v>
      </c>
      <c r="BW147" s="573" t="str">
        <f t="shared" si="488"/>
        <v>F4Q20E</v>
      </c>
      <c r="BX147" s="473"/>
      <c r="BY147" s="570" t="str">
        <f>BY8</f>
        <v>FY2003A</v>
      </c>
      <c r="BZ147" s="570" t="str">
        <f>BZ8</f>
        <v>FY2004A</v>
      </c>
      <c r="CA147" s="570" t="str">
        <f>CA8</f>
        <v>FY2005A</v>
      </c>
      <c r="CB147" s="570" t="str">
        <f t="shared" ref="CB147:CK147" si="489">CB8</f>
        <v>FY2006A</v>
      </c>
      <c r="CC147" s="570" t="str">
        <f t="shared" si="489"/>
        <v>FY2007A</v>
      </c>
      <c r="CD147" s="570" t="str">
        <f t="shared" si="489"/>
        <v>FY2008A</v>
      </c>
      <c r="CE147" s="570" t="str">
        <f t="shared" si="489"/>
        <v>FY2009A</v>
      </c>
      <c r="CF147" s="570" t="str">
        <f t="shared" si="489"/>
        <v>FY2010A</v>
      </c>
      <c r="CG147" s="570" t="str">
        <f t="shared" si="489"/>
        <v>FY2011A</v>
      </c>
      <c r="CH147" s="570" t="str">
        <f>CH8</f>
        <v>FY2012A</v>
      </c>
      <c r="CI147" s="570" t="str">
        <f t="shared" si="489"/>
        <v>FY2013A</v>
      </c>
      <c r="CJ147" s="570" t="str">
        <f t="shared" si="489"/>
        <v>FY2014A</v>
      </c>
      <c r="CK147" s="570" t="str">
        <f t="shared" si="489"/>
        <v>FY2015A</v>
      </c>
      <c r="CL147" s="570" t="str">
        <f>CL8</f>
        <v>FY2016A</v>
      </c>
      <c r="CM147" s="570" t="str">
        <f>CM8</f>
        <v>FY2017A</v>
      </c>
      <c r="CN147" s="570" t="str">
        <f>CN8</f>
        <v>FY2018E</v>
      </c>
      <c r="CO147" s="1321" t="str">
        <f>CO8</f>
        <v>FY2019E</v>
      </c>
      <c r="CP147" s="573" t="str">
        <f>CP8</f>
        <v>FY2020E</v>
      </c>
      <c r="CQ147" s="913"/>
      <c r="CR147" s="1526"/>
      <c r="CS147" s="569" t="str">
        <f>CS8</f>
        <v>CY2004</v>
      </c>
      <c r="CT147" s="570" t="str">
        <f>CT8</f>
        <v>CY2005</v>
      </c>
      <c r="CU147" s="570" t="str">
        <f>CU8</f>
        <v>CY2006</v>
      </c>
      <c r="CV147" s="570" t="str">
        <f t="shared" ref="CV147:DC147" si="490">CV8</f>
        <v>CY2007</v>
      </c>
      <c r="CW147" s="570" t="str">
        <f t="shared" si="490"/>
        <v>CY2008</v>
      </c>
      <c r="CX147" s="570" t="str">
        <f t="shared" si="490"/>
        <v>CY2009</v>
      </c>
      <c r="CY147" s="570" t="str">
        <f t="shared" si="490"/>
        <v>CY2010</v>
      </c>
      <c r="CZ147" s="570" t="str">
        <f t="shared" si="490"/>
        <v>CY2011</v>
      </c>
      <c r="DA147" s="569" t="str">
        <f t="shared" si="490"/>
        <v>CY2012</v>
      </c>
      <c r="DB147" s="570" t="str">
        <f t="shared" si="490"/>
        <v>CY2013</v>
      </c>
      <c r="DC147" s="570" t="str">
        <f t="shared" si="490"/>
        <v>CY2014</v>
      </c>
      <c r="DD147" s="570" t="str">
        <f>DD8</f>
        <v>CY2015</v>
      </c>
      <c r="DE147" s="570" t="str">
        <f>DE8</f>
        <v>CY2016</v>
      </c>
      <c r="DF147" s="570" t="str">
        <f>DF8</f>
        <v>CY2017</v>
      </c>
      <c r="DG147" s="1321" t="str">
        <f>DG8</f>
        <v>CY2018</v>
      </c>
      <c r="DH147" s="573" t="str">
        <f>DH8</f>
        <v>CY2019</v>
      </c>
    </row>
    <row r="148" spans="1:112" ht="14.25" customHeight="1">
      <c r="B148" s="329" t="s">
        <v>356</v>
      </c>
      <c r="C148" s="372"/>
      <c r="D148" s="373"/>
      <c r="E148" s="374"/>
      <c r="F148" s="374"/>
      <c r="G148" s="474"/>
      <c r="H148" s="373"/>
      <c r="I148" s="374"/>
      <c r="J148" s="374"/>
      <c r="K148" s="474"/>
      <c r="L148" s="373"/>
      <c r="M148" s="374"/>
      <c r="N148" s="374"/>
      <c r="O148" s="474"/>
      <c r="P148" s="373"/>
      <c r="Q148" s="374"/>
      <c r="R148" s="374"/>
      <c r="S148" s="474"/>
      <c r="T148" s="373"/>
      <c r="U148" s="374"/>
      <c r="V148" s="374"/>
      <c r="W148" s="474"/>
      <c r="X148" s="373"/>
      <c r="Y148" s="374"/>
      <c r="Z148" s="374"/>
      <c r="AA148" s="474"/>
      <c r="AB148" s="373"/>
      <c r="AC148" s="374"/>
      <c r="AD148" s="374"/>
      <c r="AE148" s="474"/>
      <c r="AF148" s="373"/>
      <c r="AG148" s="374"/>
      <c r="AH148" s="374"/>
      <c r="AI148" s="474"/>
      <c r="AJ148" s="373">
        <v>193.10400000000001</v>
      </c>
      <c r="AK148" s="374">
        <v>208.72900000000001</v>
      </c>
      <c r="AL148" s="374">
        <v>198.34700000000001</v>
      </c>
      <c r="AM148" s="911">
        <f>806.398-AL148-AK148-AJ148</f>
        <v>206.21799999999999</v>
      </c>
      <c r="AN148" s="373">
        <v>200.065</v>
      </c>
      <c r="AO148" s="374">
        <v>175.214</v>
      </c>
      <c r="AP148" s="374">
        <v>162.441</v>
      </c>
      <c r="AQ148" s="911">
        <f>709.754-AP148-AO148-AN148</f>
        <v>172.03399999999999</v>
      </c>
      <c r="AR148" s="373">
        <v>183.63300000000001</v>
      </c>
      <c r="AS148" s="374">
        <v>174.07400000000001</v>
      </c>
      <c r="AT148" s="374">
        <v>179.09</v>
      </c>
      <c r="AU148" s="911">
        <f>754.656-AR148-AS148-AT148</f>
        <v>217.8589999999999</v>
      </c>
      <c r="AV148" s="373">
        <v>244.05600000000001</v>
      </c>
      <c r="AW148" s="374">
        <v>264.03699999999998</v>
      </c>
      <c r="AX148" s="374">
        <v>258.64600000000002</v>
      </c>
      <c r="AY148" s="911">
        <f>1034.165-AV148-AW148-AX148</f>
        <v>267.42599999999987</v>
      </c>
      <c r="AZ148" s="373">
        <v>286.08199999999999</v>
      </c>
      <c r="BA148" s="374">
        <v>284.87</v>
      </c>
      <c r="BB148" s="374">
        <v>279.012</v>
      </c>
      <c r="BC148" s="376"/>
      <c r="BD148" s="377"/>
      <c r="BE148" s="375"/>
      <c r="BF148" s="375"/>
      <c r="BG148" s="376"/>
      <c r="BH148" s="377"/>
      <c r="BI148" s="375"/>
      <c r="BJ148" s="375"/>
      <c r="BK148" s="376"/>
      <c r="BL148" s="377"/>
      <c r="BM148" s="375"/>
      <c r="BN148" s="375"/>
      <c r="BO148" s="376"/>
      <c r="BP148" s="377"/>
      <c r="BQ148" s="375"/>
      <c r="BR148" s="375"/>
      <c r="BS148" s="376"/>
      <c r="BT148" s="377"/>
      <c r="BU148" s="375"/>
      <c r="BV148" s="375"/>
      <c r="BW148" s="376"/>
      <c r="BX148" s="378"/>
      <c r="BY148" s="364"/>
      <c r="BZ148" s="364"/>
      <c r="CA148" s="364"/>
      <c r="CB148" s="364"/>
      <c r="CC148" s="364"/>
      <c r="CD148" s="364"/>
      <c r="CE148" s="364"/>
      <c r="CF148" s="379"/>
      <c r="CG148" s="379">
        <f>SUM(AJ148:AM148)</f>
        <v>806.39800000000002</v>
      </c>
      <c r="CH148" s="379">
        <f>SUM(AN148:AQ148)</f>
        <v>709.75400000000002</v>
      </c>
      <c r="CI148" s="379">
        <f>SUM(AR148:AU148)</f>
        <v>754.65599999999995</v>
      </c>
      <c r="CJ148" s="379">
        <f>SUM(AV148:AY148)</f>
        <v>1034.165</v>
      </c>
      <c r="CK148" s="364"/>
      <c r="CL148" s="364"/>
      <c r="CM148" s="364"/>
      <c r="CN148" s="364"/>
      <c r="CO148" s="364"/>
      <c r="CP148" s="365"/>
      <c r="CQ148" s="281"/>
      <c r="CR148" s="332"/>
      <c r="CS148" s="1032"/>
      <c r="CT148" s="379"/>
      <c r="CU148" s="379"/>
      <c r="CV148" s="379"/>
      <c r="CW148" s="379"/>
      <c r="CX148" s="379"/>
      <c r="CY148" s="379"/>
      <c r="CZ148" s="379">
        <f>SUM(AM148:AP148)</f>
        <v>743.9380000000001</v>
      </c>
      <c r="DA148" s="1032">
        <f>SUM(AQ148:AT148)</f>
        <v>708.83100000000002</v>
      </c>
      <c r="DB148" s="379"/>
      <c r="DC148" s="379"/>
      <c r="DD148" s="379"/>
      <c r="DE148" s="379"/>
      <c r="DF148" s="379"/>
      <c r="DG148" s="379"/>
      <c r="DH148" s="1033"/>
    </row>
    <row r="149" spans="1:112" ht="14.25" customHeight="1">
      <c r="B149" s="330" t="s">
        <v>357</v>
      </c>
      <c r="C149" s="332"/>
      <c r="D149" s="380"/>
      <c r="E149" s="381"/>
      <c r="F149" s="381"/>
      <c r="G149" s="475"/>
      <c r="H149" s="380"/>
      <c r="I149" s="381"/>
      <c r="J149" s="381"/>
      <c r="K149" s="475"/>
      <c r="L149" s="380"/>
      <c r="M149" s="381"/>
      <c r="N149" s="381"/>
      <c r="O149" s="475"/>
      <c r="P149" s="380"/>
      <c r="Q149" s="381"/>
      <c r="R149" s="381"/>
      <c r="S149" s="475"/>
      <c r="T149" s="380"/>
      <c r="U149" s="381"/>
      <c r="V149" s="381"/>
      <c r="W149" s="475"/>
      <c r="X149" s="380"/>
      <c r="Y149" s="381"/>
      <c r="Z149" s="381"/>
      <c r="AA149" s="475"/>
      <c r="AB149" s="380"/>
      <c r="AC149" s="381"/>
      <c r="AD149" s="381"/>
      <c r="AE149" s="475"/>
      <c r="AF149" s="380"/>
      <c r="AG149" s="381"/>
      <c r="AH149" s="381"/>
      <c r="AI149" s="475"/>
      <c r="AJ149" s="380">
        <v>14.339</v>
      </c>
      <c r="AK149" s="381">
        <v>16.276</v>
      </c>
      <c r="AL149" s="381">
        <v>18.05</v>
      </c>
      <c r="AM149" s="912">
        <f>68.038-AL149-AK149-AJ149</f>
        <v>19.373000000000005</v>
      </c>
      <c r="AN149" s="380">
        <v>19.683</v>
      </c>
      <c r="AO149" s="381">
        <v>21.489000000000001</v>
      </c>
      <c r="AP149" s="381">
        <v>23.047000000000001</v>
      </c>
      <c r="AQ149" s="912">
        <f>82.64-AP149-AO149-AN149</f>
        <v>18.420999999999999</v>
      </c>
      <c r="AR149" s="380">
        <v>19.446000000000002</v>
      </c>
      <c r="AS149" s="381">
        <v>20.120999999999999</v>
      </c>
      <c r="AT149" s="381">
        <v>21.338000000000001</v>
      </c>
      <c r="AU149" s="912">
        <f>83.803-AR149-AS149-AT149</f>
        <v>22.898000000000003</v>
      </c>
      <c r="AV149" s="380">
        <v>22.518000000000001</v>
      </c>
      <c r="AW149" s="381">
        <v>24.826000000000001</v>
      </c>
      <c r="AX149" s="381">
        <v>24.074000000000002</v>
      </c>
      <c r="AY149" s="912">
        <f>94.587-AV149-AW149-AX149</f>
        <v>23.169</v>
      </c>
      <c r="AZ149" s="380">
        <v>20.437000000000001</v>
      </c>
      <c r="BA149" s="381">
        <v>22.584</v>
      </c>
      <c r="BB149" s="381">
        <v>22.946999999999999</v>
      </c>
      <c r="BC149" s="383"/>
      <c r="BD149" s="384"/>
      <c r="BE149" s="382"/>
      <c r="BF149" s="382"/>
      <c r="BG149" s="383"/>
      <c r="BH149" s="384"/>
      <c r="BI149" s="382"/>
      <c r="BJ149" s="382"/>
      <c r="BK149" s="383"/>
      <c r="BL149" s="384"/>
      <c r="BM149" s="382"/>
      <c r="BN149" s="382"/>
      <c r="BO149" s="383"/>
      <c r="BP149" s="384"/>
      <c r="BQ149" s="382"/>
      <c r="BR149" s="382"/>
      <c r="BS149" s="383"/>
      <c r="BT149" s="384"/>
      <c r="BU149" s="382"/>
      <c r="BV149" s="382"/>
      <c r="BW149" s="383"/>
      <c r="BX149" s="378"/>
      <c r="BY149" s="364"/>
      <c r="BZ149" s="364"/>
      <c r="CA149" s="364"/>
      <c r="CB149" s="364"/>
      <c r="CC149" s="364"/>
      <c r="CD149" s="364"/>
      <c r="CE149" s="364"/>
      <c r="CF149" s="364"/>
      <c r="CG149" s="364">
        <f>SUM(AJ149:AM149)</f>
        <v>68.038000000000011</v>
      </c>
      <c r="CH149" s="364">
        <f>SUM(AN149:AQ149)</f>
        <v>82.639999999999986</v>
      </c>
      <c r="CI149" s="364">
        <f>SUM(AR149:AU149)</f>
        <v>83.802999999999997</v>
      </c>
      <c r="CJ149" s="364">
        <f>SUM(AV149:AY149)</f>
        <v>94.587000000000003</v>
      </c>
      <c r="CK149" s="364"/>
      <c r="CL149" s="364"/>
      <c r="CM149" s="364"/>
      <c r="CN149" s="364"/>
      <c r="CO149" s="364"/>
      <c r="CP149" s="365"/>
      <c r="CQ149" s="281"/>
      <c r="CR149" s="332"/>
      <c r="CS149" s="1034"/>
      <c r="CT149" s="364"/>
      <c r="CU149" s="364"/>
      <c r="CV149" s="364"/>
      <c r="CW149" s="364"/>
      <c r="CX149" s="364"/>
      <c r="CY149" s="364"/>
      <c r="CZ149" s="364">
        <f>SUM(AM149:AP149)</f>
        <v>83.591999999999999</v>
      </c>
      <c r="DA149" s="1034">
        <f>SUM(AQ149:AT149)</f>
        <v>79.325999999999993</v>
      </c>
      <c r="DB149" s="364"/>
      <c r="DC149" s="364"/>
      <c r="DD149" s="364"/>
      <c r="DE149" s="364"/>
      <c r="DF149" s="364"/>
      <c r="DG149" s="364"/>
      <c r="DH149" s="365"/>
    </row>
    <row r="150" spans="1:112" ht="14.25" customHeight="1">
      <c r="A150" s="100"/>
      <c r="B150" s="387" t="s">
        <v>139</v>
      </c>
      <c r="C150" s="388"/>
      <c r="D150" s="389"/>
      <c r="E150" s="390"/>
      <c r="F150" s="390"/>
      <c r="G150" s="391"/>
      <c r="H150" s="389"/>
      <c r="I150" s="390"/>
      <c r="J150" s="390"/>
      <c r="K150" s="391"/>
      <c r="L150" s="389"/>
      <c r="M150" s="390"/>
      <c r="N150" s="390"/>
      <c r="O150" s="391"/>
      <c r="P150" s="389"/>
      <c r="Q150" s="390"/>
      <c r="R150" s="390"/>
      <c r="S150" s="391"/>
      <c r="T150" s="389"/>
      <c r="U150" s="390"/>
      <c r="V150" s="390"/>
      <c r="W150" s="391"/>
      <c r="X150" s="389"/>
      <c r="Y150" s="390"/>
      <c r="Z150" s="390"/>
      <c r="AA150" s="391"/>
      <c r="AB150" s="389"/>
      <c r="AC150" s="390"/>
      <c r="AD150" s="390"/>
      <c r="AE150" s="391"/>
      <c r="AF150" s="389"/>
      <c r="AG150" s="390"/>
      <c r="AH150" s="390"/>
      <c r="AI150" s="391"/>
      <c r="AJ150" s="389">
        <f t="shared" ref="AJ150:AX150" si="491">SUM(AJ148:AJ149)</f>
        <v>207.44300000000001</v>
      </c>
      <c r="AK150" s="390">
        <f t="shared" si="491"/>
        <v>225.00500000000002</v>
      </c>
      <c r="AL150" s="390">
        <f t="shared" si="491"/>
        <v>216.39700000000002</v>
      </c>
      <c r="AM150" s="391">
        <f t="shared" si="491"/>
        <v>225.59100000000001</v>
      </c>
      <c r="AN150" s="389">
        <f t="shared" si="491"/>
        <v>219.74799999999999</v>
      </c>
      <c r="AO150" s="390">
        <f t="shared" si="491"/>
        <v>196.703</v>
      </c>
      <c r="AP150" s="390">
        <f t="shared" si="491"/>
        <v>185.488</v>
      </c>
      <c r="AQ150" s="391">
        <f t="shared" si="491"/>
        <v>190.45499999999998</v>
      </c>
      <c r="AR150" s="389">
        <f t="shared" si="491"/>
        <v>203.07900000000001</v>
      </c>
      <c r="AS150" s="390">
        <f t="shared" si="491"/>
        <v>194.19500000000002</v>
      </c>
      <c r="AT150" s="390">
        <f t="shared" si="491"/>
        <v>200.428</v>
      </c>
      <c r="AU150" s="390">
        <f t="shared" si="491"/>
        <v>240.75699999999989</v>
      </c>
      <c r="AV150" s="389">
        <f t="shared" si="491"/>
        <v>266.57400000000001</v>
      </c>
      <c r="AW150" s="390">
        <f t="shared" si="491"/>
        <v>288.863</v>
      </c>
      <c r="AX150" s="390">
        <f t="shared" si="491"/>
        <v>282.72000000000003</v>
      </c>
      <c r="AY150" s="390">
        <f>SUM(AY148:AY149)</f>
        <v>290.59499999999986</v>
      </c>
      <c r="AZ150" s="389">
        <f>SUM(AZ148:AZ149)</f>
        <v>306.51900000000001</v>
      </c>
      <c r="BA150" s="390">
        <f>SUM(BA148:BA149)</f>
        <v>307.45400000000001</v>
      </c>
      <c r="BB150" s="390">
        <f>SUM(BB148:BB149)</f>
        <v>301.959</v>
      </c>
      <c r="BC150" s="393"/>
      <c r="BD150" s="394"/>
      <c r="BE150" s="392"/>
      <c r="BF150" s="392"/>
      <c r="BG150" s="393"/>
      <c r="BH150" s="394"/>
      <c r="BI150" s="392"/>
      <c r="BJ150" s="392"/>
      <c r="BK150" s="393"/>
      <c r="BL150" s="394"/>
      <c r="BM150" s="392"/>
      <c r="BN150" s="392"/>
      <c r="BO150" s="393"/>
      <c r="BP150" s="394"/>
      <c r="BQ150" s="392"/>
      <c r="BR150" s="392"/>
      <c r="BS150" s="393"/>
      <c r="BT150" s="394"/>
      <c r="BU150" s="392"/>
      <c r="BV150" s="392"/>
      <c r="BW150" s="393"/>
      <c r="BX150" s="395"/>
      <c r="BY150" s="396"/>
      <c r="BZ150" s="396"/>
      <c r="CA150" s="396"/>
      <c r="CB150" s="396"/>
      <c r="CC150" s="396"/>
      <c r="CD150" s="397"/>
      <c r="CE150" s="397"/>
      <c r="CF150" s="397"/>
      <c r="CG150" s="397">
        <f>SUM(CG148:CG149)</f>
        <v>874.43600000000004</v>
      </c>
      <c r="CH150" s="397">
        <f>SUM(CH148:CH149)</f>
        <v>792.39400000000001</v>
      </c>
      <c r="CI150" s="397">
        <f>SUM(CI148:CI149)</f>
        <v>838.45899999999995</v>
      </c>
      <c r="CJ150" s="397">
        <f>SUM(CJ148:CJ149)</f>
        <v>1128.752</v>
      </c>
      <c r="CK150" s="397"/>
      <c r="CL150" s="397"/>
      <c r="CM150" s="397"/>
      <c r="CN150" s="397"/>
      <c r="CO150" s="397"/>
      <c r="CP150" s="398"/>
      <c r="CQ150" s="333"/>
      <c r="CR150" s="1524"/>
      <c r="CS150" s="1036"/>
      <c r="CT150" s="397"/>
      <c r="CU150" s="397"/>
      <c r="CV150" s="397"/>
      <c r="CW150" s="397"/>
      <c r="CX150" s="397"/>
      <c r="CY150" s="397"/>
      <c r="CZ150" s="397">
        <f>SUM(CZ148:CZ149)</f>
        <v>827.53000000000009</v>
      </c>
      <c r="DA150" s="1036">
        <f>SUM(DA148:DA149)</f>
        <v>788.15700000000004</v>
      </c>
      <c r="DB150" s="397"/>
      <c r="DC150" s="397"/>
      <c r="DD150" s="397"/>
      <c r="DE150" s="397"/>
      <c r="DF150" s="397"/>
      <c r="DG150" s="397"/>
      <c r="DH150" s="398"/>
    </row>
    <row r="151" spans="1:112" ht="14.25" customHeight="1">
      <c r="B151" s="68"/>
      <c r="AN151" s="8"/>
      <c r="AO151" s="8"/>
      <c r="AP151" s="8"/>
      <c r="AR151" s="8"/>
      <c r="AT151" s="8"/>
      <c r="AU151" s="8"/>
      <c r="AV151" s="8"/>
      <c r="AX151" s="8"/>
      <c r="AY151" s="8"/>
      <c r="AZ151" s="14"/>
      <c r="BA151" s="8"/>
      <c r="BB151" s="8"/>
      <c r="BX151" s="331"/>
      <c r="BY151" s="331"/>
      <c r="BZ151" s="331"/>
      <c r="CA151" s="331"/>
      <c r="CB151" s="331"/>
      <c r="CC151" s="331"/>
      <c r="CD151" s="331"/>
      <c r="CE151" s="331"/>
      <c r="CF151" s="331"/>
      <c r="CG151" s="331"/>
      <c r="CH151" s="331"/>
      <c r="CI151" s="331"/>
      <c r="CJ151" s="331"/>
      <c r="CK151" s="331"/>
      <c r="CL151" s="331"/>
      <c r="CM151" s="331"/>
      <c r="CN151" s="331"/>
      <c r="CO151" s="331"/>
      <c r="CP151" s="331"/>
      <c r="CS151" s="331"/>
      <c r="CT151" s="331"/>
      <c r="CU151" s="331"/>
      <c r="CV151" s="331"/>
      <c r="CW151" s="331"/>
      <c r="CX151" s="331"/>
      <c r="CY151" s="331"/>
      <c r="CZ151" s="331"/>
      <c r="DA151" s="331"/>
      <c r="DB151" s="331"/>
      <c r="DC151" s="331"/>
      <c r="DD151" s="331"/>
      <c r="DE151" s="331"/>
      <c r="DF151" s="331"/>
      <c r="DG151" s="331"/>
      <c r="DH151" s="331"/>
    </row>
    <row r="152" spans="1:112" ht="14.25" customHeight="1">
      <c r="A152" s="8"/>
      <c r="B152" s="289" t="s">
        <v>103</v>
      </c>
      <c r="C152" s="290"/>
      <c r="D152" s="521"/>
      <c r="E152" s="522"/>
      <c r="F152" s="522"/>
      <c r="G152" s="522"/>
      <c r="H152" s="521"/>
      <c r="I152" s="522"/>
      <c r="J152" s="522"/>
      <c r="K152" s="522"/>
      <c r="L152" s="521"/>
      <c r="M152" s="522"/>
      <c r="N152" s="522"/>
      <c r="O152" s="522"/>
      <c r="P152" s="521"/>
      <c r="Q152" s="522"/>
      <c r="R152" s="522"/>
      <c r="S152" s="522"/>
      <c r="T152" s="521"/>
      <c r="U152" s="522"/>
      <c r="V152" s="522"/>
      <c r="W152" s="522"/>
      <c r="X152" s="521"/>
      <c r="Y152" s="522"/>
      <c r="Z152" s="522"/>
      <c r="AA152" s="522"/>
      <c r="AB152" s="521"/>
      <c r="AC152" s="522"/>
      <c r="AD152" s="522"/>
      <c r="AE152" s="522"/>
      <c r="AF152" s="521"/>
      <c r="AG152" s="522"/>
      <c r="AH152" s="522"/>
      <c r="AI152" s="522"/>
      <c r="AJ152" s="521" t="str">
        <f>IF(ABS(AJ150-IS!AJ20)&lt;1,"OK",AJ150-IS!AJ20)</f>
        <v>OK</v>
      </c>
      <c r="AK152" s="522" t="str">
        <f>IF(ABS(AK150-IS!AK20)&lt;1,"OK",AK150-IS!AK20)</f>
        <v>OK</v>
      </c>
      <c r="AL152" s="522" t="str">
        <f>IF(ABS(AL150-IS!AL20)&lt;1,"OK",AL150-IS!AL20)</f>
        <v>OK</v>
      </c>
      <c r="AM152" s="522" t="str">
        <f>IF(ABS(AM150-IS!AM20)&lt;1,"OK",AM150-IS!AM20)</f>
        <v>OK</v>
      </c>
      <c r="AN152" s="521" t="str">
        <f>IF(ABS(AN150-IS!AN20)&lt;1,"OK",AN150-IS!AN20)</f>
        <v>OK</v>
      </c>
      <c r="AO152" s="522" t="str">
        <f>IF(ABS(AO150-IS!AO20)&lt;1,"OK",AO150-IS!AO20)</f>
        <v>OK</v>
      </c>
      <c r="AP152" s="522" t="str">
        <f>IF(ABS(AP150-IS!AP20)&lt;1,"OK",AP150-IS!AP20)</f>
        <v>OK</v>
      </c>
      <c r="AQ152" s="522" t="str">
        <f>IF(ABS(AQ150-IS!AQ20)&lt;1,"OK",AQ150-IS!AQ20)</f>
        <v>OK</v>
      </c>
      <c r="AR152" s="521" t="str">
        <f>IF(ABS(AR150-IS!AR20)&lt;1,"OK",AR150-IS!AR20)</f>
        <v>OK</v>
      </c>
      <c r="AS152" s="522" t="str">
        <f>IF(ABS(AS150-IS!AS20)&lt;1,"OK",AS150-IS!AS20)</f>
        <v>OK</v>
      </c>
      <c r="AT152" s="522" t="str">
        <f>IF(ABS(AT150-IS!AT20)&lt;1,"OK",AT150-IS!AT20)</f>
        <v>OK</v>
      </c>
      <c r="AU152" s="522" t="str">
        <f>IF(ABS(AU150-IS!AU20)&lt;1,"OK",AU150-IS!AU20)</f>
        <v>OK</v>
      </c>
      <c r="AV152" s="521" t="str">
        <f>IF(ABS(AV150-IS!AV20)&lt;1,"OK",AV150-IS!AV20)</f>
        <v>OK</v>
      </c>
      <c r="AW152" s="522" t="str">
        <f>IF(ABS(AW150-IS!AW20)&lt;1,"OK",AW150-IS!AW20)</f>
        <v>OK</v>
      </c>
      <c r="AX152" s="522" t="str">
        <f>IF(ABS(AX150-IS!AX20)&lt;1,"OK",AX150-IS!AX20)</f>
        <v>OK</v>
      </c>
      <c r="AY152" s="1183" t="str">
        <f>IF(ABS(AY150-IS!AY20)&lt;1,"OK",AY150-IS!AY20)</f>
        <v>OK</v>
      </c>
      <c r="AZ152" s="521" t="str">
        <f>IF(ABS(AZ150-IS!AZ20)&lt;1,"OK",AZ150-IS!AZ20)</f>
        <v>OK</v>
      </c>
      <c r="BA152" s="522" t="str">
        <f>IF(ABS(BA150-IS!BA20)&lt;1,"OK",BA150-IS!BA20)</f>
        <v>OK</v>
      </c>
      <c r="BB152" s="522" t="str">
        <f>IF(ABS(BB150-IS!BB20)&lt;1,"OK",BB150-IS!BB20)</f>
        <v>OK</v>
      </c>
      <c r="BC152" s="292"/>
      <c r="BD152" s="291"/>
      <c r="BE152" s="292"/>
      <c r="BF152" s="292"/>
      <c r="BG152" s="292"/>
      <c r="BH152" s="291"/>
      <c r="BI152" s="292"/>
      <c r="BJ152" s="292"/>
      <c r="BK152" s="292"/>
      <c r="BL152" s="291"/>
      <c r="BM152" s="292"/>
      <c r="BN152" s="292"/>
      <c r="BO152" s="292"/>
      <c r="BP152" s="291"/>
      <c r="BQ152" s="292"/>
      <c r="BR152" s="292"/>
      <c r="BS152" s="292"/>
      <c r="BT152" s="291"/>
      <c r="BU152" s="292"/>
      <c r="BV152" s="292"/>
      <c r="BW152" s="292"/>
      <c r="BX152" s="20"/>
      <c r="BY152" s="292"/>
      <c r="BZ152" s="292"/>
      <c r="CA152" s="292"/>
      <c r="CB152" s="292"/>
      <c r="CC152" s="292"/>
      <c r="CD152" s="292"/>
      <c r="CE152" s="292"/>
      <c r="CF152" s="292"/>
      <c r="CG152" s="400" t="str">
        <f>IF(ABS(CG150-IS!CG20)&lt;1,"OK",CG150-IS!CG20)</f>
        <v>OK</v>
      </c>
      <c r="CH152" s="400" t="str">
        <f>IF(ABS(CH150-IS!CH20)&lt;1,"OK",CH150-IS!CH20)</f>
        <v>OK</v>
      </c>
      <c r="CI152" s="400" t="str">
        <f>IF(ABS(CI150-IS!CI20)&lt;1,"OK",CI150-IS!CI20)</f>
        <v>OK</v>
      </c>
      <c r="CJ152" s="400" t="str">
        <f>IF(ABS(CJ150-IS!CJ20)&lt;1,"OK",CJ150-IS!CJ20)</f>
        <v>OK</v>
      </c>
      <c r="CK152" s="292"/>
      <c r="CL152" s="292"/>
      <c r="CM152" s="292"/>
      <c r="CN152" s="292"/>
      <c r="CO152" s="292"/>
      <c r="CP152" s="293"/>
      <c r="CQ152" s="22"/>
      <c r="CR152" s="232"/>
      <c r="CS152" s="399"/>
      <c r="CT152" s="400"/>
      <c r="CU152" s="400"/>
      <c r="CV152" s="400"/>
      <c r="CW152" s="400"/>
      <c r="CX152" s="400"/>
      <c r="CY152" s="400"/>
      <c r="CZ152" s="400" t="str">
        <f>IF(ABS(CZ150-IS!CZ20)&lt;1,"OK",CZ150-IS!CZ20)</f>
        <v>OK</v>
      </c>
      <c r="DA152" s="399" t="str">
        <f>IF(ABS(DA150-IS!DA20)&lt;1,"OK",DA150-IS!DA20)</f>
        <v>OK</v>
      </c>
      <c r="DB152" s="400"/>
      <c r="DC152" s="400"/>
      <c r="DD152" s="400"/>
      <c r="DE152" s="400"/>
      <c r="DF152" s="400"/>
      <c r="DG152" s="400"/>
      <c r="DH152" s="1031"/>
    </row>
    <row r="153" spans="1:112" ht="14.25" customHeight="1">
      <c r="B153" s="68"/>
      <c r="AN153" s="8"/>
      <c r="AO153" s="8"/>
      <c r="AP153" s="8"/>
      <c r="AR153" s="8"/>
      <c r="AT153" s="8"/>
      <c r="AV153" s="8"/>
      <c r="AX153" s="8"/>
      <c r="AZ153" s="14"/>
      <c r="BA153" s="8"/>
      <c r="BB153" s="8"/>
      <c r="CL153" s="331"/>
      <c r="CM153" s="1174"/>
      <c r="CN153" s="1174"/>
      <c r="CO153" s="1174"/>
      <c r="DD153" s="331"/>
      <c r="DE153" s="1174"/>
      <c r="DF153" s="1174"/>
      <c r="DG153" s="1174"/>
    </row>
    <row r="154" spans="1:112" ht="14.25" customHeight="1">
      <c r="A154" s="1"/>
      <c r="B154" s="141" t="s">
        <v>386</v>
      </c>
      <c r="C154" s="142"/>
      <c r="D154" s="569" t="str">
        <f t="shared" ref="D154:O154" si="492">D8</f>
        <v>F1Q03A</v>
      </c>
      <c r="E154" s="570" t="str">
        <f t="shared" si="492"/>
        <v>F2Q03A</v>
      </c>
      <c r="F154" s="570" t="str">
        <f t="shared" si="492"/>
        <v>F3Q03A</v>
      </c>
      <c r="G154" s="570" t="str">
        <f t="shared" si="492"/>
        <v>F4Q03A</v>
      </c>
      <c r="H154" s="569" t="str">
        <f t="shared" si="492"/>
        <v>F1Q04A</v>
      </c>
      <c r="I154" s="570" t="str">
        <f t="shared" si="492"/>
        <v>F2Q04A</v>
      </c>
      <c r="J154" s="570" t="str">
        <f t="shared" si="492"/>
        <v>F3Q04A</v>
      </c>
      <c r="K154" s="570" t="str">
        <f t="shared" si="492"/>
        <v>F4Q04A</v>
      </c>
      <c r="L154" s="569" t="str">
        <f t="shared" si="492"/>
        <v>F1Q05A</v>
      </c>
      <c r="M154" s="570" t="str">
        <f t="shared" si="492"/>
        <v>F2Q05A</v>
      </c>
      <c r="N154" s="570" t="str">
        <f t="shared" si="492"/>
        <v>F3Q05A</v>
      </c>
      <c r="O154" s="570" t="str">
        <f t="shared" si="492"/>
        <v>F4Q05A</v>
      </c>
      <c r="P154" s="569" t="str">
        <f t="shared" ref="P154:AU154" si="493">P8</f>
        <v>F1Q06A</v>
      </c>
      <c r="Q154" s="570" t="str">
        <f t="shared" si="493"/>
        <v>F2Q06A</v>
      </c>
      <c r="R154" s="570" t="str">
        <f t="shared" si="493"/>
        <v>F3Q06A</v>
      </c>
      <c r="S154" s="570" t="str">
        <f t="shared" si="493"/>
        <v>F4Q06A</v>
      </c>
      <c r="T154" s="569" t="str">
        <f t="shared" si="493"/>
        <v>F1Q07A</v>
      </c>
      <c r="U154" s="570" t="str">
        <f t="shared" si="493"/>
        <v>F2Q07A</v>
      </c>
      <c r="V154" s="570" t="str">
        <f t="shared" si="493"/>
        <v>F3Q07A</v>
      </c>
      <c r="W154" s="570" t="str">
        <f t="shared" si="493"/>
        <v>F4Q07A</v>
      </c>
      <c r="X154" s="569" t="str">
        <f t="shared" si="493"/>
        <v>F1Q08A</v>
      </c>
      <c r="Y154" s="570" t="str">
        <f t="shared" si="493"/>
        <v>F2Q08A</v>
      </c>
      <c r="Z154" s="570" t="str">
        <f t="shared" si="493"/>
        <v>F3Q08A</v>
      </c>
      <c r="AA154" s="570" t="str">
        <f t="shared" si="493"/>
        <v>F4Q08A</v>
      </c>
      <c r="AB154" s="569" t="str">
        <f t="shared" si="493"/>
        <v>F1Q09A</v>
      </c>
      <c r="AC154" s="570" t="str">
        <f t="shared" si="493"/>
        <v>F2Q09A</v>
      </c>
      <c r="AD154" s="570" t="str">
        <f t="shared" si="493"/>
        <v>F3Q09A</v>
      </c>
      <c r="AE154" s="570" t="str">
        <f t="shared" si="493"/>
        <v>F4Q09A</v>
      </c>
      <c r="AF154" s="569" t="str">
        <f t="shared" si="493"/>
        <v>F1Q10A</v>
      </c>
      <c r="AG154" s="570" t="str">
        <f t="shared" si="493"/>
        <v>F2Q10A</v>
      </c>
      <c r="AH154" s="570" t="str">
        <f t="shared" si="493"/>
        <v>F3Q10A</v>
      </c>
      <c r="AI154" s="570" t="str">
        <f t="shared" si="493"/>
        <v>F4Q10A</v>
      </c>
      <c r="AJ154" s="571" t="str">
        <f>AJ8</f>
        <v>F1Q11A</v>
      </c>
      <c r="AK154" s="572" t="str">
        <f>AK8</f>
        <v>F2Q11A</v>
      </c>
      <c r="AL154" s="572" t="str">
        <f>AL8</f>
        <v>F3Q11A</v>
      </c>
      <c r="AM154" s="570" t="str">
        <f t="shared" si="493"/>
        <v>F4Q11A</v>
      </c>
      <c r="AN154" s="571" t="str">
        <f t="shared" si="493"/>
        <v>F1Q12A</v>
      </c>
      <c r="AO154" s="572" t="str">
        <f t="shared" si="493"/>
        <v>F2Q12A</v>
      </c>
      <c r="AP154" s="572" t="str">
        <f t="shared" si="493"/>
        <v>F3Q12A</v>
      </c>
      <c r="AQ154" s="570" t="str">
        <f t="shared" si="493"/>
        <v>F4Q12A</v>
      </c>
      <c r="AR154" s="569" t="str">
        <f t="shared" si="493"/>
        <v>F1Q13A</v>
      </c>
      <c r="AS154" s="570" t="str">
        <f t="shared" si="493"/>
        <v>F2Q13A</v>
      </c>
      <c r="AT154" s="572" t="str">
        <f t="shared" si="493"/>
        <v>F3Q13A</v>
      </c>
      <c r="AU154" s="570" t="str">
        <f t="shared" si="493"/>
        <v>F4Q13A</v>
      </c>
      <c r="AV154" s="569" t="str">
        <f t="shared" ref="AV154:BG154" si="494">AV8</f>
        <v>F1Q14A</v>
      </c>
      <c r="AW154" s="570" t="str">
        <f t="shared" si="494"/>
        <v>F2Q14A</v>
      </c>
      <c r="AX154" s="572" t="str">
        <f t="shared" si="494"/>
        <v>F3Q14A</v>
      </c>
      <c r="AY154" s="570" t="str">
        <f t="shared" si="494"/>
        <v>F4Q14A</v>
      </c>
      <c r="AZ154" s="569" t="str">
        <f>AZ8</f>
        <v>F1Q15A</v>
      </c>
      <c r="BA154" s="570" t="str">
        <f>BA8</f>
        <v>F2Q15A</v>
      </c>
      <c r="BB154" s="570" t="str">
        <f>BB8</f>
        <v>F3Q15A</v>
      </c>
      <c r="BC154" s="573" t="str">
        <f t="shared" si="494"/>
        <v>F4Q15A</v>
      </c>
      <c r="BD154" s="569" t="str">
        <f t="shared" si="494"/>
        <v>F1Q16A</v>
      </c>
      <c r="BE154" s="570" t="str">
        <f t="shared" si="494"/>
        <v>F2Q16A</v>
      </c>
      <c r="BF154" s="570" t="str">
        <f t="shared" si="494"/>
        <v>F3Q16A</v>
      </c>
      <c r="BG154" s="573" t="str">
        <f t="shared" si="494"/>
        <v>F4Q16A</v>
      </c>
      <c r="BH154" s="569" t="str">
        <f t="shared" ref="BH154:BO154" si="495">BH8</f>
        <v>F1Q17A</v>
      </c>
      <c r="BI154" s="570" t="str">
        <f t="shared" si="495"/>
        <v>F2Q17A</v>
      </c>
      <c r="BJ154" s="570" t="str">
        <f t="shared" si="495"/>
        <v>F3Q17A</v>
      </c>
      <c r="BK154" s="573" t="str">
        <f t="shared" si="495"/>
        <v>F4Q17A</v>
      </c>
      <c r="BL154" s="569" t="str">
        <f t="shared" si="495"/>
        <v>F1Q18A</v>
      </c>
      <c r="BM154" s="1321" t="str">
        <f t="shared" ref="BM154" si="496">BM8</f>
        <v>F2Q18A</v>
      </c>
      <c r="BN154" s="570" t="str">
        <f t="shared" si="495"/>
        <v>F3Q18A</v>
      </c>
      <c r="BO154" s="573" t="str">
        <f t="shared" si="495"/>
        <v>F4Q18E</v>
      </c>
      <c r="BP154" s="569" t="str">
        <f t="shared" ref="BP154:BW154" si="497">BP8</f>
        <v>F1Q19E</v>
      </c>
      <c r="BQ154" s="570" t="str">
        <f t="shared" si="497"/>
        <v>F2Q19E</v>
      </c>
      <c r="BR154" s="570" t="str">
        <f t="shared" si="497"/>
        <v>F3Q19E</v>
      </c>
      <c r="BS154" s="573" t="str">
        <f t="shared" si="497"/>
        <v>F4Q19E</v>
      </c>
      <c r="BT154" s="569" t="str">
        <f t="shared" si="497"/>
        <v>F1Q20E</v>
      </c>
      <c r="BU154" s="1321" t="str">
        <f t="shared" si="497"/>
        <v>F2Q20E</v>
      </c>
      <c r="BV154" s="1321" t="str">
        <f t="shared" si="497"/>
        <v>F3Q20E</v>
      </c>
      <c r="BW154" s="573" t="str">
        <f t="shared" si="497"/>
        <v>F4Q20E</v>
      </c>
      <c r="BX154" s="473"/>
      <c r="BY154" s="570" t="str">
        <f>BY8</f>
        <v>FY2003A</v>
      </c>
      <c r="BZ154" s="570" t="str">
        <f>BZ8</f>
        <v>FY2004A</v>
      </c>
      <c r="CA154" s="570" t="str">
        <f>CA8</f>
        <v>FY2005A</v>
      </c>
      <c r="CB154" s="570" t="str">
        <f t="shared" ref="CB154:CK154" si="498">CB8</f>
        <v>FY2006A</v>
      </c>
      <c r="CC154" s="570" t="str">
        <f t="shared" si="498"/>
        <v>FY2007A</v>
      </c>
      <c r="CD154" s="570" t="str">
        <f t="shared" si="498"/>
        <v>FY2008A</v>
      </c>
      <c r="CE154" s="570" t="str">
        <f t="shared" si="498"/>
        <v>FY2009A</v>
      </c>
      <c r="CF154" s="570" t="str">
        <f t="shared" si="498"/>
        <v>FY2010A</v>
      </c>
      <c r="CG154" s="570" t="str">
        <f t="shared" si="498"/>
        <v>FY2011A</v>
      </c>
      <c r="CH154" s="570" t="str">
        <f>CH8</f>
        <v>FY2012A</v>
      </c>
      <c r="CI154" s="570" t="str">
        <f t="shared" si="498"/>
        <v>FY2013A</v>
      </c>
      <c r="CJ154" s="570" t="str">
        <f t="shared" si="498"/>
        <v>FY2014A</v>
      </c>
      <c r="CK154" s="570" t="str">
        <f t="shared" si="498"/>
        <v>FY2015A</v>
      </c>
      <c r="CL154" s="570" t="str">
        <f>CL8</f>
        <v>FY2016A</v>
      </c>
      <c r="CM154" s="570" t="str">
        <f>CM8</f>
        <v>FY2017A</v>
      </c>
      <c r="CN154" s="570" t="str">
        <f>CN8</f>
        <v>FY2018E</v>
      </c>
      <c r="CO154" s="1321" t="str">
        <f>CO8</f>
        <v>FY2019E</v>
      </c>
      <c r="CP154" s="573" t="str">
        <f>CP8</f>
        <v>FY2020E</v>
      </c>
      <c r="CQ154" s="913"/>
      <c r="CR154" s="1526"/>
      <c r="CS154" s="569" t="str">
        <f>CS8</f>
        <v>CY2004</v>
      </c>
      <c r="CT154" s="570" t="str">
        <f>CT8</f>
        <v>CY2005</v>
      </c>
      <c r="CU154" s="570" t="str">
        <f>CU8</f>
        <v>CY2006</v>
      </c>
      <c r="CV154" s="570" t="str">
        <f t="shared" ref="CV154:DA154" si="499">CV8</f>
        <v>CY2007</v>
      </c>
      <c r="CW154" s="570" t="str">
        <f t="shared" si="499"/>
        <v>CY2008</v>
      </c>
      <c r="CX154" s="570" t="str">
        <f t="shared" si="499"/>
        <v>CY2009</v>
      </c>
      <c r="CY154" s="570" t="str">
        <f t="shared" si="499"/>
        <v>CY2010</v>
      </c>
      <c r="CZ154" s="570" t="str">
        <f t="shared" si="499"/>
        <v>CY2011</v>
      </c>
      <c r="DA154" s="569" t="str">
        <f t="shared" si="499"/>
        <v>CY2012</v>
      </c>
      <c r="DB154" s="570" t="str">
        <f t="shared" ref="DB154:DG154" si="500">DB8</f>
        <v>CY2013</v>
      </c>
      <c r="DC154" s="570" t="str">
        <f t="shared" si="500"/>
        <v>CY2014</v>
      </c>
      <c r="DD154" s="570" t="str">
        <f t="shared" si="500"/>
        <v>CY2015</v>
      </c>
      <c r="DE154" s="570" t="str">
        <f t="shared" si="500"/>
        <v>CY2016</v>
      </c>
      <c r="DF154" s="570" t="str">
        <f t="shared" si="500"/>
        <v>CY2017</v>
      </c>
      <c r="DG154" s="1321" t="str">
        <f t="shared" si="500"/>
        <v>CY2018</v>
      </c>
      <c r="DH154" s="573" t="str">
        <f t="shared" ref="DH154" si="501">DH8</f>
        <v>CY2019</v>
      </c>
    </row>
    <row r="155" spans="1:112" ht="14.25" customHeight="1">
      <c r="B155" s="402" t="str">
        <f>B148</f>
        <v>Semiconductor products</v>
      </c>
      <c r="C155" s="372"/>
      <c r="D155" s="882"/>
      <c r="E155" s="883"/>
      <c r="F155" s="883"/>
      <c r="G155" s="884"/>
      <c r="H155" s="882"/>
      <c r="I155" s="883"/>
      <c r="J155" s="883"/>
      <c r="K155" s="884"/>
      <c r="L155" s="882"/>
      <c r="M155" s="883"/>
      <c r="N155" s="883"/>
      <c r="O155" s="884"/>
      <c r="P155" s="882"/>
      <c r="Q155" s="883"/>
      <c r="R155" s="883"/>
      <c r="S155" s="884"/>
      <c r="T155" s="882"/>
      <c r="U155" s="883"/>
      <c r="V155" s="883"/>
      <c r="W155" s="884"/>
      <c r="X155" s="882"/>
      <c r="Y155" s="883"/>
      <c r="Z155" s="883"/>
      <c r="AA155" s="884"/>
      <c r="AB155" s="882"/>
      <c r="AC155" s="883"/>
      <c r="AD155" s="883"/>
      <c r="AE155" s="884"/>
      <c r="AF155" s="882"/>
      <c r="AG155" s="883"/>
      <c r="AH155" s="883"/>
      <c r="AI155" s="884"/>
      <c r="AJ155" s="882">
        <f t="shared" ref="AJ155:AL156" si="502">AJ148/AJ132</f>
        <v>0.56501486388427247</v>
      </c>
      <c r="AK155" s="883">
        <f t="shared" si="502"/>
        <v>0.57186184071737178</v>
      </c>
      <c r="AL155" s="883">
        <f t="shared" si="502"/>
        <v>0.56871082616998214</v>
      </c>
      <c r="AM155" s="884">
        <f t="shared" ref="AM155:AT156" si="503">AM148/AM132</f>
        <v>0.57345858221821799</v>
      </c>
      <c r="AN155" s="882">
        <f t="shared" si="503"/>
        <v>0.56537896343186567</v>
      </c>
      <c r="AO155" s="883">
        <f t="shared" si="503"/>
        <v>0.54991871143500992</v>
      </c>
      <c r="AP155" s="883">
        <f t="shared" si="503"/>
        <v>0.53068125018376411</v>
      </c>
      <c r="AQ155" s="884">
        <f t="shared" si="503"/>
        <v>0.54167217677693169</v>
      </c>
      <c r="AR155" s="403">
        <f t="shared" si="503"/>
        <v>0.5533581235008378</v>
      </c>
      <c r="AS155" s="883">
        <f t="shared" si="503"/>
        <v>0.47930898707792619</v>
      </c>
      <c r="AT155" s="883">
        <f t="shared" si="503"/>
        <v>0.45372666952109025</v>
      </c>
      <c r="AU155" s="884">
        <f t="shared" ref="AU155:AX156" si="504">AU148/AU132</f>
        <v>0.53386084169358117</v>
      </c>
      <c r="AV155" s="403">
        <f t="shared" si="504"/>
        <v>0.55429479900068135</v>
      </c>
      <c r="AW155" s="883">
        <f t="shared" si="504"/>
        <v>0.56437095350363253</v>
      </c>
      <c r="AX155" s="883">
        <f t="shared" si="504"/>
        <v>0.5643620526382398</v>
      </c>
      <c r="AY155" s="884">
        <f t="shared" ref="AY155:BA156" si="505">AY148/AY132</f>
        <v>0.56875188750271155</v>
      </c>
      <c r="AZ155" s="403">
        <f t="shared" si="505"/>
        <v>0.56266730128884679</v>
      </c>
      <c r="BA155" s="404">
        <f t="shared" si="505"/>
        <v>0.54399905281872363</v>
      </c>
      <c r="BB155" s="404">
        <f>BB148/BB132</f>
        <v>0.55166550340772258</v>
      </c>
      <c r="BC155" s="407"/>
      <c r="BD155" s="408"/>
      <c r="BE155" s="406"/>
      <c r="BF155" s="406"/>
      <c r="BG155" s="407"/>
      <c r="BH155" s="408"/>
      <c r="BI155" s="406"/>
      <c r="BJ155" s="406"/>
      <c r="BK155" s="407"/>
      <c r="BL155" s="408"/>
      <c r="BM155" s="406"/>
      <c r="BN155" s="406"/>
      <c r="BO155" s="407"/>
      <c r="BP155" s="408"/>
      <c r="BQ155" s="406"/>
      <c r="BR155" s="406"/>
      <c r="BS155" s="407"/>
      <c r="BT155" s="408"/>
      <c r="BU155" s="406"/>
      <c r="BV155" s="406"/>
      <c r="BW155" s="407"/>
      <c r="BX155" s="378"/>
      <c r="BY155" s="369"/>
      <c r="BZ155" s="369"/>
      <c r="CA155" s="369"/>
      <c r="CB155" s="369"/>
      <c r="CC155" s="369"/>
      <c r="CD155" s="240"/>
      <c r="CE155" s="240"/>
      <c r="CF155" s="409"/>
      <c r="CG155" s="409">
        <f>CG148/IS!CG$8</f>
        <v>0.54222383598764134</v>
      </c>
      <c r="CH155" s="409">
        <f>CH148/IS!CH$8</f>
        <v>0.51313354193537197</v>
      </c>
      <c r="CI155" s="409">
        <f>CI148/IS!CI$8</f>
        <v>0.4771402540301955</v>
      </c>
      <c r="CJ155" s="409">
        <f>CJ148/IS!CJ$8</f>
        <v>0.53549911791372995</v>
      </c>
      <c r="CK155" s="369"/>
      <c r="CL155" s="369"/>
      <c r="CM155" s="369"/>
      <c r="CN155" s="369"/>
      <c r="CO155" s="369"/>
      <c r="CP155" s="368"/>
      <c r="CQ155" s="452"/>
      <c r="CR155" s="1525"/>
      <c r="CS155" s="1022"/>
      <c r="CT155" s="409"/>
      <c r="CU155" s="409"/>
      <c r="CV155" s="409"/>
      <c r="CW155" s="409"/>
      <c r="CX155" s="409"/>
      <c r="CY155" s="409"/>
      <c r="CZ155" s="409">
        <f>CZ148/IS!CZ$8</f>
        <v>0.52233666842197657</v>
      </c>
      <c r="DA155" s="1022">
        <f>DA148/IS!DA$8</f>
        <v>0.47560101718342179</v>
      </c>
      <c r="DB155" s="409"/>
      <c r="DC155" s="409"/>
      <c r="DD155" s="409"/>
      <c r="DE155" s="409"/>
      <c r="DF155" s="409"/>
      <c r="DG155" s="409"/>
      <c r="DH155" s="1023"/>
    </row>
    <row r="156" spans="1:112" ht="14.25" customHeight="1">
      <c r="B156" s="410" t="str">
        <f>B149</f>
        <v>Technology licensing</v>
      </c>
      <c r="C156" s="332"/>
      <c r="D156" s="411"/>
      <c r="E156" s="412"/>
      <c r="F156" s="412"/>
      <c r="G156" s="413"/>
      <c r="H156" s="411"/>
      <c r="I156" s="412"/>
      <c r="J156" s="412"/>
      <c r="K156" s="413"/>
      <c r="L156" s="411"/>
      <c r="M156" s="412"/>
      <c r="N156" s="412"/>
      <c r="O156" s="413"/>
      <c r="P156" s="411"/>
      <c r="Q156" s="412"/>
      <c r="R156" s="412"/>
      <c r="S156" s="413"/>
      <c r="T156" s="411"/>
      <c r="U156" s="412"/>
      <c r="V156" s="412"/>
      <c r="W156" s="413"/>
      <c r="X156" s="411"/>
      <c r="Y156" s="412"/>
      <c r="Z156" s="412"/>
      <c r="AA156" s="413"/>
      <c r="AB156" s="411"/>
      <c r="AC156" s="412"/>
      <c r="AD156" s="412"/>
      <c r="AE156" s="413"/>
      <c r="AF156" s="411"/>
      <c r="AG156" s="412"/>
      <c r="AH156" s="412"/>
      <c r="AI156" s="413"/>
      <c r="AJ156" s="411">
        <f t="shared" si="502"/>
        <v>0.93371101126522116</v>
      </c>
      <c r="AK156" s="412">
        <f t="shared" si="502"/>
        <v>0.94233441408059293</v>
      </c>
      <c r="AL156" s="412">
        <f t="shared" si="502"/>
        <v>0.94710882568999899</v>
      </c>
      <c r="AM156" s="413">
        <f t="shared" si="503"/>
        <v>0.9505421716304403</v>
      </c>
      <c r="AN156" s="411">
        <f t="shared" si="503"/>
        <v>0.95331040829176161</v>
      </c>
      <c r="AO156" s="412">
        <f t="shared" si="503"/>
        <v>0.97748362445414838</v>
      </c>
      <c r="AP156" s="412">
        <f t="shared" si="503"/>
        <v>0.99956629223229398</v>
      </c>
      <c r="AQ156" s="413">
        <f t="shared" si="503"/>
        <v>0.86430816872331429</v>
      </c>
      <c r="AR156" s="411">
        <f t="shared" si="503"/>
        <v>0.95878118528744705</v>
      </c>
      <c r="AS156" s="412">
        <f t="shared" si="503"/>
        <v>1</v>
      </c>
      <c r="AT156" s="412">
        <f t="shared" si="503"/>
        <v>1</v>
      </c>
      <c r="AU156" s="413">
        <f t="shared" si="504"/>
        <v>1.0378932100444203</v>
      </c>
      <c r="AV156" s="411">
        <f t="shared" si="504"/>
        <v>1.0008000000000001</v>
      </c>
      <c r="AW156" s="412">
        <f t="shared" si="504"/>
        <v>1</v>
      </c>
      <c r="AX156" s="412">
        <f t="shared" si="504"/>
        <v>1</v>
      </c>
      <c r="AY156" s="413">
        <f t="shared" si="505"/>
        <v>0.99961170075071182</v>
      </c>
      <c r="AZ156" s="411">
        <f t="shared" si="505"/>
        <v>1</v>
      </c>
      <c r="BA156" s="412">
        <f t="shared" si="505"/>
        <v>1</v>
      </c>
      <c r="BB156" s="412">
        <f>BB149/BB133</f>
        <v>1</v>
      </c>
      <c r="BC156" s="415"/>
      <c r="BD156" s="416"/>
      <c r="BE156" s="414"/>
      <c r="BF156" s="414"/>
      <c r="BG156" s="415"/>
      <c r="BH156" s="416"/>
      <c r="BI156" s="414"/>
      <c r="BJ156" s="414"/>
      <c r="BK156" s="415"/>
      <c r="BL156" s="416"/>
      <c r="BM156" s="414"/>
      <c r="BN156" s="414"/>
      <c r="BO156" s="415"/>
      <c r="BP156" s="416"/>
      <c r="BQ156" s="414"/>
      <c r="BR156" s="414"/>
      <c r="BS156" s="415"/>
      <c r="BT156" s="416"/>
      <c r="BU156" s="414"/>
      <c r="BV156" s="414"/>
      <c r="BW156" s="415"/>
      <c r="BX156" s="378"/>
      <c r="BY156" s="369"/>
      <c r="BZ156" s="369"/>
      <c r="CA156" s="369"/>
      <c r="CB156" s="369"/>
      <c r="CC156" s="369"/>
      <c r="CD156" s="240"/>
      <c r="CE156" s="240"/>
      <c r="CF156" s="240"/>
      <c r="CG156" s="240">
        <f>CG149/IS!CG$8</f>
        <v>4.5748904824822412E-2</v>
      </c>
      <c r="CH156" s="240">
        <f>CH149/IS!CH$8</f>
        <v>5.9746554306899478E-2</v>
      </c>
      <c r="CI156" s="240">
        <f>CI149/IS!CI$8</f>
        <v>5.2985445962786322E-2</v>
      </c>
      <c r="CJ156" s="240">
        <f>CJ149/IS!CJ$8</f>
        <v>4.8977924282978036E-2</v>
      </c>
      <c r="CK156" s="369"/>
      <c r="CL156" s="369"/>
      <c r="CM156" s="369"/>
      <c r="CN156" s="369"/>
      <c r="CO156" s="369"/>
      <c r="CP156" s="368"/>
      <c r="CQ156" s="452"/>
      <c r="CR156" s="1525"/>
      <c r="CS156" s="1028"/>
      <c r="CT156" s="240"/>
      <c r="CU156" s="240"/>
      <c r="CV156" s="240"/>
      <c r="CW156" s="240"/>
      <c r="CX156" s="240"/>
      <c r="CY156" s="240"/>
      <c r="CZ156" s="240">
        <f>CZ149/IS!CZ$8</f>
        <v>5.8691943127962082E-2</v>
      </c>
      <c r="DA156" s="1028">
        <f>DA149/IS!DA$8</f>
        <v>5.3224994800018778E-2</v>
      </c>
      <c r="DB156" s="240"/>
      <c r="DC156" s="240"/>
      <c r="DD156" s="240"/>
      <c r="DE156" s="240"/>
      <c r="DF156" s="240"/>
      <c r="DG156" s="240"/>
      <c r="DH156" s="282"/>
    </row>
    <row r="157" spans="1:112" ht="14.25" customHeight="1">
      <c r="A157" s="100"/>
      <c r="B157" s="418" t="s">
        <v>411</v>
      </c>
      <c r="C157" s="388"/>
      <c r="D157" s="419"/>
      <c r="E157" s="420"/>
      <c r="F157" s="420"/>
      <c r="G157" s="421"/>
      <c r="H157" s="419"/>
      <c r="I157" s="420"/>
      <c r="J157" s="420"/>
      <c r="K157" s="421"/>
      <c r="L157" s="419"/>
      <c r="M157" s="420"/>
      <c r="N157" s="420"/>
      <c r="O157" s="421"/>
      <c r="P157" s="419"/>
      <c r="Q157" s="420"/>
      <c r="R157" s="420"/>
      <c r="S157" s="421"/>
      <c r="T157" s="419"/>
      <c r="U157" s="420"/>
      <c r="V157" s="420"/>
      <c r="W157" s="421"/>
      <c r="X157" s="419"/>
      <c r="Y157" s="420"/>
      <c r="Z157" s="420"/>
      <c r="AA157" s="421"/>
      <c r="AB157" s="419"/>
      <c r="AC157" s="420"/>
      <c r="AD157" s="420"/>
      <c r="AE157" s="421"/>
      <c r="AF157" s="419"/>
      <c r="AG157" s="420"/>
      <c r="AH157" s="420"/>
      <c r="AI157" s="421"/>
      <c r="AJ157" s="419">
        <f t="shared" ref="AJ157:AT157" si="506">AJ150/AJ115</f>
        <v>0.58086944347217362</v>
      </c>
      <c r="AK157" s="420">
        <f t="shared" si="506"/>
        <v>0.58860075705455039</v>
      </c>
      <c r="AL157" s="420">
        <f t="shared" si="506"/>
        <v>0.58831669494105887</v>
      </c>
      <c r="AM157" s="421">
        <f t="shared" si="506"/>
        <v>0.59368396120899514</v>
      </c>
      <c r="AN157" s="419">
        <f t="shared" si="506"/>
        <v>0.5867660684579995</v>
      </c>
      <c r="AO157" s="420">
        <f t="shared" si="506"/>
        <v>0.5775156928027434</v>
      </c>
      <c r="AP157" s="420">
        <f t="shared" si="506"/>
        <v>0.56352610920050061</v>
      </c>
      <c r="AQ157" s="421">
        <f t="shared" si="506"/>
        <v>0.56196169495826331</v>
      </c>
      <c r="AR157" s="419">
        <f t="shared" si="506"/>
        <v>0.57670943447664813</v>
      </c>
      <c r="AS157" s="420">
        <f t="shared" si="506"/>
        <v>0.50664235138195357</v>
      </c>
      <c r="AT157" s="420">
        <f t="shared" si="506"/>
        <v>0.48174364915502332</v>
      </c>
      <c r="AU157" s="421">
        <f t="shared" ref="AU157:AZ157" si="507">AU150/AU115</f>
        <v>0.55963970246396988</v>
      </c>
      <c r="AV157" s="419">
        <f t="shared" si="507"/>
        <v>0.57600259291270528</v>
      </c>
      <c r="AW157" s="420">
        <f t="shared" si="507"/>
        <v>0.58632266288319335</v>
      </c>
      <c r="AX157" s="420">
        <f t="shared" si="507"/>
        <v>0.58606965174129344</v>
      </c>
      <c r="AY157" s="421">
        <f t="shared" si="507"/>
        <v>0.58902640732302514</v>
      </c>
      <c r="AZ157" s="419">
        <f t="shared" si="507"/>
        <v>0.57965343978880357</v>
      </c>
      <c r="BA157" s="420">
        <f>BA150/BA115</f>
        <v>0.56279333699432554</v>
      </c>
      <c r="BB157" s="420">
        <f>BB150/BB115</f>
        <v>0.57112405666622534</v>
      </c>
      <c r="BC157" s="423"/>
      <c r="BD157" s="424"/>
      <c r="BE157" s="422"/>
      <c r="BF157" s="422"/>
      <c r="BG157" s="423"/>
      <c r="BH157" s="424"/>
      <c r="BI157" s="422"/>
      <c r="BJ157" s="422"/>
      <c r="BK157" s="423"/>
      <c r="BL157" s="424"/>
      <c r="BM157" s="422"/>
      <c r="BN157" s="422"/>
      <c r="BO157" s="423"/>
      <c r="BP157" s="424"/>
      <c r="BQ157" s="422"/>
      <c r="BR157" s="422"/>
      <c r="BS157" s="423"/>
      <c r="BT157" s="424"/>
      <c r="BU157" s="422"/>
      <c r="BV157" s="422"/>
      <c r="BW157" s="423"/>
      <c r="BX157" s="395"/>
      <c r="BY157" s="425"/>
      <c r="BZ157" s="425"/>
      <c r="CA157" s="425"/>
      <c r="CB157" s="425"/>
      <c r="CC157" s="425"/>
      <c r="CD157" s="426"/>
      <c r="CE157" s="426"/>
      <c r="CF157" s="426"/>
      <c r="CG157" s="426">
        <f>SUM(CG155:CG156)</f>
        <v>0.58797274081246376</v>
      </c>
      <c r="CH157" s="426">
        <f>SUM(CH155:CH156)</f>
        <v>0.57288009624227143</v>
      </c>
      <c r="CI157" s="426">
        <f>SUM(CI155:CI156)</f>
        <v>0.53012569999298187</v>
      </c>
      <c r="CJ157" s="426">
        <f>SUM(CJ155:CJ156)</f>
        <v>0.58447704219670804</v>
      </c>
      <c r="CK157" s="425"/>
      <c r="CL157" s="425"/>
      <c r="CM157" s="425"/>
      <c r="CN157" s="425"/>
      <c r="CO157" s="425"/>
      <c r="CP157" s="427"/>
      <c r="CQ157" s="333"/>
      <c r="CR157" s="1524"/>
      <c r="CS157" s="1029"/>
      <c r="CT157" s="426"/>
      <c r="CU157" s="426"/>
      <c r="CV157" s="426"/>
      <c r="CW157" s="426"/>
      <c r="CX157" s="426"/>
      <c r="CY157" s="426"/>
      <c r="CZ157" s="426">
        <f>SUM(CZ155:CZ156)</f>
        <v>0.58102861154993868</v>
      </c>
      <c r="DA157" s="1029">
        <f>SUM(DA155:DA156)</f>
        <v>0.52882601198344059</v>
      </c>
      <c r="DB157" s="426"/>
      <c r="DC157" s="426"/>
      <c r="DD157" s="426"/>
      <c r="DE157" s="426"/>
      <c r="DF157" s="426"/>
      <c r="DG157" s="426"/>
      <c r="DH157" s="1030"/>
    </row>
    <row r="158" spans="1:112" ht="14.25" customHeight="1">
      <c r="B158" s="331"/>
      <c r="AZ158" s="1174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14"/>
      <c r="CM158" s="14"/>
      <c r="CN158" s="14"/>
      <c r="CO158" s="14"/>
      <c r="CP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14"/>
      <c r="DE158" s="8"/>
      <c r="DF158" s="14"/>
      <c r="DG158" s="14"/>
      <c r="DH158" s="8"/>
    </row>
    <row r="159" spans="1:112" ht="14.25" customHeight="1">
      <c r="B159" s="331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14"/>
      <c r="CM159" s="14"/>
      <c r="CN159" s="14"/>
      <c r="CO159" s="14"/>
      <c r="CP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14"/>
      <c r="DE159" s="8"/>
      <c r="DF159" s="14"/>
      <c r="DG159" s="14"/>
      <c r="DH159" s="8"/>
    </row>
    <row r="160" spans="1:112" ht="14.25" customHeight="1">
      <c r="B160" s="331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14"/>
      <c r="CM160" s="14"/>
      <c r="CN160" s="14"/>
      <c r="CO160" s="14"/>
      <c r="CP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14"/>
      <c r="DE160" s="8"/>
      <c r="DF160" s="14"/>
      <c r="DG160" s="14"/>
      <c r="DH160" s="8"/>
    </row>
    <row r="161" spans="1:112" ht="14.25" customHeight="1">
      <c r="A161" s="1"/>
      <c r="B161" s="141" t="s">
        <v>140</v>
      </c>
      <c r="C161" s="142"/>
      <c r="D161" s="569" t="str">
        <f t="shared" ref="D161:O161" si="508">D8</f>
        <v>F1Q03A</v>
      </c>
      <c r="E161" s="570" t="str">
        <f t="shared" si="508"/>
        <v>F2Q03A</v>
      </c>
      <c r="F161" s="570" t="str">
        <f t="shared" si="508"/>
        <v>F3Q03A</v>
      </c>
      <c r="G161" s="570" t="str">
        <f t="shared" si="508"/>
        <v>F4Q03A</v>
      </c>
      <c r="H161" s="569" t="str">
        <f t="shared" si="508"/>
        <v>F1Q04A</v>
      </c>
      <c r="I161" s="570" t="str">
        <f t="shared" si="508"/>
        <v>F2Q04A</v>
      </c>
      <c r="J161" s="570" t="str">
        <f t="shared" si="508"/>
        <v>F3Q04A</v>
      </c>
      <c r="K161" s="570" t="str">
        <f t="shared" si="508"/>
        <v>F4Q04A</v>
      </c>
      <c r="L161" s="569" t="str">
        <f t="shared" si="508"/>
        <v>F1Q05A</v>
      </c>
      <c r="M161" s="570" t="str">
        <f t="shared" si="508"/>
        <v>F2Q05A</v>
      </c>
      <c r="N161" s="570" t="str">
        <f t="shared" si="508"/>
        <v>F3Q05A</v>
      </c>
      <c r="O161" s="570" t="str">
        <f t="shared" si="508"/>
        <v>F4Q05A</v>
      </c>
      <c r="P161" s="569" t="str">
        <f t="shared" ref="P161:W161" si="509">P8</f>
        <v>F1Q06A</v>
      </c>
      <c r="Q161" s="570" t="str">
        <f t="shared" si="509"/>
        <v>F2Q06A</v>
      </c>
      <c r="R161" s="570" t="str">
        <f t="shared" si="509"/>
        <v>F3Q06A</v>
      </c>
      <c r="S161" s="570" t="str">
        <f t="shared" si="509"/>
        <v>F4Q06A</v>
      </c>
      <c r="T161" s="569" t="str">
        <f t="shared" si="509"/>
        <v>F1Q07A</v>
      </c>
      <c r="U161" s="570" t="str">
        <f t="shared" si="509"/>
        <v>F2Q07A</v>
      </c>
      <c r="V161" s="570" t="str">
        <f t="shared" si="509"/>
        <v>F3Q07A</v>
      </c>
      <c r="W161" s="570" t="str">
        <f t="shared" si="509"/>
        <v>F4Q07A</v>
      </c>
      <c r="X161" s="569" t="str">
        <f t="shared" ref="X161:AT161" si="510">X8</f>
        <v>F1Q08A</v>
      </c>
      <c r="Y161" s="570" t="str">
        <f t="shared" si="510"/>
        <v>F2Q08A</v>
      </c>
      <c r="Z161" s="570" t="str">
        <f t="shared" si="510"/>
        <v>F3Q08A</v>
      </c>
      <c r="AA161" s="570" t="str">
        <f t="shared" si="510"/>
        <v>F4Q08A</v>
      </c>
      <c r="AB161" s="569" t="str">
        <f t="shared" si="510"/>
        <v>F1Q09A</v>
      </c>
      <c r="AC161" s="570" t="str">
        <f t="shared" si="510"/>
        <v>F2Q09A</v>
      </c>
      <c r="AD161" s="570" t="str">
        <f t="shared" si="510"/>
        <v>F3Q09A</v>
      </c>
      <c r="AE161" s="570" t="str">
        <f t="shared" si="510"/>
        <v>F4Q09A</v>
      </c>
      <c r="AF161" s="569" t="str">
        <f t="shared" si="510"/>
        <v>F1Q10A</v>
      </c>
      <c r="AG161" s="570" t="str">
        <f t="shared" si="510"/>
        <v>F2Q10A</v>
      </c>
      <c r="AH161" s="570" t="str">
        <f t="shared" si="510"/>
        <v>F3Q10A</v>
      </c>
      <c r="AI161" s="570" t="str">
        <f t="shared" si="510"/>
        <v>F4Q10A</v>
      </c>
      <c r="AJ161" s="569" t="str">
        <f t="shared" si="510"/>
        <v>F1Q11A</v>
      </c>
      <c r="AK161" s="570" t="str">
        <f t="shared" si="510"/>
        <v>F2Q11A</v>
      </c>
      <c r="AL161" s="570" t="str">
        <f t="shared" si="510"/>
        <v>F3Q11A</v>
      </c>
      <c r="AM161" s="570" t="str">
        <f t="shared" si="510"/>
        <v>F4Q11A</v>
      </c>
      <c r="AN161" s="569" t="str">
        <f t="shared" si="510"/>
        <v>F1Q12A</v>
      </c>
      <c r="AO161" s="570" t="str">
        <f t="shared" si="510"/>
        <v>F2Q12A</v>
      </c>
      <c r="AP161" s="570" t="str">
        <f t="shared" si="510"/>
        <v>F3Q12A</v>
      </c>
      <c r="AQ161" s="570" t="str">
        <f t="shared" si="510"/>
        <v>F4Q12A</v>
      </c>
      <c r="AR161" s="569" t="str">
        <f t="shared" si="510"/>
        <v>F1Q13A</v>
      </c>
      <c r="AS161" s="570" t="str">
        <f t="shared" si="510"/>
        <v>F2Q13A</v>
      </c>
      <c r="AT161" s="570" t="str">
        <f t="shared" si="510"/>
        <v>F3Q13A</v>
      </c>
      <c r="AU161" s="570" t="str">
        <f>AU8</f>
        <v>F4Q13A</v>
      </c>
      <c r="AV161" s="569" t="str">
        <f t="shared" ref="AV161:BC161" si="511">AV8</f>
        <v>F1Q14A</v>
      </c>
      <c r="AW161" s="570" t="str">
        <f t="shared" si="511"/>
        <v>F2Q14A</v>
      </c>
      <c r="AX161" s="570" t="str">
        <f t="shared" si="511"/>
        <v>F3Q14A</v>
      </c>
      <c r="AY161" s="570" t="str">
        <f t="shared" si="511"/>
        <v>F4Q14A</v>
      </c>
      <c r="AZ161" s="569" t="str">
        <f t="shared" si="511"/>
        <v>F1Q15A</v>
      </c>
      <c r="BA161" s="570" t="str">
        <f t="shared" si="511"/>
        <v>F2Q15A</v>
      </c>
      <c r="BB161" s="570" t="str">
        <f t="shared" si="511"/>
        <v>F3Q15A</v>
      </c>
      <c r="BC161" s="573" t="str">
        <f t="shared" si="511"/>
        <v>F4Q15A</v>
      </c>
      <c r="BD161" s="569" t="str">
        <f t="shared" ref="BD161:BK161" si="512">BD8</f>
        <v>F1Q16A</v>
      </c>
      <c r="BE161" s="570" t="str">
        <f t="shared" si="512"/>
        <v>F2Q16A</v>
      </c>
      <c r="BF161" s="570" t="str">
        <f t="shared" si="512"/>
        <v>F3Q16A</v>
      </c>
      <c r="BG161" s="573" t="str">
        <f t="shared" si="512"/>
        <v>F4Q16A</v>
      </c>
      <c r="BH161" s="569" t="str">
        <f t="shared" si="512"/>
        <v>F1Q17A</v>
      </c>
      <c r="BI161" s="570" t="str">
        <f t="shared" si="512"/>
        <v>F2Q17A</v>
      </c>
      <c r="BJ161" s="570" t="str">
        <f t="shared" si="512"/>
        <v>F3Q17A</v>
      </c>
      <c r="BK161" s="573" t="str">
        <f t="shared" si="512"/>
        <v>F4Q17A</v>
      </c>
      <c r="BL161" s="569" t="str">
        <f t="shared" ref="BL161:BS161" si="513">BL8</f>
        <v>F1Q18A</v>
      </c>
      <c r="BM161" s="574" t="str">
        <f t="shared" si="513"/>
        <v>F2Q18A</v>
      </c>
      <c r="BN161" s="570" t="str">
        <f t="shared" si="513"/>
        <v>F3Q18A</v>
      </c>
      <c r="BO161" s="573" t="str">
        <f t="shared" si="513"/>
        <v>F4Q18E</v>
      </c>
      <c r="BP161" s="569" t="str">
        <f t="shared" si="513"/>
        <v>F1Q19E</v>
      </c>
      <c r="BQ161" s="570" t="str">
        <f t="shared" si="513"/>
        <v>F2Q19E</v>
      </c>
      <c r="BR161" s="570" t="str">
        <f t="shared" si="513"/>
        <v>F3Q19E</v>
      </c>
      <c r="BS161" s="573" t="str">
        <f t="shared" si="513"/>
        <v>F4Q19E</v>
      </c>
      <c r="BT161" s="569" t="str">
        <f t="shared" ref="BT161:BW161" si="514">BT8</f>
        <v>F1Q20E</v>
      </c>
      <c r="BU161" s="1321" t="str">
        <f t="shared" si="514"/>
        <v>F2Q20E</v>
      </c>
      <c r="BV161" s="1321" t="str">
        <f t="shared" si="514"/>
        <v>F3Q20E</v>
      </c>
      <c r="BW161" s="573" t="str">
        <f t="shared" si="514"/>
        <v>F4Q20E</v>
      </c>
      <c r="BX161" s="20"/>
      <c r="BY161" s="570" t="str">
        <f>BY8</f>
        <v>FY2003A</v>
      </c>
      <c r="BZ161" s="570" t="str">
        <f>BZ8</f>
        <v>FY2004A</v>
      </c>
      <c r="CA161" s="570" t="str">
        <f>CA8</f>
        <v>FY2005A</v>
      </c>
      <c r="CB161" s="570" t="str">
        <f t="shared" ref="CB161:CK161" si="515">CB8</f>
        <v>FY2006A</v>
      </c>
      <c r="CC161" s="570" t="str">
        <f t="shared" si="515"/>
        <v>FY2007A</v>
      </c>
      <c r="CD161" s="570" t="str">
        <f t="shared" si="515"/>
        <v>FY2008A</v>
      </c>
      <c r="CE161" s="570" t="str">
        <f t="shared" si="515"/>
        <v>FY2009A</v>
      </c>
      <c r="CF161" s="570" t="str">
        <f t="shared" si="515"/>
        <v>FY2010A</v>
      </c>
      <c r="CG161" s="570" t="str">
        <f t="shared" si="515"/>
        <v>FY2011A</v>
      </c>
      <c r="CH161" s="570" t="str">
        <f t="shared" si="515"/>
        <v>FY2012A</v>
      </c>
      <c r="CI161" s="570" t="str">
        <f t="shared" si="515"/>
        <v>FY2013A</v>
      </c>
      <c r="CJ161" s="570" t="str">
        <f t="shared" si="515"/>
        <v>FY2014A</v>
      </c>
      <c r="CK161" s="570" t="str">
        <f t="shared" si="515"/>
        <v>FY2015A</v>
      </c>
      <c r="CL161" s="570" t="str">
        <f>CL8</f>
        <v>FY2016A</v>
      </c>
      <c r="CM161" s="570" t="str">
        <f>CM8</f>
        <v>FY2017A</v>
      </c>
      <c r="CN161" s="570" t="str">
        <f>CN8</f>
        <v>FY2018E</v>
      </c>
      <c r="CO161" s="1321" t="str">
        <f>CO8</f>
        <v>FY2019E</v>
      </c>
      <c r="CP161" s="573" t="str">
        <f>CP8</f>
        <v>FY2020E</v>
      </c>
      <c r="CQ161" s="281"/>
      <c r="CR161" s="332"/>
      <c r="CS161" s="569" t="str">
        <f>CS8</f>
        <v>CY2004</v>
      </c>
      <c r="CT161" s="570" t="str">
        <f>CT8</f>
        <v>CY2005</v>
      </c>
      <c r="CU161" s="570" t="str">
        <f>CU8</f>
        <v>CY2006</v>
      </c>
      <c r="CV161" s="570" t="str">
        <f t="shared" ref="CV161:DC161" si="516">CV8</f>
        <v>CY2007</v>
      </c>
      <c r="CW161" s="570" t="str">
        <f t="shared" si="516"/>
        <v>CY2008</v>
      </c>
      <c r="CX161" s="570" t="str">
        <f t="shared" si="516"/>
        <v>CY2009</v>
      </c>
      <c r="CY161" s="570" t="str">
        <f t="shared" si="516"/>
        <v>CY2010</v>
      </c>
      <c r="CZ161" s="570" t="str">
        <f t="shared" si="516"/>
        <v>CY2011</v>
      </c>
      <c r="DA161" s="569" t="str">
        <f t="shared" si="516"/>
        <v>CY2012</v>
      </c>
      <c r="DB161" s="570" t="str">
        <f t="shared" si="516"/>
        <v>CY2013</v>
      </c>
      <c r="DC161" s="570" t="str">
        <f t="shared" si="516"/>
        <v>CY2014</v>
      </c>
      <c r="DD161" s="570" t="str">
        <f>DD8</f>
        <v>CY2015</v>
      </c>
      <c r="DE161" s="570" t="str">
        <f>DE8</f>
        <v>CY2016</v>
      </c>
      <c r="DF161" s="570" t="str">
        <f>DF8</f>
        <v>CY2017</v>
      </c>
      <c r="DG161" s="1321" t="str">
        <f>DG8</f>
        <v>CY2018</v>
      </c>
      <c r="DH161" s="573" t="str">
        <f>DH8</f>
        <v>CY2019</v>
      </c>
    </row>
    <row r="162" spans="1:112" ht="14.25" customHeight="1">
      <c r="B162" s="329" t="s">
        <v>390</v>
      </c>
      <c r="C162" s="372"/>
      <c r="D162" s="1110">
        <v>53.414000000000001</v>
      </c>
      <c r="E162" s="1111">
        <v>58.302999999999997</v>
      </c>
      <c r="F162" s="1111">
        <v>57.320999999999998</v>
      </c>
      <c r="G162" s="1113">
        <f>219.504-F162-E162-D162</f>
        <v>50.465999999999994</v>
      </c>
      <c r="H162" s="1110">
        <v>50.704000000000001</v>
      </c>
      <c r="I162" s="1111">
        <v>53.884999999999998</v>
      </c>
      <c r="J162" s="1111">
        <v>57.051000000000002</v>
      </c>
      <c r="K162" s="1113">
        <f>219.641-J162-I162-H162</f>
        <v>58.000999999999983</v>
      </c>
      <c r="L162" s="1110">
        <v>62.124000000000002</v>
      </c>
      <c r="M162" s="1111">
        <v>63.968000000000004</v>
      </c>
      <c r="N162" s="1111">
        <v>59.722999999999999</v>
      </c>
      <c r="O162" s="1113">
        <f>248.881-N162-M162-L162</f>
        <v>63.06600000000001</v>
      </c>
      <c r="P162" s="373">
        <v>62.87</v>
      </c>
      <c r="Q162" s="374">
        <v>65.072000000000003</v>
      </c>
      <c r="R162" s="374">
        <v>66.143000000000001</v>
      </c>
      <c r="S162" s="911">
        <f>266.353-R162-Q162-P162</f>
        <v>72.268000000000001</v>
      </c>
      <c r="T162" s="373">
        <v>73.578999999999994</v>
      </c>
      <c r="U162" s="374">
        <v>73.629000000000005</v>
      </c>
      <c r="V162" s="374">
        <v>70.072000000000003</v>
      </c>
      <c r="W162" s="911">
        <f>287.371-V162-U162-T162</f>
        <v>70.090999999999966</v>
      </c>
      <c r="X162" s="373">
        <v>70.406000000000006</v>
      </c>
      <c r="Y162" s="374">
        <v>69.900000000000006</v>
      </c>
      <c r="Z162" s="374">
        <v>65.989000000000004</v>
      </c>
      <c r="AA162" s="911">
        <f>273.363-Z162-Y162-X162</f>
        <v>67.067999999999984</v>
      </c>
      <c r="AB162" s="373">
        <v>66.126999999999995</v>
      </c>
      <c r="AC162" s="374">
        <v>64.623000000000005</v>
      </c>
      <c r="AD162" s="374">
        <v>50.835999999999999</v>
      </c>
      <c r="AE162" s="911">
        <f>228.922-AD162-AC162-AB162</f>
        <v>47.336000000000013</v>
      </c>
      <c r="AF162" s="373">
        <v>49.475000000000001</v>
      </c>
      <c r="AG162" s="374">
        <v>55.892000000000003</v>
      </c>
      <c r="AH162" s="374">
        <v>59.311</v>
      </c>
      <c r="AI162" s="911">
        <f>231.398-AH162-AG162-AF162</f>
        <v>66.72</v>
      </c>
      <c r="AJ162" s="373">
        <v>74.715000000000003</v>
      </c>
      <c r="AK162" s="374">
        <v>79.534000000000006</v>
      </c>
      <c r="AL162" s="374">
        <v>76.614999999999995</v>
      </c>
      <c r="AM162" s="911">
        <f>310.735-AL162-AK162-AJ162</f>
        <v>79.871000000000009</v>
      </c>
      <c r="AN162" s="373">
        <v>79.105999999999995</v>
      </c>
      <c r="AO162" s="374">
        <v>71.694999999999993</v>
      </c>
      <c r="AP162" s="374">
        <v>69.239000000000004</v>
      </c>
      <c r="AQ162" s="911">
        <f>290.392-AP162-AO162-AN162</f>
        <v>70.352000000000004</v>
      </c>
      <c r="AR162" s="373">
        <v>72.003</v>
      </c>
      <c r="AS162" s="374">
        <v>79.533000000000001</v>
      </c>
      <c r="AT162" s="374">
        <v>77.299000000000007</v>
      </c>
      <c r="AU162" s="474">
        <v>84.7</v>
      </c>
      <c r="AV162" s="373">
        <v>86.9</v>
      </c>
      <c r="AW162" s="374">
        <v>95.185000000000002</v>
      </c>
      <c r="AX162" s="374">
        <v>90.697999999999993</v>
      </c>
      <c r="AY162" s="474">
        <f>365.609-AX162-AW162-AV162</f>
        <v>92.825999999999993</v>
      </c>
      <c r="AZ162" s="373">
        <v>102.20399999999999</v>
      </c>
      <c r="BA162" s="374">
        <v>108.608</v>
      </c>
      <c r="BB162" s="374">
        <v>104.889</v>
      </c>
      <c r="BC162" s="474">
        <f>421.947-SUM(AZ162:BB162)</f>
        <v>106.24599999999998</v>
      </c>
      <c r="BD162" s="373">
        <v>104.544</v>
      </c>
      <c r="BE162" s="375"/>
      <c r="BF162" s="375"/>
      <c r="BG162" s="474">
        <v>111.5</v>
      </c>
      <c r="BH162" s="377"/>
      <c r="BI162" s="375"/>
      <c r="BJ162" s="375"/>
      <c r="BK162" s="376"/>
      <c r="BL162" s="373">
        <v>182.28200000000001</v>
      </c>
      <c r="BM162" s="374">
        <v>182.077</v>
      </c>
      <c r="BN162" s="374">
        <v>172.637</v>
      </c>
      <c r="BO162" s="376"/>
      <c r="BP162" s="377"/>
      <c r="BQ162" s="375"/>
      <c r="BR162" s="375"/>
      <c r="BS162" s="376"/>
      <c r="BT162" s="377"/>
      <c r="BU162" s="375"/>
      <c r="BV162" s="375"/>
      <c r="BW162" s="376"/>
      <c r="BX162" s="378"/>
      <c r="BY162" s="364">
        <f>SUM(D162:G162)</f>
        <v>219.50400000000002</v>
      </c>
      <c r="BZ162" s="364">
        <f>SUM(H162:K162)</f>
        <v>219.64099999999996</v>
      </c>
      <c r="CA162" s="364">
        <f>SUM(L162:O162)</f>
        <v>248.881</v>
      </c>
      <c r="CB162" s="364">
        <f>SUM(P162:S162)</f>
        <v>266.35300000000001</v>
      </c>
      <c r="CC162" s="364">
        <f>SUM(T162:W162)</f>
        <v>287.37099999999998</v>
      </c>
      <c r="CD162" s="364">
        <f>SUM(X162:AA162)</f>
        <v>273.363</v>
      </c>
      <c r="CE162" s="364">
        <f>SUM(AB162:AE162)</f>
        <v>228.92200000000003</v>
      </c>
      <c r="CF162" s="379">
        <f>SUM(AF162:AI162)</f>
        <v>231.398</v>
      </c>
      <c r="CG162" s="379">
        <f>SUM(AJ162:AM162)</f>
        <v>310.73500000000001</v>
      </c>
      <c r="CH162" s="379">
        <f>SUM(AN162:AQ162)</f>
        <v>290.392</v>
      </c>
      <c r="CI162" s="379">
        <f>SUM(AR162:AU162)</f>
        <v>313.53500000000003</v>
      </c>
      <c r="CJ162" s="364"/>
      <c r="CK162" s="364"/>
      <c r="CL162" s="364"/>
      <c r="CM162" s="364"/>
      <c r="CN162" s="364"/>
      <c r="CO162" s="364"/>
      <c r="CP162" s="365"/>
      <c r="CQ162" s="281"/>
      <c r="CR162" s="332"/>
      <c r="CS162" s="1032">
        <f>SUM(K162:N162)</f>
        <v>243.81599999999997</v>
      </c>
      <c r="CT162" s="379">
        <f>SUM(O162:R162)</f>
        <v>257.15100000000001</v>
      </c>
      <c r="CU162" s="379">
        <f>SUM(S162:V162)</f>
        <v>289.548</v>
      </c>
      <c r="CV162" s="379">
        <f>SUM(W162:Z162)</f>
        <v>276.38599999999997</v>
      </c>
      <c r="CW162" s="379">
        <f>SUM(AA162:AD162)</f>
        <v>248.654</v>
      </c>
      <c r="CX162" s="379">
        <f>SUM(AE162:AH162)</f>
        <v>212.01400000000001</v>
      </c>
      <c r="CY162" s="379">
        <f>SUM(AI162:AL162)</f>
        <v>297.584</v>
      </c>
      <c r="CZ162" s="379">
        <f>SUM(AM162:AP162)</f>
        <v>299.911</v>
      </c>
      <c r="DA162" s="1032">
        <f>SUM(AQ162:AT162)</f>
        <v>299.18700000000001</v>
      </c>
      <c r="DB162" s="379"/>
      <c r="DC162" s="379"/>
      <c r="DD162" s="379"/>
      <c r="DE162" s="379"/>
      <c r="DF162" s="379"/>
      <c r="DG162" s="379"/>
      <c r="DH162" s="1033"/>
    </row>
    <row r="163" spans="1:112" ht="14.25" customHeight="1">
      <c r="B163" s="330" t="s">
        <v>142</v>
      </c>
      <c r="C163" s="332"/>
      <c r="D163" s="916">
        <v>44.499000000000002</v>
      </c>
      <c r="E163" s="917">
        <v>42.841000000000001</v>
      </c>
      <c r="F163" s="917">
        <v>42.216999999999999</v>
      </c>
      <c r="G163" s="1112">
        <f>177.727-F163-E163-D163</f>
        <v>48.16999999999998</v>
      </c>
      <c r="H163" s="916">
        <v>46.811</v>
      </c>
      <c r="I163" s="917">
        <v>44.761000000000003</v>
      </c>
      <c r="J163" s="917">
        <v>46.204999999999998</v>
      </c>
      <c r="K163" s="1112">
        <f>194.187-J163-I163-H163</f>
        <v>56.410000000000032</v>
      </c>
      <c r="L163" s="916">
        <v>60.085999999999999</v>
      </c>
      <c r="M163" s="917">
        <v>59.531999999999996</v>
      </c>
      <c r="N163" s="917">
        <v>52.859000000000002</v>
      </c>
      <c r="O163" s="1112">
        <f>232.493-N163-M163-L163</f>
        <v>60.015999999999991</v>
      </c>
      <c r="P163" s="380">
        <v>62.959000000000003</v>
      </c>
      <c r="Q163" s="381">
        <v>61.228999999999999</v>
      </c>
      <c r="R163" s="381">
        <v>60.104999999999997</v>
      </c>
      <c r="S163" s="912">
        <f>255.367-R163-Q163-P163</f>
        <v>71.074000000000012</v>
      </c>
      <c r="T163" s="380">
        <v>73.742000000000004</v>
      </c>
      <c r="U163" s="381">
        <v>73.856999999999999</v>
      </c>
      <c r="V163" s="381">
        <v>70.748999999999995</v>
      </c>
      <c r="W163" s="912">
        <f>302.708-V163-U163-T163</f>
        <v>84.360000000000028</v>
      </c>
      <c r="X163" s="380">
        <v>79.841999999999999</v>
      </c>
      <c r="Y163" s="381">
        <v>75.194999999999993</v>
      </c>
      <c r="Z163" s="381">
        <v>71.025999999999996</v>
      </c>
      <c r="AA163" s="912">
        <f>308.171-Z163-Y163-X163</f>
        <v>82.10799999999999</v>
      </c>
      <c r="AB163" s="380">
        <v>77.986000000000004</v>
      </c>
      <c r="AC163" s="381">
        <v>73.167000000000002</v>
      </c>
      <c r="AD163" s="381">
        <v>52.802</v>
      </c>
      <c r="AE163" s="912">
        <f>257.407-AD163-AC163-AB163</f>
        <v>53.451999999999984</v>
      </c>
      <c r="AF163" s="380">
        <v>49.521000000000001</v>
      </c>
      <c r="AG163" s="381">
        <v>54.481999999999999</v>
      </c>
      <c r="AH163" s="381">
        <v>60.058999999999997</v>
      </c>
      <c r="AI163" s="912">
        <f>237.354-AH163-AG163-AF163</f>
        <v>73.292000000000016</v>
      </c>
      <c r="AJ163" s="380">
        <v>77.656000000000006</v>
      </c>
      <c r="AK163" s="381">
        <v>81.400999999999996</v>
      </c>
      <c r="AL163" s="381">
        <v>81.22</v>
      </c>
      <c r="AM163" s="912">
        <f>334.911-AL163-AK163-AJ163</f>
        <v>94.634000000000015</v>
      </c>
      <c r="AN163" s="380">
        <v>89.399000000000001</v>
      </c>
      <c r="AO163" s="381">
        <v>81.814999999999998</v>
      </c>
      <c r="AP163" s="381">
        <v>69.31</v>
      </c>
      <c r="AQ163" s="912">
        <f>319.881-AP163-AO163-AN163</f>
        <v>79.356999999999971</v>
      </c>
      <c r="AR163" s="380">
        <v>77.305999999999997</v>
      </c>
      <c r="AS163" s="381">
        <v>83.679000000000002</v>
      </c>
      <c r="AT163" s="381">
        <v>84.066000000000003</v>
      </c>
      <c r="AU163" s="475">
        <v>99.3</v>
      </c>
      <c r="AV163" s="380">
        <v>101.2</v>
      </c>
      <c r="AW163" s="381">
        <v>98.912999999999997</v>
      </c>
      <c r="AX163" s="381">
        <v>95.423000000000002</v>
      </c>
      <c r="AY163" s="475">
        <f>411.531-AX163-AW163-AV163</f>
        <v>115.99499999999999</v>
      </c>
      <c r="AZ163" s="380">
        <v>109.398</v>
      </c>
      <c r="BA163" s="381">
        <v>110.804</v>
      </c>
      <c r="BB163" s="381">
        <v>105.95399999999999</v>
      </c>
      <c r="BC163" s="475">
        <f>452.165-SUM(AZ163:BB163)</f>
        <v>126.00900000000001</v>
      </c>
      <c r="BD163" s="380">
        <v>114.678</v>
      </c>
      <c r="BE163" s="382"/>
      <c r="BF163" s="382"/>
      <c r="BG163" s="475">
        <v>135.36500000000001</v>
      </c>
      <c r="BH163" s="384"/>
      <c r="BI163" s="382"/>
      <c r="BJ163" s="382"/>
      <c r="BK163" s="383"/>
      <c r="BL163" s="380">
        <v>225.70599999999999</v>
      </c>
      <c r="BM163" s="381">
        <v>243.49100000000001</v>
      </c>
      <c r="BN163" s="381">
        <v>228.148</v>
      </c>
      <c r="BO163" s="383"/>
      <c r="BP163" s="384"/>
      <c r="BQ163" s="382"/>
      <c r="BR163" s="382"/>
      <c r="BS163" s="383"/>
      <c r="BT163" s="384"/>
      <c r="BU163" s="382"/>
      <c r="BV163" s="382"/>
      <c r="BW163" s="383"/>
      <c r="BX163" s="378"/>
      <c r="BY163" s="364">
        <f>SUM(D163:G163)</f>
        <v>177.727</v>
      </c>
      <c r="BZ163" s="364">
        <f>SUM(H163:K163)</f>
        <v>194.18700000000001</v>
      </c>
      <c r="CA163" s="364">
        <f>SUM(L163:O163)</f>
        <v>232.49299999999999</v>
      </c>
      <c r="CB163" s="364">
        <f>SUM(P163:S163)</f>
        <v>255.36700000000002</v>
      </c>
      <c r="CC163" s="364">
        <f>SUM(T163:W163)</f>
        <v>302.70800000000003</v>
      </c>
      <c r="CD163" s="364">
        <f>SUM(X163:AA163)</f>
        <v>308.17099999999999</v>
      </c>
      <c r="CE163" s="364">
        <f>SUM(AB163:AE163)</f>
        <v>257.40699999999998</v>
      </c>
      <c r="CF163" s="364">
        <f>SUM(AF163:AI163)</f>
        <v>237.35400000000004</v>
      </c>
      <c r="CG163" s="364">
        <f>SUM(AJ163:AM163)</f>
        <v>334.91100000000006</v>
      </c>
      <c r="CH163" s="364">
        <f>SUM(AN163:AQ163)</f>
        <v>319.88099999999997</v>
      </c>
      <c r="CI163" s="364">
        <f>SUM(AR163:AU163)</f>
        <v>344.351</v>
      </c>
      <c r="CJ163" s="364"/>
      <c r="CK163" s="364"/>
      <c r="CL163" s="364"/>
      <c r="CM163" s="364"/>
      <c r="CN163" s="364"/>
      <c r="CO163" s="364"/>
      <c r="CP163" s="365"/>
      <c r="CQ163" s="281"/>
      <c r="CR163" s="332"/>
      <c r="CS163" s="1034">
        <f>SUM(K163:N163)</f>
        <v>228.88700000000003</v>
      </c>
      <c r="CT163" s="364">
        <f>SUM(O163:R163)</f>
        <v>244.309</v>
      </c>
      <c r="CU163" s="364">
        <f>SUM(S163:V163)</f>
        <v>289.42200000000003</v>
      </c>
      <c r="CV163" s="364">
        <f>SUM(W163:Z163)</f>
        <v>310.423</v>
      </c>
      <c r="CW163" s="364">
        <f>SUM(AA163:AD163)</f>
        <v>286.06299999999999</v>
      </c>
      <c r="CX163" s="364">
        <f>SUM(AE163:AH163)</f>
        <v>217.51399999999998</v>
      </c>
      <c r="CY163" s="364">
        <f>SUM(AI163:AL163)</f>
        <v>313.56900000000007</v>
      </c>
      <c r="CZ163" s="364">
        <f>SUM(AM163:AP163)</f>
        <v>335.15800000000002</v>
      </c>
      <c r="DA163" s="1034">
        <f>SUM(AQ163:AT163)</f>
        <v>324.40799999999996</v>
      </c>
      <c r="DB163" s="364"/>
      <c r="DC163" s="364"/>
      <c r="DD163" s="364"/>
      <c r="DE163" s="364"/>
      <c r="DF163" s="364"/>
      <c r="DG163" s="364"/>
      <c r="DH163" s="365"/>
    </row>
    <row r="164" spans="1:112" ht="14.25" customHeight="1">
      <c r="B164" s="330" t="s">
        <v>391</v>
      </c>
      <c r="C164" s="334"/>
      <c r="D164" s="916">
        <v>59.331000000000003</v>
      </c>
      <c r="E164" s="917">
        <v>65.664000000000001</v>
      </c>
      <c r="F164" s="917">
        <v>67.936000000000007</v>
      </c>
      <c r="G164" s="1112">
        <f>254.231-F164-E164-D164</f>
        <v>61.299999999999983</v>
      </c>
      <c r="H164" s="916">
        <v>63.768000000000001</v>
      </c>
      <c r="I164" s="917">
        <v>69.84</v>
      </c>
      <c r="J164" s="917">
        <v>74.710999999999999</v>
      </c>
      <c r="K164" s="1112">
        <f>285.432-J164-I164-H164</f>
        <v>77.113</v>
      </c>
      <c r="L164" s="916">
        <v>90.564999999999998</v>
      </c>
      <c r="M164" s="917">
        <v>97.194000000000003</v>
      </c>
      <c r="N164" s="917">
        <v>92.802000000000007</v>
      </c>
      <c r="O164" s="1112">
        <f>365.562-N164-M164-L164</f>
        <v>85.000999999999976</v>
      </c>
      <c r="P164" s="380">
        <v>92.697999999999993</v>
      </c>
      <c r="Q164" s="381">
        <v>100.997</v>
      </c>
      <c r="R164" s="381">
        <v>108.648</v>
      </c>
      <c r="S164" s="912">
        <f>406.173-R164-Q164-P164</f>
        <v>103.82999999999997</v>
      </c>
      <c r="T164" s="380">
        <v>115.236</v>
      </c>
      <c r="U164" s="381">
        <v>120.44799999999999</v>
      </c>
      <c r="V164" s="381">
        <v>110.18300000000001</v>
      </c>
      <c r="W164" s="912">
        <f>449.592-V164-U164-T164</f>
        <v>103.72500000000001</v>
      </c>
      <c r="X164" s="380">
        <v>113.824</v>
      </c>
      <c r="Y164" s="381">
        <v>113.55200000000001</v>
      </c>
      <c r="Z164" s="381">
        <v>115.58499999999999</v>
      </c>
      <c r="AA164" s="912">
        <f>454.203-Z164-Y164-X164</f>
        <v>111.24199999999998</v>
      </c>
      <c r="AB164" s="380">
        <v>124.059</v>
      </c>
      <c r="AC164" s="381">
        <v>131.916</v>
      </c>
      <c r="AD164" s="381">
        <v>88.528000000000006</v>
      </c>
      <c r="AE164" s="912">
        <f>416.968-AD164-AC164-AB164</f>
        <v>72.465000000000003</v>
      </c>
      <c r="AF164" s="380">
        <v>93.953000000000003</v>
      </c>
      <c r="AG164" s="381">
        <v>116.28700000000001</v>
      </c>
      <c r="AH164" s="381">
        <v>130.72900000000001</v>
      </c>
      <c r="AI164" s="912">
        <f>478.977-AH164-AG164-AF164</f>
        <v>138.00799999999992</v>
      </c>
      <c r="AJ164" s="380">
        <v>204.75399999999999</v>
      </c>
      <c r="AK164" s="381">
        <v>221.33600000000001</v>
      </c>
      <c r="AL164" s="381">
        <v>209.989</v>
      </c>
      <c r="AM164" s="912">
        <f>841.559-AL164-AK164-AJ164</f>
        <v>205.47999999999993</v>
      </c>
      <c r="AN164" s="380">
        <v>206.00200000000001</v>
      </c>
      <c r="AO164" s="381">
        <v>187.09200000000001</v>
      </c>
      <c r="AP164" s="381">
        <v>190.607</v>
      </c>
      <c r="AQ164" s="912">
        <f>772.903-AP164-AO164-AN164</f>
        <v>189.20200000000006</v>
      </c>
      <c r="AR164" s="380">
        <v>202.82499999999999</v>
      </c>
      <c r="AS164" s="381">
        <v>220.08600000000001</v>
      </c>
      <c r="AT164" s="381">
        <v>254.68199999999999</v>
      </c>
      <c r="AU164" s="475">
        <v>246.1</v>
      </c>
      <c r="AV164" s="380">
        <v>274.60000000000002</v>
      </c>
      <c r="AW164" s="381">
        <v>298.57100000000003</v>
      </c>
      <c r="AX164" s="381">
        <v>296.25099999999998</v>
      </c>
      <c r="AY164" s="475">
        <f>1154.077-AX164-AW164-AV164</f>
        <v>284.65499999999997</v>
      </c>
      <c r="AZ164" s="380">
        <v>317.274</v>
      </c>
      <c r="BA164" s="381">
        <v>326.83100000000002</v>
      </c>
      <c r="BB164" s="381">
        <v>317.86700000000002</v>
      </c>
      <c r="BC164" s="475">
        <f>1272.924-SUM(AZ164:BB164)</f>
        <v>310.952</v>
      </c>
      <c r="BD164" s="380">
        <v>314.73</v>
      </c>
      <c r="BE164" s="382"/>
      <c r="BF164" s="382"/>
      <c r="BG164" s="475">
        <v>321.57299999999998</v>
      </c>
      <c r="BH164" s="384"/>
      <c r="BI164" s="382"/>
      <c r="BJ164" s="382"/>
      <c r="BK164" s="383"/>
      <c r="BL164" s="380">
        <v>564.15300000000002</v>
      </c>
      <c r="BM164" s="1175">
        <v>586.57100000000003</v>
      </c>
      <c r="BN164" s="1175">
        <v>593.41999999999996</v>
      </c>
      <c r="BO164" s="383"/>
      <c r="BP164" s="384"/>
      <c r="BQ164" s="382"/>
      <c r="BR164" s="382"/>
      <c r="BS164" s="383"/>
      <c r="BT164" s="384"/>
      <c r="BU164" s="382"/>
      <c r="BV164" s="382"/>
      <c r="BW164" s="383"/>
      <c r="BX164" s="378"/>
      <c r="BY164" s="385">
        <f>SUM(D164:G164)</f>
        <v>254.23099999999999</v>
      </c>
      <c r="BZ164" s="385">
        <f>SUM(H164:K164)</f>
        <v>285.43200000000002</v>
      </c>
      <c r="CA164" s="385">
        <f>SUM(L164:O164)</f>
        <v>365.56200000000001</v>
      </c>
      <c r="CB164" s="385">
        <f>SUM(P164:S164)</f>
        <v>406.17299999999994</v>
      </c>
      <c r="CC164" s="385">
        <f>SUM(T164:W164)</f>
        <v>449.59200000000004</v>
      </c>
      <c r="CD164" s="385">
        <f>SUM(X164:AA164)</f>
        <v>454.20299999999997</v>
      </c>
      <c r="CE164" s="385">
        <f>SUM(AB164:AE164)</f>
        <v>416.96799999999996</v>
      </c>
      <c r="CF164" s="385">
        <f>SUM(AF164:AI164)</f>
        <v>478.97699999999998</v>
      </c>
      <c r="CG164" s="385">
        <f>SUM(AJ164:AM164)</f>
        <v>841.55899999999997</v>
      </c>
      <c r="CH164" s="385">
        <f>SUM(AN164:AQ164)</f>
        <v>772.90300000000002</v>
      </c>
      <c r="CI164" s="385">
        <f>SUM(AR164:AU164)</f>
        <v>923.69299999999998</v>
      </c>
      <c r="CJ164" s="385"/>
      <c r="CK164" s="385"/>
      <c r="CL164" s="385"/>
      <c r="CM164" s="385"/>
      <c r="CN164" s="385"/>
      <c r="CO164" s="385"/>
      <c r="CP164" s="386"/>
      <c r="CQ164" s="281"/>
      <c r="CR164" s="332"/>
      <c r="CS164" s="1035">
        <f>SUM(K164:N164)</f>
        <v>357.67400000000004</v>
      </c>
      <c r="CT164" s="385">
        <f>SUM(O164:R164)</f>
        <v>387.34399999999994</v>
      </c>
      <c r="CU164" s="385">
        <f>SUM(S164:V164)</f>
        <v>449.69699999999995</v>
      </c>
      <c r="CV164" s="385">
        <f>SUM(W164:Z164)</f>
        <v>446.68599999999998</v>
      </c>
      <c r="CW164" s="385">
        <f>SUM(AA164:AD164)</f>
        <v>455.745</v>
      </c>
      <c r="CX164" s="385">
        <f>SUM(AE164:AH164)</f>
        <v>413.43400000000008</v>
      </c>
      <c r="CY164" s="385">
        <f>SUM(AI164:AL164)</f>
        <v>774.08699999999999</v>
      </c>
      <c r="CZ164" s="385">
        <f>SUM(AM164:AP164)</f>
        <v>789.18099999999993</v>
      </c>
      <c r="DA164" s="1035">
        <f>SUM(AQ164:AT164)</f>
        <v>866.79500000000007</v>
      </c>
      <c r="DB164" s="385"/>
      <c r="DC164" s="385"/>
      <c r="DD164" s="385"/>
      <c r="DE164" s="385"/>
      <c r="DF164" s="385"/>
      <c r="DG164" s="385"/>
      <c r="DH164" s="386"/>
    </row>
    <row r="165" spans="1:112" ht="14.25" customHeight="1">
      <c r="A165" s="100"/>
      <c r="B165" s="387" t="s">
        <v>139</v>
      </c>
      <c r="C165" s="388"/>
      <c r="D165" s="389">
        <f t="shared" ref="D165:O165" si="517">SUM(D162:D164)</f>
        <v>157.24400000000003</v>
      </c>
      <c r="E165" s="390">
        <f t="shared" si="517"/>
        <v>166.80799999999999</v>
      </c>
      <c r="F165" s="390">
        <f t="shared" si="517"/>
        <v>167.47399999999999</v>
      </c>
      <c r="G165" s="391">
        <f t="shared" si="517"/>
        <v>159.93599999999995</v>
      </c>
      <c r="H165" s="389">
        <f t="shared" si="517"/>
        <v>161.28300000000002</v>
      </c>
      <c r="I165" s="390">
        <f t="shared" si="517"/>
        <v>168.48599999999999</v>
      </c>
      <c r="J165" s="390">
        <f t="shared" si="517"/>
        <v>177.96699999999998</v>
      </c>
      <c r="K165" s="391">
        <f t="shared" si="517"/>
        <v>191.524</v>
      </c>
      <c r="L165" s="389">
        <f t="shared" si="517"/>
        <v>212.77500000000001</v>
      </c>
      <c r="M165" s="390">
        <f t="shared" si="517"/>
        <v>220.69400000000002</v>
      </c>
      <c r="N165" s="390">
        <f t="shared" si="517"/>
        <v>205.38400000000001</v>
      </c>
      <c r="O165" s="391">
        <f t="shared" si="517"/>
        <v>208.08299999999997</v>
      </c>
      <c r="P165" s="389">
        <f t="shared" ref="P165:AY165" si="518">SUM(P162:P164)</f>
        <v>218.52699999999999</v>
      </c>
      <c r="Q165" s="390">
        <f t="shared" si="518"/>
        <v>227.298</v>
      </c>
      <c r="R165" s="390">
        <f t="shared" si="518"/>
        <v>234.89599999999999</v>
      </c>
      <c r="S165" s="391">
        <f t="shared" si="518"/>
        <v>247.17199999999997</v>
      </c>
      <c r="T165" s="389">
        <f t="shared" si="518"/>
        <v>262.55700000000002</v>
      </c>
      <c r="U165" s="390">
        <f t="shared" si="518"/>
        <v>267.93399999999997</v>
      </c>
      <c r="V165" s="390">
        <f t="shared" si="518"/>
        <v>251.00400000000002</v>
      </c>
      <c r="W165" s="391">
        <f t="shared" si="518"/>
        <v>258.17599999999999</v>
      </c>
      <c r="X165" s="389">
        <f t="shared" si="518"/>
        <v>264.072</v>
      </c>
      <c r="Y165" s="390">
        <f t="shared" si="518"/>
        <v>258.64699999999999</v>
      </c>
      <c r="Z165" s="390">
        <f t="shared" si="518"/>
        <v>252.59999999999997</v>
      </c>
      <c r="AA165" s="391">
        <f t="shared" si="518"/>
        <v>260.41799999999995</v>
      </c>
      <c r="AB165" s="389">
        <f t="shared" si="518"/>
        <v>268.17200000000003</v>
      </c>
      <c r="AC165" s="390">
        <f t="shared" si="518"/>
        <v>269.70600000000002</v>
      </c>
      <c r="AD165" s="390">
        <f t="shared" si="518"/>
        <v>192.166</v>
      </c>
      <c r="AE165" s="391">
        <f t="shared" si="518"/>
        <v>173.25299999999999</v>
      </c>
      <c r="AF165" s="389">
        <f t="shared" si="518"/>
        <v>192.94900000000001</v>
      </c>
      <c r="AG165" s="390">
        <f t="shared" si="518"/>
        <v>226.661</v>
      </c>
      <c r="AH165" s="390">
        <f t="shared" si="518"/>
        <v>250.09900000000002</v>
      </c>
      <c r="AI165" s="391">
        <f t="shared" si="518"/>
        <v>278.01999999999992</v>
      </c>
      <c r="AJ165" s="389">
        <f t="shared" si="518"/>
        <v>357.125</v>
      </c>
      <c r="AK165" s="390">
        <f t="shared" si="518"/>
        <v>382.27100000000002</v>
      </c>
      <c r="AL165" s="390">
        <f t="shared" si="518"/>
        <v>367.82399999999996</v>
      </c>
      <c r="AM165" s="391">
        <f t="shared" si="518"/>
        <v>379.98499999999996</v>
      </c>
      <c r="AN165" s="389">
        <f t="shared" si="518"/>
        <v>374.50700000000001</v>
      </c>
      <c r="AO165" s="390">
        <f t="shared" si="518"/>
        <v>340.60199999999998</v>
      </c>
      <c r="AP165" s="390">
        <f t="shared" si="518"/>
        <v>329.15600000000001</v>
      </c>
      <c r="AQ165" s="391">
        <f t="shared" si="518"/>
        <v>338.91100000000006</v>
      </c>
      <c r="AR165" s="389">
        <f t="shared" si="518"/>
        <v>352.13400000000001</v>
      </c>
      <c r="AS165" s="390">
        <f t="shared" si="518"/>
        <v>383.298</v>
      </c>
      <c r="AT165" s="390">
        <f t="shared" si="518"/>
        <v>416.04700000000003</v>
      </c>
      <c r="AU165" s="391">
        <f t="shared" si="518"/>
        <v>430.1</v>
      </c>
      <c r="AV165" s="389">
        <f t="shared" si="518"/>
        <v>462.70000000000005</v>
      </c>
      <c r="AW165" s="390">
        <f>SUM(AW162:AW164)</f>
        <v>492.66900000000004</v>
      </c>
      <c r="AX165" s="390">
        <f t="shared" si="518"/>
        <v>482.37199999999996</v>
      </c>
      <c r="AY165" s="391">
        <f t="shared" si="518"/>
        <v>493.47599999999994</v>
      </c>
      <c r="AZ165" s="389">
        <f>SUM(AZ162:AZ164)</f>
        <v>528.87599999999998</v>
      </c>
      <c r="BA165" s="390">
        <f>SUM(BA162:BA164)</f>
        <v>546.24300000000005</v>
      </c>
      <c r="BB165" s="390">
        <f>SUM(BB162:BB164)</f>
        <v>528.71</v>
      </c>
      <c r="BC165" s="391">
        <f>SUM(BC162:BC164)</f>
        <v>543.20699999999999</v>
      </c>
      <c r="BD165" s="389">
        <f>SUM(BD162:BD164)</f>
        <v>533.952</v>
      </c>
      <c r="BE165" s="392"/>
      <c r="BF165" s="392"/>
      <c r="BG165" s="391">
        <f>SUM(BG162:BG164)</f>
        <v>568.43799999999999</v>
      </c>
      <c r="BH165" s="394"/>
      <c r="BI165" s="392"/>
      <c r="BJ165" s="392"/>
      <c r="BK165" s="393"/>
      <c r="BL165" s="390">
        <f>SUM(BL162:BL164)</f>
        <v>972.14100000000008</v>
      </c>
      <c r="BM165" s="1520">
        <f>SUM(BM162:BM164)</f>
        <v>1012.139</v>
      </c>
      <c r="BN165" s="1520">
        <f>SUM(BN162:BN164)</f>
        <v>994.20499999999993</v>
      </c>
      <c r="BO165" s="393"/>
      <c r="BP165" s="394"/>
      <c r="BQ165" s="392"/>
      <c r="BR165" s="392"/>
      <c r="BS165" s="393"/>
      <c r="BT165" s="394"/>
      <c r="BU165" s="392"/>
      <c r="BV165" s="392"/>
      <c r="BW165" s="393"/>
      <c r="BX165" s="395"/>
      <c r="BY165" s="397">
        <f>SUM(BY162:BY164)</f>
        <v>651.46199999999999</v>
      </c>
      <c r="BZ165" s="397">
        <f>SUM(BZ162:BZ164)</f>
        <v>699.26</v>
      </c>
      <c r="CA165" s="397">
        <f>SUM(CA162:CA164)</f>
        <v>846.93600000000004</v>
      </c>
      <c r="CB165" s="397">
        <f t="shared" ref="CB165:CI165" si="519">SUM(CB162:CB164)</f>
        <v>927.89300000000003</v>
      </c>
      <c r="CC165" s="397">
        <f t="shared" si="519"/>
        <v>1039.671</v>
      </c>
      <c r="CD165" s="397">
        <f t="shared" si="519"/>
        <v>1035.7370000000001</v>
      </c>
      <c r="CE165" s="397">
        <f t="shared" si="519"/>
        <v>903.29700000000003</v>
      </c>
      <c r="CF165" s="397">
        <f t="shared" si="519"/>
        <v>947.72900000000004</v>
      </c>
      <c r="CG165" s="397">
        <f t="shared" si="519"/>
        <v>1487.2049999999999</v>
      </c>
      <c r="CH165" s="397">
        <f t="shared" si="519"/>
        <v>1383.1759999999999</v>
      </c>
      <c r="CI165" s="397">
        <f t="shared" si="519"/>
        <v>1581.579</v>
      </c>
      <c r="CJ165" s="397"/>
      <c r="CK165" s="397"/>
      <c r="CL165" s="397"/>
      <c r="CM165" s="397"/>
      <c r="CN165" s="397"/>
      <c r="CO165" s="397"/>
      <c r="CP165" s="398"/>
      <c r="CQ165" s="333"/>
      <c r="CR165" s="1524"/>
      <c r="CS165" s="1036">
        <f>SUM(CS162:CS164)</f>
        <v>830.37699999999995</v>
      </c>
      <c r="CT165" s="397">
        <f>SUM(CT162:CT164)</f>
        <v>888.80399999999997</v>
      </c>
      <c r="CU165" s="397">
        <f>SUM(CU162:CU164)</f>
        <v>1028.6669999999999</v>
      </c>
      <c r="CV165" s="397">
        <f t="shared" ref="CV165:DA165" si="520">SUM(CV162:CV164)</f>
        <v>1033.4949999999999</v>
      </c>
      <c r="CW165" s="397">
        <f t="shared" si="520"/>
        <v>990.46199999999999</v>
      </c>
      <c r="CX165" s="397">
        <f t="shared" si="520"/>
        <v>842.9620000000001</v>
      </c>
      <c r="CY165" s="397">
        <f t="shared" si="520"/>
        <v>1385.24</v>
      </c>
      <c r="CZ165" s="397">
        <f t="shared" si="520"/>
        <v>1424.25</v>
      </c>
      <c r="DA165" s="1036">
        <f t="shared" si="520"/>
        <v>1490.39</v>
      </c>
      <c r="DB165" s="397"/>
      <c r="DC165" s="397"/>
      <c r="DD165" s="397"/>
      <c r="DE165" s="397"/>
      <c r="DF165" s="397"/>
      <c r="DG165" s="397"/>
      <c r="DH165" s="398"/>
    </row>
    <row r="166" spans="1:112" ht="14.25" customHeight="1">
      <c r="B166" s="68"/>
      <c r="BM166" s="1516"/>
      <c r="BX166" s="331"/>
      <c r="BY166" s="401"/>
      <c r="BZ166" s="401"/>
      <c r="CA166" s="401"/>
      <c r="CB166" s="401"/>
      <c r="CC166" s="401"/>
      <c r="CD166" s="331"/>
      <c r="CE166" s="331"/>
      <c r="CF166" s="331"/>
      <c r="CG166" s="331"/>
      <c r="CH166" s="331"/>
      <c r="CI166" s="331"/>
      <c r="CJ166" s="331"/>
      <c r="CK166" s="331"/>
      <c r="CL166" s="331"/>
      <c r="CM166" s="331"/>
      <c r="CN166" s="331"/>
      <c r="CO166" s="331"/>
      <c r="CP166" s="331"/>
      <c r="CS166" s="331"/>
      <c r="CT166" s="331"/>
      <c r="CU166" s="331"/>
      <c r="CV166" s="331"/>
      <c r="CW166" s="331"/>
      <c r="CX166" s="331"/>
      <c r="CY166" s="331"/>
      <c r="CZ166" s="331"/>
      <c r="DA166" s="331"/>
      <c r="DB166" s="331"/>
      <c r="DC166" s="331"/>
      <c r="DD166" s="331"/>
      <c r="DE166" s="331"/>
      <c r="DF166" s="331"/>
      <c r="DG166" s="331"/>
      <c r="DH166" s="331"/>
    </row>
    <row r="167" spans="1:112" ht="14.25" customHeight="1">
      <c r="A167" s="8"/>
      <c r="B167" s="289" t="s">
        <v>103</v>
      </c>
      <c r="C167" s="290"/>
      <c r="D167" s="521" t="str">
        <f t="shared" ref="D167:N167" si="521">IF(ABS(D165-D66)&lt;1,"OK",D165-D66)</f>
        <v>OK</v>
      </c>
      <c r="E167" s="522" t="str">
        <f t="shared" si="521"/>
        <v>OK</v>
      </c>
      <c r="F167" s="522" t="str">
        <f t="shared" si="521"/>
        <v>OK</v>
      </c>
      <c r="G167" s="522" t="str">
        <f t="shared" si="521"/>
        <v>OK</v>
      </c>
      <c r="H167" s="521" t="str">
        <f t="shared" si="521"/>
        <v>OK</v>
      </c>
      <c r="I167" s="522" t="str">
        <f t="shared" si="521"/>
        <v>OK</v>
      </c>
      <c r="J167" s="522" t="str">
        <f t="shared" si="521"/>
        <v>OK</v>
      </c>
      <c r="K167" s="522" t="str">
        <f t="shared" si="521"/>
        <v>OK</v>
      </c>
      <c r="L167" s="521" t="str">
        <f t="shared" si="521"/>
        <v>OK</v>
      </c>
      <c r="M167" s="522" t="str">
        <f t="shared" si="521"/>
        <v>OK</v>
      </c>
      <c r="N167" s="522" t="str">
        <f t="shared" si="521"/>
        <v>OK</v>
      </c>
      <c r="O167" s="522" t="str">
        <f>IF(ABS(O165-O66)&lt;1,"OK",O165-O66)</f>
        <v>OK</v>
      </c>
      <c r="P167" s="521" t="str">
        <f t="shared" ref="P167:AT167" si="522">IF(ABS(P165-P66)&lt;1,"OK",P165-P66)</f>
        <v>OK</v>
      </c>
      <c r="Q167" s="522" t="str">
        <f t="shared" si="522"/>
        <v>OK</v>
      </c>
      <c r="R167" s="522" t="str">
        <f t="shared" si="522"/>
        <v>OK</v>
      </c>
      <c r="S167" s="522" t="str">
        <f t="shared" si="522"/>
        <v>OK</v>
      </c>
      <c r="T167" s="521" t="str">
        <f t="shared" si="522"/>
        <v>OK</v>
      </c>
      <c r="U167" s="522" t="str">
        <f t="shared" si="522"/>
        <v>OK</v>
      </c>
      <c r="V167" s="522" t="str">
        <f t="shared" si="522"/>
        <v>OK</v>
      </c>
      <c r="W167" s="522" t="str">
        <f t="shared" si="522"/>
        <v>OK</v>
      </c>
      <c r="X167" s="521" t="str">
        <f t="shared" si="522"/>
        <v>OK</v>
      </c>
      <c r="Y167" s="522" t="str">
        <f t="shared" si="522"/>
        <v>OK</v>
      </c>
      <c r="Z167" s="522" t="str">
        <f t="shared" si="522"/>
        <v>OK</v>
      </c>
      <c r="AA167" s="522" t="str">
        <f t="shared" si="522"/>
        <v>OK</v>
      </c>
      <c r="AB167" s="521" t="str">
        <f t="shared" si="522"/>
        <v>OK</v>
      </c>
      <c r="AC167" s="522" t="str">
        <f t="shared" si="522"/>
        <v>OK</v>
      </c>
      <c r="AD167" s="522" t="str">
        <f t="shared" si="522"/>
        <v>OK</v>
      </c>
      <c r="AE167" s="522" t="str">
        <f t="shared" si="522"/>
        <v>OK</v>
      </c>
      <c r="AF167" s="521" t="str">
        <f t="shared" si="522"/>
        <v>OK</v>
      </c>
      <c r="AG167" s="522" t="str">
        <f t="shared" si="522"/>
        <v>OK</v>
      </c>
      <c r="AH167" s="522" t="str">
        <f t="shared" si="522"/>
        <v>OK</v>
      </c>
      <c r="AI167" s="522" t="str">
        <f t="shared" si="522"/>
        <v>OK</v>
      </c>
      <c r="AJ167" s="521" t="str">
        <f t="shared" si="522"/>
        <v>OK</v>
      </c>
      <c r="AK167" s="522" t="str">
        <f t="shared" si="522"/>
        <v>OK</v>
      </c>
      <c r="AL167" s="522" t="str">
        <f t="shared" si="522"/>
        <v>OK</v>
      </c>
      <c r="AM167" s="522" t="str">
        <f t="shared" si="522"/>
        <v>OK</v>
      </c>
      <c r="AN167" s="521" t="str">
        <f t="shared" si="522"/>
        <v>OK</v>
      </c>
      <c r="AO167" s="522" t="str">
        <f t="shared" si="522"/>
        <v>OK</v>
      </c>
      <c r="AP167" s="522" t="str">
        <f t="shared" si="522"/>
        <v>OK</v>
      </c>
      <c r="AQ167" s="522" t="str">
        <f t="shared" si="522"/>
        <v>OK</v>
      </c>
      <c r="AR167" s="521" t="str">
        <f t="shared" si="522"/>
        <v>OK</v>
      </c>
      <c r="AS167" s="522" t="str">
        <f t="shared" si="522"/>
        <v>OK</v>
      </c>
      <c r="AT167" s="522" t="str">
        <f t="shared" si="522"/>
        <v>OK</v>
      </c>
      <c r="AU167" s="522" t="str">
        <f t="shared" ref="AU167:AZ167" si="523">IF(ABS(AU165-AU66)&lt;1,"OK",AU165-AU66)</f>
        <v>OK</v>
      </c>
      <c r="AV167" s="521" t="str">
        <f t="shared" si="523"/>
        <v>OK</v>
      </c>
      <c r="AW167" s="522" t="str">
        <f t="shared" si="523"/>
        <v>OK</v>
      </c>
      <c r="AX167" s="522" t="str">
        <f t="shared" si="523"/>
        <v>OK</v>
      </c>
      <c r="AY167" s="522" t="str">
        <f t="shared" si="523"/>
        <v>OK</v>
      </c>
      <c r="AZ167" s="521" t="str">
        <f t="shared" si="523"/>
        <v>OK</v>
      </c>
      <c r="BA167" s="522" t="str">
        <f>IF(ABS(BA165-BA66)&lt;1,"OK",BA165-BA66)</f>
        <v>OK</v>
      </c>
      <c r="BB167" s="522" t="str">
        <f>IF(ABS(BB165-BB66)&lt;1,"OK",BB165-BB66)</f>
        <v>OK</v>
      </c>
      <c r="BC167" s="522">
        <f>IF(ABS(BC165-BC66)&lt;1,"OK",BC165-BC66)</f>
        <v>-3.9930000000000518</v>
      </c>
      <c r="BD167" s="521" t="str">
        <f>IF(ABS(BD165-BD66)&lt;1,"OK",BD165-BD66)</f>
        <v>OK</v>
      </c>
      <c r="BE167" s="292"/>
      <c r="BF167" s="292"/>
      <c r="BG167" s="522" t="str">
        <f>IF(ABS(BG165-BG66)&lt;1,"OK",BG165-BG66)</f>
        <v>OK</v>
      </c>
      <c r="BH167" s="291"/>
      <c r="BI167" s="292"/>
      <c r="BJ167" s="292"/>
      <c r="BK167" s="292"/>
      <c r="BL167" s="291"/>
      <c r="BM167" s="292"/>
      <c r="BN167" s="292"/>
      <c r="BO167" s="292"/>
      <c r="BP167" s="291"/>
      <c r="BQ167" s="292"/>
      <c r="BR167" s="292"/>
      <c r="BS167" s="292"/>
      <c r="BT167" s="291"/>
      <c r="BU167" s="292"/>
      <c r="BV167" s="292"/>
      <c r="BW167" s="292"/>
      <c r="BX167" s="20"/>
      <c r="BY167" s="928" t="str">
        <f>IF(ABS(BY165-BY71)&lt;1,"OK",BY165-BY71)</f>
        <v>OK</v>
      </c>
      <c r="BZ167" s="928" t="str">
        <f>IF(ABS(BZ165-BZ71)&lt;1,"OK",BZ165-BZ71)</f>
        <v>OK</v>
      </c>
      <c r="CA167" s="928" t="str">
        <f>IF(ABS(CA165-CA71)&lt;1,"OK",CA165-CA71)</f>
        <v>OK</v>
      </c>
      <c r="CB167" s="928" t="str">
        <f t="shared" ref="CB167:CH167" si="524">IF(ABS(CB165-CB71)&lt;1,"OK",CB165-CB71)</f>
        <v>OK</v>
      </c>
      <c r="CC167" s="928" t="str">
        <f t="shared" si="524"/>
        <v>OK</v>
      </c>
      <c r="CD167" s="292" t="str">
        <f t="shared" si="524"/>
        <v>OK</v>
      </c>
      <c r="CE167" s="292" t="str">
        <f t="shared" si="524"/>
        <v>OK</v>
      </c>
      <c r="CF167" s="292" t="str">
        <f t="shared" si="524"/>
        <v>OK</v>
      </c>
      <c r="CG167" s="400" t="str">
        <f t="shared" si="524"/>
        <v>OK</v>
      </c>
      <c r="CH167" s="400" t="str">
        <f t="shared" si="524"/>
        <v>OK</v>
      </c>
      <c r="CI167" s="400"/>
      <c r="CJ167" s="292"/>
      <c r="CK167" s="292"/>
      <c r="CL167" s="292"/>
      <c r="CM167" s="292"/>
      <c r="CN167" s="292"/>
      <c r="CO167" s="292"/>
      <c r="CP167" s="293"/>
      <c r="CQ167" s="22"/>
      <c r="CR167" s="232"/>
      <c r="CS167" s="399" t="str">
        <f>IF(ABS(CS165-CS71)&lt;1,"OK",CS165-CS71)</f>
        <v>OK</v>
      </c>
      <c r="CT167" s="400" t="str">
        <f>IF(ABS(CT165-CT71)&lt;1,"OK",CT165-CT71)</f>
        <v>OK</v>
      </c>
      <c r="CU167" s="400" t="str">
        <f>IF(ABS(CU165-CU71)&lt;1,"OK",CU165-CU71)</f>
        <v>OK</v>
      </c>
      <c r="CV167" s="400" t="str">
        <f t="shared" ref="CV167:DA167" si="525">IF(ABS(CV165-CV71)&lt;1,"OK",CV165-CV71)</f>
        <v>OK</v>
      </c>
      <c r="CW167" s="400" t="str">
        <f t="shared" si="525"/>
        <v>OK</v>
      </c>
      <c r="CX167" s="400" t="str">
        <f t="shared" si="525"/>
        <v>OK</v>
      </c>
      <c r="CY167" s="400" t="str">
        <f t="shared" si="525"/>
        <v>OK</v>
      </c>
      <c r="CZ167" s="400" t="str">
        <f t="shared" si="525"/>
        <v>OK</v>
      </c>
      <c r="DA167" s="399" t="str">
        <f t="shared" si="525"/>
        <v>OK</v>
      </c>
      <c r="DB167" s="400"/>
      <c r="DC167" s="400"/>
      <c r="DD167" s="400"/>
      <c r="DE167" s="400"/>
      <c r="DF167" s="400"/>
      <c r="DG167" s="400"/>
      <c r="DH167" s="1031"/>
    </row>
    <row r="168" spans="1:112" ht="14.25" customHeight="1">
      <c r="B168" s="68"/>
      <c r="BM168" s="1516"/>
      <c r="CH168" s="8"/>
      <c r="CI168" s="8"/>
      <c r="CL168" s="331"/>
      <c r="CM168" s="1174"/>
      <c r="CN168" s="1174"/>
      <c r="CO168" s="1174"/>
      <c r="DD168" s="331"/>
      <c r="DE168" s="1174"/>
      <c r="DF168" s="1174"/>
      <c r="DG168" s="1174"/>
    </row>
    <row r="169" spans="1:112" ht="14.25" customHeight="1">
      <c r="A169" s="1"/>
      <c r="B169" s="141" t="s">
        <v>141</v>
      </c>
      <c r="C169" s="142"/>
      <c r="D169" s="569" t="str">
        <f t="shared" ref="D169:O169" si="526">D8</f>
        <v>F1Q03A</v>
      </c>
      <c r="E169" s="570" t="str">
        <f t="shared" si="526"/>
        <v>F2Q03A</v>
      </c>
      <c r="F169" s="570" t="str">
        <f t="shared" si="526"/>
        <v>F3Q03A</v>
      </c>
      <c r="G169" s="570" t="str">
        <f t="shared" si="526"/>
        <v>F4Q03A</v>
      </c>
      <c r="H169" s="569" t="str">
        <f t="shared" si="526"/>
        <v>F1Q04A</v>
      </c>
      <c r="I169" s="570" t="str">
        <f t="shared" si="526"/>
        <v>F2Q04A</v>
      </c>
      <c r="J169" s="570" t="str">
        <f t="shared" si="526"/>
        <v>F3Q04A</v>
      </c>
      <c r="K169" s="570" t="str">
        <f t="shared" si="526"/>
        <v>F4Q04A</v>
      </c>
      <c r="L169" s="569" t="str">
        <f t="shared" si="526"/>
        <v>F1Q05A</v>
      </c>
      <c r="M169" s="570" t="str">
        <f t="shared" si="526"/>
        <v>F2Q05A</v>
      </c>
      <c r="N169" s="570" t="str">
        <f t="shared" si="526"/>
        <v>F3Q05A</v>
      </c>
      <c r="O169" s="570" t="str">
        <f t="shared" si="526"/>
        <v>F4Q05A</v>
      </c>
      <c r="P169" s="569" t="str">
        <f t="shared" ref="P169:AM169" si="527">P8</f>
        <v>F1Q06A</v>
      </c>
      <c r="Q169" s="570" t="str">
        <f t="shared" si="527"/>
        <v>F2Q06A</v>
      </c>
      <c r="R169" s="570" t="str">
        <f t="shared" si="527"/>
        <v>F3Q06A</v>
      </c>
      <c r="S169" s="570" t="str">
        <f t="shared" si="527"/>
        <v>F4Q06A</v>
      </c>
      <c r="T169" s="569" t="str">
        <f t="shared" si="527"/>
        <v>F1Q07A</v>
      </c>
      <c r="U169" s="570" t="str">
        <f t="shared" si="527"/>
        <v>F2Q07A</v>
      </c>
      <c r="V169" s="570" t="str">
        <f t="shared" si="527"/>
        <v>F3Q07A</v>
      </c>
      <c r="W169" s="570" t="str">
        <f t="shared" si="527"/>
        <v>F4Q07A</v>
      </c>
      <c r="X169" s="569" t="str">
        <f t="shared" si="527"/>
        <v>F1Q08A</v>
      </c>
      <c r="Y169" s="570" t="str">
        <f t="shared" si="527"/>
        <v>F2Q08A</v>
      </c>
      <c r="Z169" s="570" t="str">
        <f t="shared" si="527"/>
        <v>F3Q08A</v>
      </c>
      <c r="AA169" s="570" t="str">
        <f t="shared" si="527"/>
        <v>F4Q08A</v>
      </c>
      <c r="AB169" s="569" t="str">
        <f t="shared" si="527"/>
        <v>F1Q09A</v>
      </c>
      <c r="AC169" s="570" t="str">
        <f t="shared" si="527"/>
        <v>F2Q09A</v>
      </c>
      <c r="AD169" s="570" t="str">
        <f t="shared" si="527"/>
        <v>F3Q09A</v>
      </c>
      <c r="AE169" s="570" t="str">
        <f t="shared" si="527"/>
        <v>F4Q09A</v>
      </c>
      <c r="AF169" s="569" t="str">
        <f t="shared" si="527"/>
        <v>F1Q10A</v>
      </c>
      <c r="AG169" s="570" t="str">
        <f t="shared" si="527"/>
        <v>F2Q10A</v>
      </c>
      <c r="AH169" s="570" t="str">
        <f t="shared" si="527"/>
        <v>F3Q10A</v>
      </c>
      <c r="AI169" s="570" t="str">
        <f t="shared" si="527"/>
        <v>F4Q10A</v>
      </c>
      <c r="AJ169" s="569" t="str">
        <f t="shared" si="527"/>
        <v>F1Q11A</v>
      </c>
      <c r="AK169" s="570" t="str">
        <f t="shared" si="527"/>
        <v>F2Q11A</v>
      </c>
      <c r="AL169" s="570" t="str">
        <f t="shared" si="527"/>
        <v>F3Q11A</v>
      </c>
      <c r="AM169" s="570" t="str">
        <f t="shared" si="527"/>
        <v>F4Q11A</v>
      </c>
      <c r="AN169" s="569" t="str">
        <f t="shared" ref="AN169:AT169" si="528">AN8</f>
        <v>F1Q12A</v>
      </c>
      <c r="AO169" s="570" t="str">
        <f t="shared" si="528"/>
        <v>F2Q12A</v>
      </c>
      <c r="AP169" s="570" t="str">
        <f t="shared" si="528"/>
        <v>F3Q12A</v>
      </c>
      <c r="AQ169" s="570" t="str">
        <f t="shared" si="528"/>
        <v>F4Q12A</v>
      </c>
      <c r="AR169" s="569" t="str">
        <f t="shared" si="528"/>
        <v>F1Q13A</v>
      </c>
      <c r="AS169" s="570" t="str">
        <f t="shared" si="528"/>
        <v>F2Q13A</v>
      </c>
      <c r="AT169" s="570" t="str">
        <f t="shared" si="528"/>
        <v>F3Q13A</v>
      </c>
      <c r="AU169" s="570" t="str">
        <f>AU8</f>
        <v>F4Q13A</v>
      </c>
      <c r="AV169" s="569" t="str">
        <f>AV8</f>
        <v>F1Q14A</v>
      </c>
      <c r="AW169" s="570" t="str">
        <f t="shared" ref="AW169:BC169" si="529">AW8</f>
        <v>F2Q14A</v>
      </c>
      <c r="AX169" s="570" t="str">
        <f t="shared" si="529"/>
        <v>F3Q14A</v>
      </c>
      <c r="AY169" s="570" t="str">
        <f t="shared" si="529"/>
        <v>F4Q14A</v>
      </c>
      <c r="AZ169" s="569" t="str">
        <f>AZ8</f>
        <v>F1Q15A</v>
      </c>
      <c r="BA169" s="570" t="str">
        <f>BA8</f>
        <v>F2Q15A</v>
      </c>
      <c r="BB169" s="570" t="str">
        <f>BB8</f>
        <v>F3Q15A</v>
      </c>
      <c r="BC169" s="573" t="str">
        <f t="shared" si="529"/>
        <v>F4Q15A</v>
      </c>
      <c r="BD169" s="569" t="str">
        <f t="shared" ref="BD169:BK169" si="530">BD8</f>
        <v>F1Q16A</v>
      </c>
      <c r="BE169" s="570" t="str">
        <f t="shared" si="530"/>
        <v>F2Q16A</v>
      </c>
      <c r="BF169" s="570" t="str">
        <f t="shared" si="530"/>
        <v>F3Q16A</v>
      </c>
      <c r="BG169" s="573" t="str">
        <f t="shared" si="530"/>
        <v>F4Q16A</v>
      </c>
      <c r="BH169" s="569" t="str">
        <f t="shared" si="530"/>
        <v>F1Q17A</v>
      </c>
      <c r="BI169" s="570" t="str">
        <f t="shared" si="530"/>
        <v>F2Q17A</v>
      </c>
      <c r="BJ169" s="570" t="str">
        <f t="shared" si="530"/>
        <v>F3Q17A</v>
      </c>
      <c r="BK169" s="573" t="str">
        <f t="shared" si="530"/>
        <v>F4Q17A</v>
      </c>
      <c r="BL169" s="569" t="str">
        <f t="shared" ref="BL169:BS169" si="531">BL8</f>
        <v>F1Q18A</v>
      </c>
      <c r="BM169" s="1321" t="str">
        <f t="shared" ref="BM169" si="532">BM8</f>
        <v>F2Q18A</v>
      </c>
      <c r="BN169" s="570" t="str">
        <f t="shared" si="531"/>
        <v>F3Q18A</v>
      </c>
      <c r="BO169" s="573" t="str">
        <f t="shared" si="531"/>
        <v>F4Q18E</v>
      </c>
      <c r="BP169" s="569" t="str">
        <f t="shared" si="531"/>
        <v>F1Q19E</v>
      </c>
      <c r="BQ169" s="570" t="str">
        <f t="shared" si="531"/>
        <v>F2Q19E</v>
      </c>
      <c r="BR169" s="570" t="str">
        <f t="shared" si="531"/>
        <v>F3Q19E</v>
      </c>
      <c r="BS169" s="573" t="str">
        <f t="shared" si="531"/>
        <v>F4Q19E</v>
      </c>
      <c r="BT169" s="569" t="str">
        <f t="shared" ref="BT169:BW169" si="533">BT8</f>
        <v>F1Q20E</v>
      </c>
      <c r="BU169" s="1321" t="str">
        <f t="shared" si="533"/>
        <v>F2Q20E</v>
      </c>
      <c r="BV169" s="1321" t="str">
        <f t="shared" si="533"/>
        <v>F3Q20E</v>
      </c>
      <c r="BW169" s="573" t="str">
        <f t="shared" si="533"/>
        <v>F4Q20E</v>
      </c>
      <c r="BX169" s="20"/>
      <c r="BY169" s="570" t="str">
        <f>BY8</f>
        <v>FY2003A</v>
      </c>
      <c r="BZ169" s="570" t="str">
        <f>BZ8</f>
        <v>FY2004A</v>
      </c>
      <c r="CA169" s="570" t="str">
        <f>CA8</f>
        <v>FY2005A</v>
      </c>
      <c r="CB169" s="570" t="str">
        <f t="shared" ref="CB169:CK169" si="534">CB8</f>
        <v>FY2006A</v>
      </c>
      <c r="CC169" s="570" t="str">
        <f t="shared" si="534"/>
        <v>FY2007A</v>
      </c>
      <c r="CD169" s="570" t="str">
        <f t="shared" si="534"/>
        <v>FY2008A</v>
      </c>
      <c r="CE169" s="570" t="str">
        <f t="shared" si="534"/>
        <v>FY2009A</v>
      </c>
      <c r="CF169" s="570" t="str">
        <f t="shared" si="534"/>
        <v>FY2010A</v>
      </c>
      <c r="CG169" s="570" t="str">
        <f t="shared" si="534"/>
        <v>FY2011A</v>
      </c>
      <c r="CH169" s="570" t="str">
        <f t="shared" si="534"/>
        <v>FY2012A</v>
      </c>
      <c r="CI169" s="570" t="str">
        <f t="shared" si="534"/>
        <v>FY2013A</v>
      </c>
      <c r="CJ169" s="570" t="str">
        <f t="shared" si="534"/>
        <v>FY2014A</v>
      </c>
      <c r="CK169" s="570" t="str">
        <f t="shared" si="534"/>
        <v>FY2015A</v>
      </c>
      <c r="CL169" s="570" t="str">
        <f>CL8</f>
        <v>FY2016A</v>
      </c>
      <c r="CM169" s="570" t="str">
        <f>CM8</f>
        <v>FY2017A</v>
      </c>
      <c r="CN169" s="570" t="str">
        <f>CN8</f>
        <v>FY2018E</v>
      </c>
      <c r="CO169" s="1321" t="str">
        <f>CO8</f>
        <v>FY2019E</v>
      </c>
      <c r="CP169" s="573" t="str">
        <f>CP8</f>
        <v>FY2020E</v>
      </c>
      <c r="CQ169" s="281"/>
      <c r="CR169" s="332"/>
      <c r="CS169" s="569" t="str">
        <f>CS8</f>
        <v>CY2004</v>
      </c>
      <c r="CT169" s="570" t="str">
        <f>CT8</f>
        <v>CY2005</v>
      </c>
      <c r="CU169" s="570" t="str">
        <f>CU8</f>
        <v>CY2006</v>
      </c>
      <c r="CV169" s="570" t="str">
        <f t="shared" ref="CV169:DC169" si="535">CV8</f>
        <v>CY2007</v>
      </c>
      <c r="CW169" s="570" t="str">
        <f t="shared" si="535"/>
        <v>CY2008</v>
      </c>
      <c r="CX169" s="570" t="str">
        <f t="shared" si="535"/>
        <v>CY2009</v>
      </c>
      <c r="CY169" s="570" t="str">
        <f t="shared" si="535"/>
        <v>CY2010</v>
      </c>
      <c r="CZ169" s="570" t="str">
        <f t="shared" si="535"/>
        <v>CY2011</v>
      </c>
      <c r="DA169" s="569" t="str">
        <f t="shared" si="535"/>
        <v>CY2012</v>
      </c>
      <c r="DB169" s="570" t="str">
        <f t="shared" si="535"/>
        <v>CY2013</v>
      </c>
      <c r="DC169" s="570" t="str">
        <f t="shared" si="535"/>
        <v>CY2014</v>
      </c>
      <c r="DD169" s="570" t="str">
        <f>DD8</f>
        <v>CY2015</v>
      </c>
      <c r="DE169" s="570" t="str">
        <f>DE8</f>
        <v>CY2016</v>
      </c>
      <c r="DF169" s="570" t="str">
        <f>DF8</f>
        <v>CY2017</v>
      </c>
      <c r="DG169" s="1321" t="str">
        <f>DG8</f>
        <v>CY2018</v>
      </c>
      <c r="DH169" s="573" t="str">
        <f>DH8</f>
        <v>CY2019</v>
      </c>
    </row>
    <row r="170" spans="1:112" ht="14.25" customHeight="1">
      <c r="B170" s="402" t="str">
        <f>B162</f>
        <v>Americas</v>
      </c>
      <c r="C170" s="372"/>
      <c r="D170" s="403">
        <f>D162/IS!D$8</f>
        <v>0.33904179149951758</v>
      </c>
      <c r="E170" s="404">
        <f>E162/IS!E$8</f>
        <v>0.34958447756898392</v>
      </c>
      <c r="F170" s="404">
        <f>F162/IS!F$8</f>
        <v>0.34226805354861056</v>
      </c>
      <c r="G170" s="405">
        <f>G162/IS!G$8</f>
        <v>0.3160723009281875</v>
      </c>
      <c r="H170" s="403">
        <f>H162/IS!H$8</f>
        <v>0.31437907280990562</v>
      </c>
      <c r="I170" s="404">
        <f>I162/IS!I$8</f>
        <v>0.3198188573531332</v>
      </c>
      <c r="J170" s="404">
        <f>J162/IS!J$8</f>
        <v>0.32057066759567782</v>
      </c>
      <c r="K170" s="405">
        <f>K162/IS!K$8</f>
        <v>0.30283933084104331</v>
      </c>
      <c r="L170" s="403">
        <f>L162/IS!L$8</f>
        <v>0.29197039125837154</v>
      </c>
      <c r="M170" s="404">
        <f>M162/IS!M$8</f>
        <v>0.28984929359203243</v>
      </c>
      <c r="N170" s="404">
        <f>N162/IS!N$8</f>
        <v>0.29078701359404824</v>
      </c>
      <c r="O170" s="405">
        <f>O162/IS!O$8</f>
        <v>0.30308098210810108</v>
      </c>
      <c r="P170" s="403">
        <f>P162/IS!P$8</f>
        <v>0.28769900286921068</v>
      </c>
      <c r="Q170" s="404">
        <f>Q162/IS!Q$8</f>
        <v>0.28628496511187956</v>
      </c>
      <c r="R170" s="404">
        <f>R162/IS!R$8</f>
        <v>0.28158419045024186</v>
      </c>
      <c r="S170" s="405">
        <f>S162/IS!S$8</f>
        <v>0.29237939572443483</v>
      </c>
      <c r="T170" s="403">
        <f>T162/IS!T$8</f>
        <v>0.28024010024489915</v>
      </c>
      <c r="U170" s="404">
        <f>U162/IS!U$8</f>
        <v>0.27480274993095316</v>
      </c>
      <c r="V170" s="404">
        <f>V162/IS!V$8</f>
        <v>0.27916686586667944</v>
      </c>
      <c r="W170" s="405">
        <f>W162/IS!W$8</f>
        <v>0.27148534333168062</v>
      </c>
      <c r="X170" s="403">
        <f>X162/IS!X$8</f>
        <v>0.26661668029931235</v>
      </c>
      <c r="Y170" s="404">
        <f>Y162/IS!Y$8</f>
        <v>0.27025250631169123</v>
      </c>
      <c r="Z170" s="404">
        <f>Z162/IS!Z$8</f>
        <v>0.26123911322248616</v>
      </c>
      <c r="AA170" s="405">
        <f>AA162/IS!AA$8</f>
        <v>0.25753980139621679</v>
      </c>
      <c r="AB170" s="403">
        <f>AB162/IS!AB$8</f>
        <v>0.24658428172963617</v>
      </c>
      <c r="AC170" s="404">
        <f>AC162/IS!AC$8</f>
        <v>0.2396053480456497</v>
      </c>
      <c r="AD170" s="404">
        <f>AD162/IS!AD$8</f>
        <v>0.26454211463005944</v>
      </c>
      <c r="AE170" s="405">
        <f>AE162/IS!AE$8</f>
        <v>0.27321893415987036</v>
      </c>
      <c r="AF170" s="403">
        <f>AF162/IS!AF$8</f>
        <v>0.25641490756624807</v>
      </c>
      <c r="AG170" s="404">
        <f>AG162/IS!AG$8</f>
        <v>0.24658851765411782</v>
      </c>
      <c r="AH170" s="404">
        <f>AH162/IS!AH$8</f>
        <v>0.23715008856492831</v>
      </c>
      <c r="AI170" s="405">
        <f>AI162/IS!AI$8</f>
        <v>0.23998273505503193</v>
      </c>
      <c r="AJ170" s="403">
        <f>AJ162/IS!AJ$8</f>
        <v>0.20921246062303117</v>
      </c>
      <c r="AK170" s="404">
        <f>AK162/IS!AK$8</f>
        <v>0.20805658812727099</v>
      </c>
      <c r="AL170" s="404">
        <f>AL162/IS!AL$8</f>
        <v>0.20829255296011134</v>
      </c>
      <c r="AM170" s="405">
        <f>AM162/IS!AM$8</f>
        <v>0.21019513928181383</v>
      </c>
      <c r="AN170" s="403">
        <f>AN162/IS!AN$8</f>
        <v>0.21122702646412481</v>
      </c>
      <c r="AO170" s="404">
        <f>AO162/IS!AO$8</f>
        <v>0.21049494718175465</v>
      </c>
      <c r="AP170" s="404">
        <f>AP162/IS!AP$8</f>
        <v>0.21035314562092139</v>
      </c>
      <c r="AQ170" s="405">
        <f>AQ162/IS!AQ$8</f>
        <v>0.2075825216649799</v>
      </c>
      <c r="AR170" s="403">
        <f>AR162/IS!AR$8</f>
        <v>0.20447613692514779</v>
      </c>
      <c r="AS170" s="404">
        <f>AS162/IS!AS$8</f>
        <v>0.20749651707026909</v>
      </c>
      <c r="AT170" s="404">
        <f>AT162/IS!AT$8</f>
        <v>0.18579391270697782</v>
      </c>
      <c r="AU170" s="405">
        <f>AU162/IS!AU$8</f>
        <v>0.19691080196399346</v>
      </c>
      <c r="AV170" s="403">
        <f>AV162/IS!AV$8</f>
        <v>0.18777334093934211</v>
      </c>
      <c r="AW170" s="404">
        <f>AW162/IS!AW$8</f>
        <v>0.1932027385526591</v>
      </c>
      <c r="AX170" s="404">
        <f>AX162/IS!AX$8</f>
        <v>0.18802500974351744</v>
      </c>
      <c r="AY170" s="405">
        <f>AY162/IS!AY$8</f>
        <v>0.18814148817148502</v>
      </c>
      <c r="AZ170" s="403">
        <f>AZ162/IS!AZ$8</f>
        <v>0.19324756653733577</v>
      </c>
      <c r="BA170" s="404">
        <f>BA162/IS!BA$8</f>
        <v>0.19882726185964852</v>
      </c>
      <c r="BB170" s="404">
        <f>BB162/IS!BB$8</f>
        <v>0.19838663917837754</v>
      </c>
      <c r="BC170" s="405">
        <f>BC162/IS!BC$8</f>
        <v>0.19559026301207455</v>
      </c>
      <c r="BD170" s="403">
        <f>BD162/IS!BD$8</f>
        <v>0.19579288025889968</v>
      </c>
      <c r="BE170" s="406"/>
      <c r="BF170" s="406"/>
      <c r="BG170" s="413">
        <f>BG162/IS!BG$125</f>
        <v>0.19616467276565799</v>
      </c>
      <c r="BH170" s="408"/>
      <c r="BI170" s="406"/>
      <c r="BJ170" s="406"/>
      <c r="BK170" s="407"/>
      <c r="BL170" s="914">
        <f>BL162/BL$165</f>
        <v>0.18750572190659584</v>
      </c>
      <c r="BM170" s="1517">
        <f>BM162/BM$165</f>
        <v>0.17989327552836121</v>
      </c>
      <c r="BN170" s="1517">
        <f>BN162/BN$165</f>
        <v>0.17364326270738933</v>
      </c>
      <c r="BO170" s="407"/>
      <c r="BP170" s="408"/>
      <c r="BQ170" s="406"/>
      <c r="BR170" s="406"/>
      <c r="BS170" s="407"/>
      <c r="BT170" s="408"/>
      <c r="BU170" s="406"/>
      <c r="BV170" s="406"/>
      <c r="BW170" s="407"/>
      <c r="BX170" s="378"/>
      <c r="BY170" s="369">
        <f>BY162/IS!BY$8</f>
        <v>0.33694060436372347</v>
      </c>
      <c r="BZ170" s="369">
        <f>BZ162/IS!BZ$8</f>
        <v>0.31410491090581466</v>
      </c>
      <c r="CA170" s="369">
        <f>CA162/IS!CA$8</f>
        <v>0.29386045698848556</v>
      </c>
      <c r="CB170" s="369">
        <f>CB162/IS!CB$8</f>
        <v>0.28705141648875465</v>
      </c>
      <c r="CC170" s="369">
        <f>CC162/IS!CC$8</f>
        <v>0.27640570911374845</v>
      </c>
      <c r="CD170" s="240">
        <f>CD162/IS!CD$8</f>
        <v>0.26393090137747321</v>
      </c>
      <c r="CE170" s="240">
        <f>CE162/IS!CE$8</f>
        <v>0.2534293814769672</v>
      </c>
      <c r="CF170" s="409">
        <f>CF162/IS!CF$8</f>
        <v>0.24416051423983012</v>
      </c>
      <c r="CG170" s="409">
        <f>CG162/IS!CG$8</f>
        <v>0.20893891561687866</v>
      </c>
      <c r="CH170" s="409">
        <f>CH162/IS!CH$8</f>
        <v>0.20994580588442832</v>
      </c>
      <c r="CI170" s="409">
        <f>CI162/IS!CI$8</f>
        <v>0.19823624213861332</v>
      </c>
      <c r="CJ170" s="369"/>
      <c r="CK170" s="369"/>
      <c r="CL170" s="369"/>
      <c r="CM170" s="369"/>
      <c r="CN170" s="369"/>
      <c r="CO170" s="369"/>
      <c r="CP170" s="368"/>
      <c r="CQ170" s="452"/>
      <c r="CR170" s="1525"/>
      <c r="CS170" s="1022">
        <f>CS162/IS!CS$8</f>
        <v>0.29362084932506555</v>
      </c>
      <c r="CT170" s="409">
        <f>CT162/IS!CT$8</f>
        <v>0.28932250529925607</v>
      </c>
      <c r="CU170" s="409">
        <f>CU162/IS!CU$8</f>
        <v>0.2814788459238996</v>
      </c>
      <c r="CV170" s="409">
        <f>CV162/IS!CV$8</f>
        <v>0.26742848296314931</v>
      </c>
      <c r="CW170" s="409">
        <f>CW162/IS!CW$8</f>
        <v>0.25104850059871048</v>
      </c>
      <c r="CX170" s="409">
        <f>CX162/IS!CX$8</f>
        <v>0.251510744256562</v>
      </c>
      <c r="CY170" s="409">
        <f>CY162/IS!CY$8</f>
        <v>0.21482486789292826</v>
      </c>
      <c r="CZ170" s="409">
        <f>CZ162/IS!CZ$8</f>
        <v>0.21057468843250834</v>
      </c>
      <c r="DA170" s="1022">
        <f>DA162/IS!DA$8</f>
        <v>0.20074410053744321</v>
      </c>
      <c r="DB170" s="409"/>
      <c r="DC170" s="409"/>
      <c r="DD170" s="409"/>
      <c r="DE170" s="409"/>
      <c r="DF170" s="409"/>
      <c r="DG170" s="409"/>
      <c r="DH170" s="1023"/>
    </row>
    <row r="171" spans="1:112" ht="14.25" customHeight="1">
      <c r="B171" s="410" t="str">
        <f>B163</f>
        <v>Europe</v>
      </c>
      <c r="C171" s="332"/>
      <c r="D171" s="411">
        <f>D163/IS!D$8</f>
        <v>0.28245442543035598</v>
      </c>
      <c r="E171" s="412">
        <f>E163/IS!E$8</f>
        <v>0.25687440789552579</v>
      </c>
      <c r="F171" s="412">
        <f>F163/IS!F$8</f>
        <v>0.25208092002340665</v>
      </c>
      <c r="G171" s="413">
        <f>G163/IS!G$8</f>
        <v>0.30169228264001086</v>
      </c>
      <c r="H171" s="411">
        <f>H163/IS!H$8</f>
        <v>0.29024137695851393</v>
      </c>
      <c r="I171" s="412">
        <f>I163/IS!I$8</f>
        <v>0.26566599005258601</v>
      </c>
      <c r="J171" s="412">
        <f>J163/IS!J$8</f>
        <v>0.25962678474099127</v>
      </c>
      <c r="K171" s="413">
        <f>K163/IS!K$8</f>
        <v>0.2945322779390574</v>
      </c>
      <c r="L171" s="411">
        <f>L163/IS!L$8</f>
        <v>0.28239219833157092</v>
      </c>
      <c r="M171" s="412">
        <f>M163/IS!M$8</f>
        <v>0.26974906431529627</v>
      </c>
      <c r="N171" s="412">
        <f>N163/IS!N$8</f>
        <v>0.25736668873914231</v>
      </c>
      <c r="O171" s="413">
        <f>O163/IS!O$8</f>
        <v>0.2884233695208161</v>
      </c>
      <c r="P171" s="411">
        <f>P163/IS!P$8</f>
        <v>0.28810627519711524</v>
      </c>
      <c r="Q171" s="412">
        <f>Q163/IS!Q$8</f>
        <v>0.26937764520585311</v>
      </c>
      <c r="R171" s="412">
        <f>R163/IS!R$8</f>
        <v>0.25587919760234318</v>
      </c>
      <c r="S171" s="413">
        <f>S163/IS!S$8</f>
        <v>0.28754875147670456</v>
      </c>
      <c r="T171" s="411">
        <f>T163/IS!T$8</f>
        <v>0.28086091781974959</v>
      </c>
      <c r="U171" s="412">
        <f>U163/IS!U$8</f>
        <v>0.27565370576335962</v>
      </c>
      <c r="V171" s="412">
        <f>V163/IS!V$8</f>
        <v>0.28186403403929816</v>
      </c>
      <c r="W171" s="413">
        <f>W163/IS!W$8</f>
        <v>0.32675384234010918</v>
      </c>
      <c r="X171" s="411">
        <f>X163/IS!X$8</f>
        <v>0.30234935926565482</v>
      </c>
      <c r="Y171" s="412">
        <f>Y163/IS!Y$8</f>
        <v>0.29072442363530215</v>
      </c>
      <c r="Z171" s="412">
        <f>Z163/IS!Z$8</f>
        <v>0.28117973079968328</v>
      </c>
      <c r="AA171" s="413">
        <f>AA163/IS!AA$8</f>
        <v>0.31529310569929875</v>
      </c>
      <c r="AB171" s="411">
        <f>AB163/IS!AB$8</f>
        <v>0.29080590069060153</v>
      </c>
      <c r="AC171" s="412">
        <f>AC163/IS!AC$8</f>
        <v>0.27128428733509818</v>
      </c>
      <c r="AD171" s="412">
        <f>AD163/IS!AD$8</f>
        <v>0.27477285263782353</v>
      </c>
      <c r="AE171" s="413">
        <f>AE163/IS!AE$8</f>
        <v>0.30851991018914526</v>
      </c>
      <c r="AF171" s="411">
        <f>AF163/IS!AF$8</f>
        <v>0.25665331253336371</v>
      </c>
      <c r="AG171" s="412">
        <f>AG163/IS!AG$8</f>
        <v>0.24036777390022984</v>
      </c>
      <c r="AH171" s="412">
        <f>AH163/IS!AH$8</f>
        <v>0.24014090420193604</v>
      </c>
      <c r="AI171" s="413">
        <f>AI163/IS!AI$8</f>
        <v>0.26362132220703544</v>
      </c>
      <c r="AJ171" s="411">
        <f>AJ163/IS!AJ$8</f>
        <v>0.2174476723836192</v>
      </c>
      <c r="AK171" s="412">
        <f>AK163/IS!AK$8</f>
        <v>0.21294055787648028</v>
      </c>
      <c r="AL171" s="412">
        <f>AL163/IS!AL$8</f>
        <v>0.22081212753925789</v>
      </c>
      <c r="AM171" s="413">
        <f>AM163/IS!AM$8</f>
        <v>0.24904667289498281</v>
      </c>
      <c r="AN171" s="411">
        <f>AN163/IS!AN$8</f>
        <v>0.23871115893694911</v>
      </c>
      <c r="AO171" s="412">
        <f>AO163/IS!AO$8</f>
        <v>0.24020704517295849</v>
      </c>
      <c r="AP171" s="412">
        <f>AP163/IS!AP$8</f>
        <v>0.21056884881332863</v>
      </c>
      <c r="AQ171" s="413">
        <f>AQ163/IS!AQ$8</f>
        <v>0.23415291920297651</v>
      </c>
      <c r="AR171" s="411">
        <f>AR163/IS!AR$8</f>
        <v>0.21953574491528791</v>
      </c>
      <c r="AS171" s="412">
        <f>AS163/IS!AS$8</f>
        <v>0.21831316625706371</v>
      </c>
      <c r="AT171" s="412">
        <f>AT163/IS!AT$8</f>
        <v>0.20205890199905299</v>
      </c>
      <c r="AU171" s="413">
        <f>AU163/IS!AU$8</f>
        <v>0.23085292367207261</v>
      </c>
      <c r="AV171" s="411">
        <f>AV163/IS!AV$8</f>
        <v>0.21867275147366422</v>
      </c>
      <c r="AW171" s="412">
        <f>AW163/IS!AW$8</f>
        <v>0.2007696851232775</v>
      </c>
      <c r="AX171" s="412">
        <f>AX163/IS!AX$8</f>
        <v>0.19782035441526458</v>
      </c>
      <c r="AY171" s="413">
        <f>AY163/IS!AY$8</f>
        <v>0.23510085450683432</v>
      </c>
      <c r="AZ171" s="411">
        <f>AZ163/IS!AZ$8</f>
        <v>0.20684999886551858</v>
      </c>
      <c r="BA171" s="412">
        <f>BA163/IS!BA$8</f>
        <v>0.20284745067671348</v>
      </c>
      <c r="BB171" s="412">
        <f>BB163/IS!BB$8</f>
        <v>0.2004009759603563</v>
      </c>
      <c r="BC171" s="413">
        <f>BC163/IS!BC$8</f>
        <v>0.23197234203535672</v>
      </c>
      <c r="BD171" s="411">
        <f>BD163/IS!BD$8</f>
        <v>0.21477211434735707</v>
      </c>
      <c r="BE171" s="414"/>
      <c r="BF171" s="414"/>
      <c r="BG171" s="413">
        <f>BG163/IS!BG$125</f>
        <v>0.23815095003518652</v>
      </c>
      <c r="BH171" s="416"/>
      <c r="BI171" s="414"/>
      <c r="BJ171" s="414"/>
      <c r="BK171" s="415"/>
      <c r="BL171" s="411">
        <f t="shared" ref="BL171:BM172" si="536">BL163/BL$165</f>
        <v>0.23217413934809866</v>
      </c>
      <c r="BM171" s="1518">
        <f t="shared" si="536"/>
        <v>0.24057071212550846</v>
      </c>
      <c r="BN171" s="1518">
        <f t="shared" ref="BN171" si="537">BN163/BN$165</f>
        <v>0.2294778239900222</v>
      </c>
      <c r="BO171" s="415"/>
      <c r="BP171" s="416"/>
      <c r="BQ171" s="414"/>
      <c r="BR171" s="414"/>
      <c r="BS171" s="415"/>
      <c r="BT171" s="416"/>
      <c r="BU171" s="414"/>
      <c r="BV171" s="414"/>
      <c r="BW171" s="415"/>
      <c r="BX171" s="378"/>
      <c r="BY171" s="369">
        <f>BY163/IS!BY$8</f>
        <v>0.27281253549708195</v>
      </c>
      <c r="BZ171" s="369">
        <f>BZ163/IS!BZ$8</f>
        <v>0.27770357234791065</v>
      </c>
      <c r="CA171" s="369">
        <f>CA163/IS!CA$8</f>
        <v>0.27451070683026813</v>
      </c>
      <c r="CB171" s="369">
        <f>CB163/IS!CB$8</f>
        <v>0.2752116892788285</v>
      </c>
      <c r="CC171" s="369">
        <f>CC163/IS!CC$8</f>
        <v>0.29115749116787909</v>
      </c>
      <c r="CD171" s="240">
        <f>CD163/IS!CD$8</f>
        <v>0.29753788847941126</v>
      </c>
      <c r="CE171" s="240">
        <f>CE163/IS!CE$8</f>
        <v>0.28496386017002157</v>
      </c>
      <c r="CF171" s="240">
        <f>CF163/IS!CF$8</f>
        <v>0.25044501117935614</v>
      </c>
      <c r="CG171" s="240">
        <f>CG163/IS!CG$8</f>
        <v>0.22519491260451657</v>
      </c>
      <c r="CH171" s="240">
        <f>CH163/IS!CH$8</f>
        <v>0.23126558008525305</v>
      </c>
      <c r="CI171" s="240">
        <f>CI163/IS!CI$8</f>
        <v>0.21772002556867218</v>
      </c>
      <c r="CJ171" s="369"/>
      <c r="CK171" s="369"/>
      <c r="CL171" s="369"/>
      <c r="CM171" s="369"/>
      <c r="CN171" s="369"/>
      <c r="CO171" s="369"/>
      <c r="CP171" s="368"/>
      <c r="CQ171" s="452"/>
      <c r="CR171" s="1525"/>
      <c r="CS171" s="1028">
        <f>CS163/IS!CS$8</f>
        <v>0.27564226851177237</v>
      </c>
      <c r="CT171" s="240">
        <f>CT163/IS!CT$8</f>
        <v>0.27487387545510594</v>
      </c>
      <c r="CU171" s="240">
        <f>CU163/IS!CU$8</f>
        <v>0.28135635730513375</v>
      </c>
      <c r="CV171" s="240">
        <f>CV163/IS!CV$8</f>
        <v>0.30036236266261573</v>
      </c>
      <c r="CW171" s="240">
        <f>CW163/IS!CW$8</f>
        <v>0.28881774363882712</v>
      </c>
      <c r="CX171" s="240">
        <f>CX163/IS!CX$8</f>
        <v>0.25803535627940521</v>
      </c>
      <c r="CY171" s="240">
        <f>CY163/IS!CY$8</f>
        <v>0.22636438451098728</v>
      </c>
      <c r="CZ171" s="240">
        <f>CZ163/IS!CZ$8</f>
        <v>0.23532245041249783</v>
      </c>
      <c r="DA171" s="1028">
        <f>DA163/IS!DA$8</f>
        <v>0.21766651681774565</v>
      </c>
      <c r="DB171" s="240"/>
      <c r="DC171" s="240"/>
      <c r="DD171" s="240"/>
      <c r="DE171" s="240"/>
      <c r="DF171" s="240"/>
      <c r="DG171" s="240"/>
      <c r="DH171" s="282"/>
    </row>
    <row r="172" spans="1:112" ht="14.25" customHeight="1">
      <c r="B172" s="410" t="str">
        <f>B164</f>
        <v>Asia</v>
      </c>
      <c r="C172" s="332"/>
      <c r="D172" s="411">
        <f>D164/IS!D$8</f>
        <v>0.37659955314070986</v>
      </c>
      <c r="E172" s="412">
        <f>E164/IS!E$8</f>
        <v>0.39372099437575703</v>
      </c>
      <c r="F172" s="412">
        <f>F164/IS!F$8</f>
        <v>0.4056510264279829</v>
      </c>
      <c r="G172" s="413">
        <f>G164/IS!G$8</f>
        <v>0.38392644645697876</v>
      </c>
      <c r="H172" s="411">
        <f>H164/IS!H$8</f>
        <v>0.39537955023158056</v>
      </c>
      <c r="I172" s="412">
        <f>I164/IS!I$8</f>
        <v>0.4145151525942809</v>
      </c>
      <c r="J172" s="412">
        <f>J164/IS!J$8</f>
        <v>0.41980254766333081</v>
      </c>
      <c r="K172" s="413">
        <f>K164/IS!K$8</f>
        <v>0.4026283912198993</v>
      </c>
      <c r="L172" s="411">
        <f>L164/IS!L$8</f>
        <v>0.42563741041005754</v>
      </c>
      <c r="M172" s="412">
        <f>M164/IS!M$8</f>
        <v>0.44040164209267135</v>
      </c>
      <c r="N172" s="412">
        <f>N164/IS!N$8</f>
        <v>0.45184629766680956</v>
      </c>
      <c r="O172" s="413">
        <f>O164/IS!O$8</f>
        <v>0.40849564837108249</v>
      </c>
      <c r="P172" s="411">
        <f>P164/IS!P$8</f>
        <v>0.42419472193367408</v>
      </c>
      <c r="Q172" s="412">
        <f>Q164/IS!Q$8</f>
        <v>0.44433738968226733</v>
      </c>
      <c r="R172" s="412">
        <f>R164/IS!R$8</f>
        <v>0.46253661194741502</v>
      </c>
      <c r="S172" s="413">
        <f>S164/IS!S$8</f>
        <v>0.42007185279886061</v>
      </c>
      <c r="T172" s="411">
        <f>T164/IS!T$8</f>
        <v>0.43889898193535115</v>
      </c>
      <c r="U172" s="412">
        <f>U164/IS!U$8</f>
        <v>0.44954354430568716</v>
      </c>
      <c r="V172" s="412">
        <f>V164/IS!V$8</f>
        <v>0.43896910009402246</v>
      </c>
      <c r="W172" s="413">
        <f>W164/IS!W$8</f>
        <v>0.40176081432821026</v>
      </c>
      <c r="X172" s="411">
        <f>X164/IS!X$8</f>
        <v>0.43103396043503284</v>
      </c>
      <c r="Y172" s="412">
        <f>Y164/IS!Y$8</f>
        <v>0.43902307005300667</v>
      </c>
      <c r="Z172" s="412">
        <f>Z164/IS!Z$8</f>
        <v>0.45758115597783056</v>
      </c>
      <c r="AA172" s="413">
        <f>AA164/IS!AA$8</f>
        <v>0.42716709290448424</v>
      </c>
      <c r="AB172" s="411">
        <f>AB164/IS!AB$8</f>
        <v>0.46260981757976216</v>
      </c>
      <c r="AC172" s="412">
        <f>AC164/IS!AC$8</f>
        <v>0.48911036461925206</v>
      </c>
      <c r="AD172" s="412">
        <f>AD164/IS!AD$8</f>
        <v>0.46068503273211708</v>
      </c>
      <c r="AE172" s="413">
        <f>AE164/IS!AE$8</f>
        <v>0.41826115565098443</v>
      </c>
      <c r="AF172" s="411">
        <f>AF164/IS!AF$8</f>
        <v>0.48693177990038816</v>
      </c>
      <c r="AG172" s="412">
        <f>AG164/IS!AG$8</f>
        <v>0.51304370844565239</v>
      </c>
      <c r="AH172" s="412">
        <f>AH164/IS!AH$8</f>
        <v>0.52270900723313574</v>
      </c>
      <c r="AI172" s="413">
        <f>AI164/IS!AI$8</f>
        <v>0.49639594273793208</v>
      </c>
      <c r="AJ172" s="411">
        <f>AJ164/IS!AJ$8</f>
        <v>0.5733398669933496</v>
      </c>
      <c r="AK172" s="412">
        <f>AK164/IS!AK$8</f>
        <v>0.57900285399624873</v>
      </c>
      <c r="AL172" s="412">
        <f>AL164/IS!AL$8</f>
        <v>0.57089531950063077</v>
      </c>
      <c r="AM172" s="413">
        <f>AM164/IS!AM$8</f>
        <v>0.54075818782320351</v>
      </c>
      <c r="AN172" s="411">
        <f>AN164/IS!AN$8</f>
        <v>0.55006181459892611</v>
      </c>
      <c r="AO172" s="412">
        <f>AO164/IS!AO$8</f>
        <v>0.54929800764528691</v>
      </c>
      <c r="AP172" s="412">
        <f>AP164/IS!AP$8</f>
        <v>0.57907800556574995</v>
      </c>
      <c r="AQ172" s="413">
        <f>AQ164/IS!AQ$8</f>
        <v>0.55826455913204365</v>
      </c>
      <c r="AR172" s="411">
        <f>AR164/IS!AR$8</f>
        <v>0.57598811815956419</v>
      </c>
      <c r="AS172" s="412">
        <f>AS164/IS!AS$8</f>
        <v>0.57419031667266729</v>
      </c>
      <c r="AT172" s="412">
        <f>AT164/IS!AT$8</f>
        <v>0.61214718529396916</v>
      </c>
      <c r="AU172" s="413">
        <f>AU164/IS!AU$8</f>
        <v>0.57213398303823837</v>
      </c>
      <c r="AV172" s="411">
        <f>AV164/IS!AV$8</f>
        <v>0.59335511417656317</v>
      </c>
      <c r="AW172" s="412">
        <f>AW164/IS!AW$8</f>
        <v>0.60602757632406346</v>
      </c>
      <c r="AX172" s="412">
        <f>AX164/IS!AX$8</f>
        <v>0.61415463584121788</v>
      </c>
      <c r="AY172" s="413">
        <f>AY164/IS!AY$8</f>
        <v>0.57694412465746736</v>
      </c>
      <c r="AZ172" s="411">
        <f>AZ164/IS!AZ$8</f>
        <v>0.59990243459714565</v>
      </c>
      <c r="BA172" s="412">
        <f>BA164/IS!BA$8</f>
        <v>0.598325287463638</v>
      </c>
      <c r="BB172" s="412">
        <f>BB164/IS!BB$8</f>
        <v>0.60121238486126605</v>
      </c>
      <c r="BC172" s="413">
        <f>BC164/IS!BC$8</f>
        <v>0.57243739495256873</v>
      </c>
      <c r="BD172" s="411">
        <f>BD164/IS!BD$8</f>
        <v>0.58943500539374327</v>
      </c>
      <c r="BE172" s="414"/>
      <c r="BF172" s="414"/>
      <c r="BG172" s="413">
        <f>BG164/IS!BG$125</f>
        <v>0.56575123152709361</v>
      </c>
      <c r="BH172" s="416"/>
      <c r="BI172" s="414"/>
      <c r="BJ172" s="414"/>
      <c r="BK172" s="415"/>
      <c r="BL172" s="411">
        <f t="shared" si="536"/>
        <v>0.58032013874530541</v>
      </c>
      <c r="BM172" s="1518">
        <f t="shared" si="536"/>
        <v>0.57953601234613039</v>
      </c>
      <c r="BN172" s="1518">
        <f t="shared" ref="BN172" si="538">BN164/BN$165</f>
        <v>0.59687891330258847</v>
      </c>
      <c r="BO172" s="415"/>
      <c r="BP172" s="416"/>
      <c r="BQ172" s="414"/>
      <c r="BR172" s="414"/>
      <c r="BS172" s="415"/>
      <c r="BT172" s="416"/>
      <c r="BU172" s="414"/>
      <c r="BV172" s="414"/>
      <c r="BW172" s="415"/>
      <c r="BX172" s="378"/>
      <c r="BY172" s="369">
        <f>BY164/IS!BY$8</f>
        <v>0.39024686013919463</v>
      </c>
      <c r="BZ172" s="369">
        <f>BZ164/IS!BZ$8</f>
        <v>0.40819151674627469</v>
      </c>
      <c r="CA172" s="369">
        <f>CA164/IS!CA$8</f>
        <v>0.43162883618124626</v>
      </c>
      <c r="CB172" s="369">
        <f>CB164/IS!CB$8</f>
        <v>0.4377368942324168</v>
      </c>
      <c r="CC172" s="369">
        <f>CC164/IS!CC$8</f>
        <v>0.43243679971837246</v>
      </c>
      <c r="CD172" s="240">
        <f>CD164/IS!CD$8</f>
        <v>0.43853121014311541</v>
      </c>
      <c r="CE172" s="240">
        <f>CE164/IS!CE$8</f>
        <v>0.46160675835301118</v>
      </c>
      <c r="CF172" s="240">
        <f>CF164/IS!CF$8</f>
        <v>0.50539447458081366</v>
      </c>
      <c r="CG172" s="240">
        <f>CG164/IS!CG$8</f>
        <v>0.56586617177860488</v>
      </c>
      <c r="CH172" s="240">
        <f>CH164/IS!CH$8</f>
        <v>0.55878861403031865</v>
      </c>
      <c r="CI172" s="240">
        <f>CI164/IS!CI$8</f>
        <v>0.58401591276808695</v>
      </c>
      <c r="CJ172" s="369"/>
      <c r="CK172" s="369"/>
      <c r="CL172" s="369"/>
      <c r="CM172" s="369"/>
      <c r="CN172" s="369"/>
      <c r="CO172" s="369"/>
      <c r="CP172" s="368"/>
      <c r="CQ172" s="281"/>
      <c r="CR172" s="332"/>
      <c r="CS172" s="1028">
        <f>CS164/IS!CS$8</f>
        <v>0.43073688216316203</v>
      </c>
      <c r="CT172" s="240">
        <f>CT164/IS!CT$8</f>
        <v>0.43580361924563787</v>
      </c>
      <c r="CU172" s="240">
        <f>CU164/IS!CU$8</f>
        <v>0.4371647967709667</v>
      </c>
      <c r="CV172" s="240">
        <f>CV164/IS!CV$8</f>
        <v>0.43220915437423502</v>
      </c>
      <c r="CW172" s="240">
        <f>CW164/IS!CW$8</f>
        <v>0.46013375576246235</v>
      </c>
      <c r="CX172" s="240">
        <f>CX164/IS!CX$8</f>
        <v>0.49045389946403289</v>
      </c>
      <c r="CY172" s="240">
        <f>CY164/IS!CY$8</f>
        <v>0.55881074759608429</v>
      </c>
      <c r="CZ172" s="240">
        <f>CZ164/IS!CZ$8</f>
        <v>0.55410286115499385</v>
      </c>
      <c r="DA172" s="1028">
        <f>DA164/IS!DA$8</f>
        <v>0.58158938264481108</v>
      </c>
      <c r="DB172" s="240"/>
      <c r="DC172" s="240"/>
      <c r="DD172" s="240"/>
      <c r="DE172" s="240"/>
      <c r="DF172" s="240"/>
      <c r="DG172" s="240"/>
      <c r="DH172" s="282"/>
    </row>
    <row r="173" spans="1:112" ht="14.25" customHeight="1">
      <c r="A173" s="100"/>
      <c r="B173" s="418" t="s">
        <v>139</v>
      </c>
      <c r="C173" s="388"/>
      <c r="D173" s="419">
        <f t="shared" ref="D173:O173" si="539">SUM(D170:D172)</f>
        <v>0.99809577007058348</v>
      </c>
      <c r="E173" s="420">
        <f t="shared" si="539"/>
        <v>1.0001798798402666</v>
      </c>
      <c r="F173" s="420">
        <f t="shared" si="539"/>
        <v>1</v>
      </c>
      <c r="G173" s="421">
        <f t="shared" si="539"/>
        <v>1.0016910300251771</v>
      </c>
      <c r="H173" s="419">
        <f t="shared" si="539"/>
        <v>1</v>
      </c>
      <c r="I173" s="420">
        <f t="shared" si="539"/>
        <v>1.0000000000000002</v>
      </c>
      <c r="J173" s="420">
        <f t="shared" si="539"/>
        <v>0.99999999999999989</v>
      </c>
      <c r="K173" s="421">
        <f t="shared" si="539"/>
        <v>1</v>
      </c>
      <c r="L173" s="419">
        <f t="shared" si="539"/>
        <v>1</v>
      </c>
      <c r="M173" s="420">
        <f t="shared" si="539"/>
        <v>1</v>
      </c>
      <c r="N173" s="420">
        <f t="shared" si="539"/>
        <v>1.0000000000000002</v>
      </c>
      <c r="O173" s="421">
        <f t="shared" si="539"/>
        <v>0.99999999999999956</v>
      </c>
      <c r="P173" s="419">
        <f t="shared" ref="P173:AM173" si="540">SUM(P170:P172)</f>
        <v>1</v>
      </c>
      <c r="Q173" s="420">
        <f t="shared" si="540"/>
        <v>1</v>
      </c>
      <c r="R173" s="420">
        <f t="shared" si="540"/>
        <v>1</v>
      </c>
      <c r="S173" s="421">
        <f t="shared" si="540"/>
        <v>1</v>
      </c>
      <c r="T173" s="419">
        <f t="shared" si="540"/>
        <v>0.99999999999999989</v>
      </c>
      <c r="U173" s="420">
        <f t="shared" si="540"/>
        <v>1</v>
      </c>
      <c r="V173" s="420">
        <f t="shared" si="540"/>
        <v>1</v>
      </c>
      <c r="W173" s="421">
        <f t="shared" si="540"/>
        <v>1</v>
      </c>
      <c r="X173" s="419">
        <f t="shared" si="540"/>
        <v>1</v>
      </c>
      <c r="Y173" s="420">
        <f t="shared" si="540"/>
        <v>1</v>
      </c>
      <c r="Z173" s="420">
        <f t="shared" si="540"/>
        <v>1</v>
      </c>
      <c r="AA173" s="421">
        <f t="shared" si="540"/>
        <v>0.99999999999999978</v>
      </c>
      <c r="AB173" s="419">
        <f t="shared" si="540"/>
        <v>0.99999999999999989</v>
      </c>
      <c r="AC173" s="420">
        <f t="shared" si="540"/>
        <v>1</v>
      </c>
      <c r="AD173" s="420">
        <f t="shared" si="540"/>
        <v>1</v>
      </c>
      <c r="AE173" s="421">
        <f t="shared" si="540"/>
        <v>1</v>
      </c>
      <c r="AF173" s="419">
        <f t="shared" si="540"/>
        <v>0.99999999999999989</v>
      </c>
      <c r="AG173" s="420">
        <f t="shared" si="540"/>
        <v>1</v>
      </c>
      <c r="AH173" s="420">
        <f t="shared" si="540"/>
        <v>1</v>
      </c>
      <c r="AI173" s="421">
        <f t="shared" si="540"/>
        <v>0.99999999999999944</v>
      </c>
      <c r="AJ173" s="419">
        <f t="shared" si="540"/>
        <v>1</v>
      </c>
      <c r="AK173" s="420">
        <f t="shared" si="540"/>
        <v>1</v>
      </c>
      <c r="AL173" s="420">
        <f t="shared" si="540"/>
        <v>1</v>
      </c>
      <c r="AM173" s="421">
        <f t="shared" si="540"/>
        <v>1</v>
      </c>
      <c r="AN173" s="419">
        <f t="shared" ref="AN173:AX173" si="541">SUM(AN170:AN172)</f>
        <v>1</v>
      </c>
      <c r="AO173" s="420">
        <f t="shared" si="541"/>
        <v>1</v>
      </c>
      <c r="AP173" s="420">
        <f t="shared" si="541"/>
        <v>1</v>
      </c>
      <c r="AQ173" s="421">
        <f t="shared" si="541"/>
        <v>1</v>
      </c>
      <c r="AR173" s="419">
        <f t="shared" si="541"/>
        <v>0.99999999999999989</v>
      </c>
      <c r="AS173" s="420">
        <f t="shared" si="541"/>
        <v>1</v>
      </c>
      <c r="AT173" s="420">
        <f t="shared" si="541"/>
        <v>1</v>
      </c>
      <c r="AU173" s="421">
        <f t="shared" si="541"/>
        <v>0.99989770867430439</v>
      </c>
      <c r="AV173" s="419">
        <f t="shared" si="541"/>
        <v>0.9998012065895695</v>
      </c>
      <c r="AW173" s="420">
        <f t="shared" si="541"/>
        <v>1</v>
      </c>
      <c r="AX173" s="420">
        <f t="shared" si="541"/>
        <v>0.99999999999999989</v>
      </c>
      <c r="AY173" s="421">
        <f t="shared" ref="AY173:BD173" si="542">SUM(AY170:AY172)</f>
        <v>1.0001864673357868</v>
      </c>
      <c r="AZ173" s="419">
        <f t="shared" si="542"/>
        <v>1</v>
      </c>
      <c r="BA173" s="420">
        <f t="shared" si="542"/>
        <v>1</v>
      </c>
      <c r="BB173" s="420">
        <f t="shared" si="542"/>
        <v>0.99999999999999989</v>
      </c>
      <c r="BC173" s="421">
        <f t="shared" si="542"/>
        <v>1</v>
      </c>
      <c r="BD173" s="419">
        <f t="shared" si="542"/>
        <v>1</v>
      </c>
      <c r="BE173" s="422"/>
      <c r="BF173" s="422"/>
      <c r="BG173" s="421">
        <f>SUM(BG170:BG172)</f>
        <v>1.0000668543279381</v>
      </c>
      <c r="BH173" s="424"/>
      <c r="BI173" s="422"/>
      <c r="BJ173" s="422"/>
      <c r="BK173" s="423"/>
      <c r="BL173" s="419">
        <f>SUM(BL170:BL172)</f>
        <v>0.99999999999999989</v>
      </c>
      <c r="BM173" s="1519">
        <f>SUM(BM170:BM172)</f>
        <v>1</v>
      </c>
      <c r="BN173" s="1519">
        <f>SUM(BN170:BN172)</f>
        <v>1</v>
      </c>
      <c r="BO173" s="423"/>
      <c r="BP173" s="424"/>
      <c r="BQ173" s="422"/>
      <c r="BR173" s="422"/>
      <c r="BS173" s="423"/>
      <c r="BT173" s="424"/>
      <c r="BU173" s="422"/>
      <c r="BV173" s="422"/>
      <c r="BW173" s="423"/>
      <c r="BX173" s="395"/>
      <c r="BY173" s="425">
        <f>SUM(BY170:BY172)</f>
        <v>1</v>
      </c>
      <c r="BZ173" s="425">
        <f>SUM(BZ170:BZ172)</f>
        <v>1</v>
      </c>
      <c r="CA173" s="425">
        <f>SUM(CA170:CA172)</f>
        <v>0.99999999999999989</v>
      </c>
      <c r="CB173" s="425">
        <f t="shared" ref="CB173:CI173" si="543">SUM(CB170:CB172)</f>
        <v>0.99999999999999989</v>
      </c>
      <c r="CC173" s="425">
        <f t="shared" si="543"/>
        <v>1</v>
      </c>
      <c r="CD173" s="426">
        <f t="shared" si="543"/>
        <v>0.99999999999999978</v>
      </c>
      <c r="CE173" s="426">
        <f t="shared" si="543"/>
        <v>1</v>
      </c>
      <c r="CF173" s="426">
        <f t="shared" si="543"/>
        <v>0.99999999999999989</v>
      </c>
      <c r="CG173" s="426">
        <f t="shared" si="543"/>
        <v>1</v>
      </c>
      <c r="CH173" s="426">
        <f t="shared" si="543"/>
        <v>1</v>
      </c>
      <c r="CI173" s="426">
        <f t="shared" si="543"/>
        <v>0.99997218047537251</v>
      </c>
      <c r="CJ173" s="425"/>
      <c r="CK173" s="425"/>
      <c r="CL173" s="425"/>
      <c r="CM173" s="425"/>
      <c r="CN173" s="425"/>
      <c r="CO173" s="425"/>
      <c r="CP173" s="427"/>
      <c r="CQ173" s="333"/>
      <c r="CR173" s="1524"/>
      <c r="CS173" s="1029">
        <f>SUM(CS170:CS172)</f>
        <v>1</v>
      </c>
      <c r="CT173" s="426">
        <f>SUM(CT170:CT172)</f>
        <v>0.99999999999999978</v>
      </c>
      <c r="CU173" s="426">
        <f>SUM(CU170:CU172)</f>
        <v>1</v>
      </c>
      <c r="CV173" s="426">
        <f t="shared" ref="CV173:DA173" si="544">SUM(CV170:CV172)</f>
        <v>1</v>
      </c>
      <c r="CW173" s="426">
        <f t="shared" si="544"/>
        <v>1</v>
      </c>
      <c r="CX173" s="426">
        <f t="shared" si="544"/>
        <v>1</v>
      </c>
      <c r="CY173" s="426">
        <f t="shared" si="544"/>
        <v>0.99999999999999978</v>
      </c>
      <c r="CZ173" s="426">
        <f t="shared" si="544"/>
        <v>1</v>
      </c>
      <c r="DA173" s="1029">
        <f t="shared" si="544"/>
        <v>1</v>
      </c>
      <c r="DB173" s="426"/>
      <c r="DC173" s="426"/>
      <c r="DD173" s="426"/>
      <c r="DE173" s="426"/>
      <c r="DF173" s="426"/>
      <c r="DG173" s="426"/>
      <c r="DH173" s="1030"/>
    </row>
    <row r="174" spans="1:112" ht="14.25" customHeight="1">
      <c r="B174" s="331"/>
      <c r="BM174" s="1516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14"/>
      <c r="CM174" s="14"/>
      <c r="CN174" s="14"/>
      <c r="CO174" s="14"/>
      <c r="CP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14"/>
      <c r="DE174" s="14"/>
      <c r="DF174" s="14"/>
      <c r="DG174" s="14"/>
      <c r="DH174" s="8"/>
    </row>
    <row r="175" spans="1:112" ht="14.25" hidden="1" customHeight="1" outlineLevel="1">
      <c r="A175" s="8"/>
      <c r="B175" s="289" t="s">
        <v>138</v>
      </c>
      <c r="C175" s="290"/>
      <c r="D175" s="517" t="str">
        <f t="shared" ref="D175:O175" si="545">IF(ROUND(D173,1)=1,"OK",D173)</f>
        <v>OK</v>
      </c>
      <c r="E175" s="518" t="str">
        <f t="shared" si="545"/>
        <v>OK</v>
      </c>
      <c r="F175" s="518" t="str">
        <f t="shared" si="545"/>
        <v>OK</v>
      </c>
      <c r="G175" s="518" t="str">
        <f t="shared" si="545"/>
        <v>OK</v>
      </c>
      <c r="H175" s="517" t="str">
        <f t="shared" si="545"/>
        <v>OK</v>
      </c>
      <c r="I175" s="518" t="str">
        <f t="shared" si="545"/>
        <v>OK</v>
      </c>
      <c r="J175" s="518" t="str">
        <f t="shared" si="545"/>
        <v>OK</v>
      </c>
      <c r="K175" s="518" t="str">
        <f t="shared" si="545"/>
        <v>OK</v>
      </c>
      <c r="L175" s="517" t="str">
        <f t="shared" si="545"/>
        <v>OK</v>
      </c>
      <c r="M175" s="518" t="str">
        <f t="shared" si="545"/>
        <v>OK</v>
      </c>
      <c r="N175" s="518" t="str">
        <f t="shared" si="545"/>
        <v>OK</v>
      </c>
      <c r="O175" s="518" t="str">
        <f t="shared" si="545"/>
        <v>OK</v>
      </c>
      <c r="P175" s="517" t="str">
        <f t="shared" ref="P175:AM175" si="546">IF(ROUND(P173,1)=1,"OK",P173)</f>
        <v>OK</v>
      </c>
      <c r="Q175" s="518" t="str">
        <f t="shared" si="546"/>
        <v>OK</v>
      </c>
      <c r="R175" s="518" t="str">
        <f t="shared" si="546"/>
        <v>OK</v>
      </c>
      <c r="S175" s="518" t="str">
        <f t="shared" si="546"/>
        <v>OK</v>
      </c>
      <c r="T175" s="517" t="str">
        <f t="shared" si="546"/>
        <v>OK</v>
      </c>
      <c r="U175" s="518" t="str">
        <f t="shared" si="546"/>
        <v>OK</v>
      </c>
      <c r="V175" s="518" t="str">
        <f t="shared" si="546"/>
        <v>OK</v>
      </c>
      <c r="W175" s="518" t="str">
        <f t="shared" si="546"/>
        <v>OK</v>
      </c>
      <c r="X175" s="517" t="str">
        <f t="shared" si="546"/>
        <v>OK</v>
      </c>
      <c r="Y175" s="518" t="str">
        <f t="shared" si="546"/>
        <v>OK</v>
      </c>
      <c r="Z175" s="518" t="str">
        <f t="shared" si="546"/>
        <v>OK</v>
      </c>
      <c r="AA175" s="518" t="str">
        <f t="shared" si="546"/>
        <v>OK</v>
      </c>
      <c r="AB175" s="517" t="str">
        <f t="shared" si="546"/>
        <v>OK</v>
      </c>
      <c r="AC175" s="518" t="str">
        <f t="shared" si="546"/>
        <v>OK</v>
      </c>
      <c r="AD175" s="518" t="str">
        <f t="shared" si="546"/>
        <v>OK</v>
      </c>
      <c r="AE175" s="518" t="str">
        <f t="shared" si="546"/>
        <v>OK</v>
      </c>
      <c r="AF175" s="517" t="str">
        <f t="shared" si="546"/>
        <v>OK</v>
      </c>
      <c r="AG175" s="518" t="str">
        <f t="shared" si="546"/>
        <v>OK</v>
      </c>
      <c r="AH175" s="518" t="str">
        <f t="shared" si="546"/>
        <v>OK</v>
      </c>
      <c r="AI175" s="518" t="str">
        <f t="shared" si="546"/>
        <v>OK</v>
      </c>
      <c r="AJ175" s="517" t="str">
        <f t="shared" si="546"/>
        <v>OK</v>
      </c>
      <c r="AK175" s="518" t="str">
        <f t="shared" si="546"/>
        <v>OK</v>
      </c>
      <c r="AL175" s="518" t="str">
        <f t="shared" si="546"/>
        <v>OK</v>
      </c>
      <c r="AM175" s="518" t="str">
        <f t="shared" si="546"/>
        <v>OK</v>
      </c>
      <c r="AN175" s="517" t="str">
        <f t="shared" ref="AN175:AT175" si="547">IF(ROUND(AN173,1)=1,"OK",AN173)</f>
        <v>OK</v>
      </c>
      <c r="AO175" s="518" t="str">
        <f t="shared" si="547"/>
        <v>OK</v>
      </c>
      <c r="AP175" s="518" t="str">
        <f t="shared" si="547"/>
        <v>OK</v>
      </c>
      <c r="AQ175" s="518" t="str">
        <f t="shared" si="547"/>
        <v>OK</v>
      </c>
      <c r="AR175" s="517" t="str">
        <f t="shared" si="547"/>
        <v>OK</v>
      </c>
      <c r="AS175" s="518" t="str">
        <f t="shared" si="547"/>
        <v>OK</v>
      </c>
      <c r="AT175" s="518" t="str">
        <f t="shared" si="547"/>
        <v>OK</v>
      </c>
      <c r="AU175" s="518" t="str">
        <f t="shared" ref="AU175:BC175" si="548">IF(ROUND(AU173,1)=1,"OK",AU173)</f>
        <v>OK</v>
      </c>
      <c r="AV175" s="517" t="str">
        <f t="shared" si="548"/>
        <v>OK</v>
      </c>
      <c r="AW175" s="518" t="str">
        <f t="shared" si="548"/>
        <v>OK</v>
      </c>
      <c r="AX175" s="518" t="str">
        <f t="shared" si="548"/>
        <v>OK</v>
      </c>
      <c r="AY175" s="518" t="str">
        <f t="shared" si="548"/>
        <v>OK</v>
      </c>
      <c r="AZ175" s="517" t="str">
        <f t="shared" si="548"/>
        <v>OK</v>
      </c>
      <c r="BA175" s="518" t="str">
        <f t="shared" si="548"/>
        <v>OK</v>
      </c>
      <c r="BB175" s="518" t="str">
        <f t="shared" si="548"/>
        <v>OK</v>
      </c>
      <c r="BC175" s="518" t="str">
        <f t="shared" si="548"/>
        <v>OK</v>
      </c>
      <c r="BD175" s="517" t="str">
        <f>IF(ROUND(BD173,1)=1,"OK",BD173)</f>
        <v>OK</v>
      </c>
      <c r="BE175" s="292"/>
      <c r="BF175" s="292"/>
      <c r="BG175" s="518" t="str">
        <f>IF(ROUND(BG173,1)=1,"OK",BG173)</f>
        <v>OK</v>
      </c>
      <c r="BH175" s="291"/>
      <c r="BI175" s="292"/>
      <c r="BJ175" s="292"/>
      <c r="BK175" s="292"/>
      <c r="BL175" s="291"/>
      <c r="BM175" s="292"/>
      <c r="BN175" s="292"/>
      <c r="BO175" s="292"/>
      <c r="BP175" s="291"/>
      <c r="BQ175" s="292"/>
      <c r="BR175" s="292"/>
      <c r="BS175" s="292"/>
      <c r="BT175" s="291"/>
      <c r="BU175" s="292"/>
      <c r="BV175" s="292"/>
      <c r="BW175" s="292"/>
      <c r="BX175" s="20"/>
      <c r="BY175" s="292" t="str">
        <f>IF(ROUND(BY173,1)=1,"OK",BY173)</f>
        <v>OK</v>
      </c>
      <c r="BZ175" s="292" t="str">
        <f>IF(ROUND(BZ173,1)=1,"OK",BZ173)</f>
        <v>OK</v>
      </c>
      <c r="CA175" s="292" t="str">
        <f>IF(ROUND(CA173,1)=1,"OK",CA173)</f>
        <v>OK</v>
      </c>
      <c r="CB175" s="292" t="str">
        <f t="shared" ref="CB175:CH175" si="549">IF(ROUND(CB173,1)=1,"OK",CB173)</f>
        <v>OK</v>
      </c>
      <c r="CC175" s="292" t="str">
        <f t="shared" si="549"/>
        <v>OK</v>
      </c>
      <c r="CD175" s="292" t="str">
        <f t="shared" si="549"/>
        <v>OK</v>
      </c>
      <c r="CE175" s="292" t="str">
        <f t="shared" si="549"/>
        <v>OK</v>
      </c>
      <c r="CF175" s="292" t="str">
        <f t="shared" si="549"/>
        <v>OK</v>
      </c>
      <c r="CG175" s="400" t="str">
        <f t="shared" si="549"/>
        <v>OK</v>
      </c>
      <c r="CH175" s="400" t="str">
        <f t="shared" si="549"/>
        <v>OK</v>
      </c>
      <c r="CI175" s="400"/>
      <c r="CJ175" s="292"/>
      <c r="CK175" s="292"/>
      <c r="CL175" s="292"/>
      <c r="CM175" s="292"/>
      <c r="CN175" s="292"/>
      <c r="CO175" s="292"/>
      <c r="CP175" s="293"/>
      <c r="CQ175" s="22"/>
      <c r="CR175" s="232"/>
      <c r="CS175" s="399" t="str">
        <f>IF(ROUND(CS173,1)=1,"OK",CS173)</f>
        <v>OK</v>
      </c>
      <c r="CT175" s="400" t="str">
        <f>IF(ROUND(CT173,1)=1,"OK",CT173)</f>
        <v>OK</v>
      </c>
      <c r="CU175" s="400" t="str">
        <f>IF(ROUND(CU173,1)=1,"OK",CU173)</f>
        <v>OK</v>
      </c>
      <c r="CV175" s="400" t="str">
        <f t="shared" ref="CV175:DA175" si="550">IF(ROUND(CV173,1)=1,"OK",CV173)</f>
        <v>OK</v>
      </c>
      <c r="CW175" s="400" t="str">
        <f t="shared" si="550"/>
        <v>OK</v>
      </c>
      <c r="CX175" s="400" t="str">
        <f t="shared" si="550"/>
        <v>OK</v>
      </c>
      <c r="CY175" s="400" t="str">
        <f t="shared" si="550"/>
        <v>OK</v>
      </c>
      <c r="CZ175" s="400" t="str">
        <f t="shared" si="550"/>
        <v>OK</v>
      </c>
      <c r="DA175" s="400" t="str">
        <f t="shared" si="550"/>
        <v>OK</v>
      </c>
      <c r="DB175" s="400"/>
      <c r="DC175" s="400"/>
      <c r="DD175" s="400"/>
      <c r="DE175" s="400"/>
      <c r="DF175" s="400"/>
      <c r="DG175" s="400"/>
      <c r="DH175" s="1031"/>
    </row>
    <row r="176" spans="1:112" ht="14.25" customHeight="1" collapsed="1">
      <c r="A176" s="8"/>
      <c r="B176" s="428"/>
      <c r="C176" s="278"/>
      <c r="D176" s="346"/>
      <c r="E176" s="346"/>
      <c r="F176" s="346"/>
      <c r="G176" s="346"/>
      <c r="H176" s="346"/>
      <c r="I176" s="346"/>
      <c r="J176" s="346"/>
      <c r="K176" s="346"/>
      <c r="L176" s="346"/>
      <c r="M176" s="346"/>
      <c r="N176" s="346"/>
      <c r="O176" s="346"/>
      <c r="P176" s="346"/>
      <c r="Q176" s="346"/>
      <c r="R176" s="346"/>
      <c r="S176" s="346"/>
      <c r="T176" s="346"/>
      <c r="U176" s="346"/>
      <c r="V176" s="346"/>
      <c r="W176" s="346"/>
      <c r="X176" s="346"/>
      <c r="Y176" s="346"/>
      <c r="Z176" s="346"/>
      <c r="AA176" s="346"/>
      <c r="AB176" s="346"/>
      <c r="AC176" s="346"/>
      <c r="AD176" s="346"/>
      <c r="AE176" s="346"/>
      <c r="AF176" s="346"/>
      <c r="AG176" s="346"/>
      <c r="AH176" s="346"/>
      <c r="AI176" s="346"/>
      <c r="AJ176" s="346"/>
      <c r="AK176" s="346"/>
      <c r="AL176" s="346"/>
      <c r="AM176" s="346"/>
      <c r="AN176" s="346"/>
      <c r="AO176" s="346"/>
      <c r="AP176" s="346"/>
      <c r="AQ176" s="346"/>
      <c r="AR176" s="346"/>
      <c r="AS176" s="346"/>
      <c r="AT176" s="346"/>
      <c r="AU176" s="346"/>
      <c r="AV176" s="346"/>
      <c r="AW176" s="346"/>
      <c r="AX176" s="346"/>
      <c r="AY176" s="346"/>
      <c r="AZ176" s="346"/>
      <c r="BA176" s="346"/>
      <c r="BB176" s="346"/>
      <c r="BC176" s="346"/>
      <c r="BD176" s="346"/>
      <c r="BE176" s="346"/>
      <c r="BF176" s="346"/>
      <c r="BG176" s="346"/>
      <c r="BH176" s="346"/>
      <c r="BI176" s="346"/>
      <c r="BJ176" s="346"/>
      <c r="BK176" s="346"/>
      <c r="BL176" s="346"/>
      <c r="BM176" s="346"/>
      <c r="BN176" s="346"/>
      <c r="BO176" s="346"/>
      <c r="BP176" s="346"/>
      <c r="BQ176" s="346"/>
      <c r="BR176" s="346"/>
      <c r="BS176" s="346"/>
      <c r="BT176" s="346"/>
      <c r="BU176" s="346"/>
      <c r="BV176" s="346"/>
      <c r="BW176" s="346"/>
      <c r="BX176" s="14"/>
      <c r="BY176" s="346"/>
      <c r="BZ176" s="346"/>
      <c r="CA176" s="346"/>
      <c r="CB176" s="346"/>
      <c r="CC176" s="346"/>
      <c r="CD176" s="346"/>
      <c r="CE176" s="346"/>
      <c r="CF176" s="346"/>
      <c r="CG176" s="346"/>
      <c r="CH176" s="346"/>
      <c r="CI176" s="346"/>
      <c r="CJ176" s="346"/>
      <c r="CK176" s="346"/>
      <c r="CL176" s="346"/>
      <c r="CM176" s="346"/>
      <c r="CN176" s="346"/>
      <c r="CO176" s="346"/>
      <c r="CP176" s="346"/>
      <c r="CQ176" s="8"/>
      <c r="CR176" s="8"/>
      <c r="CS176" s="346"/>
      <c r="CT176" s="346"/>
      <c r="CU176" s="346"/>
      <c r="CV176" s="346"/>
      <c r="CW176" s="346"/>
      <c r="CX176" s="346"/>
      <c r="CY176" s="346"/>
      <c r="CZ176" s="346"/>
      <c r="DA176" s="346"/>
      <c r="DB176" s="346"/>
      <c r="DC176" s="346"/>
      <c r="DD176" s="346"/>
      <c r="DE176" s="346"/>
      <c r="DF176" s="346"/>
      <c r="DG176" s="346"/>
      <c r="DH176" s="346"/>
    </row>
    <row r="177" spans="1:112" ht="14.25" customHeight="1">
      <c r="A177" s="8"/>
      <c r="B177" s="428"/>
      <c r="C177" s="278"/>
      <c r="D177" s="346"/>
      <c r="E177" s="346"/>
      <c r="F177" s="346"/>
      <c r="G177" s="346"/>
      <c r="H177" s="346"/>
      <c r="I177" s="346"/>
      <c r="J177" s="346"/>
      <c r="K177" s="346"/>
      <c r="L177" s="346"/>
      <c r="M177" s="346"/>
      <c r="N177" s="346"/>
      <c r="O177" s="346"/>
      <c r="P177" s="346"/>
      <c r="Q177" s="346"/>
      <c r="R177" s="346"/>
      <c r="S177" s="346"/>
      <c r="T177" s="346"/>
      <c r="U177" s="346"/>
      <c r="V177" s="346"/>
      <c r="W177" s="346"/>
      <c r="X177" s="346"/>
      <c r="Y177" s="346"/>
      <c r="Z177" s="346"/>
      <c r="AA177" s="346"/>
      <c r="AB177" s="346"/>
      <c r="AC177" s="346"/>
      <c r="AD177" s="346"/>
      <c r="AE177" s="346"/>
      <c r="AF177" s="346"/>
      <c r="AG177" s="346"/>
      <c r="AH177" s="346"/>
      <c r="AI177" s="346"/>
      <c r="AJ177" s="346"/>
      <c r="AK177" s="346"/>
      <c r="AL177" s="346"/>
      <c r="AM177" s="346"/>
      <c r="AN177" s="346"/>
      <c r="AO177" s="346"/>
      <c r="AP177" s="346"/>
      <c r="AQ177" s="346"/>
      <c r="AR177" s="346"/>
      <c r="AS177" s="346"/>
      <c r="AT177" s="346"/>
      <c r="AU177" s="346"/>
      <c r="AV177" s="346"/>
      <c r="AW177" s="346"/>
      <c r="AX177" s="346"/>
      <c r="AY177" s="346"/>
      <c r="AZ177" s="346"/>
      <c r="BA177" s="346"/>
      <c r="BB177" s="346"/>
      <c r="BC177" s="346"/>
      <c r="BD177" s="346"/>
      <c r="BE177" s="346"/>
      <c r="BF177" s="346"/>
      <c r="BG177" s="346"/>
      <c r="BH177" s="346"/>
      <c r="BI177" s="346"/>
      <c r="BJ177" s="346"/>
      <c r="BK177" s="346"/>
      <c r="BL177" s="346"/>
      <c r="BM177" s="346"/>
      <c r="BN177" s="346"/>
      <c r="BO177" s="346"/>
      <c r="BP177" s="346"/>
      <c r="BQ177" s="346"/>
      <c r="BR177" s="346"/>
      <c r="BS177" s="346"/>
      <c r="BT177" s="346"/>
      <c r="BU177" s="346"/>
      <c r="BV177" s="346"/>
      <c r="BW177" s="346"/>
      <c r="BX177" s="14"/>
      <c r="BY177" s="346"/>
      <c r="BZ177" s="346"/>
      <c r="CA177" s="346"/>
      <c r="CB177" s="346"/>
      <c r="CC177" s="346"/>
      <c r="CD177" s="346"/>
      <c r="CE177" s="346"/>
      <c r="CF177" s="346"/>
      <c r="CG177" s="346"/>
      <c r="CH177" s="346"/>
      <c r="CI177" s="346"/>
      <c r="CJ177" s="346"/>
      <c r="CK177" s="346"/>
      <c r="CL177" s="346"/>
      <c r="CM177" s="346"/>
      <c r="CN177" s="346"/>
      <c r="CO177" s="346"/>
      <c r="CP177" s="346"/>
      <c r="CQ177" s="8"/>
      <c r="CR177" s="8"/>
      <c r="CS177" s="346"/>
      <c r="CT177" s="346"/>
      <c r="CU177" s="346"/>
      <c r="CV177" s="346"/>
      <c r="CW177" s="346"/>
      <c r="CX177" s="346"/>
      <c r="CY177" s="346"/>
      <c r="CZ177" s="346"/>
      <c r="DA177" s="346"/>
      <c r="DB177" s="346"/>
      <c r="DC177" s="346"/>
      <c r="DD177" s="346"/>
      <c r="DE177" s="346"/>
      <c r="DF177" s="346"/>
      <c r="DG177" s="346"/>
      <c r="DH177" s="346"/>
    </row>
    <row r="178" spans="1:112" ht="14.25" customHeight="1">
      <c r="A178" s="8"/>
      <c r="B178" s="428"/>
      <c r="C178" s="278"/>
      <c r="D178" s="346"/>
      <c r="E178" s="346"/>
      <c r="F178" s="346"/>
      <c r="G178" s="346"/>
      <c r="H178" s="346"/>
      <c r="I178" s="346"/>
      <c r="J178" s="346"/>
      <c r="K178" s="346"/>
      <c r="L178" s="346"/>
      <c r="M178" s="346"/>
      <c r="N178" s="346"/>
      <c r="O178" s="346"/>
      <c r="P178" s="346"/>
      <c r="Q178" s="346"/>
      <c r="R178" s="346"/>
      <c r="S178" s="346"/>
      <c r="T178" s="346"/>
      <c r="U178" s="346"/>
      <c r="V178" s="346"/>
      <c r="W178" s="346"/>
      <c r="X178" s="346"/>
      <c r="Y178" s="346"/>
      <c r="Z178" s="346"/>
      <c r="AA178" s="346"/>
      <c r="AB178" s="346"/>
      <c r="AC178" s="346"/>
      <c r="AD178" s="346"/>
      <c r="AE178" s="346"/>
      <c r="AF178" s="346"/>
      <c r="AG178" s="346"/>
      <c r="AH178" s="346"/>
      <c r="AI178" s="346"/>
      <c r="AJ178" s="346"/>
      <c r="AK178" s="346"/>
      <c r="AL178" s="346"/>
      <c r="AM178" s="346"/>
      <c r="AN178" s="346"/>
      <c r="AO178" s="346"/>
      <c r="AP178" s="346"/>
      <c r="AQ178" s="346"/>
      <c r="AR178" s="346"/>
      <c r="AS178" s="346"/>
      <c r="AT178" s="346"/>
      <c r="AU178" s="346"/>
      <c r="AV178" s="346"/>
      <c r="AW178" s="346"/>
      <c r="AX178" s="346"/>
      <c r="AY178" s="346"/>
      <c r="AZ178" s="346"/>
      <c r="BA178" s="346"/>
      <c r="BB178" s="346"/>
      <c r="BC178" s="346"/>
      <c r="BD178" s="346"/>
      <c r="BE178" s="346"/>
      <c r="BF178" s="346"/>
      <c r="BG178" s="346"/>
      <c r="BH178" s="346"/>
      <c r="BI178" s="346"/>
      <c r="BJ178" s="346"/>
      <c r="BK178" s="346"/>
      <c r="BL178" s="346"/>
      <c r="BM178" s="346"/>
      <c r="BN178" s="346"/>
      <c r="BO178" s="346"/>
      <c r="BP178" s="346"/>
      <c r="BQ178" s="346"/>
      <c r="BR178" s="346"/>
      <c r="BS178" s="346"/>
      <c r="BT178" s="346"/>
      <c r="BU178" s="346"/>
      <c r="BV178" s="346"/>
      <c r="BW178" s="346"/>
      <c r="BX178" s="14"/>
      <c r="BY178" s="346"/>
      <c r="BZ178" s="346"/>
      <c r="CA178" s="346"/>
      <c r="CB178" s="346"/>
      <c r="CC178" s="346"/>
      <c r="CD178" s="346"/>
      <c r="CE178" s="346"/>
      <c r="CF178" s="346"/>
      <c r="CG178" s="346"/>
      <c r="CH178" s="346"/>
      <c r="CI178" s="346"/>
      <c r="CJ178" s="346"/>
      <c r="CK178" s="346"/>
      <c r="CL178" s="346"/>
      <c r="CM178" s="346"/>
      <c r="CN178" s="346"/>
      <c r="CO178" s="346"/>
      <c r="CP178" s="346"/>
      <c r="CQ178" s="8"/>
      <c r="CR178" s="8"/>
      <c r="CS178" s="346"/>
      <c r="CT178" s="346"/>
      <c r="CU178" s="346"/>
      <c r="CV178" s="346"/>
      <c r="CW178" s="346"/>
      <c r="CX178" s="346"/>
      <c r="CY178" s="346"/>
      <c r="CZ178" s="346"/>
      <c r="DA178" s="346"/>
      <c r="DB178" s="346"/>
      <c r="DC178" s="346"/>
      <c r="DD178" s="346"/>
      <c r="DE178" s="346"/>
      <c r="DF178" s="346"/>
      <c r="DG178" s="346"/>
      <c r="DH178" s="346"/>
    </row>
    <row r="179" spans="1:112" ht="14.25" customHeight="1">
      <c r="A179" s="1"/>
      <c r="B179" s="141" t="s">
        <v>208</v>
      </c>
      <c r="C179" s="142"/>
      <c r="D179" s="569" t="str">
        <f t="shared" ref="D179:O179" si="551">D8</f>
        <v>F1Q03A</v>
      </c>
      <c r="E179" s="570" t="str">
        <f t="shared" si="551"/>
        <v>F2Q03A</v>
      </c>
      <c r="F179" s="570" t="str">
        <f t="shared" si="551"/>
        <v>F3Q03A</v>
      </c>
      <c r="G179" s="570" t="str">
        <f t="shared" si="551"/>
        <v>F4Q03A</v>
      </c>
      <c r="H179" s="569" t="str">
        <f t="shared" si="551"/>
        <v>F1Q04A</v>
      </c>
      <c r="I179" s="570" t="str">
        <f t="shared" si="551"/>
        <v>F2Q04A</v>
      </c>
      <c r="J179" s="570" t="str">
        <f t="shared" si="551"/>
        <v>F3Q04A</v>
      </c>
      <c r="K179" s="570" t="str">
        <f t="shared" si="551"/>
        <v>F4Q04A</v>
      </c>
      <c r="L179" s="569" t="str">
        <f t="shared" si="551"/>
        <v>F1Q05A</v>
      </c>
      <c r="M179" s="570" t="str">
        <f t="shared" si="551"/>
        <v>F2Q05A</v>
      </c>
      <c r="N179" s="570" t="str">
        <f t="shared" si="551"/>
        <v>F3Q05A</v>
      </c>
      <c r="O179" s="570" t="str">
        <f t="shared" si="551"/>
        <v>F4Q05A</v>
      </c>
      <c r="P179" s="569" t="str">
        <f t="shared" ref="P179:BC179" si="552">P8</f>
        <v>F1Q06A</v>
      </c>
      <c r="Q179" s="570" t="str">
        <f t="shared" si="552"/>
        <v>F2Q06A</v>
      </c>
      <c r="R179" s="570" t="str">
        <f t="shared" si="552"/>
        <v>F3Q06A</v>
      </c>
      <c r="S179" s="570" t="str">
        <f t="shared" si="552"/>
        <v>F4Q06A</v>
      </c>
      <c r="T179" s="569" t="str">
        <f t="shared" si="552"/>
        <v>F1Q07A</v>
      </c>
      <c r="U179" s="570" t="str">
        <f t="shared" si="552"/>
        <v>F2Q07A</v>
      </c>
      <c r="V179" s="570" t="str">
        <f t="shared" si="552"/>
        <v>F3Q07A</v>
      </c>
      <c r="W179" s="570" t="str">
        <f t="shared" si="552"/>
        <v>F4Q07A</v>
      </c>
      <c r="X179" s="569" t="str">
        <f t="shared" si="552"/>
        <v>F1Q08A</v>
      </c>
      <c r="Y179" s="570" t="str">
        <f t="shared" si="552"/>
        <v>F2Q08A</v>
      </c>
      <c r="Z179" s="570" t="str">
        <f t="shared" si="552"/>
        <v>F3Q08A</v>
      </c>
      <c r="AA179" s="570" t="str">
        <f t="shared" si="552"/>
        <v>F4Q08A</v>
      </c>
      <c r="AB179" s="569" t="str">
        <f t="shared" si="552"/>
        <v>F1Q09A</v>
      </c>
      <c r="AC179" s="570" t="str">
        <f t="shared" si="552"/>
        <v>F2Q09A</v>
      </c>
      <c r="AD179" s="570" t="str">
        <f t="shared" si="552"/>
        <v>F3Q09A</v>
      </c>
      <c r="AE179" s="570" t="str">
        <f t="shared" si="552"/>
        <v>F4Q09A</v>
      </c>
      <c r="AF179" s="569" t="str">
        <f t="shared" si="552"/>
        <v>F1Q10A</v>
      </c>
      <c r="AG179" s="570" t="str">
        <f t="shared" si="552"/>
        <v>F2Q10A</v>
      </c>
      <c r="AH179" s="570" t="str">
        <f t="shared" si="552"/>
        <v>F3Q10A</v>
      </c>
      <c r="AI179" s="570" t="str">
        <f t="shared" si="552"/>
        <v>F4Q10A</v>
      </c>
      <c r="AJ179" s="569" t="str">
        <f t="shared" si="552"/>
        <v>F1Q11A</v>
      </c>
      <c r="AK179" s="570" t="str">
        <f t="shared" si="552"/>
        <v>F2Q11A</v>
      </c>
      <c r="AL179" s="570" t="str">
        <f t="shared" si="552"/>
        <v>F3Q11A</v>
      </c>
      <c r="AM179" s="570" t="str">
        <f t="shared" si="552"/>
        <v>F4Q11A</v>
      </c>
      <c r="AN179" s="571" t="str">
        <f t="shared" si="552"/>
        <v>F1Q12A</v>
      </c>
      <c r="AO179" s="572" t="str">
        <f t="shared" si="552"/>
        <v>F2Q12A</v>
      </c>
      <c r="AP179" s="572" t="str">
        <f t="shared" si="552"/>
        <v>F3Q12A</v>
      </c>
      <c r="AQ179" s="570" t="str">
        <f t="shared" si="552"/>
        <v>F4Q12A</v>
      </c>
      <c r="AR179" s="569" t="str">
        <f t="shared" si="552"/>
        <v>F1Q13A</v>
      </c>
      <c r="AS179" s="570" t="str">
        <f t="shared" si="552"/>
        <v>F2Q13A</v>
      </c>
      <c r="AT179" s="570" t="str">
        <f t="shared" si="552"/>
        <v>F3Q13A</v>
      </c>
      <c r="AU179" s="570" t="str">
        <f t="shared" si="552"/>
        <v>F4Q13A</v>
      </c>
      <c r="AV179" s="569" t="str">
        <f t="shared" si="552"/>
        <v>F1Q14A</v>
      </c>
      <c r="AW179" s="570" t="str">
        <f t="shared" si="552"/>
        <v>F2Q14A</v>
      </c>
      <c r="AX179" s="570" t="str">
        <f t="shared" si="552"/>
        <v>F3Q14A</v>
      </c>
      <c r="AY179" s="570" t="str">
        <f t="shared" si="552"/>
        <v>F4Q14A</v>
      </c>
      <c r="AZ179" s="569" t="str">
        <f t="shared" si="552"/>
        <v>F1Q15A</v>
      </c>
      <c r="BA179" s="570" t="str">
        <f t="shared" si="552"/>
        <v>F2Q15A</v>
      </c>
      <c r="BB179" s="570" t="str">
        <f t="shared" si="552"/>
        <v>F3Q15A</v>
      </c>
      <c r="BC179" s="573" t="str">
        <f t="shared" si="552"/>
        <v>F4Q15A</v>
      </c>
      <c r="BD179" s="569" t="str">
        <f t="shared" ref="BD179:BK179" si="553">BD8</f>
        <v>F1Q16A</v>
      </c>
      <c r="BE179" s="570" t="str">
        <f t="shared" si="553"/>
        <v>F2Q16A</v>
      </c>
      <c r="BF179" s="570" t="str">
        <f t="shared" si="553"/>
        <v>F3Q16A</v>
      </c>
      <c r="BG179" s="573" t="str">
        <f t="shared" si="553"/>
        <v>F4Q16A</v>
      </c>
      <c r="BH179" s="569" t="str">
        <f t="shared" si="553"/>
        <v>F1Q17A</v>
      </c>
      <c r="BI179" s="570" t="str">
        <f t="shared" si="553"/>
        <v>F2Q17A</v>
      </c>
      <c r="BJ179" s="570" t="str">
        <f t="shared" si="553"/>
        <v>F3Q17A</v>
      </c>
      <c r="BK179" s="573" t="str">
        <f t="shared" si="553"/>
        <v>F4Q17A</v>
      </c>
      <c r="BL179" s="569" t="str">
        <f t="shared" ref="BL179:BS179" si="554">BL8</f>
        <v>F1Q18A</v>
      </c>
      <c r="BM179" s="1321" t="str">
        <f t="shared" si="554"/>
        <v>F2Q18A</v>
      </c>
      <c r="BN179" s="570" t="str">
        <f t="shared" si="554"/>
        <v>F3Q18A</v>
      </c>
      <c r="BO179" s="573" t="str">
        <f t="shared" si="554"/>
        <v>F4Q18E</v>
      </c>
      <c r="BP179" s="569" t="str">
        <f t="shared" si="554"/>
        <v>F1Q19E</v>
      </c>
      <c r="BQ179" s="570" t="str">
        <f t="shared" si="554"/>
        <v>F2Q19E</v>
      </c>
      <c r="BR179" s="570" t="str">
        <f t="shared" si="554"/>
        <v>F3Q19E</v>
      </c>
      <c r="BS179" s="573" t="str">
        <f t="shared" si="554"/>
        <v>F4Q19E</v>
      </c>
      <c r="BT179" s="569" t="str">
        <f t="shared" ref="BT179:BW179" si="555">BT8</f>
        <v>F1Q20E</v>
      </c>
      <c r="BU179" s="1321" t="str">
        <f t="shared" si="555"/>
        <v>F2Q20E</v>
      </c>
      <c r="BV179" s="1321" t="str">
        <f t="shared" si="555"/>
        <v>F3Q20E</v>
      </c>
      <c r="BW179" s="573" t="str">
        <f t="shared" si="555"/>
        <v>F4Q20E</v>
      </c>
      <c r="BX179" s="20"/>
      <c r="BY179" s="570" t="str">
        <f>BY8</f>
        <v>FY2003A</v>
      </c>
      <c r="BZ179" s="570" t="str">
        <f>BZ8</f>
        <v>FY2004A</v>
      </c>
      <c r="CA179" s="570" t="str">
        <f>CA8</f>
        <v>FY2005A</v>
      </c>
      <c r="CB179" s="570" t="str">
        <f t="shared" ref="CB179:CK179" si="556">CB8</f>
        <v>FY2006A</v>
      </c>
      <c r="CC179" s="570" t="str">
        <f t="shared" si="556"/>
        <v>FY2007A</v>
      </c>
      <c r="CD179" s="570" t="str">
        <f t="shared" si="556"/>
        <v>FY2008A</v>
      </c>
      <c r="CE179" s="570" t="str">
        <f t="shared" si="556"/>
        <v>FY2009A</v>
      </c>
      <c r="CF179" s="570" t="str">
        <f t="shared" si="556"/>
        <v>FY2010A</v>
      </c>
      <c r="CG179" s="570" t="str">
        <f t="shared" si="556"/>
        <v>FY2011A</v>
      </c>
      <c r="CH179" s="570" t="str">
        <f t="shared" si="556"/>
        <v>FY2012A</v>
      </c>
      <c r="CI179" s="570" t="str">
        <f t="shared" si="556"/>
        <v>FY2013A</v>
      </c>
      <c r="CJ179" s="570" t="str">
        <f t="shared" si="556"/>
        <v>FY2014A</v>
      </c>
      <c r="CK179" s="570" t="str">
        <f t="shared" si="556"/>
        <v>FY2015A</v>
      </c>
      <c r="CL179" s="570" t="str">
        <f>CL8</f>
        <v>FY2016A</v>
      </c>
      <c r="CM179" s="570" t="str">
        <f>CM8</f>
        <v>FY2017A</v>
      </c>
      <c r="CN179" s="570" t="str">
        <f>CN8</f>
        <v>FY2018E</v>
      </c>
      <c r="CO179" s="1321" t="str">
        <f>CO8</f>
        <v>FY2019E</v>
      </c>
      <c r="CP179" s="1321" t="str">
        <f>CP8</f>
        <v>FY2020E</v>
      </c>
      <c r="CQ179" s="281"/>
      <c r="CR179" s="332"/>
      <c r="CS179" s="569" t="str">
        <f>CS8</f>
        <v>CY2004</v>
      </c>
      <c r="CT179" s="570" t="str">
        <f>CT8</f>
        <v>CY2005</v>
      </c>
      <c r="CU179" s="570" t="str">
        <f>CU8</f>
        <v>CY2006</v>
      </c>
      <c r="CV179" s="570" t="str">
        <f t="shared" ref="CV179:DC179" si="557">CV8</f>
        <v>CY2007</v>
      </c>
      <c r="CW179" s="570" t="str">
        <f t="shared" si="557"/>
        <v>CY2008</v>
      </c>
      <c r="CX179" s="570" t="str">
        <f t="shared" si="557"/>
        <v>CY2009</v>
      </c>
      <c r="CY179" s="570" t="str">
        <f t="shared" si="557"/>
        <v>CY2010</v>
      </c>
      <c r="CZ179" s="570" t="str">
        <f t="shared" si="557"/>
        <v>CY2011</v>
      </c>
      <c r="DA179" s="569" t="str">
        <f t="shared" si="557"/>
        <v>CY2012</v>
      </c>
      <c r="DB179" s="570" t="str">
        <f t="shared" si="557"/>
        <v>CY2013</v>
      </c>
      <c r="DC179" s="570" t="str">
        <f t="shared" si="557"/>
        <v>CY2014</v>
      </c>
      <c r="DD179" s="570" t="str">
        <f>DD8</f>
        <v>CY2015</v>
      </c>
      <c r="DE179" s="570" t="str">
        <f>DE8</f>
        <v>CY2016</v>
      </c>
      <c r="DF179" s="570" t="str">
        <f>DF8</f>
        <v>CY2017</v>
      </c>
      <c r="DG179" s="1321" t="str">
        <f>DG8</f>
        <v>CY2018</v>
      </c>
      <c r="DH179" s="573" t="str">
        <f>DH8</f>
        <v>CY2019</v>
      </c>
    </row>
    <row r="180" spans="1:112" ht="14.25" customHeight="1">
      <c r="B180" s="402" t="s">
        <v>215</v>
      </c>
      <c r="C180" s="372"/>
      <c r="D180" s="962"/>
      <c r="E180" s="963"/>
      <c r="F180" s="963"/>
      <c r="G180" s="964"/>
      <c r="H180" s="962"/>
      <c r="I180" s="963"/>
      <c r="J180" s="963"/>
      <c r="K180" s="964"/>
      <c r="L180" s="962"/>
      <c r="M180" s="963"/>
      <c r="N180" s="963"/>
      <c r="O180" s="964"/>
      <c r="P180" s="962"/>
      <c r="Q180" s="963"/>
      <c r="R180" s="963"/>
      <c r="S180" s="964"/>
      <c r="T180" s="962"/>
      <c r="U180" s="963"/>
      <c r="V180" s="963"/>
      <c r="W180" s="964"/>
      <c r="X180" s="962"/>
      <c r="Y180" s="963"/>
      <c r="Z180" s="963"/>
      <c r="AA180" s="964"/>
      <c r="AB180" s="962"/>
      <c r="AC180" s="963"/>
      <c r="AD180" s="963"/>
      <c r="AE180" s="964"/>
      <c r="AF180" s="962"/>
      <c r="AG180" s="963"/>
      <c r="AH180" s="963"/>
      <c r="AI180" s="964"/>
      <c r="AJ180" s="962"/>
      <c r="AK180" s="963"/>
      <c r="AL180" s="963"/>
      <c r="AM180" s="964"/>
      <c r="AN180" s="962"/>
      <c r="AO180" s="963"/>
      <c r="AP180" s="963"/>
      <c r="AQ180" s="964"/>
      <c r="AR180" s="481">
        <v>0.85</v>
      </c>
      <c r="AS180" s="963"/>
      <c r="AT180" s="480"/>
      <c r="AU180" s="405"/>
      <c r="AV180" s="408"/>
      <c r="AW180" s="963"/>
      <c r="AX180" s="406"/>
      <c r="AY180" s="407"/>
      <c r="AZ180" s="408"/>
      <c r="BA180" s="406"/>
      <c r="BB180" s="406"/>
      <c r="BC180" s="407"/>
      <c r="BD180" s="408"/>
      <c r="BE180" s="406"/>
      <c r="BF180" s="406"/>
      <c r="BG180" s="407"/>
      <c r="BH180" s="408"/>
      <c r="BI180" s="406"/>
      <c r="BJ180" s="406"/>
      <c r="BK180" s="407"/>
      <c r="BL180" s="408"/>
      <c r="BM180" s="406"/>
      <c r="BN180" s="406"/>
      <c r="BO180" s="407"/>
      <c r="BP180" s="408"/>
      <c r="BQ180" s="406"/>
      <c r="BR180" s="406"/>
      <c r="BS180" s="407"/>
      <c r="BT180" s="408"/>
      <c r="BU180" s="406"/>
      <c r="BV180" s="406"/>
      <c r="BW180" s="407"/>
      <c r="BX180" s="378"/>
      <c r="BY180" s="369"/>
      <c r="BZ180" s="369"/>
      <c r="CA180" s="369"/>
      <c r="CB180" s="369"/>
      <c r="CC180" s="369"/>
      <c r="CD180" s="240"/>
      <c r="CE180" s="240"/>
      <c r="CF180" s="409"/>
      <c r="CG180" s="409"/>
      <c r="CH180" s="409"/>
      <c r="CI180" s="409"/>
      <c r="CJ180" s="369"/>
      <c r="CK180" s="369"/>
      <c r="CL180" s="369"/>
      <c r="CM180" s="369"/>
      <c r="CN180" s="369"/>
      <c r="CO180" s="369"/>
      <c r="CP180" s="369"/>
      <c r="CQ180" s="452"/>
      <c r="CR180" s="1525"/>
      <c r="CS180" s="1022"/>
      <c r="CT180" s="409"/>
      <c r="CU180" s="409"/>
      <c r="CV180" s="409"/>
      <c r="CW180" s="409"/>
      <c r="CX180" s="409"/>
      <c r="CY180" s="409"/>
      <c r="CZ180" s="409"/>
      <c r="DA180" s="1022"/>
      <c r="DB180" s="409"/>
      <c r="DC180" s="409"/>
      <c r="DD180" s="409"/>
      <c r="DE180" s="409"/>
      <c r="DF180" s="409"/>
      <c r="DG180" s="409"/>
      <c r="DH180" s="1023"/>
    </row>
    <row r="181" spans="1:112" ht="14.25" customHeight="1">
      <c r="B181" s="330" t="s">
        <v>399</v>
      </c>
      <c r="C181" s="332"/>
      <c r="D181" s="916"/>
      <c r="E181" s="917"/>
      <c r="F181" s="917"/>
      <c r="G181" s="512"/>
      <c r="H181" s="916"/>
      <c r="I181" s="917"/>
      <c r="J181" s="917"/>
      <c r="K181" s="512"/>
      <c r="L181" s="916"/>
      <c r="M181" s="917"/>
      <c r="N181" s="917"/>
      <c r="O181" s="512"/>
      <c r="P181" s="916"/>
      <c r="Q181" s="917"/>
      <c r="R181" s="917"/>
      <c r="S181" s="512"/>
      <c r="T181" s="916"/>
      <c r="U181" s="917"/>
      <c r="V181" s="917"/>
      <c r="W181" s="512"/>
      <c r="X181" s="916"/>
      <c r="Y181" s="917"/>
      <c r="Z181" s="917"/>
      <c r="AA181" s="512"/>
      <c r="AB181" s="916"/>
      <c r="AC181" s="917"/>
      <c r="AD181" s="917"/>
      <c r="AE181" s="918"/>
      <c r="AF181" s="919"/>
      <c r="AG181" s="520"/>
      <c r="AH181" s="520"/>
      <c r="AI181" s="918"/>
      <c r="AJ181" s="919"/>
      <c r="AK181" s="520"/>
      <c r="AL181" s="520"/>
      <c r="AM181" s="918"/>
      <c r="AN181" s="920"/>
      <c r="AO181" s="921"/>
      <c r="AP181" s="921"/>
      <c r="AQ181" s="918"/>
      <c r="AR181" s="920"/>
      <c r="AS181" s="922"/>
      <c r="AT181" s="382"/>
      <c r="AU181" s="383"/>
      <c r="AV181" s="384"/>
      <c r="AW181" s="922"/>
      <c r="AX181" s="382"/>
      <c r="AY181" s="383"/>
      <c r="AZ181" s="384"/>
      <c r="BA181" s="382"/>
      <c r="BB181" s="382"/>
      <c r="BC181" s="383"/>
      <c r="BD181" s="384"/>
      <c r="BE181" s="382"/>
      <c r="BF181" s="382"/>
      <c r="BG181" s="383"/>
      <c r="BH181" s="384"/>
      <c r="BI181" s="382"/>
      <c r="BJ181" s="382"/>
      <c r="BK181" s="383"/>
      <c r="BL181" s="384"/>
      <c r="BM181" s="382"/>
      <c r="BN181" s="382"/>
      <c r="BO181" s="383"/>
      <c r="BP181" s="384"/>
      <c r="BQ181" s="382"/>
      <c r="BR181" s="382"/>
      <c r="BS181" s="383"/>
      <c r="BT181" s="384"/>
      <c r="BU181" s="382"/>
      <c r="BV181" s="382"/>
      <c r="BW181" s="383"/>
      <c r="BX181" s="378"/>
      <c r="BY181" s="966"/>
      <c r="BZ181" s="966"/>
      <c r="CA181" s="966"/>
      <c r="CB181" s="966">
        <v>231.2</v>
      </c>
      <c r="CC181" s="966">
        <v>185.4</v>
      </c>
      <c r="CD181" s="966">
        <v>225.7</v>
      </c>
      <c r="CE181" s="967">
        <v>182.8</v>
      </c>
      <c r="CF181" s="967">
        <v>527.6</v>
      </c>
      <c r="CG181" s="967">
        <v>544.9</v>
      </c>
      <c r="CH181" s="967">
        <v>328.8</v>
      </c>
      <c r="CI181" s="364"/>
      <c r="CJ181" s="364"/>
      <c r="CK181" s="364"/>
      <c r="CL181" s="364"/>
      <c r="CM181" s="364"/>
      <c r="CN181" s="364"/>
      <c r="CO181" s="364"/>
      <c r="CP181" s="365"/>
      <c r="CQ181" s="281"/>
      <c r="CR181" s="332"/>
      <c r="CS181" s="1024"/>
      <c r="CT181" s="967"/>
      <c r="CU181" s="967"/>
      <c r="CV181" s="967"/>
      <c r="CW181" s="967"/>
      <c r="CX181" s="967"/>
      <c r="CY181" s="967"/>
      <c r="CZ181" s="967"/>
      <c r="DA181" s="1024"/>
      <c r="DB181" s="967"/>
      <c r="DC181" s="967"/>
      <c r="DD181" s="967"/>
      <c r="DE181" s="967"/>
      <c r="DF181" s="967"/>
      <c r="DG181" s="967"/>
      <c r="DH181" s="1025"/>
    </row>
    <row r="182" spans="1:112" ht="14.25" customHeight="1">
      <c r="B182" s="476" t="s">
        <v>209</v>
      </c>
      <c r="C182" s="334"/>
      <c r="D182" s="925"/>
      <c r="E182" s="925"/>
      <c r="F182" s="923"/>
      <c r="G182" s="924"/>
      <c r="H182" s="925"/>
      <c r="I182" s="925"/>
      <c r="J182" s="923"/>
      <c r="K182" s="924"/>
      <c r="L182" s="925"/>
      <c r="M182" s="925"/>
      <c r="N182" s="923"/>
      <c r="O182" s="924"/>
      <c r="P182" s="923"/>
      <c r="Q182" s="923"/>
      <c r="R182" s="923"/>
      <c r="S182" s="924"/>
      <c r="T182" s="925"/>
      <c r="U182" s="925"/>
      <c r="V182" s="923"/>
      <c r="W182" s="924"/>
      <c r="X182" s="923"/>
      <c r="Y182" s="923"/>
      <c r="Z182" s="923"/>
      <c r="AA182" s="924"/>
      <c r="AB182" s="925"/>
      <c r="AC182" s="925"/>
      <c r="AD182" s="926"/>
      <c r="AE182" s="924"/>
      <c r="AF182" s="923"/>
      <c r="AG182" s="923"/>
      <c r="AH182" s="923"/>
      <c r="AI182" s="924"/>
      <c r="AJ182" s="925"/>
      <c r="AK182" s="925"/>
      <c r="AL182" s="923"/>
      <c r="AM182" s="927"/>
      <c r="AN182" s="925"/>
      <c r="AO182" s="923"/>
      <c r="AP182" s="923"/>
      <c r="AQ182" s="924"/>
      <c r="AR182" s="925"/>
      <c r="AS182" s="925"/>
      <c r="AT182" s="477"/>
      <c r="AU182" s="478"/>
      <c r="AV182" s="479"/>
      <c r="AW182" s="925"/>
      <c r="AX182" s="477"/>
      <c r="AY182" s="478"/>
      <c r="AZ182" s="479"/>
      <c r="BA182" s="477"/>
      <c r="BB182" s="477"/>
      <c r="BC182" s="478"/>
      <c r="BD182" s="479"/>
      <c r="BE182" s="477"/>
      <c r="BF182" s="477"/>
      <c r="BG182" s="478"/>
      <c r="BH182" s="479"/>
      <c r="BI182" s="477"/>
      <c r="BJ182" s="477"/>
      <c r="BK182" s="478"/>
      <c r="BL182" s="479"/>
      <c r="BM182" s="477"/>
      <c r="BN182" s="477"/>
      <c r="BO182" s="478"/>
      <c r="BP182" s="479"/>
      <c r="BQ182" s="477"/>
      <c r="BR182" s="477"/>
      <c r="BS182" s="478"/>
      <c r="BT182" s="479"/>
      <c r="BU182" s="477"/>
      <c r="BV182" s="477"/>
      <c r="BW182" s="478"/>
      <c r="BX182" s="378"/>
      <c r="BY182" s="510"/>
      <c r="BZ182" s="510"/>
      <c r="CA182" s="510"/>
      <c r="CB182" s="510"/>
      <c r="CC182" s="510"/>
      <c r="CD182" s="510"/>
      <c r="CE182" s="511"/>
      <c r="CF182" s="510"/>
      <c r="CG182" s="511"/>
      <c r="CH182" s="385"/>
      <c r="CI182" s="385"/>
      <c r="CJ182" s="385"/>
      <c r="CK182" s="385"/>
      <c r="CL182" s="385"/>
      <c r="CM182" s="385"/>
      <c r="CN182" s="385"/>
      <c r="CO182" s="385"/>
      <c r="CP182" s="386"/>
      <c r="CQ182" s="281"/>
      <c r="CR182" s="332"/>
      <c r="CS182" s="1026"/>
      <c r="CT182" s="511"/>
      <c r="CU182" s="511"/>
      <c r="CV182" s="511"/>
      <c r="CW182" s="511"/>
      <c r="CX182" s="511"/>
      <c r="CY182" s="511"/>
      <c r="CZ182" s="511"/>
      <c r="DA182" s="1026"/>
      <c r="DB182" s="511"/>
      <c r="DC182" s="511"/>
      <c r="DD182" s="511"/>
      <c r="DE182" s="511"/>
      <c r="DF182" s="511"/>
      <c r="DG182" s="511"/>
      <c r="DH182" s="1027"/>
    </row>
    <row r="183" spans="1:112" ht="14.25" customHeight="1">
      <c r="CL183" s="331"/>
      <c r="CM183" s="1174"/>
      <c r="CN183" s="1174"/>
      <c r="CO183" s="1174"/>
      <c r="DD183" s="331"/>
      <c r="DE183" s="1174"/>
      <c r="DF183" s="1174"/>
      <c r="DG183" s="1174"/>
    </row>
    <row r="184" spans="1:112" ht="14.25" customHeight="1">
      <c r="CL184" s="331"/>
      <c r="CM184" s="1174"/>
      <c r="CN184" s="1174"/>
      <c r="CO184" s="1174"/>
      <c r="DD184" s="331"/>
      <c r="DE184" s="1174"/>
      <c r="DF184" s="1174"/>
      <c r="DG184" s="1174"/>
    </row>
    <row r="185" spans="1:112" ht="14.25" customHeight="1">
      <c r="CL185" s="331"/>
      <c r="CM185" s="1174"/>
      <c r="CN185" s="1174"/>
      <c r="CO185" s="1174"/>
      <c r="DD185" s="331"/>
      <c r="DE185" s="1174"/>
      <c r="DF185" s="1174"/>
      <c r="DG185" s="1174"/>
    </row>
    <row r="186" spans="1:112" ht="14.25" customHeight="1">
      <c r="A186" s="1"/>
      <c r="B186" s="141" t="s">
        <v>211</v>
      </c>
      <c r="C186" s="142"/>
      <c r="D186" s="569" t="str">
        <f t="shared" ref="D186:O186" si="558">D$8</f>
        <v>F1Q03A</v>
      </c>
      <c r="E186" s="570" t="str">
        <f t="shared" si="558"/>
        <v>F2Q03A</v>
      </c>
      <c r="F186" s="570" t="str">
        <f t="shared" si="558"/>
        <v>F3Q03A</v>
      </c>
      <c r="G186" s="570" t="str">
        <f t="shared" si="558"/>
        <v>F4Q03A</v>
      </c>
      <c r="H186" s="569" t="str">
        <f t="shared" si="558"/>
        <v>F1Q04A</v>
      </c>
      <c r="I186" s="570" t="str">
        <f t="shared" si="558"/>
        <v>F2Q04A</v>
      </c>
      <c r="J186" s="570" t="str">
        <f t="shared" si="558"/>
        <v>F3Q04A</v>
      </c>
      <c r="K186" s="570" t="str">
        <f t="shared" si="558"/>
        <v>F4Q04A</v>
      </c>
      <c r="L186" s="569" t="str">
        <f t="shared" si="558"/>
        <v>F1Q05A</v>
      </c>
      <c r="M186" s="570" t="str">
        <f t="shared" si="558"/>
        <v>F2Q05A</v>
      </c>
      <c r="N186" s="570" t="str">
        <f t="shared" si="558"/>
        <v>F3Q05A</v>
      </c>
      <c r="O186" s="570" t="str">
        <f t="shared" si="558"/>
        <v>F4Q05A</v>
      </c>
      <c r="P186" s="569" t="str">
        <f t="shared" ref="P186:BW186" si="559">P$8</f>
        <v>F1Q06A</v>
      </c>
      <c r="Q186" s="570" t="str">
        <f t="shared" si="559"/>
        <v>F2Q06A</v>
      </c>
      <c r="R186" s="570" t="str">
        <f t="shared" si="559"/>
        <v>F3Q06A</v>
      </c>
      <c r="S186" s="570" t="str">
        <f t="shared" si="559"/>
        <v>F4Q06A</v>
      </c>
      <c r="T186" s="569" t="str">
        <f t="shared" si="559"/>
        <v>F1Q07A</v>
      </c>
      <c r="U186" s="570" t="str">
        <f t="shared" si="559"/>
        <v>F2Q07A</v>
      </c>
      <c r="V186" s="570" t="str">
        <f t="shared" si="559"/>
        <v>F3Q07A</v>
      </c>
      <c r="W186" s="570" t="str">
        <f t="shared" si="559"/>
        <v>F4Q07A</v>
      </c>
      <c r="X186" s="569" t="str">
        <f t="shared" si="559"/>
        <v>F1Q08A</v>
      </c>
      <c r="Y186" s="570" t="str">
        <f t="shared" si="559"/>
        <v>F2Q08A</v>
      </c>
      <c r="Z186" s="570" t="str">
        <f t="shared" si="559"/>
        <v>F3Q08A</v>
      </c>
      <c r="AA186" s="570" t="str">
        <f t="shared" si="559"/>
        <v>F4Q08A</v>
      </c>
      <c r="AB186" s="569" t="str">
        <f t="shared" si="559"/>
        <v>F1Q09A</v>
      </c>
      <c r="AC186" s="570" t="str">
        <f t="shared" si="559"/>
        <v>F2Q09A</v>
      </c>
      <c r="AD186" s="570" t="str">
        <f t="shared" si="559"/>
        <v>F3Q09A</v>
      </c>
      <c r="AE186" s="570" t="str">
        <f t="shared" si="559"/>
        <v>F4Q09A</v>
      </c>
      <c r="AF186" s="569" t="str">
        <f t="shared" si="559"/>
        <v>F1Q10A</v>
      </c>
      <c r="AG186" s="570" t="str">
        <f t="shared" si="559"/>
        <v>F2Q10A</v>
      </c>
      <c r="AH186" s="570" t="str">
        <f t="shared" si="559"/>
        <v>F3Q10A</v>
      </c>
      <c r="AI186" s="570" t="str">
        <f t="shared" si="559"/>
        <v>F4Q10A</v>
      </c>
      <c r="AJ186" s="569" t="str">
        <f t="shared" si="559"/>
        <v>F1Q11A</v>
      </c>
      <c r="AK186" s="570" t="str">
        <f t="shared" si="559"/>
        <v>F2Q11A</v>
      </c>
      <c r="AL186" s="570" t="str">
        <f t="shared" si="559"/>
        <v>F3Q11A</v>
      </c>
      <c r="AM186" s="570" t="str">
        <f t="shared" si="559"/>
        <v>F4Q11A</v>
      </c>
      <c r="AN186" s="571" t="str">
        <f t="shared" si="559"/>
        <v>F1Q12A</v>
      </c>
      <c r="AO186" s="572" t="str">
        <f t="shared" si="559"/>
        <v>F2Q12A</v>
      </c>
      <c r="AP186" s="572" t="str">
        <f t="shared" si="559"/>
        <v>F3Q12A</v>
      </c>
      <c r="AQ186" s="570" t="str">
        <f t="shared" si="559"/>
        <v>F4Q12A</v>
      </c>
      <c r="AR186" s="569" t="str">
        <f t="shared" si="559"/>
        <v>F1Q13A</v>
      </c>
      <c r="AS186" s="570" t="str">
        <f t="shared" si="559"/>
        <v>F2Q13A</v>
      </c>
      <c r="AT186" s="570" t="str">
        <f t="shared" si="559"/>
        <v>F3Q13A</v>
      </c>
      <c r="AU186" s="570" t="str">
        <f t="shared" si="559"/>
        <v>F4Q13A</v>
      </c>
      <c r="AV186" s="569" t="str">
        <f t="shared" si="559"/>
        <v>F1Q14A</v>
      </c>
      <c r="AW186" s="570" t="str">
        <f t="shared" si="559"/>
        <v>F2Q14A</v>
      </c>
      <c r="AX186" s="570" t="str">
        <f t="shared" si="559"/>
        <v>F3Q14A</v>
      </c>
      <c r="AY186" s="570" t="str">
        <f t="shared" si="559"/>
        <v>F4Q14A</v>
      </c>
      <c r="AZ186" s="569" t="str">
        <f t="shared" si="559"/>
        <v>F1Q15A</v>
      </c>
      <c r="BA186" s="570" t="str">
        <f t="shared" si="559"/>
        <v>F2Q15A</v>
      </c>
      <c r="BB186" s="570" t="str">
        <f t="shared" si="559"/>
        <v>F3Q15A</v>
      </c>
      <c r="BC186" s="573" t="str">
        <f t="shared" si="559"/>
        <v>F4Q15A</v>
      </c>
      <c r="BD186" s="569" t="str">
        <f t="shared" si="559"/>
        <v>F1Q16A</v>
      </c>
      <c r="BE186" s="570" t="str">
        <f t="shared" si="559"/>
        <v>F2Q16A</v>
      </c>
      <c r="BF186" s="570" t="str">
        <f t="shared" si="559"/>
        <v>F3Q16A</v>
      </c>
      <c r="BG186" s="573" t="str">
        <f t="shared" si="559"/>
        <v>F4Q16A</v>
      </c>
      <c r="BH186" s="569" t="str">
        <f t="shared" si="559"/>
        <v>F1Q17A</v>
      </c>
      <c r="BI186" s="570" t="str">
        <f t="shared" si="559"/>
        <v>F2Q17A</v>
      </c>
      <c r="BJ186" s="570" t="str">
        <f t="shared" si="559"/>
        <v>F3Q17A</v>
      </c>
      <c r="BK186" s="573" t="str">
        <f t="shared" si="559"/>
        <v>F4Q17A</v>
      </c>
      <c r="BL186" s="569" t="str">
        <f t="shared" si="559"/>
        <v>F1Q18A</v>
      </c>
      <c r="BM186" s="1321" t="str">
        <f t="shared" si="559"/>
        <v>F2Q18A</v>
      </c>
      <c r="BN186" s="570" t="str">
        <f t="shared" si="559"/>
        <v>F3Q18A</v>
      </c>
      <c r="BO186" s="573" t="str">
        <f t="shared" si="559"/>
        <v>F4Q18E</v>
      </c>
      <c r="BP186" s="569" t="str">
        <f t="shared" si="559"/>
        <v>F1Q19E</v>
      </c>
      <c r="BQ186" s="570" t="str">
        <f t="shared" si="559"/>
        <v>F2Q19E</v>
      </c>
      <c r="BR186" s="570" t="str">
        <f t="shared" si="559"/>
        <v>F3Q19E</v>
      </c>
      <c r="BS186" s="573" t="str">
        <f t="shared" si="559"/>
        <v>F4Q19E</v>
      </c>
      <c r="BT186" s="569" t="str">
        <f t="shared" si="559"/>
        <v>F1Q20E</v>
      </c>
      <c r="BU186" s="1321" t="str">
        <f t="shared" si="559"/>
        <v>F2Q20E</v>
      </c>
      <c r="BV186" s="1321" t="str">
        <f t="shared" si="559"/>
        <v>F3Q20E</v>
      </c>
      <c r="BW186" s="573" t="str">
        <f t="shared" si="559"/>
        <v>F4Q20E</v>
      </c>
      <c r="BX186" s="20"/>
      <c r="BY186" s="570" t="str">
        <f>BY$8</f>
        <v>FY2003A</v>
      </c>
      <c r="BZ186" s="570" t="str">
        <f>BZ$8</f>
        <v>FY2004A</v>
      </c>
      <c r="CA186" s="570" t="str">
        <f>CA$8</f>
        <v>FY2005A</v>
      </c>
      <c r="CB186" s="570" t="str">
        <f t="shared" ref="CB186:DH186" si="560">CB$8</f>
        <v>FY2006A</v>
      </c>
      <c r="CC186" s="570" t="str">
        <f t="shared" si="560"/>
        <v>FY2007A</v>
      </c>
      <c r="CD186" s="570" t="str">
        <f t="shared" si="560"/>
        <v>FY2008A</v>
      </c>
      <c r="CE186" s="570" t="str">
        <f t="shared" si="560"/>
        <v>FY2009A</v>
      </c>
      <c r="CF186" s="570" t="str">
        <f t="shared" si="560"/>
        <v>FY2010A</v>
      </c>
      <c r="CG186" s="570" t="str">
        <f t="shared" si="560"/>
        <v>FY2011A</v>
      </c>
      <c r="CH186" s="570" t="str">
        <f t="shared" si="560"/>
        <v>FY2012A</v>
      </c>
      <c r="CI186" s="570" t="str">
        <f t="shared" si="560"/>
        <v>FY2013A</v>
      </c>
      <c r="CJ186" s="570" t="str">
        <f t="shared" si="560"/>
        <v>FY2014A</v>
      </c>
      <c r="CK186" s="570" t="str">
        <f t="shared" si="560"/>
        <v>FY2015A</v>
      </c>
      <c r="CL186" s="570" t="str">
        <f t="shared" si="560"/>
        <v>FY2016A</v>
      </c>
      <c r="CM186" s="570" t="str">
        <f t="shared" si="560"/>
        <v>FY2017A</v>
      </c>
      <c r="CN186" s="570" t="str">
        <f t="shared" si="560"/>
        <v>FY2018E</v>
      </c>
      <c r="CO186" s="1321" t="str">
        <f t="shared" si="560"/>
        <v>FY2019E</v>
      </c>
      <c r="CP186" s="573" t="str">
        <f t="shared" si="560"/>
        <v>FY2020E</v>
      </c>
      <c r="CQ186" s="281"/>
      <c r="CR186" s="332"/>
      <c r="CS186" s="569" t="str">
        <f t="shared" si="560"/>
        <v>CY2004</v>
      </c>
      <c r="CT186" s="570" t="str">
        <f t="shared" si="560"/>
        <v>CY2005</v>
      </c>
      <c r="CU186" s="570" t="str">
        <f t="shared" si="560"/>
        <v>CY2006</v>
      </c>
      <c r="CV186" s="570" t="str">
        <f t="shared" si="560"/>
        <v>CY2007</v>
      </c>
      <c r="CW186" s="570" t="str">
        <f t="shared" si="560"/>
        <v>CY2008</v>
      </c>
      <c r="CX186" s="570" t="str">
        <f t="shared" si="560"/>
        <v>CY2009</v>
      </c>
      <c r="CY186" s="570" t="str">
        <f t="shared" si="560"/>
        <v>CY2010</v>
      </c>
      <c r="CZ186" s="570" t="str">
        <f t="shared" si="560"/>
        <v>CY2011</v>
      </c>
      <c r="DA186" s="569" t="str">
        <f t="shared" si="560"/>
        <v>CY2012</v>
      </c>
      <c r="DB186" s="570" t="str">
        <f t="shared" si="560"/>
        <v>CY2013</v>
      </c>
      <c r="DC186" s="570" t="str">
        <f t="shared" si="560"/>
        <v>CY2014</v>
      </c>
      <c r="DD186" s="570" t="str">
        <f t="shared" si="560"/>
        <v>CY2015</v>
      </c>
      <c r="DE186" s="570" t="str">
        <f t="shared" si="560"/>
        <v>CY2016</v>
      </c>
      <c r="DF186" s="570" t="str">
        <f t="shared" si="560"/>
        <v>CY2017</v>
      </c>
      <c r="DG186" s="1321" t="str">
        <f t="shared" si="560"/>
        <v>CY2018</v>
      </c>
      <c r="DH186" s="573" t="str">
        <f t="shared" si="560"/>
        <v>CY2019</v>
      </c>
    </row>
    <row r="187" spans="1:112" ht="14.25" customHeight="1">
      <c r="B187" s="330" t="s">
        <v>210</v>
      </c>
      <c r="C187" s="332"/>
      <c r="D187" s="919"/>
      <c r="E187" s="520"/>
      <c r="F187" s="520"/>
      <c r="G187" s="918"/>
      <c r="H187" s="919"/>
      <c r="I187" s="520"/>
      <c r="J187" s="520"/>
      <c r="K187" s="918"/>
      <c r="L187" s="919"/>
      <c r="M187" s="520"/>
      <c r="N187" s="520"/>
      <c r="O187" s="918"/>
      <c r="P187" s="491"/>
      <c r="Q187" s="492">
        <v>8391.5220000000008</v>
      </c>
      <c r="R187" s="492">
        <v>8692.8739999999998</v>
      </c>
      <c r="S187" s="493">
        <v>8896.4470000000001</v>
      </c>
      <c r="T187" s="491">
        <v>9284.8880000000008</v>
      </c>
      <c r="U187" s="492">
        <v>9513.7839999999997</v>
      </c>
      <c r="V187" s="492">
        <v>9244.5869999999995</v>
      </c>
      <c r="W187" s="493">
        <v>8585.4750000000004</v>
      </c>
      <c r="X187" s="491">
        <v>8814.6980000000003</v>
      </c>
      <c r="Y187" s="492">
        <v>9571.0840000000007</v>
      </c>
      <c r="Z187" s="492">
        <v>9481.6270000000004</v>
      </c>
      <c r="AA187" s="493">
        <v>8722.8700000000008</v>
      </c>
      <c r="AB187" s="491">
        <v>9463.83</v>
      </c>
      <c r="AC187" s="492">
        <v>10037.423000000001</v>
      </c>
      <c r="AD187" s="492">
        <v>7412.5529999999999</v>
      </c>
      <c r="AE187" s="493">
        <v>6022.8059999999996</v>
      </c>
      <c r="AF187" s="491">
        <v>7729.817</v>
      </c>
      <c r="AG187" s="492">
        <v>8813.9500000000007</v>
      </c>
      <c r="AH187" s="492">
        <v>9434.17</v>
      </c>
      <c r="AI187" s="493">
        <v>9937.2459999999992</v>
      </c>
      <c r="AJ187" s="491">
        <v>10534.342000000001</v>
      </c>
      <c r="AK187" s="492">
        <v>11035.681</v>
      </c>
      <c r="AL187" s="492">
        <v>10777.478999999999</v>
      </c>
      <c r="AM187" s="493">
        <v>10755.513000000001</v>
      </c>
      <c r="AN187" s="491">
        <v>11096.376</v>
      </c>
      <c r="AO187" s="492">
        <v>10800.637000000001</v>
      </c>
      <c r="AP187" s="520">
        <v>9685.1200000000008</v>
      </c>
      <c r="AQ187" s="493">
        <v>9756.8940000000002</v>
      </c>
      <c r="AR187" s="380"/>
      <c r="AS187" s="382"/>
      <c r="AT187" s="382"/>
      <c r="AU187" s="383"/>
      <c r="AV187" s="384"/>
      <c r="AW187" s="382"/>
      <c r="AX187" s="382"/>
      <c r="AY187" s="383"/>
      <c r="AZ187" s="384"/>
      <c r="BA187" s="382"/>
      <c r="BB187" s="382"/>
      <c r="BC187" s="383"/>
      <c r="BD187" s="384"/>
      <c r="BE187" s="382"/>
      <c r="BF187" s="382"/>
      <c r="BG187" s="383"/>
      <c r="BH187" s="384"/>
      <c r="BI187" s="382"/>
      <c r="BJ187" s="382"/>
      <c r="BK187" s="383"/>
      <c r="BL187" s="384"/>
      <c r="BM187" s="382"/>
      <c r="BN187" s="382"/>
      <c r="BO187" s="383"/>
      <c r="BP187" s="384"/>
      <c r="BQ187" s="382"/>
      <c r="BR187" s="382"/>
      <c r="BS187" s="383"/>
      <c r="BT187" s="384"/>
      <c r="BU187" s="382"/>
      <c r="BV187" s="382"/>
      <c r="BW187" s="383"/>
      <c r="BX187" s="378"/>
      <c r="BY187" s="508"/>
      <c r="BZ187" s="508"/>
      <c r="CA187" s="508"/>
      <c r="CB187" s="508"/>
      <c r="CC187" s="508">
        <f>SUM(T187:W187)</f>
        <v>36628.733999999997</v>
      </c>
      <c r="CD187" s="508">
        <f>SUM(X187:AA187)</f>
        <v>36590.279000000002</v>
      </c>
      <c r="CE187" s="508">
        <f>SUM(AB187:AE187)</f>
        <v>32936.612000000001</v>
      </c>
      <c r="CF187" s="508">
        <f>SUM(AF187:AI187)</f>
        <v>35915.182999999997</v>
      </c>
      <c r="CG187" s="508">
        <f>SUM(AJ187:AM187)</f>
        <v>43103.014999999999</v>
      </c>
      <c r="CH187" s="508">
        <f>SUM(AN187:AQ187)</f>
        <v>41339.027000000002</v>
      </c>
      <c r="CI187" s="364"/>
      <c r="CJ187" s="364"/>
      <c r="CK187" s="364"/>
      <c r="CL187" s="364"/>
      <c r="CM187" s="364"/>
      <c r="CN187" s="364"/>
      <c r="CO187" s="364"/>
      <c r="CP187" s="365"/>
      <c r="CQ187" s="281"/>
      <c r="CR187" s="332"/>
      <c r="CS187" s="1015"/>
      <c r="CT187" s="508">
        <f>SUM(O187:R187)</f>
        <v>17084.396000000001</v>
      </c>
      <c r="CU187" s="508">
        <f>SUM(S187:V187)</f>
        <v>36939.705999999998</v>
      </c>
      <c r="CV187" s="508">
        <f>SUM(W187:Z187)</f>
        <v>36452.884000000005</v>
      </c>
      <c r="CW187" s="508">
        <f>SUM(AA187:AD187)</f>
        <v>35636.675999999999</v>
      </c>
      <c r="CX187" s="508">
        <f>SUM(AE187:AH187)</f>
        <v>32000.743000000002</v>
      </c>
      <c r="CY187" s="508">
        <f>SUM(AI187:AL187)</f>
        <v>42284.748</v>
      </c>
      <c r="CZ187" s="508">
        <f>SUM(AM187:AP187)</f>
        <v>42337.646000000008</v>
      </c>
      <c r="DA187" s="1015">
        <f>SUM(AQ187:AT187)</f>
        <v>9756.8940000000002</v>
      </c>
      <c r="DB187" s="508"/>
      <c r="DC187" s="508"/>
      <c r="DD187" s="508"/>
      <c r="DE187" s="508"/>
      <c r="DF187" s="508"/>
      <c r="DG187" s="508"/>
      <c r="DH187" s="1011"/>
    </row>
    <row r="188" spans="1:112" ht="14.25" customHeight="1">
      <c r="A188" s="100"/>
      <c r="B188" s="387" t="s">
        <v>139</v>
      </c>
      <c r="C188" s="388"/>
      <c r="D188" s="1087"/>
      <c r="E188" s="1088"/>
      <c r="F188" s="1088"/>
      <c r="G188" s="1089"/>
      <c r="H188" s="1087"/>
      <c r="I188" s="1088"/>
      <c r="J188" s="1088"/>
      <c r="K188" s="1089"/>
      <c r="L188" s="1087"/>
      <c r="M188" s="1088"/>
      <c r="N188" s="1088"/>
      <c r="O188" s="1089"/>
      <c r="P188" s="389"/>
      <c r="Q188" s="390">
        <f t="shared" ref="Q188:AQ188" si="561">SUM(Q187)</f>
        <v>8391.5220000000008</v>
      </c>
      <c r="R188" s="390">
        <f t="shared" si="561"/>
        <v>8692.8739999999998</v>
      </c>
      <c r="S188" s="391">
        <f t="shared" si="561"/>
        <v>8896.4470000000001</v>
      </c>
      <c r="T188" s="389">
        <f t="shared" si="561"/>
        <v>9284.8880000000008</v>
      </c>
      <c r="U188" s="390">
        <f t="shared" si="561"/>
        <v>9513.7839999999997</v>
      </c>
      <c r="V188" s="390">
        <f t="shared" si="561"/>
        <v>9244.5869999999995</v>
      </c>
      <c r="W188" s="391">
        <f t="shared" si="561"/>
        <v>8585.4750000000004</v>
      </c>
      <c r="X188" s="389">
        <f t="shared" si="561"/>
        <v>8814.6980000000003</v>
      </c>
      <c r="Y188" s="390">
        <f t="shared" si="561"/>
        <v>9571.0840000000007</v>
      </c>
      <c r="Z188" s="390">
        <f t="shared" si="561"/>
        <v>9481.6270000000004</v>
      </c>
      <c r="AA188" s="391">
        <f t="shared" si="561"/>
        <v>8722.8700000000008</v>
      </c>
      <c r="AB188" s="389">
        <f t="shared" si="561"/>
        <v>9463.83</v>
      </c>
      <c r="AC188" s="390">
        <f t="shared" si="561"/>
        <v>10037.423000000001</v>
      </c>
      <c r="AD188" s="390">
        <f t="shared" si="561"/>
        <v>7412.5529999999999</v>
      </c>
      <c r="AE188" s="391">
        <f t="shared" si="561"/>
        <v>6022.8059999999996</v>
      </c>
      <c r="AF188" s="389">
        <f t="shared" si="561"/>
        <v>7729.817</v>
      </c>
      <c r="AG188" s="390">
        <f t="shared" si="561"/>
        <v>8813.9500000000007</v>
      </c>
      <c r="AH188" s="390">
        <f t="shared" si="561"/>
        <v>9434.17</v>
      </c>
      <c r="AI188" s="391">
        <f t="shared" si="561"/>
        <v>9937.2459999999992</v>
      </c>
      <c r="AJ188" s="389">
        <f t="shared" si="561"/>
        <v>10534.342000000001</v>
      </c>
      <c r="AK188" s="390">
        <f t="shared" si="561"/>
        <v>11035.681</v>
      </c>
      <c r="AL188" s="390">
        <f t="shared" si="561"/>
        <v>10777.478999999999</v>
      </c>
      <c r="AM188" s="391">
        <f t="shared" si="561"/>
        <v>10755.513000000001</v>
      </c>
      <c r="AN188" s="389">
        <f t="shared" si="561"/>
        <v>11096.376</v>
      </c>
      <c r="AO188" s="390">
        <f t="shared" si="561"/>
        <v>10800.637000000001</v>
      </c>
      <c r="AP188" s="390">
        <f t="shared" si="561"/>
        <v>9685.1200000000008</v>
      </c>
      <c r="AQ188" s="391">
        <f t="shared" si="561"/>
        <v>9756.8940000000002</v>
      </c>
      <c r="AR188" s="389"/>
      <c r="AS188" s="392"/>
      <c r="AT188" s="392"/>
      <c r="AU188" s="393"/>
      <c r="AV188" s="394"/>
      <c r="AW188" s="392"/>
      <c r="AX188" s="392"/>
      <c r="AY188" s="393"/>
      <c r="AZ188" s="394"/>
      <c r="BA188" s="392"/>
      <c r="BB188" s="392"/>
      <c r="BC188" s="393"/>
      <c r="BD188" s="394"/>
      <c r="BE188" s="392"/>
      <c r="BF188" s="392"/>
      <c r="BG188" s="393"/>
      <c r="BH188" s="394"/>
      <c r="BI188" s="392"/>
      <c r="BJ188" s="392"/>
      <c r="BK188" s="393"/>
      <c r="BL188" s="394"/>
      <c r="BM188" s="392"/>
      <c r="BN188" s="392"/>
      <c r="BO188" s="393"/>
      <c r="BP188" s="394"/>
      <c r="BQ188" s="392"/>
      <c r="BR188" s="392"/>
      <c r="BS188" s="393"/>
      <c r="BT188" s="394"/>
      <c r="BU188" s="392"/>
      <c r="BV188" s="392"/>
      <c r="BW188" s="393"/>
      <c r="BX188" s="395"/>
      <c r="BY188" s="500"/>
      <c r="BZ188" s="500"/>
      <c r="CA188" s="500"/>
      <c r="CB188" s="500"/>
      <c r="CC188" s="500">
        <f t="shared" ref="CC188:CH188" si="562">SUM(CC187)</f>
        <v>36628.733999999997</v>
      </c>
      <c r="CD188" s="500">
        <f t="shared" si="562"/>
        <v>36590.279000000002</v>
      </c>
      <c r="CE188" s="500">
        <f t="shared" si="562"/>
        <v>32936.612000000001</v>
      </c>
      <c r="CF188" s="500">
        <f t="shared" si="562"/>
        <v>35915.182999999997</v>
      </c>
      <c r="CG188" s="500">
        <f t="shared" si="562"/>
        <v>43103.014999999999</v>
      </c>
      <c r="CH188" s="500">
        <f t="shared" si="562"/>
        <v>41339.027000000002</v>
      </c>
      <c r="CI188" s="397"/>
      <c r="CJ188" s="397"/>
      <c r="CK188" s="397"/>
      <c r="CL188" s="397"/>
      <c r="CM188" s="397"/>
      <c r="CN188" s="397"/>
      <c r="CO188" s="397"/>
      <c r="CP188" s="398"/>
      <c r="CQ188" s="333"/>
      <c r="CR188" s="1524"/>
      <c r="CS188" s="1016"/>
      <c r="CT188" s="500">
        <f>SUM(CT187)</f>
        <v>17084.396000000001</v>
      </c>
      <c r="CU188" s="500">
        <f>SUM(CU187)</f>
        <v>36939.705999999998</v>
      </c>
      <c r="CV188" s="500">
        <f t="shared" ref="CV188:DA188" si="563">SUM(CV187)</f>
        <v>36452.884000000005</v>
      </c>
      <c r="CW188" s="500">
        <f t="shared" si="563"/>
        <v>35636.675999999999</v>
      </c>
      <c r="CX188" s="500">
        <f t="shared" si="563"/>
        <v>32000.743000000002</v>
      </c>
      <c r="CY188" s="500">
        <f t="shared" si="563"/>
        <v>42284.748</v>
      </c>
      <c r="CZ188" s="500">
        <f t="shared" si="563"/>
        <v>42337.646000000008</v>
      </c>
      <c r="DA188" s="1016">
        <f t="shared" si="563"/>
        <v>9756.8940000000002</v>
      </c>
      <c r="DB188" s="500"/>
      <c r="DC188" s="500"/>
      <c r="DD188" s="500"/>
      <c r="DE188" s="500"/>
      <c r="DF188" s="500"/>
      <c r="DG188" s="500"/>
      <c r="DH188" s="1017"/>
    </row>
    <row r="189" spans="1:112" ht="14.25" customHeight="1">
      <c r="CL189" s="331"/>
      <c r="CN189" s="1174"/>
      <c r="CO189" s="1174"/>
      <c r="DD189" s="331"/>
      <c r="DE189" s="1174"/>
      <c r="DF189" s="1174"/>
      <c r="DG189" s="1174"/>
    </row>
    <row r="190" spans="1:112" ht="14.25" customHeight="1">
      <c r="A190" s="1"/>
      <c r="B190" s="141" t="s">
        <v>212</v>
      </c>
      <c r="C190" s="142"/>
      <c r="D190" s="569" t="str">
        <f t="shared" ref="D190:O190" si="564">D$8</f>
        <v>F1Q03A</v>
      </c>
      <c r="E190" s="570" t="str">
        <f t="shared" si="564"/>
        <v>F2Q03A</v>
      </c>
      <c r="F190" s="570" t="str">
        <f t="shared" si="564"/>
        <v>F3Q03A</v>
      </c>
      <c r="G190" s="570" t="str">
        <f t="shared" si="564"/>
        <v>F4Q03A</v>
      </c>
      <c r="H190" s="569" t="str">
        <f t="shared" si="564"/>
        <v>F1Q04A</v>
      </c>
      <c r="I190" s="570" t="str">
        <f t="shared" si="564"/>
        <v>F2Q04A</v>
      </c>
      <c r="J190" s="570" t="str">
        <f t="shared" si="564"/>
        <v>F3Q04A</v>
      </c>
      <c r="K190" s="570" t="str">
        <f t="shared" si="564"/>
        <v>F4Q04A</v>
      </c>
      <c r="L190" s="569" t="str">
        <f t="shared" si="564"/>
        <v>F1Q05A</v>
      </c>
      <c r="M190" s="570" t="str">
        <f t="shared" si="564"/>
        <v>F2Q05A</v>
      </c>
      <c r="N190" s="570" t="str">
        <f t="shared" si="564"/>
        <v>F3Q05A</v>
      </c>
      <c r="O190" s="570" t="str">
        <f t="shared" si="564"/>
        <v>F4Q05A</v>
      </c>
      <c r="P190" s="569" t="str">
        <f t="shared" ref="P190:BW190" si="565">P$8</f>
        <v>F1Q06A</v>
      </c>
      <c r="Q190" s="570" t="str">
        <f t="shared" si="565"/>
        <v>F2Q06A</v>
      </c>
      <c r="R190" s="570" t="str">
        <f t="shared" si="565"/>
        <v>F3Q06A</v>
      </c>
      <c r="S190" s="570" t="str">
        <f t="shared" si="565"/>
        <v>F4Q06A</v>
      </c>
      <c r="T190" s="569" t="str">
        <f t="shared" si="565"/>
        <v>F1Q07A</v>
      </c>
      <c r="U190" s="570" t="str">
        <f t="shared" si="565"/>
        <v>F2Q07A</v>
      </c>
      <c r="V190" s="570" t="str">
        <f t="shared" si="565"/>
        <v>F3Q07A</v>
      </c>
      <c r="W190" s="570" t="str">
        <f t="shared" si="565"/>
        <v>F4Q07A</v>
      </c>
      <c r="X190" s="569" t="str">
        <f t="shared" si="565"/>
        <v>F1Q08A</v>
      </c>
      <c r="Y190" s="570" t="str">
        <f t="shared" si="565"/>
        <v>F2Q08A</v>
      </c>
      <c r="Z190" s="570" t="str">
        <f t="shared" si="565"/>
        <v>F3Q08A</v>
      </c>
      <c r="AA190" s="570" t="str">
        <f t="shared" si="565"/>
        <v>F4Q08A</v>
      </c>
      <c r="AB190" s="569" t="str">
        <f t="shared" si="565"/>
        <v>F1Q09A</v>
      </c>
      <c r="AC190" s="570" t="str">
        <f t="shared" si="565"/>
        <v>F2Q09A</v>
      </c>
      <c r="AD190" s="570" t="str">
        <f t="shared" si="565"/>
        <v>F3Q09A</v>
      </c>
      <c r="AE190" s="570" t="str">
        <f t="shared" si="565"/>
        <v>F4Q09A</v>
      </c>
      <c r="AF190" s="569" t="str">
        <f t="shared" si="565"/>
        <v>F1Q10A</v>
      </c>
      <c r="AG190" s="570" t="str">
        <f t="shared" si="565"/>
        <v>F2Q10A</v>
      </c>
      <c r="AH190" s="570" t="str">
        <f t="shared" si="565"/>
        <v>F3Q10A</v>
      </c>
      <c r="AI190" s="570" t="str">
        <f t="shared" si="565"/>
        <v>F4Q10A</v>
      </c>
      <c r="AJ190" s="569" t="str">
        <f t="shared" si="565"/>
        <v>F1Q11A</v>
      </c>
      <c r="AK190" s="570" t="str">
        <f t="shared" si="565"/>
        <v>F2Q11A</v>
      </c>
      <c r="AL190" s="570" t="str">
        <f t="shared" si="565"/>
        <v>F3Q11A</v>
      </c>
      <c r="AM190" s="570" t="str">
        <f t="shared" si="565"/>
        <v>F4Q11A</v>
      </c>
      <c r="AN190" s="571" t="str">
        <f t="shared" si="565"/>
        <v>F1Q12A</v>
      </c>
      <c r="AO190" s="572" t="str">
        <f t="shared" si="565"/>
        <v>F2Q12A</v>
      </c>
      <c r="AP190" s="572" t="str">
        <f t="shared" si="565"/>
        <v>F3Q12A</v>
      </c>
      <c r="AQ190" s="570" t="str">
        <f t="shared" si="565"/>
        <v>F4Q12A</v>
      </c>
      <c r="AR190" s="569" t="str">
        <f t="shared" si="565"/>
        <v>F1Q13A</v>
      </c>
      <c r="AS190" s="570" t="str">
        <f t="shared" si="565"/>
        <v>F2Q13A</v>
      </c>
      <c r="AT190" s="570" t="str">
        <f t="shared" si="565"/>
        <v>F3Q13A</v>
      </c>
      <c r="AU190" s="570" t="str">
        <f t="shared" si="565"/>
        <v>F4Q13A</v>
      </c>
      <c r="AV190" s="569" t="str">
        <f t="shared" si="565"/>
        <v>F1Q14A</v>
      </c>
      <c r="AW190" s="570" t="str">
        <f t="shared" si="565"/>
        <v>F2Q14A</v>
      </c>
      <c r="AX190" s="570" t="str">
        <f t="shared" si="565"/>
        <v>F3Q14A</v>
      </c>
      <c r="AY190" s="570" t="str">
        <f t="shared" si="565"/>
        <v>F4Q14A</v>
      </c>
      <c r="AZ190" s="569" t="str">
        <f t="shared" si="565"/>
        <v>F1Q15A</v>
      </c>
      <c r="BA190" s="570" t="str">
        <f t="shared" si="565"/>
        <v>F2Q15A</v>
      </c>
      <c r="BB190" s="570" t="str">
        <f t="shared" si="565"/>
        <v>F3Q15A</v>
      </c>
      <c r="BC190" s="573" t="str">
        <f t="shared" si="565"/>
        <v>F4Q15A</v>
      </c>
      <c r="BD190" s="569" t="str">
        <f t="shared" si="565"/>
        <v>F1Q16A</v>
      </c>
      <c r="BE190" s="570" t="str">
        <f t="shared" si="565"/>
        <v>F2Q16A</v>
      </c>
      <c r="BF190" s="570" t="str">
        <f t="shared" si="565"/>
        <v>F3Q16A</v>
      </c>
      <c r="BG190" s="573" t="str">
        <f t="shared" si="565"/>
        <v>F4Q16A</v>
      </c>
      <c r="BH190" s="569" t="str">
        <f t="shared" si="565"/>
        <v>F1Q17A</v>
      </c>
      <c r="BI190" s="570" t="str">
        <f t="shared" si="565"/>
        <v>F2Q17A</v>
      </c>
      <c r="BJ190" s="570" t="str">
        <f t="shared" si="565"/>
        <v>F3Q17A</v>
      </c>
      <c r="BK190" s="573" t="str">
        <f t="shared" si="565"/>
        <v>F4Q17A</v>
      </c>
      <c r="BL190" s="569" t="str">
        <f t="shared" si="565"/>
        <v>F1Q18A</v>
      </c>
      <c r="BM190" s="1321" t="str">
        <f t="shared" si="565"/>
        <v>F2Q18A</v>
      </c>
      <c r="BN190" s="570" t="str">
        <f t="shared" si="565"/>
        <v>F3Q18A</v>
      </c>
      <c r="BO190" s="573" t="str">
        <f t="shared" si="565"/>
        <v>F4Q18E</v>
      </c>
      <c r="BP190" s="569" t="str">
        <f t="shared" si="565"/>
        <v>F1Q19E</v>
      </c>
      <c r="BQ190" s="570" t="str">
        <f t="shared" si="565"/>
        <v>F2Q19E</v>
      </c>
      <c r="BR190" s="570" t="str">
        <f t="shared" si="565"/>
        <v>F3Q19E</v>
      </c>
      <c r="BS190" s="573" t="str">
        <f t="shared" si="565"/>
        <v>F4Q19E</v>
      </c>
      <c r="BT190" s="569" t="str">
        <f t="shared" si="565"/>
        <v>F1Q20E</v>
      </c>
      <c r="BU190" s="1321" t="str">
        <f t="shared" si="565"/>
        <v>F2Q20E</v>
      </c>
      <c r="BV190" s="1321" t="str">
        <f t="shared" si="565"/>
        <v>F3Q20E</v>
      </c>
      <c r="BW190" s="573" t="str">
        <f t="shared" si="565"/>
        <v>F4Q20E</v>
      </c>
      <c r="BX190" s="20"/>
      <c r="BY190" s="570" t="str">
        <f>BY$8</f>
        <v>FY2003A</v>
      </c>
      <c r="BZ190" s="570" t="str">
        <f>BZ$8</f>
        <v>FY2004A</v>
      </c>
      <c r="CA190" s="570" t="str">
        <f>CA$8</f>
        <v>FY2005A</v>
      </c>
      <c r="CB190" s="570" t="str">
        <f t="shared" ref="CB190:DH190" si="566">CB$8</f>
        <v>FY2006A</v>
      </c>
      <c r="CC190" s="570" t="str">
        <f t="shared" si="566"/>
        <v>FY2007A</v>
      </c>
      <c r="CD190" s="570" t="str">
        <f t="shared" si="566"/>
        <v>FY2008A</v>
      </c>
      <c r="CE190" s="570" t="str">
        <f t="shared" si="566"/>
        <v>FY2009A</v>
      </c>
      <c r="CF190" s="570" t="str">
        <f t="shared" si="566"/>
        <v>FY2010A</v>
      </c>
      <c r="CG190" s="570" t="str">
        <f t="shared" si="566"/>
        <v>FY2011A</v>
      </c>
      <c r="CH190" s="570" t="str">
        <f t="shared" si="566"/>
        <v>FY2012A</v>
      </c>
      <c r="CI190" s="570" t="str">
        <f t="shared" si="566"/>
        <v>FY2013A</v>
      </c>
      <c r="CJ190" s="569" t="str">
        <f t="shared" si="566"/>
        <v>FY2014A</v>
      </c>
      <c r="CK190" s="570" t="str">
        <f t="shared" si="566"/>
        <v>FY2015A</v>
      </c>
      <c r="CL190" s="570" t="str">
        <f t="shared" si="566"/>
        <v>FY2016A</v>
      </c>
      <c r="CM190" s="570" t="str">
        <f t="shared" si="566"/>
        <v>FY2017A</v>
      </c>
      <c r="CN190" s="570" t="str">
        <f t="shared" si="566"/>
        <v>FY2018E</v>
      </c>
      <c r="CO190" s="1321" t="str">
        <f t="shared" si="566"/>
        <v>FY2019E</v>
      </c>
      <c r="CP190" s="573" t="str">
        <f t="shared" si="566"/>
        <v>FY2020E</v>
      </c>
      <c r="CQ190" s="281"/>
      <c r="CR190" s="332"/>
      <c r="CS190" s="569" t="str">
        <f t="shared" si="566"/>
        <v>CY2004</v>
      </c>
      <c r="CT190" s="570" t="str">
        <f t="shared" si="566"/>
        <v>CY2005</v>
      </c>
      <c r="CU190" s="570" t="str">
        <f t="shared" si="566"/>
        <v>CY2006</v>
      </c>
      <c r="CV190" s="570" t="str">
        <f t="shared" si="566"/>
        <v>CY2007</v>
      </c>
      <c r="CW190" s="570" t="str">
        <f t="shared" si="566"/>
        <v>CY2008</v>
      </c>
      <c r="CX190" s="570" t="str">
        <f t="shared" si="566"/>
        <v>CY2009</v>
      </c>
      <c r="CY190" s="570" t="str">
        <f t="shared" si="566"/>
        <v>CY2010</v>
      </c>
      <c r="CZ190" s="570" t="str">
        <f t="shared" si="566"/>
        <v>CY2011</v>
      </c>
      <c r="DA190" s="569" t="str">
        <f t="shared" si="566"/>
        <v>CY2012</v>
      </c>
      <c r="DB190" s="570" t="str">
        <f t="shared" si="566"/>
        <v>CY2013</v>
      </c>
      <c r="DC190" s="570" t="str">
        <f t="shared" si="566"/>
        <v>CY2014</v>
      </c>
      <c r="DD190" s="570" t="str">
        <f t="shared" si="566"/>
        <v>CY2015</v>
      </c>
      <c r="DE190" s="570" t="str">
        <f t="shared" si="566"/>
        <v>CY2016</v>
      </c>
      <c r="DF190" s="570" t="str">
        <f t="shared" si="566"/>
        <v>CY2017</v>
      </c>
      <c r="DG190" s="1321" t="str">
        <f t="shared" si="566"/>
        <v>CY2018</v>
      </c>
      <c r="DH190" s="573" t="str">
        <f t="shared" si="566"/>
        <v>CY2019</v>
      </c>
    </row>
    <row r="191" spans="1:112" ht="14.25" customHeight="1">
      <c r="B191" s="330" t="s">
        <v>210</v>
      </c>
      <c r="C191" s="332"/>
      <c r="D191" s="919"/>
      <c r="E191" s="520"/>
      <c r="F191" s="520"/>
      <c r="G191" s="918"/>
      <c r="H191" s="919"/>
      <c r="I191" s="520"/>
      <c r="J191" s="520"/>
      <c r="K191" s="918"/>
      <c r="L191" s="919"/>
      <c r="M191" s="520"/>
      <c r="N191" s="520"/>
      <c r="O191" s="918"/>
      <c r="P191" s="491"/>
      <c r="Q191" s="492">
        <v>15632.324000000001</v>
      </c>
      <c r="R191" s="492">
        <v>16421.043000000001</v>
      </c>
      <c r="S191" s="493">
        <v>16692.863000000001</v>
      </c>
      <c r="T191" s="491">
        <v>17352.883999999998</v>
      </c>
      <c r="U191" s="492">
        <v>18239.214</v>
      </c>
      <c r="V191" s="492">
        <v>17639.751</v>
      </c>
      <c r="W191" s="493">
        <v>17471.464</v>
      </c>
      <c r="X191" s="491">
        <v>17849.330999999998</v>
      </c>
      <c r="Y191" s="492">
        <v>19495.518</v>
      </c>
      <c r="Z191" s="492">
        <v>19732.385999999999</v>
      </c>
      <c r="AA191" s="493">
        <v>17992.399000000001</v>
      </c>
      <c r="AB191" s="491">
        <v>19885.226999999999</v>
      </c>
      <c r="AC191" s="492">
        <v>21508.325000000001</v>
      </c>
      <c r="AD191" s="492">
        <v>16328.91</v>
      </c>
      <c r="AE191" s="493">
        <v>12487.585999999999</v>
      </c>
      <c r="AF191" s="491">
        <v>16850.113000000001</v>
      </c>
      <c r="AG191" s="492">
        <v>19722.303</v>
      </c>
      <c r="AH191" s="492">
        <v>20297.370999999999</v>
      </c>
      <c r="AI191" s="493">
        <v>21153.958999999999</v>
      </c>
      <c r="AJ191" s="491">
        <v>23417.865000000002</v>
      </c>
      <c r="AK191" s="492">
        <v>24168.293000000001</v>
      </c>
      <c r="AL191" s="492">
        <v>23109.755000000001</v>
      </c>
      <c r="AM191" s="493">
        <v>23074.396000000001</v>
      </c>
      <c r="AN191" s="491">
        <v>24216.607</v>
      </c>
      <c r="AO191" s="492">
        <v>23615.429</v>
      </c>
      <c r="AP191" s="520">
        <v>21060.920999999998</v>
      </c>
      <c r="AQ191" s="493">
        <v>21096.339</v>
      </c>
      <c r="AR191" s="380"/>
      <c r="AS191" s="382"/>
      <c r="AT191" s="382"/>
      <c r="AU191" s="383"/>
      <c r="AV191" s="384"/>
      <c r="AW191" s="382"/>
      <c r="AX191" s="382"/>
      <c r="AY191" s="383"/>
      <c r="AZ191" s="384"/>
      <c r="BA191" s="382"/>
      <c r="BB191" s="382"/>
      <c r="BC191" s="383"/>
      <c r="BD191" s="384"/>
      <c r="BE191" s="382"/>
      <c r="BF191" s="382"/>
      <c r="BG191" s="383"/>
      <c r="BH191" s="384"/>
      <c r="BI191" s="382"/>
      <c r="BJ191" s="382"/>
      <c r="BK191" s="383"/>
      <c r="BL191" s="384"/>
      <c r="BM191" s="382"/>
      <c r="BN191" s="382"/>
      <c r="BO191" s="383"/>
      <c r="BP191" s="384"/>
      <c r="BQ191" s="382"/>
      <c r="BR191" s="382"/>
      <c r="BS191" s="383"/>
      <c r="BT191" s="384"/>
      <c r="BU191" s="382"/>
      <c r="BV191" s="382"/>
      <c r="BW191" s="383"/>
      <c r="BX191" s="378"/>
      <c r="BY191" s="508"/>
      <c r="BZ191" s="508"/>
      <c r="CA191" s="508"/>
      <c r="CB191" s="508"/>
      <c r="CC191" s="508">
        <f>SUM(T191:W191)</f>
        <v>70703.312999999995</v>
      </c>
      <c r="CD191" s="508">
        <f>SUM(X191:AA191)</f>
        <v>75069.634000000005</v>
      </c>
      <c r="CE191" s="508">
        <f>SUM(AB191:AE191)</f>
        <v>70210.047999999995</v>
      </c>
      <c r="CF191" s="508">
        <f>SUM(AF191:AI191)</f>
        <v>78023.745999999999</v>
      </c>
      <c r="CG191" s="508">
        <f>SUM(AJ191:AM191)</f>
        <v>93770.309000000008</v>
      </c>
      <c r="CH191" s="508">
        <f>SUM(AN191:AQ191)</f>
        <v>89989.296000000002</v>
      </c>
      <c r="CI191" s="364"/>
      <c r="CJ191" s="1034"/>
      <c r="CK191" s="364"/>
      <c r="CL191" s="364"/>
      <c r="CM191" s="364"/>
      <c r="CN191" s="364"/>
      <c r="CO191" s="364"/>
      <c r="CP191" s="365"/>
      <c r="CQ191" s="281"/>
      <c r="CR191" s="332"/>
      <c r="CS191" s="1015"/>
      <c r="CT191" s="508">
        <f>SUM(O191:R191)</f>
        <v>32053.367000000002</v>
      </c>
      <c r="CU191" s="508">
        <f>SUM(S191:V191)</f>
        <v>69924.712</v>
      </c>
      <c r="CV191" s="508">
        <f>SUM(W191:Z191)</f>
        <v>74548.698999999993</v>
      </c>
      <c r="CW191" s="508">
        <f>SUM(AA191:AD191)</f>
        <v>75714.861000000004</v>
      </c>
      <c r="CX191" s="508">
        <f>SUM(AE191:AH191)</f>
        <v>69357.372999999992</v>
      </c>
      <c r="CY191" s="508">
        <f>SUM(AI191:AL191)</f>
        <v>91849.872000000003</v>
      </c>
      <c r="CZ191" s="508">
        <f>SUM(AM191:AP191)</f>
        <v>91967.353000000003</v>
      </c>
      <c r="DA191" s="1015">
        <f>SUM(AQ191:AT191)</f>
        <v>21096.339</v>
      </c>
      <c r="DB191" s="508"/>
      <c r="DC191" s="508"/>
      <c r="DD191" s="508"/>
      <c r="DE191" s="508"/>
      <c r="DF191" s="508"/>
      <c r="DG191" s="508"/>
      <c r="DH191" s="1011"/>
    </row>
    <row r="192" spans="1:112" ht="14.25" customHeight="1">
      <c r="A192" s="100"/>
      <c r="B192" s="387" t="s">
        <v>139</v>
      </c>
      <c r="C192" s="388"/>
      <c r="D192" s="389"/>
      <c r="E192" s="390"/>
      <c r="F192" s="390"/>
      <c r="G192" s="391"/>
      <c r="H192" s="389"/>
      <c r="I192" s="390"/>
      <c r="J192" s="390"/>
      <c r="K192" s="391"/>
      <c r="L192" s="389"/>
      <c r="M192" s="390"/>
      <c r="N192" s="390"/>
      <c r="O192" s="391"/>
      <c r="P192" s="389"/>
      <c r="Q192" s="390">
        <f t="shared" ref="Q192:AQ192" si="567">SUM(Q191)</f>
        <v>15632.324000000001</v>
      </c>
      <c r="R192" s="390">
        <f t="shared" si="567"/>
        <v>16421.043000000001</v>
      </c>
      <c r="S192" s="391">
        <f t="shared" si="567"/>
        <v>16692.863000000001</v>
      </c>
      <c r="T192" s="389">
        <f t="shared" si="567"/>
        <v>17352.883999999998</v>
      </c>
      <c r="U192" s="390">
        <f t="shared" si="567"/>
        <v>18239.214</v>
      </c>
      <c r="V192" s="390">
        <f t="shared" si="567"/>
        <v>17639.751</v>
      </c>
      <c r="W192" s="391">
        <f t="shared" si="567"/>
        <v>17471.464</v>
      </c>
      <c r="X192" s="389">
        <f t="shared" si="567"/>
        <v>17849.330999999998</v>
      </c>
      <c r="Y192" s="390">
        <f t="shared" si="567"/>
        <v>19495.518</v>
      </c>
      <c r="Z192" s="390">
        <f t="shared" si="567"/>
        <v>19732.385999999999</v>
      </c>
      <c r="AA192" s="391">
        <f t="shared" si="567"/>
        <v>17992.399000000001</v>
      </c>
      <c r="AB192" s="389">
        <f t="shared" si="567"/>
        <v>19885.226999999999</v>
      </c>
      <c r="AC192" s="390">
        <f t="shared" si="567"/>
        <v>21508.325000000001</v>
      </c>
      <c r="AD192" s="390">
        <f t="shared" si="567"/>
        <v>16328.91</v>
      </c>
      <c r="AE192" s="391">
        <f t="shared" si="567"/>
        <v>12487.585999999999</v>
      </c>
      <c r="AF192" s="389">
        <f t="shared" si="567"/>
        <v>16850.113000000001</v>
      </c>
      <c r="AG192" s="390">
        <f t="shared" si="567"/>
        <v>19722.303</v>
      </c>
      <c r="AH192" s="390">
        <f t="shared" si="567"/>
        <v>20297.370999999999</v>
      </c>
      <c r="AI192" s="391">
        <f t="shared" si="567"/>
        <v>21153.958999999999</v>
      </c>
      <c r="AJ192" s="389">
        <f t="shared" si="567"/>
        <v>23417.865000000002</v>
      </c>
      <c r="AK192" s="390">
        <f t="shared" si="567"/>
        <v>24168.293000000001</v>
      </c>
      <c r="AL192" s="390">
        <f t="shared" si="567"/>
        <v>23109.755000000001</v>
      </c>
      <c r="AM192" s="391">
        <f t="shared" si="567"/>
        <v>23074.396000000001</v>
      </c>
      <c r="AN192" s="389">
        <f t="shared" si="567"/>
        <v>24216.607</v>
      </c>
      <c r="AO192" s="390">
        <f t="shared" si="567"/>
        <v>23615.429</v>
      </c>
      <c r="AP192" s="390">
        <f t="shared" si="567"/>
        <v>21060.920999999998</v>
      </c>
      <c r="AQ192" s="391">
        <f t="shared" si="567"/>
        <v>21096.339</v>
      </c>
      <c r="AR192" s="389"/>
      <c r="AS192" s="392"/>
      <c r="AT192" s="392"/>
      <c r="AU192" s="393"/>
      <c r="AV192" s="394"/>
      <c r="AW192" s="392"/>
      <c r="AX192" s="392"/>
      <c r="AY192" s="393"/>
      <c r="AZ192" s="394"/>
      <c r="BA192" s="392"/>
      <c r="BB192" s="392"/>
      <c r="BC192" s="393"/>
      <c r="BD192" s="394"/>
      <c r="BE192" s="392"/>
      <c r="BF192" s="392"/>
      <c r="BG192" s="393"/>
      <c r="BH192" s="394"/>
      <c r="BI192" s="392"/>
      <c r="BJ192" s="392"/>
      <c r="BK192" s="393"/>
      <c r="BL192" s="394"/>
      <c r="BM192" s="392"/>
      <c r="BN192" s="392"/>
      <c r="BO192" s="393"/>
      <c r="BP192" s="394"/>
      <c r="BQ192" s="392"/>
      <c r="BR192" s="392"/>
      <c r="BS192" s="393"/>
      <c r="BT192" s="394"/>
      <c r="BU192" s="392"/>
      <c r="BV192" s="392"/>
      <c r="BW192" s="393"/>
      <c r="BX192" s="395"/>
      <c r="BY192" s="500"/>
      <c r="BZ192" s="500"/>
      <c r="CA192" s="500"/>
      <c r="CB192" s="500"/>
      <c r="CC192" s="500">
        <f t="shared" ref="CC192:CH192" si="568">SUM(CC191)</f>
        <v>70703.312999999995</v>
      </c>
      <c r="CD192" s="500">
        <f t="shared" si="568"/>
        <v>75069.634000000005</v>
      </c>
      <c r="CE192" s="500">
        <f t="shared" si="568"/>
        <v>70210.047999999995</v>
      </c>
      <c r="CF192" s="500">
        <f t="shared" si="568"/>
        <v>78023.745999999999</v>
      </c>
      <c r="CG192" s="500">
        <f t="shared" si="568"/>
        <v>93770.309000000008</v>
      </c>
      <c r="CH192" s="500">
        <f t="shared" si="568"/>
        <v>89989.296000000002</v>
      </c>
      <c r="CI192" s="397"/>
      <c r="CJ192" s="1036"/>
      <c r="CK192" s="397"/>
      <c r="CL192" s="397"/>
      <c r="CM192" s="397"/>
      <c r="CN192" s="397"/>
      <c r="CO192" s="397"/>
      <c r="CP192" s="398"/>
      <c r="CQ192" s="333"/>
      <c r="CR192" s="1524"/>
      <c r="CS192" s="1016"/>
      <c r="CT192" s="500">
        <f>SUM(CT191)</f>
        <v>32053.367000000002</v>
      </c>
      <c r="CU192" s="500">
        <f>SUM(CU191)</f>
        <v>69924.712</v>
      </c>
      <c r="CV192" s="500">
        <f t="shared" ref="CV192:DA192" si="569">SUM(CV191)</f>
        <v>74548.698999999993</v>
      </c>
      <c r="CW192" s="500">
        <f t="shared" si="569"/>
        <v>75714.861000000004</v>
      </c>
      <c r="CX192" s="500">
        <f t="shared" si="569"/>
        <v>69357.372999999992</v>
      </c>
      <c r="CY192" s="500">
        <f t="shared" si="569"/>
        <v>91849.872000000003</v>
      </c>
      <c r="CZ192" s="500">
        <f t="shared" si="569"/>
        <v>91967.353000000003</v>
      </c>
      <c r="DA192" s="1016">
        <f t="shared" si="569"/>
        <v>21096.339</v>
      </c>
      <c r="DB192" s="500"/>
      <c r="DC192" s="500"/>
      <c r="DD192" s="500"/>
      <c r="DE192" s="500"/>
      <c r="DF192" s="500"/>
      <c r="DG192" s="500"/>
      <c r="DH192" s="1017"/>
    </row>
    <row r="193" spans="1:112" ht="14.25" customHeight="1">
      <c r="CL193" s="331"/>
      <c r="CN193" s="1174"/>
      <c r="CO193" s="1174"/>
      <c r="DD193" s="331"/>
      <c r="DE193" s="1174"/>
      <c r="DF193" s="1174"/>
      <c r="DG193" s="1174"/>
    </row>
    <row r="194" spans="1:112" ht="14.25" customHeight="1">
      <c r="A194" s="1"/>
      <c r="B194" s="141" t="s">
        <v>213</v>
      </c>
      <c r="C194" s="142"/>
      <c r="D194" s="569" t="str">
        <f t="shared" ref="D194:O194" si="570">D$8</f>
        <v>F1Q03A</v>
      </c>
      <c r="E194" s="570" t="str">
        <f t="shared" si="570"/>
        <v>F2Q03A</v>
      </c>
      <c r="F194" s="570" t="str">
        <f t="shared" si="570"/>
        <v>F3Q03A</v>
      </c>
      <c r="G194" s="570" t="str">
        <f t="shared" si="570"/>
        <v>F4Q03A</v>
      </c>
      <c r="H194" s="569" t="str">
        <f t="shared" si="570"/>
        <v>F1Q04A</v>
      </c>
      <c r="I194" s="570" t="str">
        <f t="shared" si="570"/>
        <v>F2Q04A</v>
      </c>
      <c r="J194" s="570" t="str">
        <f t="shared" si="570"/>
        <v>F3Q04A</v>
      </c>
      <c r="K194" s="570" t="str">
        <f t="shared" si="570"/>
        <v>F4Q04A</v>
      </c>
      <c r="L194" s="569" t="str">
        <f t="shared" si="570"/>
        <v>F1Q05A</v>
      </c>
      <c r="M194" s="570" t="str">
        <f t="shared" si="570"/>
        <v>F2Q05A</v>
      </c>
      <c r="N194" s="570" t="str">
        <f t="shared" si="570"/>
        <v>F3Q05A</v>
      </c>
      <c r="O194" s="570" t="str">
        <f t="shared" si="570"/>
        <v>F4Q05A</v>
      </c>
      <c r="P194" s="569" t="str">
        <f t="shared" ref="P194:BW194" si="571">P$8</f>
        <v>F1Q06A</v>
      </c>
      <c r="Q194" s="570" t="str">
        <f t="shared" si="571"/>
        <v>F2Q06A</v>
      </c>
      <c r="R194" s="570" t="str">
        <f t="shared" si="571"/>
        <v>F3Q06A</v>
      </c>
      <c r="S194" s="570" t="str">
        <f t="shared" si="571"/>
        <v>F4Q06A</v>
      </c>
      <c r="T194" s="569" t="str">
        <f t="shared" si="571"/>
        <v>F1Q07A</v>
      </c>
      <c r="U194" s="570" t="str">
        <f t="shared" si="571"/>
        <v>F2Q07A</v>
      </c>
      <c r="V194" s="570" t="str">
        <f t="shared" si="571"/>
        <v>F3Q07A</v>
      </c>
      <c r="W194" s="570" t="str">
        <f t="shared" si="571"/>
        <v>F4Q07A</v>
      </c>
      <c r="X194" s="569" t="str">
        <f t="shared" si="571"/>
        <v>F1Q08A</v>
      </c>
      <c r="Y194" s="570" t="str">
        <f t="shared" si="571"/>
        <v>F2Q08A</v>
      </c>
      <c r="Z194" s="570" t="str">
        <f t="shared" si="571"/>
        <v>F3Q08A</v>
      </c>
      <c r="AA194" s="570" t="str">
        <f t="shared" si="571"/>
        <v>F4Q08A</v>
      </c>
      <c r="AB194" s="569" t="str">
        <f t="shared" si="571"/>
        <v>F1Q09A</v>
      </c>
      <c r="AC194" s="570" t="str">
        <f t="shared" si="571"/>
        <v>F2Q09A</v>
      </c>
      <c r="AD194" s="570" t="str">
        <f t="shared" si="571"/>
        <v>F3Q09A</v>
      </c>
      <c r="AE194" s="570" t="str">
        <f t="shared" si="571"/>
        <v>F4Q09A</v>
      </c>
      <c r="AF194" s="569" t="str">
        <f t="shared" si="571"/>
        <v>F1Q10A</v>
      </c>
      <c r="AG194" s="570" t="str">
        <f t="shared" si="571"/>
        <v>F2Q10A</v>
      </c>
      <c r="AH194" s="570" t="str">
        <f t="shared" si="571"/>
        <v>F3Q10A</v>
      </c>
      <c r="AI194" s="570" t="str">
        <f t="shared" si="571"/>
        <v>F4Q10A</v>
      </c>
      <c r="AJ194" s="569" t="str">
        <f t="shared" si="571"/>
        <v>F1Q11A</v>
      </c>
      <c r="AK194" s="570" t="str">
        <f t="shared" si="571"/>
        <v>F2Q11A</v>
      </c>
      <c r="AL194" s="570" t="str">
        <f t="shared" si="571"/>
        <v>F3Q11A</v>
      </c>
      <c r="AM194" s="570" t="str">
        <f t="shared" si="571"/>
        <v>F4Q11A</v>
      </c>
      <c r="AN194" s="571" t="str">
        <f t="shared" si="571"/>
        <v>F1Q12A</v>
      </c>
      <c r="AO194" s="572" t="str">
        <f t="shared" si="571"/>
        <v>F2Q12A</v>
      </c>
      <c r="AP194" s="572" t="str">
        <f t="shared" si="571"/>
        <v>F3Q12A</v>
      </c>
      <c r="AQ194" s="570" t="str">
        <f t="shared" si="571"/>
        <v>F4Q12A</v>
      </c>
      <c r="AR194" s="569" t="str">
        <f t="shared" si="571"/>
        <v>F1Q13A</v>
      </c>
      <c r="AS194" s="570" t="str">
        <f t="shared" si="571"/>
        <v>F2Q13A</v>
      </c>
      <c r="AT194" s="570" t="str">
        <f t="shared" si="571"/>
        <v>F3Q13A</v>
      </c>
      <c r="AU194" s="570" t="str">
        <f t="shared" si="571"/>
        <v>F4Q13A</v>
      </c>
      <c r="AV194" s="569" t="str">
        <f t="shared" si="571"/>
        <v>F1Q14A</v>
      </c>
      <c r="AW194" s="570" t="str">
        <f t="shared" si="571"/>
        <v>F2Q14A</v>
      </c>
      <c r="AX194" s="570" t="str">
        <f t="shared" si="571"/>
        <v>F3Q14A</v>
      </c>
      <c r="AY194" s="570" t="str">
        <f t="shared" si="571"/>
        <v>F4Q14A</v>
      </c>
      <c r="AZ194" s="569" t="str">
        <f t="shared" si="571"/>
        <v>F1Q15A</v>
      </c>
      <c r="BA194" s="570" t="str">
        <f t="shared" si="571"/>
        <v>F2Q15A</v>
      </c>
      <c r="BB194" s="570" t="str">
        <f t="shared" si="571"/>
        <v>F3Q15A</v>
      </c>
      <c r="BC194" s="573" t="str">
        <f t="shared" si="571"/>
        <v>F4Q15A</v>
      </c>
      <c r="BD194" s="569" t="str">
        <f t="shared" si="571"/>
        <v>F1Q16A</v>
      </c>
      <c r="BE194" s="570" t="str">
        <f t="shared" si="571"/>
        <v>F2Q16A</v>
      </c>
      <c r="BF194" s="570" t="str">
        <f t="shared" si="571"/>
        <v>F3Q16A</v>
      </c>
      <c r="BG194" s="573" t="str">
        <f t="shared" si="571"/>
        <v>F4Q16A</v>
      </c>
      <c r="BH194" s="569" t="str">
        <f t="shared" si="571"/>
        <v>F1Q17A</v>
      </c>
      <c r="BI194" s="570" t="str">
        <f t="shared" si="571"/>
        <v>F2Q17A</v>
      </c>
      <c r="BJ194" s="570" t="str">
        <f t="shared" si="571"/>
        <v>F3Q17A</v>
      </c>
      <c r="BK194" s="573" t="str">
        <f t="shared" si="571"/>
        <v>F4Q17A</v>
      </c>
      <c r="BL194" s="569" t="str">
        <f t="shared" si="571"/>
        <v>F1Q18A</v>
      </c>
      <c r="BM194" s="1321" t="str">
        <f t="shared" si="571"/>
        <v>F2Q18A</v>
      </c>
      <c r="BN194" s="570" t="str">
        <f t="shared" si="571"/>
        <v>F3Q18A</v>
      </c>
      <c r="BO194" s="573" t="str">
        <f t="shared" si="571"/>
        <v>F4Q18E</v>
      </c>
      <c r="BP194" s="569" t="str">
        <f t="shared" si="571"/>
        <v>F1Q19E</v>
      </c>
      <c r="BQ194" s="570" t="str">
        <f t="shared" si="571"/>
        <v>F2Q19E</v>
      </c>
      <c r="BR194" s="570" t="str">
        <f t="shared" si="571"/>
        <v>F3Q19E</v>
      </c>
      <c r="BS194" s="573" t="str">
        <f t="shared" si="571"/>
        <v>F4Q19E</v>
      </c>
      <c r="BT194" s="569" t="str">
        <f t="shared" si="571"/>
        <v>F1Q20E</v>
      </c>
      <c r="BU194" s="1321" t="str">
        <f t="shared" si="571"/>
        <v>F2Q20E</v>
      </c>
      <c r="BV194" s="1321" t="str">
        <f t="shared" si="571"/>
        <v>F3Q20E</v>
      </c>
      <c r="BW194" s="573" t="str">
        <f t="shared" si="571"/>
        <v>F4Q20E</v>
      </c>
      <c r="BX194" s="20"/>
      <c r="BY194" s="570" t="str">
        <f>BY$8</f>
        <v>FY2003A</v>
      </c>
      <c r="BZ194" s="570" t="str">
        <f>BZ$8</f>
        <v>FY2004A</v>
      </c>
      <c r="CA194" s="570" t="str">
        <f>CA$8</f>
        <v>FY2005A</v>
      </c>
      <c r="CB194" s="570" t="str">
        <f t="shared" ref="CB194:DH194" si="572">CB$8</f>
        <v>FY2006A</v>
      </c>
      <c r="CC194" s="570" t="str">
        <f t="shared" si="572"/>
        <v>FY2007A</v>
      </c>
      <c r="CD194" s="570" t="str">
        <f t="shared" si="572"/>
        <v>FY2008A</v>
      </c>
      <c r="CE194" s="570" t="str">
        <f t="shared" si="572"/>
        <v>FY2009A</v>
      </c>
      <c r="CF194" s="570" t="str">
        <f t="shared" si="572"/>
        <v>FY2010A</v>
      </c>
      <c r="CG194" s="570" t="str">
        <f t="shared" si="572"/>
        <v>FY2011A</v>
      </c>
      <c r="CH194" s="570" t="str">
        <f t="shared" si="572"/>
        <v>FY2012A</v>
      </c>
      <c r="CI194" s="570" t="str">
        <f t="shared" si="572"/>
        <v>FY2013A</v>
      </c>
      <c r="CJ194" s="569" t="str">
        <f t="shared" si="572"/>
        <v>FY2014A</v>
      </c>
      <c r="CK194" s="570" t="str">
        <f t="shared" si="572"/>
        <v>FY2015A</v>
      </c>
      <c r="CL194" s="570" t="str">
        <f t="shared" si="572"/>
        <v>FY2016A</v>
      </c>
      <c r="CM194" s="570" t="str">
        <f t="shared" si="572"/>
        <v>FY2017A</v>
      </c>
      <c r="CN194" s="570" t="str">
        <f t="shared" si="572"/>
        <v>FY2018E</v>
      </c>
      <c r="CO194" s="1321" t="str">
        <f t="shared" si="572"/>
        <v>FY2019E</v>
      </c>
      <c r="CP194" s="573" t="str">
        <f t="shared" si="572"/>
        <v>FY2020E</v>
      </c>
      <c r="CQ194" s="281"/>
      <c r="CR194" s="332"/>
      <c r="CS194" s="569" t="str">
        <f t="shared" si="572"/>
        <v>CY2004</v>
      </c>
      <c r="CT194" s="570" t="str">
        <f t="shared" si="572"/>
        <v>CY2005</v>
      </c>
      <c r="CU194" s="570" t="str">
        <f t="shared" si="572"/>
        <v>CY2006</v>
      </c>
      <c r="CV194" s="570" t="str">
        <f t="shared" si="572"/>
        <v>CY2007</v>
      </c>
      <c r="CW194" s="570" t="str">
        <f t="shared" si="572"/>
        <v>CY2008</v>
      </c>
      <c r="CX194" s="570" t="str">
        <f t="shared" si="572"/>
        <v>CY2009</v>
      </c>
      <c r="CY194" s="570" t="str">
        <f t="shared" si="572"/>
        <v>CY2010</v>
      </c>
      <c r="CZ194" s="570" t="str">
        <f t="shared" si="572"/>
        <v>CY2011</v>
      </c>
      <c r="DA194" s="569" t="str">
        <f t="shared" si="572"/>
        <v>CY2012</v>
      </c>
      <c r="DB194" s="570" t="str">
        <f t="shared" si="572"/>
        <v>CY2013</v>
      </c>
      <c r="DC194" s="570" t="str">
        <f t="shared" si="572"/>
        <v>CY2014</v>
      </c>
      <c r="DD194" s="570" t="str">
        <f t="shared" si="572"/>
        <v>CY2015</v>
      </c>
      <c r="DE194" s="570" t="str">
        <f t="shared" si="572"/>
        <v>CY2016</v>
      </c>
      <c r="DF194" s="570" t="str">
        <f t="shared" si="572"/>
        <v>CY2017</v>
      </c>
      <c r="DG194" s="1321" t="str">
        <f t="shared" si="572"/>
        <v>CY2018</v>
      </c>
      <c r="DH194" s="573" t="str">
        <f t="shared" si="572"/>
        <v>CY2019</v>
      </c>
    </row>
    <row r="195" spans="1:112" ht="14.25" customHeight="1">
      <c r="B195" s="330" t="s">
        <v>210</v>
      </c>
      <c r="C195" s="332"/>
      <c r="D195" s="497"/>
      <c r="E195" s="498"/>
      <c r="F195" s="498"/>
      <c r="G195" s="499"/>
      <c r="H195" s="497"/>
      <c r="I195" s="498"/>
      <c r="J195" s="498"/>
      <c r="K195" s="499"/>
      <c r="L195" s="497"/>
      <c r="M195" s="498"/>
      <c r="N195" s="498"/>
      <c r="O195" s="499"/>
      <c r="P195" s="494"/>
      <c r="Q195" s="495">
        <f t="shared" ref="Q195:AP195" si="573">Q187/Q191</f>
        <v>0.53680578780224875</v>
      </c>
      <c r="R195" s="495">
        <f t="shared" si="573"/>
        <v>0.52937404767772667</v>
      </c>
      <c r="S195" s="496">
        <f t="shared" si="573"/>
        <v>0.5329491411988464</v>
      </c>
      <c r="T195" s="497">
        <f t="shared" si="573"/>
        <v>0.5350631053604693</v>
      </c>
      <c r="U195" s="498">
        <f t="shared" si="573"/>
        <v>0.52161151242591919</v>
      </c>
      <c r="V195" s="498">
        <f t="shared" si="573"/>
        <v>0.52407695550804545</v>
      </c>
      <c r="W195" s="499">
        <f t="shared" si="573"/>
        <v>0.49139986208368114</v>
      </c>
      <c r="X195" s="497">
        <f t="shared" si="573"/>
        <v>0.49383912483890857</v>
      </c>
      <c r="Y195" s="498">
        <f t="shared" si="573"/>
        <v>0.49093766064589822</v>
      </c>
      <c r="Z195" s="498">
        <f t="shared" si="573"/>
        <v>0.48051092250070526</v>
      </c>
      <c r="AA195" s="499">
        <f t="shared" si="573"/>
        <v>0.48480861279254645</v>
      </c>
      <c r="AB195" s="498">
        <f t="shared" si="573"/>
        <v>0.47592265353571273</v>
      </c>
      <c r="AC195" s="498">
        <f t="shared" si="573"/>
        <v>0.46667618236194591</v>
      </c>
      <c r="AD195" s="498">
        <f t="shared" si="573"/>
        <v>0.45395271331644305</v>
      </c>
      <c r="AE195" s="499">
        <f t="shared" si="573"/>
        <v>0.48230346521737666</v>
      </c>
      <c r="AF195" s="498">
        <f t="shared" si="573"/>
        <v>0.45873977224959855</v>
      </c>
      <c r="AG195" s="498">
        <f t="shared" si="573"/>
        <v>0.44690267662960054</v>
      </c>
      <c r="AH195" s="498">
        <f t="shared" si="573"/>
        <v>0.46479763315160372</v>
      </c>
      <c r="AI195" s="499">
        <f t="shared" si="573"/>
        <v>0.46975821405345447</v>
      </c>
      <c r="AJ195" s="498">
        <f t="shared" si="573"/>
        <v>0.44984211839977728</v>
      </c>
      <c r="AK195" s="498">
        <f t="shared" si="573"/>
        <v>0.45661814013923119</v>
      </c>
      <c r="AL195" s="498">
        <f t="shared" si="573"/>
        <v>0.46636059101448712</v>
      </c>
      <c r="AM195" s="499">
        <f t="shared" si="573"/>
        <v>0.46612327360594835</v>
      </c>
      <c r="AN195" s="497">
        <f t="shared" si="573"/>
        <v>0.45821348961066266</v>
      </c>
      <c r="AO195" s="498">
        <f t="shared" si="573"/>
        <v>0.4573551045801455</v>
      </c>
      <c r="AP195" s="498">
        <f t="shared" si="573"/>
        <v>0.45986213043579632</v>
      </c>
      <c r="AQ195" s="499">
        <f>AQ187/AQ191</f>
        <v>0.46249228361375877</v>
      </c>
      <c r="AR195" s="483"/>
      <c r="AS195" s="484"/>
      <c r="AT195" s="484"/>
      <c r="AU195" s="485"/>
      <c r="AV195" s="384"/>
      <c r="AW195" s="484"/>
      <c r="AX195" s="382"/>
      <c r="AY195" s="383"/>
      <c r="AZ195" s="384"/>
      <c r="BA195" s="382"/>
      <c r="BB195" s="382"/>
      <c r="BC195" s="383"/>
      <c r="BD195" s="384"/>
      <c r="BE195" s="382"/>
      <c r="BF195" s="382"/>
      <c r="BG195" s="383"/>
      <c r="BH195" s="384"/>
      <c r="BI195" s="382"/>
      <c r="BJ195" s="382"/>
      <c r="BK195" s="383"/>
      <c r="BL195" s="384"/>
      <c r="BM195" s="382"/>
      <c r="BN195" s="382"/>
      <c r="BO195" s="383"/>
      <c r="BP195" s="384"/>
      <c r="BQ195" s="382"/>
      <c r="BR195" s="382"/>
      <c r="BS195" s="383"/>
      <c r="BT195" s="384"/>
      <c r="BU195" s="382"/>
      <c r="BV195" s="382"/>
      <c r="BW195" s="383"/>
      <c r="BX195" s="378"/>
      <c r="BY195" s="509"/>
      <c r="BZ195" s="509"/>
      <c r="CA195" s="509"/>
      <c r="CB195" s="509"/>
      <c r="CC195" s="509">
        <f t="shared" ref="CC195:CG196" si="574">CC187/CC191</f>
        <v>0.51806248456843884</v>
      </c>
      <c r="CD195" s="509">
        <f t="shared" si="574"/>
        <v>0.48741784194658522</v>
      </c>
      <c r="CE195" s="509">
        <f t="shared" si="574"/>
        <v>0.46911536080989436</v>
      </c>
      <c r="CF195" s="509">
        <f t="shared" si="574"/>
        <v>0.46031092893181519</v>
      </c>
      <c r="CG195" s="509">
        <f t="shared" si="574"/>
        <v>0.45966591621234815</v>
      </c>
      <c r="CH195" s="509">
        <f>CH187/CH191</f>
        <v>0.45937715747881835</v>
      </c>
      <c r="CI195" s="364"/>
      <c r="CJ195" s="1034"/>
      <c r="CK195" s="364"/>
      <c r="CL195" s="364"/>
      <c r="CM195" s="364"/>
      <c r="CN195" s="364"/>
      <c r="CO195" s="364"/>
      <c r="CP195" s="365"/>
      <c r="CQ195" s="281"/>
      <c r="CR195" s="332"/>
      <c r="CS195" s="1018"/>
      <c r="CT195" s="509">
        <f>SUM(O195:R195)</f>
        <v>1.0661798354799754</v>
      </c>
      <c r="CU195" s="509">
        <f>SUM(S195:V195)</f>
        <v>2.1137007144932802</v>
      </c>
      <c r="CV195" s="509">
        <f>SUM(W195:Z195)</f>
        <v>1.9566875700691932</v>
      </c>
      <c r="CW195" s="509">
        <f>SUM(AA195:AD195)</f>
        <v>1.881360162006648</v>
      </c>
      <c r="CX195" s="509">
        <f>SUM(AE195:AH195)</f>
        <v>1.8527435472481795</v>
      </c>
      <c r="CY195" s="509">
        <f>SUM(AI195:AL195)</f>
        <v>1.8425790636069501</v>
      </c>
      <c r="CZ195" s="509">
        <f>SUM(AM195:AP195)</f>
        <v>1.8415539982325531</v>
      </c>
      <c r="DA195" s="1018">
        <f>SUM(AQ195:AT195)</f>
        <v>0.46249228361375877</v>
      </c>
      <c r="DB195" s="509"/>
      <c r="DC195" s="509"/>
      <c r="DD195" s="509"/>
      <c r="DE195" s="509"/>
      <c r="DF195" s="509"/>
      <c r="DG195" s="509"/>
      <c r="DH195" s="1019"/>
    </row>
    <row r="196" spans="1:112" ht="14.25" customHeight="1">
      <c r="A196" s="100"/>
      <c r="B196" s="387" t="s">
        <v>214</v>
      </c>
      <c r="C196" s="388"/>
      <c r="D196" s="487"/>
      <c r="E196" s="488"/>
      <c r="F196" s="488"/>
      <c r="G196" s="489"/>
      <c r="H196" s="487"/>
      <c r="I196" s="488"/>
      <c r="J196" s="488"/>
      <c r="K196" s="489"/>
      <c r="L196" s="487"/>
      <c r="M196" s="488"/>
      <c r="N196" s="488"/>
      <c r="O196" s="489"/>
      <c r="P196" s="487"/>
      <c r="Q196" s="488">
        <f t="shared" ref="Q196:AP196" si="575">Q188/Q192</f>
        <v>0.53680578780224875</v>
      </c>
      <c r="R196" s="488">
        <f t="shared" si="575"/>
        <v>0.52937404767772667</v>
      </c>
      <c r="S196" s="489">
        <f t="shared" si="575"/>
        <v>0.5329491411988464</v>
      </c>
      <c r="T196" s="487">
        <f t="shared" si="575"/>
        <v>0.5350631053604693</v>
      </c>
      <c r="U196" s="488">
        <f t="shared" si="575"/>
        <v>0.52161151242591919</v>
      </c>
      <c r="V196" s="488">
        <f t="shared" si="575"/>
        <v>0.52407695550804545</v>
      </c>
      <c r="W196" s="489">
        <f t="shared" si="575"/>
        <v>0.49139986208368114</v>
      </c>
      <c r="X196" s="487">
        <f t="shared" si="575"/>
        <v>0.49383912483890857</v>
      </c>
      <c r="Y196" s="488">
        <f t="shared" si="575"/>
        <v>0.49093766064589822</v>
      </c>
      <c r="Z196" s="488">
        <f t="shared" si="575"/>
        <v>0.48051092250070526</v>
      </c>
      <c r="AA196" s="489">
        <f t="shared" si="575"/>
        <v>0.48480861279254645</v>
      </c>
      <c r="AB196" s="487">
        <f t="shared" si="575"/>
        <v>0.47592265353571273</v>
      </c>
      <c r="AC196" s="488">
        <f t="shared" si="575"/>
        <v>0.46667618236194591</v>
      </c>
      <c r="AD196" s="488">
        <f t="shared" si="575"/>
        <v>0.45395271331644305</v>
      </c>
      <c r="AE196" s="489">
        <f t="shared" si="575"/>
        <v>0.48230346521737666</v>
      </c>
      <c r="AF196" s="487">
        <f t="shared" si="575"/>
        <v>0.45873977224959855</v>
      </c>
      <c r="AG196" s="488">
        <f t="shared" si="575"/>
        <v>0.44690267662960054</v>
      </c>
      <c r="AH196" s="488">
        <f t="shared" si="575"/>
        <v>0.46479763315160372</v>
      </c>
      <c r="AI196" s="489">
        <f t="shared" si="575"/>
        <v>0.46975821405345447</v>
      </c>
      <c r="AJ196" s="487">
        <f t="shared" si="575"/>
        <v>0.44984211839977728</v>
      </c>
      <c r="AK196" s="488">
        <f t="shared" si="575"/>
        <v>0.45661814013923119</v>
      </c>
      <c r="AL196" s="488">
        <f t="shared" si="575"/>
        <v>0.46636059101448712</v>
      </c>
      <c r="AM196" s="489">
        <f t="shared" si="575"/>
        <v>0.46612327360594835</v>
      </c>
      <c r="AN196" s="487">
        <f t="shared" si="575"/>
        <v>0.45821348961066266</v>
      </c>
      <c r="AO196" s="488">
        <f t="shared" si="575"/>
        <v>0.4573551045801455</v>
      </c>
      <c r="AP196" s="488">
        <f t="shared" si="575"/>
        <v>0.45986213043579632</v>
      </c>
      <c r="AQ196" s="489">
        <f>AQ188/AQ192</f>
        <v>0.46249228361375877</v>
      </c>
      <c r="AR196" s="487"/>
      <c r="AS196" s="392"/>
      <c r="AT196" s="392"/>
      <c r="AU196" s="393"/>
      <c r="AV196" s="394"/>
      <c r="AW196" s="392"/>
      <c r="AX196" s="392"/>
      <c r="AY196" s="393"/>
      <c r="AZ196" s="394"/>
      <c r="BA196" s="392"/>
      <c r="BB196" s="392"/>
      <c r="BC196" s="393"/>
      <c r="BD196" s="394"/>
      <c r="BE196" s="392"/>
      <c r="BF196" s="392"/>
      <c r="BG196" s="393"/>
      <c r="BH196" s="394"/>
      <c r="BI196" s="392"/>
      <c r="BJ196" s="392"/>
      <c r="BK196" s="393"/>
      <c r="BL196" s="394"/>
      <c r="BM196" s="392"/>
      <c r="BN196" s="392"/>
      <c r="BO196" s="393"/>
      <c r="BP196" s="394"/>
      <c r="BQ196" s="392"/>
      <c r="BR196" s="392"/>
      <c r="BS196" s="393"/>
      <c r="BT196" s="394"/>
      <c r="BU196" s="392"/>
      <c r="BV196" s="392"/>
      <c r="BW196" s="393"/>
      <c r="BX196" s="395"/>
      <c r="BY196" s="490"/>
      <c r="BZ196" s="490"/>
      <c r="CA196" s="490"/>
      <c r="CB196" s="490"/>
      <c r="CC196" s="490">
        <f t="shared" si="574"/>
        <v>0.51806248456843884</v>
      </c>
      <c r="CD196" s="490">
        <f t="shared" si="574"/>
        <v>0.48741784194658522</v>
      </c>
      <c r="CE196" s="490">
        <f t="shared" si="574"/>
        <v>0.46911536080989436</v>
      </c>
      <c r="CF196" s="490">
        <f t="shared" si="574"/>
        <v>0.46031092893181519</v>
      </c>
      <c r="CG196" s="490">
        <f t="shared" si="574"/>
        <v>0.45966591621234815</v>
      </c>
      <c r="CH196" s="490">
        <f>CH188/CH192</f>
        <v>0.45937715747881835</v>
      </c>
      <c r="CI196" s="397"/>
      <c r="CJ196" s="1036"/>
      <c r="CK196" s="397"/>
      <c r="CL196" s="397"/>
      <c r="CM196" s="397"/>
      <c r="CN196" s="397"/>
      <c r="CO196" s="397"/>
      <c r="CP196" s="398"/>
      <c r="CQ196" s="333"/>
      <c r="CR196" s="1524"/>
      <c r="CS196" s="1020"/>
      <c r="CT196" s="490">
        <f>CT188/CT192</f>
        <v>0.53299848343545309</v>
      </c>
      <c r="CU196" s="490">
        <f>CU188/CU192</f>
        <v>0.52827827163592744</v>
      </c>
      <c r="CV196" s="490">
        <f t="shared" ref="CV196:DA196" si="576">CV188/CV192</f>
        <v>0.48898082044329183</v>
      </c>
      <c r="CW196" s="490">
        <f t="shared" si="576"/>
        <v>0.47066950304511551</v>
      </c>
      <c r="CX196" s="490">
        <f t="shared" si="576"/>
        <v>0.461389202269815</v>
      </c>
      <c r="CY196" s="490">
        <f t="shared" si="576"/>
        <v>0.46036806670781205</v>
      </c>
      <c r="CZ196" s="490">
        <f t="shared" si="576"/>
        <v>0.46035516538135013</v>
      </c>
      <c r="DA196" s="1020">
        <f t="shared" si="576"/>
        <v>0.46249228361375877</v>
      </c>
      <c r="DB196" s="490"/>
      <c r="DC196" s="490"/>
      <c r="DD196" s="490"/>
      <c r="DE196" s="490"/>
      <c r="DF196" s="490"/>
      <c r="DG196" s="490"/>
      <c r="DH196" s="1021"/>
    </row>
    <row r="197" spans="1:112" ht="14.25" customHeight="1">
      <c r="CN197" s="1174"/>
      <c r="CO197" s="1174"/>
      <c r="DD197" s="331"/>
      <c r="DF197" s="1174"/>
      <c r="DG197" s="1174"/>
    </row>
    <row r="198" spans="1:112" ht="14.25" customHeight="1">
      <c r="CN198" s="1174"/>
      <c r="CO198" s="1174"/>
      <c r="CY198" s="331"/>
      <c r="DF198" s="1174"/>
      <c r="DG198" s="1174"/>
    </row>
    <row r="199" spans="1:112" ht="14.25" customHeight="1">
      <c r="CN199" s="1174"/>
      <c r="CO199" s="1174"/>
      <c r="CY199" s="331"/>
      <c r="DF199" s="1174"/>
      <c r="DG199" s="1174"/>
    </row>
    <row r="200" spans="1:112" ht="14.25" customHeight="1">
      <c r="CN200" s="1174"/>
      <c r="CO200" s="1174"/>
      <c r="CY200" s="331"/>
      <c r="DF200" s="1174"/>
      <c r="DG200" s="1174"/>
    </row>
    <row r="201" spans="1:112" ht="14.25" customHeight="1">
      <c r="CN201" s="1174"/>
      <c r="CO201" s="1174"/>
      <c r="CY201" s="331"/>
      <c r="DF201" s="1174"/>
      <c r="DG201" s="1174"/>
    </row>
    <row r="202" spans="1:112" ht="14.25" customHeight="1">
      <c r="CN202" s="1174"/>
      <c r="CO202" s="1174"/>
      <c r="CY202" s="331"/>
      <c r="DF202" s="1174"/>
      <c r="DG202" s="1174"/>
    </row>
    <row r="203" spans="1:112" ht="14.25" customHeight="1">
      <c r="CN203" s="1174"/>
      <c r="CO203" s="1174"/>
      <c r="CY203" s="331"/>
      <c r="DF203" s="1174"/>
      <c r="DG203" s="1174"/>
    </row>
    <row r="204" spans="1:112" ht="14.25" customHeight="1">
      <c r="CN204" s="1174"/>
      <c r="CO204" s="1174"/>
      <c r="CY204" s="331"/>
      <c r="DF204" s="1174"/>
      <c r="DG204" s="1174"/>
    </row>
    <row r="205" spans="1:112" ht="14.25" customHeight="1">
      <c r="CN205" s="1174"/>
      <c r="CO205" s="1174"/>
      <c r="CY205" s="331"/>
      <c r="DF205" s="1174"/>
      <c r="DG205" s="1174"/>
    </row>
    <row r="206" spans="1:112" ht="14.25" customHeight="1">
      <c r="CN206" s="1174"/>
      <c r="CO206" s="1174"/>
      <c r="CY206" s="331"/>
      <c r="DF206" s="1174"/>
      <c r="DG206" s="1174"/>
    </row>
    <row r="207" spans="1:112" ht="14.25" customHeight="1">
      <c r="CN207" s="1174"/>
      <c r="CO207" s="1174"/>
      <c r="CY207" s="331"/>
      <c r="DF207" s="1174"/>
      <c r="DG207" s="1174"/>
    </row>
    <row r="208" spans="1:112" ht="14.25" customHeight="1">
      <c r="CN208" s="1174"/>
      <c r="CO208" s="1174"/>
      <c r="CY208" s="331"/>
      <c r="DF208" s="1174"/>
      <c r="DG208" s="1174"/>
    </row>
    <row r="209" spans="1:111" ht="14.25" customHeight="1">
      <c r="CN209" s="1174"/>
      <c r="CO209" s="1174"/>
      <c r="CY209" s="331"/>
      <c r="DF209" s="1174"/>
      <c r="DG209" s="1174"/>
    </row>
    <row r="210" spans="1:111" ht="14.25" customHeight="1">
      <c r="CN210" s="1174"/>
      <c r="CO210" s="1174"/>
      <c r="CY210" s="331"/>
      <c r="DF210" s="1174"/>
      <c r="DG210" s="1174"/>
    </row>
    <row r="211" spans="1:111" ht="14.25" customHeight="1">
      <c r="CN211" s="1174"/>
      <c r="CO211" s="1174"/>
      <c r="CY211" s="331"/>
      <c r="DF211" s="1174"/>
      <c r="DG211" s="1174"/>
    </row>
    <row r="212" spans="1:111" ht="14.25" customHeight="1">
      <c r="CN212" s="1174"/>
      <c r="CO212" s="1174"/>
      <c r="CY212" s="331"/>
      <c r="DF212" s="1174"/>
      <c r="DG212" s="1174"/>
    </row>
    <row r="213" spans="1:111" ht="14.25" customHeight="1">
      <c r="CN213" s="1174"/>
      <c r="CO213" s="1174"/>
      <c r="CY213" s="331"/>
      <c r="DF213" s="1174"/>
      <c r="DG213" s="1174"/>
    </row>
    <row r="214" spans="1:111" ht="14.25" customHeight="1">
      <c r="CN214" s="1174"/>
      <c r="CO214" s="1174"/>
      <c r="CY214" s="331"/>
      <c r="DF214" s="1174"/>
      <c r="DG214" s="1174"/>
    </row>
    <row r="215" spans="1:111" ht="14.25" customHeight="1">
      <c r="CN215" s="1174"/>
      <c r="CO215" s="1174"/>
      <c r="CY215" s="331"/>
      <c r="DF215" s="1174"/>
      <c r="DG215" s="1174"/>
    </row>
    <row r="216" spans="1:111" ht="14.25" customHeight="1">
      <c r="CN216" s="1174"/>
      <c r="CO216" s="1174"/>
      <c r="CY216" s="331"/>
      <c r="DF216" s="1174"/>
      <c r="DG216" s="1174"/>
    </row>
    <row r="217" spans="1:111" ht="14.25" customHeight="1">
      <c r="CN217" s="1174"/>
      <c r="CO217" s="1174"/>
      <c r="CY217" s="331"/>
      <c r="DF217" s="1174"/>
      <c r="DG217" s="1174"/>
    </row>
    <row r="218" spans="1:111" ht="14.25" customHeight="1">
      <c r="CN218" s="1174"/>
      <c r="CO218" s="1174"/>
      <c r="CY218" s="331"/>
      <c r="DF218" s="1174"/>
      <c r="DG218" s="1174"/>
    </row>
    <row r="219" spans="1:111" ht="14.25" customHeight="1">
      <c r="CN219" s="1174"/>
      <c r="CO219" s="1174"/>
      <c r="CY219" s="331"/>
      <c r="DF219" s="1174"/>
      <c r="DG219" s="1174"/>
    </row>
    <row r="220" spans="1:111" ht="14.25" customHeight="1">
      <c r="CN220" s="1174"/>
      <c r="CO220" s="1174"/>
      <c r="CY220" s="331"/>
      <c r="DF220" s="1174"/>
      <c r="DG220" s="1174"/>
    </row>
    <row r="221" spans="1:111" ht="14.25" customHeight="1">
      <c r="CN221" s="1174"/>
      <c r="CO221" s="1174"/>
      <c r="CY221" s="331"/>
      <c r="DF221" s="1174"/>
      <c r="DG221" s="1174"/>
    </row>
    <row r="222" spans="1:111" ht="14.25" customHeight="1">
      <c r="CN222" s="1174"/>
      <c r="CO222" s="1174"/>
      <c r="CY222" s="331"/>
      <c r="DF222" s="1174"/>
      <c r="DG222" s="1174"/>
    </row>
    <row r="223" spans="1:111" ht="14.25" customHeight="1">
      <c r="A223" s="3"/>
      <c r="B223" s="272"/>
      <c r="C223" s="272"/>
      <c r="D223" s="272">
        <f>IS!D$180</f>
        <v>0</v>
      </c>
      <c r="E223" s="272">
        <f>IS!E$180</f>
        <v>0</v>
      </c>
      <c r="F223" s="272">
        <f>IS!F$180</f>
        <v>0</v>
      </c>
      <c r="G223" s="272">
        <f>IS!G$180</f>
        <v>0</v>
      </c>
      <c r="H223" s="272">
        <f>IS!H$180</f>
        <v>0</v>
      </c>
      <c r="I223" s="272">
        <f>IS!I$180</f>
        <v>0</v>
      </c>
      <c r="J223" s="272">
        <f>IS!J$180</f>
        <v>0</v>
      </c>
      <c r="K223" s="272">
        <f>IS!K$180</f>
        <v>0</v>
      </c>
      <c r="L223" s="272">
        <f>IS!L$180</f>
        <v>0</v>
      </c>
      <c r="M223" s="272">
        <f>IS!M$180</f>
        <v>0</v>
      </c>
      <c r="N223" s="272">
        <f>IS!N$180</f>
        <v>0</v>
      </c>
      <c r="O223" s="272">
        <f>IS!O$180</f>
        <v>0</v>
      </c>
      <c r="P223" s="272">
        <f>IS!P$180</f>
        <v>0</v>
      </c>
      <c r="Q223" s="272">
        <f>IS!Q$180</f>
        <v>0</v>
      </c>
      <c r="R223" s="272">
        <f>IS!R$180</f>
        <v>0</v>
      </c>
      <c r="S223" s="272">
        <f>IS!S$180</f>
        <v>0</v>
      </c>
      <c r="T223" s="272">
        <f>IS!T$180</f>
        <v>0</v>
      </c>
      <c r="U223" s="272">
        <f>IS!U$180</f>
        <v>0</v>
      </c>
      <c r="V223" s="272">
        <f>IS!V$180</f>
        <v>0</v>
      </c>
      <c r="W223" s="272">
        <f>IS!W$180</f>
        <v>0</v>
      </c>
      <c r="X223" s="272">
        <f>IS!X$180</f>
        <v>0</v>
      </c>
      <c r="Y223" s="272">
        <f>IS!Y$180</f>
        <v>0</v>
      </c>
      <c r="Z223" s="272">
        <f>IS!Z$180</f>
        <v>0</v>
      </c>
      <c r="AA223" s="272">
        <f>IS!AA$180</f>
        <v>0</v>
      </c>
      <c r="AB223" s="272">
        <f>IS!AB$180</f>
        <v>0</v>
      </c>
      <c r="AC223" s="272">
        <f>IS!AC$180</f>
        <v>0</v>
      </c>
      <c r="AD223" s="272">
        <f>IS!AD$180</f>
        <v>0</v>
      </c>
      <c r="AE223" s="272">
        <f>IS!AE$180</f>
        <v>0</v>
      </c>
      <c r="AF223" s="272">
        <f>IS!AF$180</f>
        <v>0</v>
      </c>
      <c r="AG223" s="272">
        <f>IS!AG$180</f>
        <v>0</v>
      </c>
      <c r="AH223" s="272">
        <f>IS!AH$180</f>
        <v>0</v>
      </c>
      <c r="AI223" s="272">
        <f>IS!AI$180</f>
        <v>0</v>
      </c>
      <c r="AJ223" s="272">
        <f>IS!AJ$180</f>
        <v>0</v>
      </c>
      <c r="AK223" s="272">
        <f>IS!AK$180</f>
        <v>0</v>
      </c>
      <c r="AL223" s="272">
        <f>IS!AL$180</f>
        <v>0</v>
      </c>
      <c r="AM223" s="272">
        <f>IS!AM$180</f>
        <v>0</v>
      </c>
      <c r="AN223" s="272">
        <f>IS!AN$180</f>
        <v>0</v>
      </c>
      <c r="AO223" s="272">
        <f>IS!AO$180</f>
        <v>0</v>
      </c>
      <c r="AP223" s="272">
        <f>IS!AP$180</f>
        <v>0</v>
      </c>
      <c r="AQ223" s="272">
        <f>IS!AQ$180</f>
        <v>0</v>
      </c>
      <c r="AR223" s="272">
        <f>IS!AR$180</f>
        <v>0</v>
      </c>
      <c r="AS223" s="272">
        <f>IS!AS$180</f>
        <v>0</v>
      </c>
      <c r="AT223" s="272">
        <f>IS!AT$180</f>
        <v>0</v>
      </c>
      <c r="AU223" s="272">
        <f>IS!AU$180</f>
        <v>0</v>
      </c>
      <c r="AV223" s="272">
        <f>IS!AV$180</f>
        <v>0</v>
      </c>
      <c r="AW223" s="272">
        <f>IS!AW$180</f>
        <v>0</v>
      </c>
      <c r="AX223" s="272">
        <f>IS!AX$180</f>
        <v>0</v>
      </c>
      <c r="AY223" s="272">
        <f>IS!AY$180</f>
        <v>0</v>
      </c>
      <c r="AZ223" s="272">
        <f>IS!AZ$180</f>
        <v>0</v>
      </c>
      <c r="BA223" s="272">
        <f>IS!BA$180</f>
        <v>0</v>
      </c>
      <c r="BB223" s="272">
        <f>IS!BB$180</f>
        <v>0</v>
      </c>
      <c r="BC223" s="272">
        <f>IS!BC$180</f>
        <v>0</v>
      </c>
      <c r="BD223" s="272">
        <f>IS!BD$180</f>
        <v>0</v>
      </c>
      <c r="BE223" s="272">
        <f>IS!BE$180</f>
        <v>0</v>
      </c>
      <c r="BF223" s="272">
        <f>IS!BF$180</f>
        <v>0</v>
      </c>
      <c r="BG223" s="272">
        <f>IS!BG$180</f>
        <v>0</v>
      </c>
      <c r="BH223" s="272">
        <f>IS!BH$180</f>
        <v>0</v>
      </c>
      <c r="BI223" s="272">
        <f>IS!BI$180</f>
        <v>0</v>
      </c>
      <c r="BJ223" s="272">
        <f>IS!BJ$180</f>
        <v>0</v>
      </c>
      <c r="BK223" s="272">
        <f>IS!BK$180</f>
        <v>0</v>
      </c>
      <c r="BL223" s="272">
        <f>IS!BL$180</f>
        <v>0</v>
      </c>
      <c r="BM223" s="272">
        <f>IS!BM$180</f>
        <v>0</v>
      </c>
      <c r="BN223" s="272">
        <f>IS!BN$180</f>
        <v>0</v>
      </c>
      <c r="BO223" s="272">
        <f>IS!BO$180</f>
        <v>0</v>
      </c>
      <c r="BP223" s="272">
        <f>IS!BP$180</f>
        <v>0</v>
      </c>
      <c r="BQ223" s="272">
        <f>IS!BQ$180</f>
        <v>0</v>
      </c>
      <c r="BR223" s="272">
        <f>IS!BR$180</f>
        <v>0</v>
      </c>
      <c r="BS223" s="272">
        <f>IS!BS$180</f>
        <v>0</v>
      </c>
      <c r="BT223" s="272"/>
      <c r="BU223" s="272"/>
      <c r="BV223" s="272"/>
      <c r="BW223" s="272"/>
      <c r="BX223" s="3"/>
      <c r="BY223" s="3">
        <f>IS!BY$180</f>
        <v>0</v>
      </c>
      <c r="BZ223" s="3">
        <f>IS!BZ$180</f>
        <v>0</v>
      </c>
      <c r="CA223" s="3">
        <f>IS!CA$180</f>
        <v>0</v>
      </c>
      <c r="CB223" s="3">
        <f>IS!CB$180</f>
        <v>0</v>
      </c>
      <c r="CC223" s="3">
        <f>IS!CC$180</f>
        <v>0</v>
      </c>
      <c r="CD223" s="3">
        <f>IS!CD$180</f>
        <v>0</v>
      </c>
      <c r="CE223" s="3">
        <f>IS!CE$180</f>
        <v>0</v>
      </c>
      <c r="CF223" s="3">
        <f>IS!CF$180</f>
        <v>0</v>
      </c>
      <c r="CG223" s="3">
        <f>IS!CG$180</f>
        <v>0</v>
      </c>
      <c r="CH223" s="3">
        <f>IS!CH$180</f>
        <v>0</v>
      </c>
      <c r="CI223" s="3">
        <f>IS!CI$180</f>
        <v>0</v>
      </c>
      <c r="CJ223" s="3">
        <f>IS!CJ$180</f>
        <v>0</v>
      </c>
      <c r="CK223" s="3">
        <f>IS!CK$180</f>
        <v>0</v>
      </c>
      <c r="CL223" s="3">
        <f>IS!CL$180</f>
        <v>0</v>
      </c>
      <c r="CM223" s="3">
        <f>IS!CM$180</f>
        <v>0</v>
      </c>
      <c r="CN223" s="272">
        <f>IS!CN$180</f>
        <v>0</v>
      </c>
      <c r="CO223" s="272">
        <f>IS!CO$180</f>
        <v>0</v>
      </c>
      <c r="CP223" s="272">
        <f>IS!CP$180</f>
        <v>0</v>
      </c>
      <c r="DF223" s="1174"/>
      <c r="DG223" s="1174"/>
    </row>
    <row r="224" spans="1:111" ht="14.25" customHeight="1">
      <c r="A224" s="5"/>
      <c r="B224" s="178" t="s">
        <v>20</v>
      </c>
      <c r="C224" s="178"/>
      <c r="D224" s="273" t="e">
        <f>IS!D$181</f>
        <v>#NAME?</v>
      </c>
      <c r="E224" s="273" t="e">
        <f>IS!E$181</f>
        <v>#NAME?</v>
      </c>
      <c r="F224" s="273" t="e">
        <f>IS!F$181</f>
        <v>#NAME?</v>
      </c>
      <c r="G224" s="273" t="e">
        <f>IS!G$181</f>
        <v>#NAME?</v>
      </c>
      <c r="H224" s="273" t="e">
        <f>IS!H$181</f>
        <v>#NAME?</v>
      </c>
      <c r="I224" s="273" t="e">
        <f>IS!I$181</f>
        <v>#NAME?</v>
      </c>
      <c r="J224" s="273" t="e">
        <f>IS!J$181</f>
        <v>#NAME?</v>
      </c>
      <c r="K224" s="273" t="e">
        <f>IS!K$181</f>
        <v>#NAME?</v>
      </c>
      <c r="L224" s="273" t="e">
        <f>IS!L$181</f>
        <v>#NAME?</v>
      </c>
      <c r="M224" s="273" t="e">
        <f>IS!M$181</f>
        <v>#NAME?</v>
      </c>
      <c r="N224" s="273" t="e">
        <f>IS!N$181</f>
        <v>#NAME?</v>
      </c>
      <c r="O224" s="273" t="e">
        <f>IS!O$181</f>
        <v>#NAME?</v>
      </c>
      <c r="P224" s="273" t="e">
        <f>IS!P$181</f>
        <v>#NAME?</v>
      </c>
      <c r="Q224" s="273" t="e">
        <f>IS!Q$181</f>
        <v>#NAME?</v>
      </c>
      <c r="R224" s="273" t="e">
        <f>IS!R$181</f>
        <v>#NAME?</v>
      </c>
      <c r="S224" s="273" t="e">
        <f>IS!S$181</f>
        <v>#NAME?</v>
      </c>
      <c r="T224" s="273" t="e">
        <f>IS!T$181</f>
        <v>#NAME?</v>
      </c>
      <c r="U224" s="273" t="e">
        <f>IS!U$181</f>
        <v>#NAME?</v>
      </c>
      <c r="V224" s="273" t="e">
        <f>IS!V$181</f>
        <v>#NAME?</v>
      </c>
      <c r="W224" s="273" t="e">
        <f>IS!W$181</f>
        <v>#NAME?</v>
      </c>
      <c r="X224" s="273" t="e">
        <f>IS!X$181</f>
        <v>#NAME?</v>
      </c>
      <c r="Y224" s="273" t="e">
        <f>IS!Y$181</f>
        <v>#NAME?</v>
      </c>
      <c r="Z224" s="273" t="e">
        <f>IS!Z$181</f>
        <v>#NAME?</v>
      </c>
      <c r="AA224" s="273" t="e">
        <f>IS!AA$181</f>
        <v>#NAME?</v>
      </c>
      <c r="AB224" s="273" t="e">
        <f>IS!AB$181</f>
        <v>#NAME?</v>
      </c>
      <c r="AC224" s="273" t="e">
        <f>IS!AC$181</f>
        <v>#NAME?</v>
      </c>
      <c r="AD224" s="273" t="e">
        <f>IS!AD$181</f>
        <v>#NAME?</v>
      </c>
      <c r="AE224" s="273" t="e">
        <f>IS!AE$181</f>
        <v>#NAME?</v>
      </c>
      <c r="AF224" s="273" t="e">
        <f>IS!AF$181</f>
        <v>#NAME?</v>
      </c>
      <c r="AG224" s="273" t="e">
        <f>IS!AG$181</f>
        <v>#NAME?</v>
      </c>
      <c r="AH224" s="273" t="e">
        <f>IS!AH$181</f>
        <v>#NAME?</v>
      </c>
      <c r="AI224" s="273" t="e">
        <f>IS!AI$181</f>
        <v>#NAME?</v>
      </c>
      <c r="AJ224" s="273" t="e">
        <f>IS!AJ$181</f>
        <v>#NAME?</v>
      </c>
      <c r="AK224" s="273" t="e">
        <f>IS!AK$181</f>
        <v>#NAME?</v>
      </c>
      <c r="AL224" s="273" t="e">
        <f>IS!AL$181</f>
        <v>#NAME?</v>
      </c>
      <c r="AM224" s="273" t="e">
        <f>IS!AM$181</f>
        <v>#NAME?</v>
      </c>
      <c r="AN224" s="519" t="e">
        <f>IS!AN$181</f>
        <v>#NAME?</v>
      </c>
      <c r="AO224" s="519" t="e">
        <f>IS!AO$181</f>
        <v>#NAME?</v>
      </c>
      <c r="AP224" s="273" t="e">
        <f>IS!AP$181</f>
        <v>#NAME?</v>
      </c>
      <c r="AQ224" s="273" t="e">
        <f>IS!AQ$181</f>
        <v>#NAME?</v>
      </c>
      <c r="AR224" s="273" t="e">
        <f>IS!AR$181</f>
        <v>#NAME?</v>
      </c>
      <c r="AS224" s="273" t="e">
        <f>IS!AS$181</f>
        <v>#NAME?</v>
      </c>
      <c r="AT224" s="273" t="e">
        <f>IS!AT$181</f>
        <v>#NAME?</v>
      </c>
      <c r="AU224" s="273" t="e">
        <f>IS!AU$181</f>
        <v>#NAME?</v>
      </c>
      <c r="AV224" s="273" t="e">
        <f>IS!AV$181</f>
        <v>#NAME?</v>
      </c>
      <c r="AW224" s="273" t="e">
        <f>IS!AW$181</f>
        <v>#NAME?</v>
      </c>
      <c r="AX224" s="273" t="e">
        <f>IS!AX$181</f>
        <v>#NAME?</v>
      </c>
      <c r="AY224" s="273" t="e">
        <f>IS!AY$181</f>
        <v>#NAME?</v>
      </c>
      <c r="AZ224" s="273" t="e">
        <f>IS!AZ$181</f>
        <v>#NAME?</v>
      </c>
      <c r="BA224" s="273" t="e">
        <f>IS!BA$181</f>
        <v>#NAME?</v>
      </c>
      <c r="BB224" s="273" t="e">
        <f>IS!BB$181</f>
        <v>#NAME?</v>
      </c>
      <c r="BC224" s="273" t="e">
        <f>IS!BC$181</f>
        <v>#NAME?</v>
      </c>
      <c r="BD224" s="273" t="e">
        <f>IS!BD$181</f>
        <v>#NAME?</v>
      </c>
      <c r="BE224" s="273" t="e">
        <f>IS!BE$181</f>
        <v>#NAME?</v>
      </c>
      <c r="BF224" s="273" t="e">
        <f>IS!BF$181</f>
        <v>#NAME?</v>
      </c>
      <c r="BG224" s="273" t="e">
        <f>IS!BG$181</f>
        <v>#NAME?</v>
      </c>
      <c r="BH224" s="273" t="e">
        <f>IS!BH$181</f>
        <v>#NAME?</v>
      </c>
      <c r="BI224" s="273" t="e">
        <f>IS!BI$181</f>
        <v>#NAME?</v>
      </c>
      <c r="BJ224" s="273" t="e">
        <f>IS!BJ$181</f>
        <v>#NAME?</v>
      </c>
      <c r="BK224" s="273" t="e">
        <f>IS!BK$181</f>
        <v>#NAME?</v>
      </c>
      <c r="BL224" s="273" t="e">
        <f>IS!BL$181</f>
        <v>#NAME?</v>
      </c>
      <c r="BM224" s="273" t="e">
        <f>IS!BM$181</f>
        <v>#NAME?</v>
      </c>
      <c r="BN224" s="273" t="e">
        <f>IS!BN$181</f>
        <v>#NAME?</v>
      </c>
      <c r="BO224" s="273" t="e">
        <f>IS!BO$181</f>
        <v>#NAME?</v>
      </c>
      <c r="BP224" s="273" t="e">
        <f>IS!BP$181</f>
        <v>#NAME?</v>
      </c>
      <c r="BQ224" s="273" t="e">
        <f>IS!BQ$181</f>
        <v>#NAME?</v>
      </c>
      <c r="BR224" s="273" t="e">
        <f>IS!BR$181</f>
        <v>#NAME?</v>
      </c>
      <c r="BS224" s="273" t="e">
        <f>IS!BS$181</f>
        <v>#NAME?</v>
      </c>
      <c r="BT224" s="273"/>
      <c r="BU224" s="273"/>
      <c r="BV224" s="273"/>
      <c r="BW224" s="273"/>
      <c r="BX224" s="294"/>
      <c r="BY224" s="273" t="e">
        <f>IS!BY$181</f>
        <v>#NAME?</v>
      </c>
      <c r="BZ224" s="273" t="e">
        <f>IS!BZ$181</f>
        <v>#NAME?</v>
      </c>
      <c r="CA224" s="273" t="e">
        <f>IS!CA$181</f>
        <v>#NAME?</v>
      </c>
      <c r="CB224" s="273" t="e">
        <f>IS!CB$181</f>
        <v>#NAME?</v>
      </c>
      <c r="CC224" s="273" t="e">
        <f>IS!CC$181</f>
        <v>#NAME?</v>
      </c>
      <c r="CD224" s="273" t="e">
        <f>IS!CD$181</f>
        <v>#NAME?</v>
      </c>
      <c r="CE224" s="273" t="e">
        <f>IS!CE$181</f>
        <v>#NAME?</v>
      </c>
      <c r="CF224" s="273" t="e">
        <f>IS!CF$181</f>
        <v>#NAME?</v>
      </c>
      <c r="CG224" s="273" t="e">
        <f>IS!CG$181</f>
        <v>#NAME?</v>
      </c>
      <c r="CH224" s="273" t="e">
        <f>IS!CH$181</f>
        <v>#NAME?</v>
      </c>
      <c r="CI224" s="273" t="e">
        <f>IS!CI$181</f>
        <v>#NAME?</v>
      </c>
      <c r="CJ224" s="273" t="e">
        <f>IS!CJ$181</f>
        <v>#NAME?</v>
      </c>
      <c r="CK224" s="273" t="e">
        <f>IS!CK$181</f>
        <v>#NAME?</v>
      </c>
      <c r="CL224" s="273" t="e">
        <f>IS!CL$181</f>
        <v>#NAME?</v>
      </c>
      <c r="CM224" s="273" t="e">
        <f>IS!CM$181</f>
        <v>#NAME?</v>
      </c>
      <c r="CN224" t="e">
        <f>IS!CN$181</f>
        <v>#NAME?</v>
      </c>
      <c r="CO224" s="1474" t="e">
        <f>IS!CO$181</f>
        <v>#NAME?</v>
      </c>
      <c r="CP224" s="1474" t="e">
        <f>IS!CP$181</f>
        <v>#NAME?</v>
      </c>
      <c r="DF224" s="1174"/>
      <c r="DG224" s="1174"/>
    </row>
    <row r="225" spans="92:111" ht="14.25" customHeight="1">
      <c r="CN225" s="1174"/>
      <c r="CO225" s="1174"/>
      <c r="DF225" s="1174"/>
      <c r="DG225" s="1174"/>
    </row>
    <row r="226" spans="92:111" ht="14.25" customHeight="1">
      <c r="CN226" s="1174"/>
      <c r="CO226" s="1174"/>
      <c r="DF226" s="1174"/>
      <c r="DG226" s="1174"/>
    </row>
    <row r="227" spans="92:111" ht="14.25" customHeight="1">
      <c r="CN227" s="1174"/>
      <c r="CO227" s="1174"/>
      <c r="DF227" s="1174"/>
      <c r="DG227" s="1174"/>
    </row>
    <row r="228" spans="92:111" ht="14.25" customHeight="1">
      <c r="CN228" s="1174"/>
      <c r="CO228" s="1174"/>
      <c r="DF228" s="1174"/>
      <c r="DG228" s="1174"/>
    </row>
    <row r="229" spans="92:111" ht="14.25" customHeight="1">
      <c r="CN229" s="1174"/>
      <c r="CO229" s="1174"/>
      <c r="DF229" s="1174"/>
      <c r="DG229" s="1174"/>
    </row>
    <row r="230" spans="92:111" ht="14.25" customHeight="1">
      <c r="CN230" s="1174"/>
      <c r="CO230" s="1174"/>
      <c r="DF230" s="1174"/>
      <c r="DG230" s="1174"/>
    </row>
    <row r="231" spans="92:111" ht="14.25" customHeight="1">
      <c r="CN231" s="1174"/>
      <c r="CO231" s="1174"/>
      <c r="DF231" s="1174"/>
      <c r="DG231" s="1174"/>
    </row>
    <row r="232" spans="92:111" ht="14.25" customHeight="1">
      <c r="CN232" s="1174"/>
      <c r="CO232" s="1174"/>
      <c r="DF232" s="1174"/>
      <c r="DG232" s="1174"/>
    </row>
    <row r="233" spans="92:111" ht="14.25" customHeight="1">
      <c r="CN233" s="1174"/>
      <c r="CO233" s="1174"/>
      <c r="DF233" s="1174"/>
      <c r="DG233" s="1174"/>
    </row>
    <row r="234" spans="92:111" ht="14.25" customHeight="1">
      <c r="CN234" s="1174"/>
      <c r="CO234" s="1174"/>
      <c r="DF234" s="1174"/>
      <c r="DG234" s="1174"/>
    </row>
    <row r="235" spans="92:111" ht="14.25" customHeight="1">
      <c r="CN235" s="1174"/>
      <c r="CO235" s="1174"/>
      <c r="DF235" s="1174"/>
      <c r="DG235" s="1174"/>
    </row>
    <row r="236" spans="92:111" ht="14.25" customHeight="1">
      <c r="CN236" s="1174"/>
      <c r="CO236" s="1174"/>
      <c r="DF236" s="1174"/>
      <c r="DG236" s="1174"/>
    </row>
    <row r="237" spans="92:111" ht="14.25" customHeight="1">
      <c r="CN237" s="1174"/>
      <c r="CO237" s="1174"/>
      <c r="DF237" s="1174"/>
      <c r="DG237" s="1174"/>
    </row>
    <row r="238" spans="92:111" ht="14.25" customHeight="1">
      <c r="CN238" s="1174"/>
      <c r="CO238" s="1174"/>
      <c r="DF238" s="1174"/>
      <c r="DG238" s="1174"/>
    </row>
    <row r="239" spans="92:111" ht="14.25" customHeight="1">
      <c r="CN239" s="1174"/>
      <c r="CO239" s="1174"/>
      <c r="DF239" s="1174"/>
      <c r="DG239" s="1174"/>
    </row>
    <row r="240" spans="92:111" ht="14.25" customHeight="1">
      <c r="CN240" s="1174"/>
      <c r="CO240" s="1174"/>
      <c r="DF240" s="1174"/>
      <c r="DG240" s="1174"/>
    </row>
    <row r="241" spans="92:111" ht="14.25" customHeight="1">
      <c r="CN241" s="1174"/>
      <c r="CO241" s="1174"/>
      <c r="DF241" s="1174"/>
      <c r="DG241" s="1174"/>
    </row>
    <row r="242" spans="92:111" ht="14.25" customHeight="1">
      <c r="CN242" s="1174"/>
      <c r="CO242" s="1174"/>
      <c r="DF242" s="1174"/>
      <c r="DG242" s="1174"/>
    </row>
    <row r="243" spans="92:111" ht="14.25" customHeight="1">
      <c r="CN243" s="1174"/>
      <c r="CO243" s="1174"/>
      <c r="DF243" s="1174"/>
      <c r="DG243" s="1174"/>
    </row>
    <row r="244" spans="92:111" ht="14.25" customHeight="1">
      <c r="CN244" s="1174"/>
      <c r="CO244" s="1174"/>
      <c r="DF244" s="1174"/>
      <c r="DG244" s="1174"/>
    </row>
    <row r="245" spans="92:111" ht="14.25" customHeight="1">
      <c r="CN245" s="1174"/>
      <c r="CO245" s="1174"/>
      <c r="DF245" s="1174"/>
      <c r="DG245" s="1174"/>
    </row>
    <row r="246" spans="92:111" ht="14.25" customHeight="1">
      <c r="CN246" s="1174"/>
      <c r="CO246" s="1174"/>
      <c r="DF246" s="1174"/>
      <c r="DG246" s="1174"/>
    </row>
    <row r="247" spans="92:111" ht="14.25" customHeight="1">
      <c r="CN247" s="1174"/>
      <c r="CO247" s="1174"/>
      <c r="DF247" s="1174"/>
      <c r="DG247" s="1174"/>
    </row>
    <row r="248" spans="92:111" ht="14.25" customHeight="1">
      <c r="CN248" s="1174"/>
      <c r="CO248" s="1174"/>
      <c r="DF248" s="1174"/>
      <c r="DG248" s="1174"/>
    </row>
    <row r="249" spans="92:111" ht="14.25" customHeight="1">
      <c r="CN249" s="1174"/>
      <c r="CO249" s="1174"/>
      <c r="DF249" s="1174"/>
      <c r="DG249" s="1174"/>
    </row>
    <row r="250" spans="92:111" ht="14.25" customHeight="1">
      <c r="DF250" s="1174"/>
      <c r="DG250" s="1174"/>
    </row>
    <row r="251" spans="92:111" ht="14.25" customHeight="1">
      <c r="DF251" s="1174"/>
      <c r="DG251" s="1174"/>
    </row>
    <row r="252" spans="92:111" ht="14.25" customHeight="1">
      <c r="DF252" s="1174"/>
      <c r="DG252" s="1174"/>
    </row>
    <row r="253" spans="92:111" ht="14.25" customHeight="1">
      <c r="DF253" s="1174"/>
      <c r="DG253" s="1174"/>
    </row>
    <row r="254" spans="92:111" ht="14.25" customHeight="1">
      <c r="DF254" s="1174"/>
      <c r="DG254" s="1174"/>
    </row>
    <row r="255" spans="92:111" ht="14.25" customHeight="1">
      <c r="DF255" s="1174"/>
      <c r="DG255" s="1174"/>
    </row>
    <row r="256" spans="92:111" ht="14.25" customHeight="1">
      <c r="DF256" s="1174"/>
      <c r="DG256" s="1174"/>
    </row>
    <row r="257" spans="110:111" ht="14.25" customHeight="1">
      <c r="DF257" s="1174"/>
      <c r="DG257" s="1174"/>
    </row>
    <row r="258" spans="110:111" ht="14.25" customHeight="1">
      <c r="DF258" s="1174"/>
      <c r="DG258" s="1174"/>
    </row>
    <row r="259" spans="110:111" ht="14.25" customHeight="1">
      <c r="DF259" s="1174"/>
      <c r="DG259" s="1174"/>
    </row>
    <row r="260" spans="110:111" ht="14.25" customHeight="1">
      <c r="DF260" s="1174"/>
      <c r="DG260" s="1174"/>
    </row>
    <row r="261" spans="110:111" ht="14.25" customHeight="1">
      <c r="DF261" s="1174"/>
      <c r="DG261" s="1174"/>
    </row>
    <row r="262" spans="110:111" ht="14.25" customHeight="1">
      <c r="DF262" s="1174"/>
      <c r="DG262" s="1174"/>
    </row>
    <row r="263" spans="110:111" ht="14.25" customHeight="1">
      <c r="DF263" s="1174"/>
      <c r="DG263" s="1174"/>
    </row>
    <row r="264" spans="110:111" ht="14.25" customHeight="1">
      <c r="DF264" s="1174"/>
      <c r="DG264" s="1174"/>
    </row>
    <row r="265" spans="110:111" ht="14.25" customHeight="1">
      <c r="DF265" s="1174"/>
      <c r="DG265" s="1174"/>
    </row>
    <row r="266" spans="110:111" ht="14.25" customHeight="1">
      <c r="DF266" s="1174"/>
      <c r="DG266" s="1174"/>
    </row>
    <row r="267" spans="110:111" ht="14.25" customHeight="1">
      <c r="DF267" s="1174"/>
      <c r="DG267" s="1174"/>
    </row>
    <row r="268" spans="110:111" ht="14.25" customHeight="1">
      <c r="DF268" s="1174"/>
      <c r="DG268" s="1174"/>
    </row>
    <row r="269" spans="110:111" ht="14.25" customHeight="1">
      <c r="DF269" s="1174"/>
      <c r="DG269" s="1174"/>
    </row>
    <row r="270" spans="110:111" ht="14.25" customHeight="1">
      <c r="DF270" s="1174"/>
      <c r="DG270" s="1174"/>
    </row>
    <row r="271" spans="110:111" ht="14.25" customHeight="1">
      <c r="DF271" s="1174"/>
      <c r="DG271" s="1174"/>
    </row>
  </sheetData>
  <phoneticPr fontId="34" type="noConversion"/>
  <conditionalFormatting sqref="D175:AX175 BA127 D143:AX143 BC152:BF152 BC136:BF136 BE167:BF167 AZ143 BC143:BF143 BF127 BA117:BB117 BE175:BF175 AZ175:BB175">
    <cfRule type="cellIs" dxfId="99" priority="126" stopIfTrue="1" operator="between">
      <formula>-0.005</formula>
      <formula>0.005</formula>
    </cfRule>
  </conditionalFormatting>
  <conditionalFormatting sqref="D136:AX136 D152:AX152 D167:AX167 D127:AX127 D117:AX117">
    <cfRule type="cellIs" dxfId="98" priority="127" stopIfTrue="1" operator="between">
      <formula>-0.005</formula>
      <formula>0.005</formula>
    </cfRule>
    <cfRule type="cellIs" dxfId="97" priority="128" stopIfTrue="1" operator="equal">
      <formula>"OK"</formula>
    </cfRule>
  </conditionalFormatting>
  <conditionalFormatting sqref="BH175:BK175 BK127 BH143:BK143 BH152:BK152 BH136:BK136 BH167:BK167">
    <cfRule type="cellIs" dxfId="96" priority="125" stopIfTrue="1" operator="between">
      <formula>-0.005</formula>
      <formula>0.005</formula>
    </cfRule>
  </conditionalFormatting>
  <conditionalFormatting sqref="AY117">
    <cfRule type="cellIs" dxfId="95" priority="123" stopIfTrue="1" operator="between">
      <formula>-0.005</formula>
      <formula>0.005</formula>
    </cfRule>
    <cfRule type="cellIs" dxfId="94" priority="124" stopIfTrue="1" operator="equal">
      <formula>"OK"</formula>
    </cfRule>
  </conditionalFormatting>
  <conditionalFormatting sqref="AY127">
    <cfRule type="cellIs" dxfId="93" priority="121" stopIfTrue="1" operator="between">
      <formula>-0.005</formula>
      <formula>0.005</formula>
    </cfRule>
    <cfRule type="cellIs" dxfId="92" priority="122" stopIfTrue="1" operator="equal">
      <formula>"OK"</formula>
    </cfRule>
  </conditionalFormatting>
  <conditionalFormatting sqref="AY136">
    <cfRule type="cellIs" dxfId="91" priority="119" stopIfTrue="1" operator="between">
      <formula>-0.005</formula>
      <formula>0.005</formula>
    </cfRule>
    <cfRule type="cellIs" dxfId="90" priority="120" stopIfTrue="1" operator="equal">
      <formula>"OK"</formula>
    </cfRule>
  </conditionalFormatting>
  <conditionalFormatting sqref="AY143">
    <cfRule type="cellIs" dxfId="89" priority="118" stopIfTrue="1" operator="between">
      <formula>-0.005</formula>
      <formula>0.005</formula>
    </cfRule>
  </conditionalFormatting>
  <conditionalFormatting sqref="AY152">
    <cfRule type="cellIs" dxfId="88" priority="116" stopIfTrue="1" operator="between">
      <formula>-0.005</formula>
      <formula>0.005</formula>
    </cfRule>
    <cfRule type="cellIs" dxfId="87" priority="117" stopIfTrue="1" operator="equal">
      <formula>"OK"</formula>
    </cfRule>
  </conditionalFormatting>
  <conditionalFormatting sqref="AY175">
    <cfRule type="cellIs" dxfId="86" priority="113" stopIfTrue="1" operator="between">
      <formula>-0.005</formula>
      <formula>0.005</formula>
    </cfRule>
  </conditionalFormatting>
  <conditionalFormatting sqref="AY167">
    <cfRule type="cellIs" dxfId="85" priority="111" stopIfTrue="1" operator="between">
      <formula>-0.005</formula>
      <formula>0.005</formula>
    </cfRule>
    <cfRule type="cellIs" dxfId="84" priority="112" stopIfTrue="1" operator="equal">
      <formula>"OK"</formula>
    </cfRule>
  </conditionalFormatting>
  <conditionalFormatting sqref="AZ136">
    <cfRule type="cellIs" dxfId="83" priority="109" stopIfTrue="1" operator="between">
      <formula>-0.005</formula>
      <formula>0.005</formula>
    </cfRule>
    <cfRule type="cellIs" dxfId="82" priority="110" stopIfTrue="1" operator="equal">
      <formula>"OK"</formula>
    </cfRule>
  </conditionalFormatting>
  <conditionalFormatting sqref="AZ152">
    <cfRule type="cellIs" dxfId="81" priority="107" stopIfTrue="1" operator="between">
      <formula>-0.005</formula>
      <formula>0.005</formula>
    </cfRule>
    <cfRule type="cellIs" dxfId="80" priority="108" stopIfTrue="1" operator="equal">
      <formula>"OK"</formula>
    </cfRule>
  </conditionalFormatting>
  <conditionalFormatting sqref="AZ167">
    <cfRule type="cellIs" dxfId="79" priority="105" stopIfTrue="1" operator="between">
      <formula>-0.005</formula>
      <formula>0.005</formula>
    </cfRule>
    <cfRule type="cellIs" dxfId="78" priority="106" stopIfTrue="1" operator="equal">
      <formula>"OK"</formula>
    </cfRule>
  </conditionalFormatting>
  <conditionalFormatting sqref="AZ117">
    <cfRule type="cellIs" dxfId="77" priority="103" stopIfTrue="1" operator="between">
      <formula>-0.005</formula>
      <formula>0.005</formula>
    </cfRule>
    <cfRule type="cellIs" dxfId="76" priority="104" stopIfTrue="1" operator="equal">
      <formula>"OK"</formula>
    </cfRule>
  </conditionalFormatting>
  <conditionalFormatting sqref="AZ127">
    <cfRule type="cellIs" dxfId="75" priority="101" stopIfTrue="1" operator="between">
      <formula>-0.005</formula>
      <formula>0.005</formula>
    </cfRule>
    <cfRule type="cellIs" dxfId="74" priority="102" stopIfTrue="1" operator="equal">
      <formula>"OK"</formula>
    </cfRule>
  </conditionalFormatting>
  <conditionalFormatting sqref="BA143">
    <cfRule type="cellIs" dxfId="73" priority="100" stopIfTrue="1" operator="between">
      <formula>-0.005</formula>
      <formula>0.005</formula>
    </cfRule>
  </conditionalFormatting>
  <conditionalFormatting sqref="BA136">
    <cfRule type="cellIs" dxfId="72" priority="98" stopIfTrue="1" operator="between">
      <formula>-0.005</formula>
      <formula>0.005</formula>
    </cfRule>
    <cfRule type="cellIs" dxfId="71" priority="99" stopIfTrue="1" operator="equal">
      <formula>"OK"</formula>
    </cfRule>
  </conditionalFormatting>
  <conditionalFormatting sqref="BA152">
    <cfRule type="cellIs" dxfId="70" priority="96" stopIfTrue="1" operator="between">
      <formula>-0.005</formula>
      <formula>0.005</formula>
    </cfRule>
    <cfRule type="cellIs" dxfId="69" priority="97" stopIfTrue="1" operator="equal">
      <formula>"OK"</formula>
    </cfRule>
  </conditionalFormatting>
  <conditionalFormatting sqref="BA167">
    <cfRule type="cellIs" dxfId="68" priority="92" stopIfTrue="1" operator="between">
      <formula>-0.005</formula>
      <formula>0.005</formula>
    </cfRule>
    <cfRule type="cellIs" dxfId="67" priority="93" stopIfTrue="1" operator="equal">
      <formula>"OK"</formula>
    </cfRule>
  </conditionalFormatting>
  <conditionalFormatting sqref="BB143">
    <cfRule type="cellIs" dxfId="66" priority="91" stopIfTrue="1" operator="between">
      <formula>-0.005</formula>
      <formula>0.005</formula>
    </cfRule>
  </conditionalFormatting>
  <conditionalFormatting sqref="BB136">
    <cfRule type="cellIs" dxfId="65" priority="89" stopIfTrue="1" operator="between">
      <formula>-0.005</formula>
      <formula>0.005</formula>
    </cfRule>
    <cfRule type="cellIs" dxfId="64" priority="90" stopIfTrue="1" operator="equal">
      <formula>"OK"</formula>
    </cfRule>
  </conditionalFormatting>
  <conditionalFormatting sqref="BB152">
    <cfRule type="cellIs" dxfId="63" priority="83" stopIfTrue="1" operator="between">
      <formula>-0.005</formula>
      <formula>0.005</formula>
    </cfRule>
    <cfRule type="cellIs" dxfId="62" priority="84" stopIfTrue="1" operator="equal">
      <formula>"OK"</formula>
    </cfRule>
  </conditionalFormatting>
  <conditionalFormatting sqref="BB167">
    <cfRule type="cellIs" dxfId="61" priority="81" stopIfTrue="1" operator="between">
      <formula>-0.005</formula>
      <formula>0.005</formula>
    </cfRule>
    <cfRule type="cellIs" dxfId="60" priority="82" stopIfTrue="1" operator="equal">
      <formula>"OK"</formula>
    </cfRule>
  </conditionalFormatting>
  <conditionalFormatting sqref="BB127">
    <cfRule type="cellIs" dxfId="59" priority="80" stopIfTrue="1" operator="between">
      <formula>-0.005</formula>
      <formula>0.005</formula>
    </cfRule>
  </conditionalFormatting>
  <conditionalFormatting sqref="BC167">
    <cfRule type="cellIs" dxfId="58" priority="76" stopIfTrue="1" operator="between">
      <formula>-0.005</formula>
      <formula>0.005</formula>
    </cfRule>
    <cfRule type="cellIs" dxfId="57" priority="77" stopIfTrue="1" operator="equal">
      <formula>"OK"</formula>
    </cfRule>
  </conditionalFormatting>
  <conditionalFormatting sqref="BC117">
    <cfRule type="cellIs" dxfId="56" priority="74" stopIfTrue="1" operator="between">
      <formula>-0.005</formula>
      <formula>0.005</formula>
    </cfRule>
    <cfRule type="cellIs" dxfId="55" priority="75" stopIfTrue="1" operator="equal">
      <formula>"OK"</formula>
    </cfRule>
  </conditionalFormatting>
  <conditionalFormatting sqref="BC127">
    <cfRule type="cellIs" dxfId="54" priority="72" stopIfTrue="1" operator="between">
      <formula>-0.005</formula>
      <formula>0.005</formula>
    </cfRule>
    <cfRule type="cellIs" dxfId="53" priority="73" stopIfTrue="1" operator="equal">
      <formula>"OK"</formula>
    </cfRule>
  </conditionalFormatting>
  <conditionalFormatting sqref="BC175">
    <cfRule type="cellIs" dxfId="52" priority="71" stopIfTrue="1" operator="between">
      <formula>-0.005</formula>
      <formula>0.005</formula>
    </cfRule>
  </conditionalFormatting>
  <conditionalFormatting sqref="BD117">
    <cfRule type="cellIs" dxfId="51" priority="69" stopIfTrue="1" operator="between">
      <formula>-0.005</formula>
      <formula>0.005</formula>
    </cfRule>
    <cfRule type="cellIs" dxfId="50" priority="70" stopIfTrue="1" operator="equal">
      <formula>"OK"</formula>
    </cfRule>
  </conditionalFormatting>
  <conditionalFormatting sqref="BD127">
    <cfRule type="cellIs" dxfId="49" priority="67" stopIfTrue="1" operator="between">
      <formula>-0.005</formula>
      <formula>0.005</formula>
    </cfRule>
    <cfRule type="cellIs" dxfId="48" priority="68" stopIfTrue="1" operator="equal">
      <formula>"OK"</formula>
    </cfRule>
  </conditionalFormatting>
  <conditionalFormatting sqref="BD167">
    <cfRule type="cellIs" dxfId="47" priority="63" stopIfTrue="1" operator="between">
      <formula>-0.005</formula>
      <formula>0.005</formula>
    </cfRule>
    <cfRule type="cellIs" dxfId="46" priority="64" stopIfTrue="1" operator="equal">
      <formula>"OK"</formula>
    </cfRule>
  </conditionalFormatting>
  <conditionalFormatting sqref="BD175">
    <cfRule type="cellIs" dxfId="45" priority="62" stopIfTrue="1" operator="between">
      <formula>-0.005</formula>
      <formula>0.005</formula>
    </cfRule>
  </conditionalFormatting>
  <conditionalFormatting sqref="BE117">
    <cfRule type="cellIs" dxfId="44" priority="60" stopIfTrue="1" operator="between">
      <formula>-0.005</formula>
      <formula>0.005</formula>
    </cfRule>
    <cfRule type="cellIs" dxfId="43" priority="61" stopIfTrue="1" operator="equal">
      <formula>"OK"</formula>
    </cfRule>
  </conditionalFormatting>
  <conditionalFormatting sqref="BE127">
    <cfRule type="cellIs" dxfId="42" priority="58" stopIfTrue="1" operator="between">
      <formula>-0.005</formula>
      <formula>0.005</formula>
    </cfRule>
    <cfRule type="cellIs" dxfId="41" priority="59" stopIfTrue="1" operator="equal">
      <formula>"OK"</formula>
    </cfRule>
  </conditionalFormatting>
  <conditionalFormatting sqref="BL175 BO127 BL143 BL152 BL136 BL167 BO117 BN167:BO167 BN136:BO136 BN152:BO152 BN143:BO143 BN175:BO175">
    <cfRule type="cellIs" dxfId="40" priority="57" stopIfTrue="1" operator="between">
      <formula>-0.005</formula>
      <formula>0.005</formula>
    </cfRule>
  </conditionalFormatting>
  <conditionalFormatting sqref="BF117">
    <cfRule type="cellIs" dxfId="39" priority="55" stopIfTrue="1" operator="between">
      <formula>-0.005</formula>
      <formula>0.005</formula>
    </cfRule>
    <cfRule type="cellIs" dxfId="38" priority="56" stopIfTrue="1" operator="equal">
      <formula>"OK"</formula>
    </cfRule>
  </conditionalFormatting>
  <conditionalFormatting sqref="BG152 BG136 BG143">
    <cfRule type="cellIs" dxfId="37" priority="39" stopIfTrue="1" operator="between">
      <formula>-0.005</formula>
      <formula>0.005</formula>
    </cfRule>
  </conditionalFormatting>
  <conditionalFormatting sqref="BG167">
    <cfRule type="cellIs" dxfId="36" priority="37" stopIfTrue="1" operator="between">
      <formula>-0.005</formula>
      <formula>0.005</formula>
    </cfRule>
    <cfRule type="cellIs" dxfId="35" priority="38" stopIfTrue="1" operator="equal">
      <formula>"OK"</formula>
    </cfRule>
  </conditionalFormatting>
  <conditionalFormatting sqref="BG117">
    <cfRule type="cellIs" dxfId="34" priority="35" stopIfTrue="1" operator="between">
      <formula>-0.005</formula>
      <formula>0.005</formula>
    </cfRule>
    <cfRule type="cellIs" dxfId="33" priority="36" stopIfTrue="1" operator="equal">
      <formula>"OK"</formula>
    </cfRule>
  </conditionalFormatting>
  <conditionalFormatting sqref="BG127">
    <cfRule type="cellIs" dxfId="32" priority="33" stopIfTrue="1" operator="between">
      <formula>-0.005</formula>
      <formula>0.005</formula>
    </cfRule>
    <cfRule type="cellIs" dxfId="31" priority="34" stopIfTrue="1" operator="equal">
      <formula>"OK"</formula>
    </cfRule>
  </conditionalFormatting>
  <conditionalFormatting sqref="BG175">
    <cfRule type="cellIs" dxfId="30" priority="32" stopIfTrue="1" operator="between">
      <formula>-0.005</formula>
      <formula>0.005</formula>
    </cfRule>
  </conditionalFormatting>
  <conditionalFormatting sqref="BP175:BS175 BP127:BS127 BP143:BS143 BP152:BS152 BP136:BS136 BP167:BS167 BP117:BS117">
    <cfRule type="cellIs" dxfId="29" priority="31" stopIfTrue="1" operator="between">
      <formula>-0.005</formula>
      <formula>0.005</formula>
    </cfRule>
  </conditionalFormatting>
  <conditionalFormatting sqref="BH127">
    <cfRule type="cellIs" dxfId="28" priority="29" stopIfTrue="1" operator="between">
      <formula>-0.005</formula>
      <formula>0.005</formula>
    </cfRule>
    <cfRule type="cellIs" dxfId="27" priority="30" stopIfTrue="1" operator="equal">
      <formula>"OK"</formula>
    </cfRule>
  </conditionalFormatting>
  <conditionalFormatting sqref="BI117">
    <cfRule type="cellIs" dxfId="26" priority="27" stopIfTrue="1" operator="between">
      <formula>-0.005</formula>
      <formula>0.005</formula>
    </cfRule>
    <cfRule type="cellIs" dxfId="25" priority="28" stopIfTrue="1" operator="equal">
      <formula>"OK"</formula>
    </cfRule>
  </conditionalFormatting>
  <conditionalFormatting sqref="BI127">
    <cfRule type="cellIs" dxfId="24" priority="25" stopIfTrue="1" operator="between">
      <formula>-0.005</formula>
      <formula>0.005</formula>
    </cfRule>
    <cfRule type="cellIs" dxfId="23" priority="26" stopIfTrue="1" operator="equal">
      <formula>"OK"</formula>
    </cfRule>
  </conditionalFormatting>
  <conditionalFormatting sqref="BH117">
    <cfRule type="cellIs" dxfId="22" priority="23" stopIfTrue="1" operator="between">
      <formula>-0.005</formula>
      <formula>0.005</formula>
    </cfRule>
    <cfRule type="cellIs" dxfId="21" priority="24" stopIfTrue="1" operator="equal">
      <formula>"OK"</formula>
    </cfRule>
  </conditionalFormatting>
  <conditionalFormatting sqref="BJ117">
    <cfRule type="cellIs" dxfId="20" priority="21" stopIfTrue="1" operator="between">
      <formula>-0.005</formula>
      <formula>0.005</formula>
    </cfRule>
    <cfRule type="cellIs" dxfId="19" priority="22" stopIfTrue="1" operator="equal">
      <formula>"OK"</formula>
    </cfRule>
  </conditionalFormatting>
  <conditionalFormatting sqref="BJ127">
    <cfRule type="cellIs" dxfId="18" priority="19" stopIfTrue="1" operator="between">
      <formula>-0.005</formula>
      <formula>0.005</formula>
    </cfRule>
    <cfRule type="cellIs" dxfId="17" priority="20" stopIfTrue="1" operator="equal">
      <formula>"OK"</formula>
    </cfRule>
  </conditionalFormatting>
  <conditionalFormatting sqref="BK117">
    <cfRule type="cellIs" dxfId="16" priority="17" stopIfTrue="1" operator="between">
      <formula>-0.005</formula>
      <formula>0.005</formula>
    </cfRule>
    <cfRule type="cellIs" dxfId="15" priority="18" stopIfTrue="1" operator="equal">
      <formula>"OK"</formula>
    </cfRule>
  </conditionalFormatting>
  <conditionalFormatting sqref="BL117">
    <cfRule type="cellIs" dxfId="14" priority="15" stopIfTrue="1" operator="between">
      <formula>-0.005</formula>
      <formula>0.005</formula>
    </cfRule>
    <cfRule type="cellIs" dxfId="13" priority="16" stopIfTrue="1" operator="equal">
      <formula>"OK"</formula>
    </cfRule>
  </conditionalFormatting>
  <conditionalFormatting sqref="BL127">
    <cfRule type="cellIs" dxfId="12" priority="13" stopIfTrue="1" operator="between">
      <formula>-0.005</formula>
      <formula>0.005</formula>
    </cfRule>
    <cfRule type="cellIs" dxfId="11" priority="14" stopIfTrue="1" operator="equal">
      <formula>"OK"</formula>
    </cfRule>
  </conditionalFormatting>
  <conditionalFormatting sqref="BT175:BW175 BT127:BW127 BT143:BW143 BT152:BW152 BT136:BW136 BT167:BW167 BT117:BW117">
    <cfRule type="cellIs" dxfId="10" priority="12" stopIfTrue="1" operator="between">
      <formula>-0.005</formula>
      <formula>0.005</formula>
    </cfRule>
  </conditionalFormatting>
  <conditionalFormatting sqref="BM143 BM152 BM136">
    <cfRule type="cellIs" dxfId="9" priority="11" stopIfTrue="1" operator="between">
      <formula>-0.005</formula>
      <formula>0.005</formula>
    </cfRule>
  </conditionalFormatting>
  <conditionalFormatting sqref="BM117">
    <cfRule type="cellIs" dxfId="8" priority="9" stopIfTrue="1" operator="between">
      <formula>-0.005</formula>
      <formula>0.005</formula>
    </cfRule>
    <cfRule type="cellIs" dxfId="7" priority="10" stopIfTrue="1" operator="equal">
      <formula>"OK"</formula>
    </cfRule>
  </conditionalFormatting>
  <conditionalFormatting sqref="BM127">
    <cfRule type="cellIs" dxfId="6" priority="7" stopIfTrue="1" operator="between">
      <formula>-0.005</formula>
      <formula>0.005</formula>
    </cfRule>
    <cfRule type="cellIs" dxfId="5" priority="8" stopIfTrue="1" operator="equal">
      <formula>"OK"</formula>
    </cfRule>
  </conditionalFormatting>
  <conditionalFormatting sqref="BM175 BM167">
    <cfRule type="cellIs" dxfId="4" priority="5" stopIfTrue="1" operator="between">
      <formula>-0.005</formula>
      <formula>0.005</formula>
    </cfRule>
  </conditionalFormatting>
  <conditionalFormatting sqref="BN117">
    <cfRule type="cellIs" dxfId="3" priority="3" stopIfTrue="1" operator="between">
      <formula>-0.005</formula>
      <formula>0.005</formula>
    </cfRule>
    <cfRule type="cellIs" dxfId="2" priority="4" stopIfTrue="1" operator="equal">
      <formula>"OK"</formula>
    </cfRule>
  </conditionalFormatting>
  <conditionalFormatting sqref="BN127">
    <cfRule type="cellIs" dxfId="1" priority="1" stopIfTrue="1" operator="between">
      <formula>-0.005</formula>
      <formula>0.005</formula>
    </cfRule>
    <cfRule type="cellIs" dxfId="0" priority="2" stopIfTrue="1" operator="equal">
      <formula>"OK"</formula>
    </cfRule>
  </conditionalFormatting>
  <pageMargins left="0.5" right="0.5" top="0.5" bottom="0.5" header="0.5" footer="0.5"/>
  <pageSetup scale="42" orientation="landscape" verticalDpi="300" r:id="rId1"/>
  <headerFooter alignWithMargins="0"/>
  <rowBreaks count="2" manualBreakCount="2">
    <brk id="89" max="52" man="1"/>
    <brk id="196" max="64" man="1"/>
  </rowBreaks>
  <ignoredErrors>
    <ignoredError sqref="CV196:DA197 CV191:DA191 CV113:CZ114 DA113:DA114 CZ99:DA101 CV100:CY101 CG191:CL191 CG9:CL64 CV79:DA87 CB191:CF191 CX9:DA64 CV9:CW13 CV15:CW24 CV26:CW35 CW37:CW64 CV37:CV64 CV70 CT187:CU187 CB113:CF114 CK113:CL114 CV188:DA190 CV192:DA194 CT191:CU191 CD87:CF87 CI106:CI109 CS113:CU114 CB115:CF119 DA105:DA112 DA115:DA119 CV106:CZ112 CV115:CZ119 CB9:CB13 CB27:CB29 CB87 CC9:CC13 CC20:CC24 CC26:CC29 CB21:CB24 CB32:CB35 CB16:CB18 CB38:CB40 CC31:CC35 CC87 CC37:CC40 CB43:CB47 CC15:CC18 CB49:CB58 CB60:CB64 CC42:CC64 BY113:CA114 CC70 CB70 CD9:CF64 CG87:CH87 CJ87:CL87 CI100:CI101 CI87 CG115:CH119 CJ118:CL119 CG113:CH114 CI116 CI118:CI119 CI128:CI131 CI138 CI144:CI147 CI151 CI153:CI154 CI158:CI161 CI166:CI169 CI174:CI190 CG66:CL70 CX66:DA70 CW66:CW70 CV66:CV68 CB66:CB68 CC66:CC68 CD66:CF70 CJ100:CL101 CK96:CL99 CK103:CL103 CK102:CL102 CJ106:CL109 CK104:CL105 CK115:CL117 CK110:CL112 CJ128:CL131 CK120:CL127 CJ135:CL135 CK132:CL132 CK133:CL133 CK134:CL134 CJ137:CL138 CK136:CL136 CJ144:CL147 CK139:CL143 CJ153:CL154 CK148:CL152 CJ158:CL190 CK155:CL157 CB72:CB85 CC72:CC85 CD72:CF85 CG72:CL85 CV72:CV78 CW72:CW78 CX72:DA78 CB90:CB112 CC90:CC112 CD90:CF112 CG90:CH112 CI90:CI95 CJ90:CL95 CV90:DA95 CB125:CF169 CG125:CH138 CV125:CZ138 DA125:DA138 CG141:CH151 CV141:CZ151 CV139:CY139 DA141:DA151 CV140:CY140 CG153:CH154 CV153:CZ154 CV152:CY152 DA153:DA154 CG157:CH169 CV157:CZ169 CV155:CY155 DA157:DA169 CV156:CY156 CB173:CF190 CG173:CH190 CV173:CZ187 DA173:DA187" formulaRange="1"/>
    <ignoredError sqref="W96:AP98 AQ97:AQ98 AR97:AR98 AS96:AT9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N57"/>
  <sheetViews>
    <sheetView workbookViewId="0"/>
  </sheetViews>
  <sheetFormatPr defaultRowHeight="12.75"/>
  <cols>
    <col min="2" max="2" width="18.140625" customWidth="1"/>
    <col min="3" max="4" width="10.140625" style="1246" customWidth="1"/>
    <col min="5" max="5" width="15.7109375" style="1246" customWidth="1"/>
    <col min="6" max="6" width="2.42578125" style="1542" customWidth="1"/>
    <col min="7" max="7" width="2.42578125" style="1543" customWidth="1"/>
    <col min="8" max="8" width="26.7109375" customWidth="1"/>
    <col min="9" max="10" width="11.28515625" style="1246" customWidth="1"/>
    <col min="11" max="11" width="13.5703125" style="1246" bestFit="1" customWidth="1"/>
    <col min="12" max="12" width="21.7109375" style="1542" customWidth="1"/>
    <col min="13" max="13" width="27.42578125" customWidth="1"/>
    <col min="14" max="14" width="12.42578125" style="1246" customWidth="1"/>
    <col min="15" max="16" width="12.42578125" customWidth="1"/>
  </cols>
  <sheetData>
    <row r="1" spans="2:14" s="1543" customFormat="1">
      <c r="C1" s="1246"/>
      <c r="D1" s="1246"/>
      <c r="E1" s="1246"/>
      <c r="I1" s="1246"/>
      <c r="J1" s="1246"/>
      <c r="K1" s="1246"/>
      <c r="N1" s="1246"/>
    </row>
    <row r="3" spans="2:14" ht="15">
      <c r="B3" s="1289" t="s">
        <v>571</v>
      </c>
      <c r="C3" s="1579" t="s">
        <v>353</v>
      </c>
      <c r="D3" s="1549" t="s">
        <v>577</v>
      </c>
      <c r="E3" s="1580" t="s">
        <v>583</v>
      </c>
    </row>
    <row r="4" spans="2:14" ht="15" customHeight="1">
      <c r="B4" s="1287" t="s">
        <v>44</v>
      </c>
      <c r="C4" s="1545">
        <f>IS!DH125</f>
        <v>4283.729997146118</v>
      </c>
      <c r="D4" s="1550">
        <v>2112.41</v>
      </c>
      <c r="E4" s="1550">
        <f>C4+D4</f>
        <v>6396.1399971461178</v>
      </c>
    </row>
    <row r="5" spans="2:14" ht="5.25" customHeight="1">
      <c r="B5" s="1287"/>
      <c r="C5" s="1545"/>
      <c r="D5" s="1550"/>
      <c r="E5" s="1550"/>
    </row>
    <row r="6" spans="2:14" ht="15" customHeight="1">
      <c r="B6" s="1287" t="s">
        <v>296</v>
      </c>
      <c r="C6" s="1545">
        <f>C4-C8</f>
        <v>1626.1518948484736</v>
      </c>
      <c r="D6" s="1550">
        <f>D4-D8</f>
        <v>770.18468600000006</v>
      </c>
      <c r="E6" s="1550">
        <f>C6+D6-I32</f>
        <v>2371.3365808484737</v>
      </c>
    </row>
    <row r="7" spans="2:14" ht="4.5" customHeight="1">
      <c r="B7" s="1287"/>
      <c r="C7" s="1545"/>
      <c r="D7" s="1550"/>
      <c r="E7" s="1550"/>
    </row>
    <row r="8" spans="2:14" ht="15" customHeight="1">
      <c r="B8" s="1287" t="s">
        <v>497</v>
      </c>
      <c r="C8" s="1545">
        <f>IS!DH127</f>
        <v>2657.5781022976444</v>
      </c>
      <c r="D8" s="1550">
        <f>D4*D9</f>
        <v>1342.2253139999998</v>
      </c>
      <c r="E8" s="1550">
        <f>E4-E6</f>
        <v>4024.8034162976442</v>
      </c>
    </row>
    <row r="9" spans="2:14" ht="15" customHeight="1">
      <c r="B9" s="1288" t="s">
        <v>522</v>
      </c>
      <c r="C9" s="1253">
        <f>C8/C4</f>
        <v>0.62038879762920651</v>
      </c>
      <c r="D9" s="1551">
        <v>0.63539999999999996</v>
      </c>
      <c r="E9" s="1551">
        <f>E8/E4</f>
        <v>0.62925505353126476</v>
      </c>
    </row>
    <row r="10" spans="2:14" ht="6" customHeight="1">
      <c r="B10" s="1287"/>
      <c r="C10" s="1247"/>
      <c r="D10" s="1552"/>
      <c r="E10" s="1552"/>
    </row>
    <row r="11" spans="2:14" ht="15" customHeight="1">
      <c r="B11" s="1287" t="s">
        <v>511</v>
      </c>
      <c r="C11" s="1546">
        <f>IS!DH130</f>
        <v>922.56428800839524</v>
      </c>
      <c r="D11" s="1553">
        <f>D8-D14</f>
        <v>629.82531399999982</v>
      </c>
      <c r="E11" s="1553">
        <f>C11+D11-I34</f>
        <v>1402.3896020083951</v>
      </c>
    </row>
    <row r="12" spans="2:14" ht="15" customHeight="1">
      <c r="B12" s="1288" t="s">
        <v>521</v>
      </c>
      <c r="C12" s="1253">
        <f>C11/C4</f>
        <v>0.21536471454153758</v>
      </c>
      <c r="D12" s="1551">
        <f>D11/D4</f>
        <v>0.29815486292907145</v>
      </c>
      <c r="E12" s="1551">
        <f>E11/E4</f>
        <v>0.21925561395374785</v>
      </c>
    </row>
    <row r="13" spans="2:14" ht="5.25" customHeight="1">
      <c r="B13" s="1287"/>
      <c r="C13" s="1546"/>
      <c r="D13" s="1553"/>
      <c r="E13" s="1553"/>
    </row>
    <row r="14" spans="2:14" ht="15" customHeight="1">
      <c r="B14" s="1287" t="s">
        <v>512</v>
      </c>
      <c r="C14" s="1546">
        <f>'MCHP-MSCC Accretion Analysis'!C8-'MCHP-MSCC Accretion Analysis'!C11</f>
        <v>1735.0138142892492</v>
      </c>
      <c r="D14" s="1553">
        <v>712.4</v>
      </c>
      <c r="E14" s="1553">
        <f>E8-E11</f>
        <v>2622.4138142892489</v>
      </c>
    </row>
    <row r="15" spans="2:14" ht="15" customHeight="1">
      <c r="B15" s="1288" t="s">
        <v>520</v>
      </c>
      <c r="C15" s="1253">
        <f>C14/C4</f>
        <v>0.40502408308766896</v>
      </c>
      <c r="D15" s="1551">
        <f>D14/D4</f>
        <v>0.33724513707092846</v>
      </c>
      <c r="E15" s="1551">
        <f>E14/E4</f>
        <v>0.40999943957751689</v>
      </c>
    </row>
    <row r="16" spans="2:14" ht="6.75" customHeight="1">
      <c r="B16" s="1287"/>
      <c r="C16" s="1546"/>
      <c r="D16" s="1553"/>
      <c r="E16" s="1553"/>
    </row>
    <row r="17" spans="2:9" ht="15" customHeight="1">
      <c r="B17" s="1287" t="s">
        <v>321</v>
      </c>
      <c r="C17" s="1546">
        <f>IS!DH136</f>
        <v>-57.523999999999994</v>
      </c>
      <c r="D17" s="1553">
        <v>-96.6</v>
      </c>
      <c r="E17" s="1553">
        <f>C17+D17-K43-K44</f>
        <v>-471.42399999999998</v>
      </c>
    </row>
    <row r="18" spans="2:9" ht="5.25" customHeight="1">
      <c r="B18" s="1287"/>
      <c r="C18" s="1546"/>
      <c r="D18" s="1553"/>
      <c r="E18" s="1553"/>
    </row>
    <row r="19" spans="2:9" ht="15" customHeight="1">
      <c r="B19" s="1287" t="s">
        <v>308</v>
      </c>
      <c r="C19" s="1546">
        <f>C14+C17</f>
        <v>1677.4898142892494</v>
      </c>
      <c r="D19" s="1553"/>
      <c r="E19" s="1553">
        <f>E14+E17</f>
        <v>2150.9898142892489</v>
      </c>
      <c r="H19" s="1190"/>
    </row>
    <row r="20" spans="2:9" ht="5.25" customHeight="1">
      <c r="B20" s="1287"/>
      <c r="C20" s="1546"/>
      <c r="D20" s="1553"/>
      <c r="E20" s="1553"/>
    </row>
    <row r="21" spans="2:9" ht="15" customHeight="1">
      <c r="B21" s="1287" t="s">
        <v>513</v>
      </c>
      <c r="C21" s="1546">
        <f>IS!DH137</f>
        <v>143.06669421458616</v>
      </c>
      <c r="D21" s="1553"/>
      <c r="E21" s="1553">
        <f>E19*E22</f>
        <v>183.44969930562377</v>
      </c>
    </row>
    <row r="22" spans="2:9" ht="15" customHeight="1">
      <c r="B22" s="1288" t="s">
        <v>113</v>
      </c>
      <c r="C22" s="1253">
        <f>C21/C19</f>
        <v>8.528617759458848E-2</v>
      </c>
      <c r="D22" s="1551"/>
      <c r="E22" s="1551">
        <f>C22</f>
        <v>8.528617759458848E-2</v>
      </c>
    </row>
    <row r="23" spans="2:9" ht="6" customHeight="1">
      <c r="B23" s="1287"/>
      <c r="C23" s="1546"/>
      <c r="D23" s="1553"/>
      <c r="E23" s="1553"/>
    </row>
    <row r="24" spans="2:9" ht="15" customHeight="1">
      <c r="B24" s="1287" t="s">
        <v>114</v>
      </c>
      <c r="C24" s="1546">
        <f>C19-C21</f>
        <v>1534.4231200746631</v>
      </c>
      <c r="D24" s="1553"/>
      <c r="E24" s="1553">
        <f>E19-E21</f>
        <v>1967.5401149836252</v>
      </c>
    </row>
    <row r="25" spans="2:9" ht="7.5" customHeight="1">
      <c r="B25" s="1287"/>
      <c r="C25" s="1546"/>
      <c r="D25" s="1553"/>
      <c r="E25" s="1553"/>
    </row>
    <row r="26" spans="2:9" ht="15" customHeight="1">
      <c r="B26" s="1287" t="s">
        <v>115</v>
      </c>
      <c r="C26" s="1577">
        <f>C24/C27</f>
        <v>6.0114519885393261</v>
      </c>
      <c r="D26" s="1578"/>
      <c r="E26" s="1578">
        <f>E24/E27</f>
        <v>7.7082864445979444</v>
      </c>
    </row>
    <row r="27" spans="2:9" ht="15" customHeight="1">
      <c r="B27" s="1287" t="s">
        <v>514</v>
      </c>
      <c r="C27" s="1546">
        <f>IS!DH105</f>
        <v>255.25</v>
      </c>
      <c r="D27" s="1553"/>
      <c r="E27" s="1553">
        <f>C27</f>
        <v>255.25</v>
      </c>
    </row>
    <row r="28" spans="2:9" ht="15" customHeight="1">
      <c r="B28" s="1286" t="s">
        <v>594</v>
      </c>
      <c r="C28" s="1548"/>
      <c r="D28" s="1554"/>
      <c r="E28" s="1562">
        <f>E26-C26</f>
        <v>1.6968344560586184</v>
      </c>
    </row>
    <row r="29" spans="2:9" ht="15">
      <c r="B29" s="1286" t="s">
        <v>519</v>
      </c>
      <c r="C29" s="1548"/>
      <c r="D29" s="1554"/>
      <c r="E29" s="1563">
        <f>E28/C26</f>
        <v>0.28226698962140734</v>
      </c>
    </row>
    <row r="30" spans="2:9" ht="50.25" customHeight="1">
      <c r="B30" s="1588" t="s">
        <v>595</v>
      </c>
      <c r="C30" s="1588"/>
      <c r="D30" s="1588"/>
      <c r="E30" s="1588"/>
    </row>
    <row r="31" spans="2:9">
      <c r="B31" s="1589"/>
      <c r="C31" s="1589"/>
      <c r="D31" s="1589"/>
      <c r="E31" s="1589"/>
      <c r="F31" s="1174"/>
      <c r="G31" s="1174"/>
      <c r="H31" s="1557" t="s">
        <v>584</v>
      </c>
      <c r="I31" s="1572"/>
    </row>
    <row r="32" spans="2:9">
      <c r="F32" s="1247"/>
      <c r="G32" s="1247"/>
      <c r="H32" s="1360" t="s">
        <v>296</v>
      </c>
      <c r="I32" s="1552">
        <v>25</v>
      </c>
    </row>
    <row r="33" spans="6:12" ht="1.5" customHeight="1">
      <c r="F33" s="1247"/>
      <c r="G33" s="1247"/>
      <c r="H33" s="1307"/>
      <c r="I33" s="1552"/>
    </row>
    <row r="34" spans="6:12">
      <c r="F34" s="1247"/>
      <c r="G34" s="1247"/>
      <c r="H34" s="1360" t="s">
        <v>511</v>
      </c>
      <c r="I34" s="1552">
        <v>150</v>
      </c>
    </row>
    <row r="35" spans="6:12" ht="4.5" customHeight="1">
      <c r="F35" s="1247"/>
      <c r="G35" s="1247"/>
      <c r="H35" s="1307"/>
      <c r="I35" s="1552"/>
    </row>
    <row r="36" spans="6:12">
      <c r="F36" s="1247"/>
      <c r="G36" s="1247"/>
      <c r="H36" s="1360" t="s">
        <v>526</v>
      </c>
      <c r="I36" s="1552">
        <f>SUM(I32,I34)</f>
        <v>175</v>
      </c>
    </row>
    <row r="37" spans="6:12">
      <c r="F37" s="1253"/>
      <c r="G37" s="1253"/>
      <c r="H37" s="1557" t="s">
        <v>578</v>
      </c>
      <c r="I37" s="1573">
        <f>I36/SUM(C6,D6,C11,D11)</f>
        <v>4.4318089403046185E-2</v>
      </c>
    </row>
    <row r="38" spans="6:12" ht="4.5" customHeight="1"/>
    <row r="39" spans="6:12">
      <c r="H39" s="1557" t="s">
        <v>586</v>
      </c>
      <c r="I39" s="1554"/>
      <c r="J39" s="1548"/>
      <c r="K39" s="1558"/>
    </row>
    <row r="40" spans="6:12">
      <c r="H40" s="1360" t="s">
        <v>579</v>
      </c>
      <c r="I40" s="1571">
        <v>68.78</v>
      </c>
      <c r="J40" s="1247"/>
      <c r="K40" s="1248"/>
    </row>
    <row r="41" spans="6:12">
      <c r="H41" s="1360" t="s">
        <v>585</v>
      </c>
      <c r="I41" s="1560">
        <v>8350</v>
      </c>
      <c r="J41" s="1247"/>
      <c r="K41" s="1248"/>
    </row>
    <row r="42" spans="6:12" ht="25.5" customHeight="1">
      <c r="H42" s="1186"/>
      <c r="I42" s="1554"/>
      <c r="J42" s="1574" t="s">
        <v>588</v>
      </c>
      <c r="K42" s="1575" t="s">
        <v>591</v>
      </c>
      <c r="L42" s="1544"/>
    </row>
    <row r="43" spans="6:12">
      <c r="H43" s="1360" t="s">
        <v>580</v>
      </c>
      <c r="I43" s="1569">
        <v>0.2</v>
      </c>
      <c r="J43" s="1553">
        <f>I41*I43</f>
        <v>1670</v>
      </c>
      <c r="K43" s="1547">
        <f>J43*1%</f>
        <v>16.7</v>
      </c>
      <c r="L43" s="1365"/>
    </row>
    <row r="44" spans="6:12">
      <c r="H44" s="1555" t="s">
        <v>587</v>
      </c>
      <c r="I44" s="1570">
        <v>0.8</v>
      </c>
      <c r="J44" s="1560">
        <f>I41*I44</f>
        <v>6680</v>
      </c>
      <c r="K44" s="1556">
        <f>J44*4.5%</f>
        <v>300.59999999999997</v>
      </c>
      <c r="L44" s="1365"/>
    </row>
    <row r="45" spans="6:12">
      <c r="H45" s="1243" t="s">
        <v>523</v>
      </c>
      <c r="I45" s="1587"/>
      <c r="J45" s="1581"/>
      <c r="K45" s="1581"/>
      <c r="L45"/>
    </row>
    <row r="46" spans="6:12">
      <c r="H46" s="1583" t="s">
        <v>592</v>
      </c>
      <c r="I46" s="1248"/>
      <c r="J46" s="1247"/>
      <c r="K46" s="1247"/>
      <c r="L46"/>
    </row>
    <row r="47" spans="6:12">
      <c r="H47" s="1584" t="s">
        <v>353</v>
      </c>
      <c r="I47" s="1547">
        <f>-BS!BN88</f>
        <v>1054.6380000000001</v>
      </c>
      <c r="J47" s="1546"/>
      <c r="K47" s="1546"/>
      <c r="L47"/>
    </row>
    <row r="48" spans="6:12">
      <c r="H48" s="1584" t="s">
        <v>577</v>
      </c>
      <c r="I48" s="1547">
        <v>1800</v>
      </c>
      <c r="J48" s="1546"/>
      <c r="K48" s="1546"/>
      <c r="L48"/>
    </row>
    <row r="49" spans="8:12">
      <c r="H49" s="1584" t="s">
        <v>496</v>
      </c>
      <c r="I49" s="1547">
        <f>J43+J44</f>
        <v>8350</v>
      </c>
      <c r="J49" s="1546"/>
      <c r="K49" s="1546"/>
      <c r="L49"/>
    </row>
    <row r="50" spans="8:12">
      <c r="H50" s="1585" t="s">
        <v>526</v>
      </c>
      <c r="I50" s="1556">
        <f>SUM(I47:I49)</f>
        <v>11204.637999999999</v>
      </c>
      <c r="J50" s="1546"/>
      <c r="K50" s="1546"/>
      <c r="L50"/>
    </row>
    <row r="51" spans="8:12" ht="14.25" customHeight="1">
      <c r="H51" s="1559" t="s">
        <v>593</v>
      </c>
      <c r="I51" s="1561"/>
      <c r="J51" s="1247"/>
      <c r="K51" s="1247"/>
      <c r="L51"/>
    </row>
    <row r="52" spans="8:12">
      <c r="H52" s="1360" t="s">
        <v>353</v>
      </c>
      <c r="I52" s="1553">
        <f>IS!DF174</f>
        <v>1505.8029999999999</v>
      </c>
      <c r="J52" s="1546"/>
      <c r="K52" s="1546"/>
      <c r="L52"/>
    </row>
    <row r="53" spans="8:12">
      <c r="H53" s="1360" t="s">
        <v>577</v>
      </c>
      <c r="I53" s="1553">
        <v>640</v>
      </c>
      <c r="J53" s="1546"/>
      <c r="K53" s="1546"/>
      <c r="L53"/>
    </row>
    <row r="54" spans="8:12" ht="14.25" customHeight="1">
      <c r="H54" s="1566" t="s">
        <v>581</v>
      </c>
      <c r="I54" s="1553">
        <f>SUM(I52:I53)</f>
        <v>2145.8029999999999</v>
      </c>
      <c r="J54" s="1546"/>
      <c r="K54" s="1546"/>
      <c r="L54"/>
    </row>
    <row r="55" spans="8:12" ht="14.25" customHeight="1">
      <c r="H55" s="1567" t="s">
        <v>590</v>
      </c>
      <c r="I55" s="1560">
        <f>I54+I36</f>
        <v>2320.8029999999999</v>
      </c>
      <c r="J55" s="1546"/>
      <c r="K55" s="1546"/>
      <c r="L55"/>
    </row>
    <row r="56" spans="8:12" ht="14.25" customHeight="1">
      <c r="H56" s="1568" t="s">
        <v>582</v>
      </c>
      <c r="I56" s="1564">
        <f>I50/SUM(I52,I53)</f>
        <v>5.2216526866632211</v>
      </c>
      <c r="J56" s="1582"/>
      <c r="K56" s="1582"/>
      <c r="L56"/>
    </row>
    <row r="57" spans="8:12" ht="14.25" customHeight="1">
      <c r="H57" s="1567" t="s">
        <v>589</v>
      </c>
      <c r="I57" s="1565">
        <f>I50/I55</f>
        <v>4.827914303799159</v>
      </c>
      <c r="J57" s="1582"/>
      <c r="K57" s="1582"/>
      <c r="L57"/>
    </row>
  </sheetData>
  <mergeCells count="1">
    <mergeCell ref="B30:E3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489" bestFit="1" customWidth="1"/>
    <col min="2" max="2" width="19.85546875" style="1611" customWidth="1"/>
    <col min="3" max="3" width="12" style="1489" bestFit="1" customWidth="1"/>
    <col min="4" max="256" width="9.140625" style="1489"/>
    <col min="257" max="257" width="29.5703125" style="1489" bestFit="1" customWidth="1"/>
    <col min="258" max="258" width="19.85546875" style="1489" customWidth="1"/>
    <col min="259" max="259" width="12" style="1489" bestFit="1" customWidth="1"/>
    <col min="260" max="512" width="9.140625" style="1489"/>
    <col min="513" max="513" width="29.5703125" style="1489" bestFit="1" customWidth="1"/>
    <col min="514" max="514" width="19.85546875" style="1489" customWidth="1"/>
    <col min="515" max="515" width="12" style="1489" bestFit="1" customWidth="1"/>
    <col min="516" max="768" width="9.140625" style="1489"/>
    <col min="769" max="769" width="29.5703125" style="1489" bestFit="1" customWidth="1"/>
    <col min="770" max="770" width="19.85546875" style="1489" customWidth="1"/>
    <col min="771" max="771" width="12" style="1489" bestFit="1" customWidth="1"/>
    <col min="772" max="1024" width="9.140625" style="1489"/>
    <col min="1025" max="1025" width="29.5703125" style="1489" bestFit="1" customWidth="1"/>
    <col min="1026" max="1026" width="19.85546875" style="1489" customWidth="1"/>
    <col min="1027" max="1027" width="12" style="1489" bestFit="1" customWidth="1"/>
    <col min="1028" max="1280" width="9.140625" style="1489"/>
    <col min="1281" max="1281" width="29.5703125" style="1489" bestFit="1" customWidth="1"/>
    <col min="1282" max="1282" width="19.85546875" style="1489" customWidth="1"/>
    <col min="1283" max="1283" width="12" style="1489" bestFit="1" customWidth="1"/>
    <col min="1284" max="1536" width="9.140625" style="1489"/>
    <col min="1537" max="1537" width="29.5703125" style="1489" bestFit="1" customWidth="1"/>
    <col min="1538" max="1538" width="19.85546875" style="1489" customWidth="1"/>
    <col min="1539" max="1539" width="12" style="1489" bestFit="1" customWidth="1"/>
    <col min="1540" max="1792" width="9.140625" style="1489"/>
    <col min="1793" max="1793" width="29.5703125" style="1489" bestFit="1" customWidth="1"/>
    <col min="1794" max="1794" width="19.85546875" style="1489" customWidth="1"/>
    <col min="1795" max="1795" width="12" style="1489" bestFit="1" customWidth="1"/>
    <col min="1796" max="2048" width="9.140625" style="1489"/>
    <col min="2049" max="2049" width="29.5703125" style="1489" bestFit="1" customWidth="1"/>
    <col min="2050" max="2050" width="19.85546875" style="1489" customWidth="1"/>
    <col min="2051" max="2051" width="12" style="1489" bestFit="1" customWidth="1"/>
    <col min="2052" max="2304" width="9.140625" style="1489"/>
    <col min="2305" max="2305" width="29.5703125" style="1489" bestFit="1" customWidth="1"/>
    <col min="2306" max="2306" width="19.85546875" style="1489" customWidth="1"/>
    <col min="2307" max="2307" width="12" style="1489" bestFit="1" customWidth="1"/>
    <col min="2308" max="2560" width="9.140625" style="1489"/>
    <col min="2561" max="2561" width="29.5703125" style="1489" bestFit="1" customWidth="1"/>
    <col min="2562" max="2562" width="19.85546875" style="1489" customWidth="1"/>
    <col min="2563" max="2563" width="12" style="1489" bestFit="1" customWidth="1"/>
    <col min="2564" max="2816" width="9.140625" style="1489"/>
    <col min="2817" max="2817" width="29.5703125" style="1489" bestFit="1" customWidth="1"/>
    <col min="2818" max="2818" width="19.85546875" style="1489" customWidth="1"/>
    <col min="2819" max="2819" width="12" style="1489" bestFit="1" customWidth="1"/>
    <col min="2820" max="3072" width="9.140625" style="1489"/>
    <col min="3073" max="3073" width="29.5703125" style="1489" bestFit="1" customWidth="1"/>
    <col min="3074" max="3074" width="19.85546875" style="1489" customWidth="1"/>
    <col min="3075" max="3075" width="12" style="1489" bestFit="1" customWidth="1"/>
    <col min="3076" max="3328" width="9.140625" style="1489"/>
    <col min="3329" max="3329" width="29.5703125" style="1489" bestFit="1" customWidth="1"/>
    <col min="3330" max="3330" width="19.85546875" style="1489" customWidth="1"/>
    <col min="3331" max="3331" width="12" style="1489" bestFit="1" customWidth="1"/>
    <col min="3332" max="3584" width="9.140625" style="1489"/>
    <col min="3585" max="3585" width="29.5703125" style="1489" bestFit="1" customWidth="1"/>
    <col min="3586" max="3586" width="19.85546875" style="1489" customWidth="1"/>
    <col min="3587" max="3587" width="12" style="1489" bestFit="1" customWidth="1"/>
    <col min="3588" max="3840" width="9.140625" style="1489"/>
    <col min="3841" max="3841" width="29.5703125" style="1489" bestFit="1" customWidth="1"/>
    <col min="3842" max="3842" width="19.85546875" style="1489" customWidth="1"/>
    <col min="3843" max="3843" width="12" style="1489" bestFit="1" customWidth="1"/>
    <col min="3844" max="4096" width="9.140625" style="1489"/>
    <col min="4097" max="4097" width="29.5703125" style="1489" bestFit="1" customWidth="1"/>
    <col min="4098" max="4098" width="19.85546875" style="1489" customWidth="1"/>
    <col min="4099" max="4099" width="12" style="1489" bestFit="1" customWidth="1"/>
    <col min="4100" max="4352" width="9.140625" style="1489"/>
    <col min="4353" max="4353" width="29.5703125" style="1489" bestFit="1" customWidth="1"/>
    <col min="4354" max="4354" width="19.85546875" style="1489" customWidth="1"/>
    <col min="4355" max="4355" width="12" style="1489" bestFit="1" customWidth="1"/>
    <col min="4356" max="4608" width="9.140625" style="1489"/>
    <col min="4609" max="4609" width="29.5703125" style="1489" bestFit="1" customWidth="1"/>
    <col min="4610" max="4610" width="19.85546875" style="1489" customWidth="1"/>
    <col min="4611" max="4611" width="12" style="1489" bestFit="1" customWidth="1"/>
    <col min="4612" max="4864" width="9.140625" style="1489"/>
    <col min="4865" max="4865" width="29.5703125" style="1489" bestFit="1" customWidth="1"/>
    <col min="4866" max="4866" width="19.85546875" style="1489" customWidth="1"/>
    <col min="4867" max="4867" width="12" style="1489" bestFit="1" customWidth="1"/>
    <col min="4868" max="5120" width="9.140625" style="1489"/>
    <col min="5121" max="5121" width="29.5703125" style="1489" bestFit="1" customWidth="1"/>
    <col min="5122" max="5122" width="19.85546875" style="1489" customWidth="1"/>
    <col min="5123" max="5123" width="12" style="1489" bestFit="1" customWidth="1"/>
    <col min="5124" max="5376" width="9.140625" style="1489"/>
    <col min="5377" max="5377" width="29.5703125" style="1489" bestFit="1" customWidth="1"/>
    <col min="5378" max="5378" width="19.85546875" style="1489" customWidth="1"/>
    <col min="5379" max="5379" width="12" style="1489" bestFit="1" customWidth="1"/>
    <col min="5380" max="5632" width="9.140625" style="1489"/>
    <col min="5633" max="5633" width="29.5703125" style="1489" bestFit="1" customWidth="1"/>
    <col min="5634" max="5634" width="19.85546875" style="1489" customWidth="1"/>
    <col min="5635" max="5635" width="12" style="1489" bestFit="1" customWidth="1"/>
    <col min="5636" max="5888" width="9.140625" style="1489"/>
    <col min="5889" max="5889" width="29.5703125" style="1489" bestFit="1" customWidth="1"/>
    <col min="5890" max="5890" width="19.85546875" style="1489" customWidth="1"/>
    <col min="5891" max="5891" width="12" style="1489" bestFit="1" customWidth="1"/>
    <col min="5892" max="6144" width="9.140625" style="1489"/>
    <col min="6145" max="6145" width="29.5703125" style="1489" bestFit="1" customWidth="1"/>
    <col min="6146" max="6146" width="19.85546875" style="1489" customWidth="1"/>
    <col min="6147" max="6147" width="12" style="1489" bestFit="1" customWidth="1"/>
    <col min="6148" max="6400" width="9.140625" style="1489"/>
    <col min="6401" max="6401" width="29.5703125" style="1489" bestFit="1" customWidth="1"/>
    <col min="6402" max="6402" width="19.85546875" style="1489" customWidth="1"/>
    <col min="6403" max="6403" width="12" style="1489" bestFit="1" customWidth="1"/>
    <col min="6404" max="6656" width="9.140625" style="1489"/>
    <col min="6657" max="6657" width="29.5703125" style="1489" bestFit="1" customWidth="1"/>
    <col min="6658" max="6658" width="19.85546875" style="1489" customWidth="1"/>
    <col min="6659" max="6659" width="12" style="1489" bestFit="1" customWidth="1"/>
    <col min="6660" max="6912" width="9.140625" style="1489"/>
    <col min="6913" max="6913" width="29.5703125" style="1489" bestFit="1" customWidth="1"/>
    <col min="6914" max="6914" width="19.85546875" style="1489" customWidth="1"/>
    <col min="6915" max="6915" width="12" style="1489" bestFit="1" customWidth="1"/>
    <col min="6916" max="7168" width="9.140625" style="1489"/>
    <col min="7169" max="7169" width="29.5703125" style="1489" bestFit="1" customWidth="1"/>
    <col min="7170" max="7170" width="19.85546875" style="1489" customWidth="1"/>
    <col min="7171" max="7171" width="12" style="1489" bestFit="1" customWidth="1"/>
    <col min="7172" max="7424" width="9.140625" style="1489"/>
    <col min="7425" max="7425" width="29.5703125" style="1489" bestFit="1" customWidth="1"/>
    <col min="7426" max="7426" width="19.85546875" style="1489" customWidth="1"/>
    <col min="7427" max="7427" width="12" style="1489" bestFit="1" customWidth="1"/>
    <col min="7428" max="7680" width="9.140625" style="1489"/>
    <col min="7681" max="7681" width="29.5703125" style="1489" bestFit="1" customWidth="1"/>
    <col min="7682" max="7682" width="19.85546875" style="1489" customWidth="1"/>
    <col min="7683" max="7683" width="12" style="1489" bestFit="1" customWidth="1"/>
    <col min="7684" max="7936" width="9.140625" style="1489"/>
    <col min="7937" max="7937" width="29.5703125" style="1489" bestFit="1" customWidth="1"/>
    <col min="7938" max="7938" width="19.85546875" style="1489" customWidth="1"/>
    <col min="7939" max="7939" width="12" style="1489" bestFit="1" customWidth="1"/>
    <col min="7940" max="8192" width="9.140625" style="1489"/>
    <col min="8193" max="8193" width="29.5703125" style="1489" bestFit="1" customWidth="1"/>
    <col min="8194" max="8194" width="19.85546875" style="1489" customWidth="1"/>
    <col min="8195" max="8195" width="12" style="1489" bestFit="1" customWidth="1"/>
    <col min="8196" max="8448" width="9.140625" style="1489"/>
    <col min="8449" max="8449" width="29.5703125" style="1489" bestFit="1" customWidth="1"/>
    <col min="8450" max="8450" width="19.85546875" style="1489" customWidth="1"/>
    <col min="8451" max="8451" width="12" style="1489" bestFit="1" customWidth="1"/>
    <col min="8452" max="8704" width="9.140625" style="1489"/>
    <col min="8705" max="8705" width="29.5703125" style="1489" bestFit="1" customWidth="1"/>
    <col min="8706" max="8706" width="19.85546875" style="1489" customWidth="1"/>
    <col min="8707" max="8707" width="12" style="1489" bestFit="1" customWidth="1"/>
    <col min="8708" max="8960" width="9.140625" style="1489"/>
    <col min="8961" max="8961" width="29.5703125" style="1489" bestFit="1" customWidth="1"/>
    <col min="8962" max="8962" width="19.85546875" style="1489" customWidth="1"/>
    <col min="8963" max="8963" width="12" style="1489" bestFit="1" customWidth="1"/>
    <col min="8964" max="9216" width="9.140625" style="1489"/>
    <col min="9217" max="9217" width="29.5703125" style="1489" bestFit="1" customWidth="1"/>
    <col min="9218" max="9218" width="19.85546875" style="1489" customWidth="1"/>
    <col min="9219" max="9219" width="12" style="1489" bestFit="1" customWidth="1"/>
    <col min="9220" max="9472" width="9.140625" style="1489"/>
    <col min="9473" max="9473" width="29.5703125" style="1489" bestFit="1" customWidth="1"/>
    <col min="9474" max="9474" width="19.85546875" style="1489" customWidth="1"/>
    <col min="9475" max="9475" width="12" style="1489" bestFit="1" customWidth="1"/>
    <col min="9476" max="9728" width="9.140625" style="1489"/>
    <col min="9729" max="9729" width="29.5703125" style="1489" bestFit="1" customWidth="1"/>
    <col min="9730" max="9730" width="19.85546875" style="1489" customWidth="1"/>
    <col min="9731" max="9731" width="12" style="1489" bestFit="1" customWidth="1"/>
    <col min="9732" max="9984" width="9.140625" style="1489"/>
    <col min="9985" max="9985" width="29.5703125" style="1489" bestFit="1" customWidth="1"/>
    <col min="9986" max="9986" width="19.85546875" style="1489" customWidth="1"/>
    <col min="9987" max="9987" width="12" style="1489" bestFit="1" customWidth="1"/>
    <col min="9988" max="10240" width="9.140625" style="1489"/>
    <col min="10241" max="10241" width="29.5703125" style="1489" bestFit="1" customWidth="1"/>
    <col min="10242" max="10242" width="19.85546875" style="1489" customWidth="1"/>
    <col min="10243" max="10243" width="12" style="1489" bestFit="1" customWidth="1"/>
    <col min="10244" max="10496" width="9.140625" style="1489"/>
    <col min="10497" max="10497" width="29.5703125" style="1489" bestFit="1" customWidth="1"/>
    <col min="10498" max="10498" width="19.85546875" style="1489" customWidth="1"/>
    <col min="10499" max="10499" width="12" style="1489" bestFit="1" customWidth="1"/>
    <col min="10500" max="10752" width="9.140625" style="1489"/>
    <col min="10753" max="10753" width="29.5703125" style="1489" bestFit="1" customWidth="1"/>
    <col min="10754" max="10754" width="19.85546875" style="1489" customWidth="1"/>
    <col min="10755" max="10755" width="12" style="1489" bestFit="1" customWidth="1"/>
    <col min="10756" max="11008" width="9.140625" style="1489"/>
    <col min="11009" max="11009" width="29.5703125" style="1489" bestFit="1" customWidth="1"/>
    <col min="11010" max="11010" width="19.85546875" style="1489" customWidth="1"/>
    <col min="11011" max="11011" width="12" style="1489" bestFit="1" customWidth="1"/>
    <col min="11012" max="11264" width="9.140625" style="1489"/>
    <col min="11265" max="11265" width="29.5703125" style="1489" bestFit="1" customWidth="1"/>
    <col min="11266" max="11266" width="19.85546875" style="1489" customWidth="1"/>
    <col min="11267" max="11267" width="12" style="1489" bestFit="1" customWidth="1"/>
    <col min="11268" max="11520" width="9.140625" style="1489"/>
    <col min="11521" max="11521" width="29.5703125" style="1489" bestFit="1" customWidth="1"/>
    <col min="11522" max="11522" width="19.85546875" style="1489" customWidth="1"/>
    <col min="11523" max="11523" width="12" style="1489" bestFit="1" customWidth="1"/>
    <col min="11524" max="11776" width="9.140625" style="1489"/>
    <col min="11777" max="11777" width="29.5703125" style="1489" bestFit="1" customWidth="1"/>
    <col min="11778" max="11778" width="19.85546875" style="1489" customWidth="1"/>
    <col min="11779" max="11779" width="12" style="1489" bestFit="1" customWidth="1"/>
    <col min="11780" max="12032" width="9.140625" style="1489"/>
    <col min="12033" max="12033" width="29.5703125" style="1489" bestFit="1" customWidth="1"/>
    <col min="12034" max="12034" width="19.85546875" style="1489" customWidth="1"/>
    <col min="12035" max="12035" width="12" style="1489" bestFit="1" customWidth="1"/>
    <col min="12036" max="12288" width="9.140625" style="1489"/>
    <col min="12289" max="12289" width="29.5703125" style="1489" bestFit="1" customWidth="1"/>
    <col min="12290" max="12290" width="19.85546875" style="1489" customWidth="1"/>
    <col min="12291" max="12291" width="12" style="1489" bestFit="1" customWidth="1"/>
    <col min="12292" max="12544" width="9.140625" style="1489"/>
    <col min="12545" max="12545" width="29.5703125" style="1489" bestFit="1" customWidth="1"/>
    <col min="12546" max="12546" width="19.85546875" style="1489" customWidth="1"/>
    <col min="12547" max="12547" width="12" style="1489" bestFit="1" customWidth="1"/>
    <col min="12548" max="12800" width="9.140625" style="1489"/>
    <col min="12801" max="12801" width="29.5703125" style="1489" bestFit="1" customWidth="1"/>
    <col min="12802" max="12802" width="19.85546875" style="1489" customWidth="1"/>
    <col min="12803" max="12803" width="12" style="1489" bestFit="1" customWidth="1"/>
    <col min="12804" max="13056" width="9.140625" style="1489"/>
    <col min="13057" max="13057" width="29.5703125" style="1489" bestFit="1" customWidth="1"/>
    <col min="13058" max="13058" width="19.85546875" style="1489" customWidth="1"/>
    <col min="13059" max="13059" width="12" style="1489" bestFit="1" customWidth="1"/>
    <col min="13060" max="13312" width="9.140625" style="1489"/>
    <col min="13313" max="13313" width="29.5703125" style="1489" bestFit="1" customWidth="1"/>
    <col min="13314" max="13314" width="19.85546875" style="1489" customWidth="1"/>
    <col min="13315" max="13315" width="12" style="1489" bestFit="1" customWidth="1"/>
    <col min="13316" max="13568" width="9.140625" style="1489"/>
    <col min="13569" max="13569" width="29.5703125" style="1489" bestFit="1" customWidth="1"/>
    <col min="13570" max="13570" width="19.85546875" style="1489" customWidth="1"/>
    <col min="13571" max="13571" width="12" style="1489" bestFit="1" customWidth="1"/>
    <col min="13572" max="13824" width="9.140625" style="1489"/>
    <col min="13825" max="13825" width="29.5703125" style="1489" bestFit="1" customWidth="1"/>
    <col min="13826" max="13826" width="19.85546875" style="1489" customWidth="1"/>
    <col min="13827" max="13827" width="12" style="1489" bestFit="1" customWidth="1"/>
    <col min="13828" max="14080" width="9.140625" style="1489"/>
    <col min="14081" max="14081" width="29.5703125" style="1489" bestFit="1" customWidth="1"/>
    <col min="14082" max="14082" width="19.85546875" style="1489" customWidth="1"/>
    <col min="14083" max="14083" width="12" style="1489" bestFit="1" customWidth="1"/>
    <col min="14084" max="14336" width="9.140625" style="1489"/>
    <col min="14337" max="14337" width="29.5703125" style="1489" bestFit="1" customWidth="1"/>
    <col min="14338" max="14338" width="19.85546875" style="1489" customWidth="1"/>
    <col min="14339" max="14339" width="12" style="1489" bestFit="1" customWidth="1"/>
    <col min="14340" max="14592" width="9.140625" style="1489"/>
    <col min="14593" max="14593" width="29.5703125" style="1489" bestFit="1" customWidth="1"/>
    <col min="14594" max="14594" width="19.85546875" style="1489" customWidth="1"/>
    <col min="14595" max="14595" width="12" style="1489" bestFit="1" customWidth="1"/>
    <col min="14596" max="14848" width="9.140625" style="1489"/>
    <col min="14849" max="14849" width="29.5703125" style="1489" bestFit="1" customWidth="1"/>
    <col min="14850" max="14850" width="19.85546875" style="1489" customWidth="1"/>
    <col min="14851" max="14851" width="12" style="1489" bestFit="1" customWidth="1"/>
    <col min="14852" max="15104" width="9.140625" style="1489"/>
    <col min="15105" max="15105" width="29.5703125" style="1489" bestFit="1" customWidth="1"/>
    <col min="15106" max="15106" width="19.85546875" style="1489" customWidth="1"/>
    <col min="15107" max="15107" width="12" style="1489" bestFit="1" customWidth="1"/>
    <col min="15108" max="15360" width="9.140625" style="1489"/>
    <col min="15361" max="15361" width="29.5703125" style="1489" bestFit="1" customWidth="1"/>
    <col min="15362" max="15362" width="19.85546875" style="1489" customWidth="1"/>
    <col min="15363" max="15363" width="12" style="1489" bestFit="1" customWidth="1"/>
    <col min="15364" max="15616" width="9.140625" style="1489"/>
    <col min="15617" max="15617" width="29.5703125" style="1489" bestFit="1" customWidth="1"/>
    <col min="15618" max="15618" width="19.85546875" style="1489" customWidth="1"/>
    <col min="15619" max="15619" width="12" style="1489" bestFit="1" customWidth="1"/>
    <col min="15620" max="15872" width="9.140625" style="1489"/>
    <col min="15873" max="15873" width="29.5703125" style="1489" bestFit="1" customWidth="1"/>
    <col min="15874" max="15874" width="19.85546875" style="1489" customWidth="1"/>
    <col min="15875" max="15875" width="12" style="1489" bestFit="1" customWidth="1"/>
    <col min="15876" max="16128" width="9.140625" style="1489"/>
    <col min="16129" max="16129" width="29.5703125" style="1489" bestFit="1" customWidth="1"/>
    <col min="16130" max="16130" width="19.85546875" style="1489" customWidth="1"/>
    <col min="16131" max="16131" width="12" style="1489" bestFit="1" customWidth="1"/>
    <col min="16132" max="16384" width="9.140625" style="1489"/>
  </cols>
  <sheetData>
    <row r="1" spans="1:2">
      <c r="A1" s="1489" t="s">
        <v>896</v>
      </c>
      <c r="B1" s="1610">
        <v>6.1</v>
      </c>
    </row>
    <row r="2" spans="1:2">
      <c r="A2" s="1489" t="s">
        <v>897</v>
      </c>
      <c r="B2" s="1614">
        <v>43164.747291666667</v>
      </c>
    </row>
    <row r="3" spans="1:2">
      <c r="A3" s="1489" t="s">
        <v>898</v>
      </c>
      <c r="B3" s="1611" t="s">
        <v>596</v>
      </c>
    </row>
    <row r="4" spans="1:2">
      <c r="A4" s="1489" t="s">
        <v>899</v>
      </c>
      <c r="B4" s="1611" t="s">
        <v>293</v>
      </c>
    </row>
    <row r="5" spans="1:2">
      <c r="A5" s="1489" t="s">
        <v>900</v>
      </c>
      <c r="B5" s="1611" t="s">
        <v>901</v>
      </c>
    </row>
    <row r="6" spans="1:2">
      <c r="A6" s="1489" t="s">
        <v>902</v>
      </c>
    </row>
    <row r="7" spans="1:2">
      <c r="A7" s="1489" t="s">
        <v>903</v>
      </c>
      <c r="B7" s="1611" t="s">
        <v>344</v>
      </c>
    </row>
    <row r="8" spans="1:2">
      <c r="A8" s="1489" t="s">
        <v>904</v>
      </c>
      <c r="B8" s="1611" t="s">
        <v>905</v>
      </c>
    </row>
    <row r="9" spans="1:2">
      <c r="A9" s="1489" t="s">
        <v>906</v>
      </c>
      <c r="B9" s="1611" t="s">
        <v>942</v>
      </c>
    </row>
    <row r="10" spans="1:2">
      <c r="A10" s="1489" t="s">
        <v>907</v>
      </c>
    </row>
    <row r="11" spans="1:2">
      <c r="A11" s="1489" t="s">
        <v>908</v>
      </c>
    </row>
    <row r="12" spans="1:2">
      <c r="A12" s="1489" t="s">
        <v>909</v>
      </c>
    </row>
    <row r="13" spans="1:2">
      <c r="A13" s="1489" t="s">
        <v>910</v>
      </c>
    </row>
    <row r="14" spans="1:2">
      <c r="A14" s="1489" t="s">
        <v>911</v>
      </c>
    </row>
    <row r="15" spans="1:2">
      <c r="A15" s="1489" t="s">
        <v>912</v>
      </c>
    </row>
    <row r="16" spans="1:2">
      <c r="A16" s="1489" t="s">
        <v>913</v>
      </c>
    </row>
    <row r="17" spans="1:4">
      <c r="A17" s="1489" t="s">
        <v>914</v>
      </c>
      <c r="B17" s="1611" t="s">
        <v>943</v>
      </c>
    </row>
    <row r="18" spans="1:4">
      <c r="A18" s="1489" t="s">
        <v>915</v>
      </c>
      <c r="B18" s="1611" t="s">
        <v>946</v>
      </c>
    </row>
    <row r="19" spans="1:4">
      <c r="A19" s="1489" t="s">
        <v>916</v>
      </c>
      <c r="B19" s="1611" t="s">
        <v>343</v>
      </c>
    </row>
    <row r="20" spans="1:4">
      <c r="A20" s="1489" t="s">
        <v>917</v>
      </c>
      <c r="B20" s="1612">
        <v>595017104</v>
      </c>
    </row>
    <row r="21" spans="1:4">
      <c r="A21" s="1489" t="s">
        <v>918</v>
      </c>
      <c r="B21" s="1611" t="s">
        <v>343</v>
      </c>
    </row>
    <row r="22" spans="1:4">
      <c r="A22" s="1489" t="s">
        <v>919</v>
      </c>
      <c r="B22" s="1612">
        <v>2592174</v>
      </c>
    </row>
    <row r="23" spans="1:4">
      <c r="A23" s="1489" t="s">
        <v>123</v>
      </c>
      <c r="B23" s="1610">
        <v>94.47</v>
      </c>
    </row>
    <row r="24" spans="1:4">
      <c r="A24" s="1489" t="s">
        <v>122</v>
      </c>
      <c r="B24" s="1611" t="s">
        <v>25</v>
      </c>
      <c r="D24" s="1489" t="s">
        <v>177</v>
      </c>
    </row>
    <row r="25" spans="1:4">
      <c r="A25" s="1489" t="s">
        <v>920</v>
      </c>
      <c r="B25" s="1611" t="s">
        <v>947</v>
      </c>
    </row>
    <row r="26" spans="1:4">
      <c r="A26" s="1489" t="s">
        <v>409</v>
      </c>
      <c r="B26" s="1611">
        <v>0</v>
      </c>
    </row>
    <row r="27" spans="1:4">
      <c r="A27" s="1489" t="s">
        <v>921</v>
      </c>
      <c r="B27" s="1611" t="s">
        <v>922</v>
      </c>
    </row>
    <row r="28" spans="1:4">
      <c r="A28" s="1489" t="s">
        <v>923</v>
      </c>
      <c r="B28" s="1611" t="s">
        <v>924</v>
      </c>
    </row>
    <row r="29" spans="1:4">
      <c r="A29" s="1489" t="s">
        <v>925</v>
      </c>
    </row>
    <row r="30" spans="1:4">
      <c r="A30" s="1489" t="s">
        <v>926</v>
      </c>
    </row>
    <row r="31" spans="1:4">
      <c r="A31" s="1489" t="s">
        <v>927</v>
      </c>
    </row>
    <row r="32" spans="1:4">
      <c r="A32" s="1489" t="s">
        <v>928</v>
      </c>
      <c r="B32" s="1610"/>
    </row>
    <row r="33" spans="1:2">
      <c r="A33" s="1489" t="s">
        <v>929</v>
      </c>
      <c r="B33" s="1610"/>
    </row>
    <row r="34" spans="1:2">
      <c r="A34" s="1489" t="s">
        <v>930</v>
      </c>
      <c r="B34" s="1610"/>
    </row>
    <row r="35" spans="1:2">
      <c r="A35" s="1489" t="s">
        <v>931</v>
      </c>
      <c r="B35" s="1611">
        <v>1000000</v>
      </c>
    </row>
    <row r="36" spans="1:2">
      <c r="A36" s="1489" t="s">
        <v>932</v>
      </c>
      <c r="B36" s="1611" t="s">
        <v>944</v>
      </c>
    </row>
    <row r="37" spans="1:2">
      <c r="A37" s="1489" t="s">
        <v>933</v>
      </c>
      <c r="B37" s="1611" t="s">
        <v>934</v>
      </c>
    </row>
    <row r="38" spans="1:2">
      <c r="A38" s="1489" t="s">
        <v>935</v>
      </c>
      <c r="B38" s="1611" t="s">
        <v>936</v>
      </c>
    </row>
    <row r="39" spans="1:2">
      <c r="A39" s="1489" t="s">
        <v>937</v>
      </c>
      <c r="B39" s="1611" t="s">
        <v>945</v>
      </c>
    </row>
    <row r="40" spans="1:2">
      <c r="A40" s="1489" t="s">
        <v>938</v>
      </c>
      <c r="B40" s="1611">
        <v>1500000092</v>
      </c>
    </row>
    <row r="41" spans="1:2">
      <c r="A41" s="1489" t="s">
        <v>939</v>
      </c>
      <c r="B41" s="1611">
        <v>1</v>
      </c>
    </row>
    <row r="42" spans="1:2">
      <c r="A42" s="1613" t="s">
        <v>940</v>
      </c>
    </row>
    <row r="43" spans="1:2">
      <c r="A43" s="1489" t="s">
        <v>941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489" bestFit="1" customWidth="1"/>
    <col min="2" max="256" width="9.140625" style="1489"/>
    <col min="257" max="257" width="28.5703125" style="1489" bestFit="1" customWidth="1"/>
    <col min="258" max="512" width="9.140625" style="1489"/>
    <col min="513" max="513" width="28.5703125" style="1489" bestFit="1" customWidth="1"/>
    <col min="514" max="768" width="9.140625" style="1489"/>
    <col min="769" max="769" width="28.5703125" style="1489" bestFit="1" customWidth="1"/>
    <col min="770" max="1024" width="9.140625" style="1489"/>
    <col min="1025" max="1025" width="28.5703125" style="1489" bestFit="1" customWidth="1"/>
    <col min="1026" max="1280" width="9.140625" style="1489"/>
    <col min="1281" max="1281" width="28.5703125" style="1489" bestFit="1" customWidth="1"/>
    <col min="1282" max="1536" width="9.140625" style="1489"/>
    <col min="1537" max="1537" width="28.5703125" style="1489" bestFit="1" customWidth="1"/>
    <col min="1538" max="1792" width="9.140625" style="1489"/>
    <col min="1793" max="1793" width="28.5703125" style="1489" bestFit="1" customWidth="1"/>
    <col min="1794" max="2048" width="9.140625" style="1489"/>
    <col min="2049" max="2049" width="28.5703125" style="1489" bestFit="1" customWidth="1"/>
    <col min="2050" max="2304" width="9.140625" style="1489"/>
    <col min="2305" max="2305" width="28.5703125" style="1489" bestFit="1" customWidth="1"/>
    <col min="2306" max="2560" width="9.140625" style="1489"/>
    <col min="2561" max="2561" width="28.5703125" style="1489" bestFit="1" customWidth="1"/>
    <col min="2562" max="2816" width="9.140625" style="1489"/>
    <col min="2817" max="2817" width="28.5703125" style="1489" bestFit="1" customWidth="1"/>
    <col min="2818" max="3072" width="9.140625" style="1489"/>
    <col min="3073" max="3073" width="28.5703125" style="1489" bestFit="1" customWidth="1"/>
    <col min="3074" max="3328" width="9.140625" style="1489"/>
    <col min="3329" max="3329" width="28.5703125" style="1489" bestFit="1" customWidth="1"/>
    <col min="3330" max="3584" width="9.140625" style="1489"/>
    <col min="3585" max="3585" width="28.5703125" style="1489" bestFit="1" customWidth="1"/>
    <col min="3586" max="3840" width="9.140625" style="1489"/>
    <col min="3841" max="3841" width="28.5703125" style="1489" bestFit="1" customWidth="1"/>
    <col min="3842" max="4096" width="9.140625" style="1489"/>
    <col min="4097" max="4097" width="28.5703125" style="1489" bestFit="1" customWidth="1"/>
    <col min="4098" max="4352" width="9.140625" style="1489"/>
    <col min="4353" max="4353" width="28.5703125" style="1489" bestFit="1" customWidth="1"/>
    <col min="4354" max="4608" width="9.140625" style="1489"/>
    <col min="4609" max="4609" width="28.5703125" style="1489" bestFit="1" customWidth="1"/>
    <col min="4610" max="4864" width="9.140625" style="1489"/>
    <col min="4865" max="4865" width="28.5703125" style="1489" bestFit="1" customWidth="1"/>
    <col min="4866" max="5120" width="9.140625" style="1489"/>
    <col min="5121" max="5121" width="28.5703125" style="1489" bestFit="1" customWidth="1"/>
    <col min="5122" max="5376" width="9.140625" style="1489"/>
    <col min="5377" max="5377" width="28.5703125" style="1489" bestFit="1" customWidth="1"/>
    <col min="5378" max="5632" width="9.140625" style="1489"/>
    <col min="5633" max="5633" width="28.5703125" style="1489" bestFit="1" customWidth="1"/>
    <col min="5634" max="5888" width="9.140625" style="1489"/>
    <col min="5889" max="5889" width="28.5703125" style="1489" bestFit="1" customWidth="1"/>
    <col min="5890" max="6144" width="9.140625" style="1489"/>
    <col min="6145" max="6145" width="28.5703125" style="1489" bestFit="1" customWidth="1"/>
    <col min="6146" max="6400" width="9.140625" style="1489"/>
    <col min="6401" max="6401" width="28.5703125" style="1489" bestFit="1" customWidth="1"/>
    <col min="6402" max="6656" width="9.140625" style="1489"/>
    <col min="6657" max="6657" width="28.5703125" style="1489" bestFit="1" customWidth="1"/>
    <col min="6658" max="6912" width="9.140625" style="1489"/>
    <col min="6913" max="6913" width="28.5703125" style="1489" bestFit="1" customWidth="1"/>
    <col min="6914" max="7168" width="9.140625" style="1489"/>
    <col min="7169" max="7169" width="28.5703125" style="1489" bestFit="1" customWidth="1"/>
    <col min="7170" max="7424" width="9.140625" style="1489"/>
    <col min="7425" max="7425" width="28.5703125" style="1489" bestFit="1" customWidth="1"/>
    <col min="7426" max="7680" width="9.140625" style="1489"/>
    <col min="7681" max="7681" width="28.5703125" style="1489" bestFit="1" customWidth="1"/>
    <col min="7682" max="7936" width="9.140625" style="1489"/>
    <col min="7937" max="7937" width="28.5703125" style="1489" bestFit="1" customWidth="1"/>
    <col min="7938" max="8192" width="9.140625" style="1489"/>
    <col min="8193" max="8193" width="28.5703125" style="1489" bestFit="1" customWidth="1"/>
    <col min="8194" max="8448" width="9.140625" style="1489"/>
    <col min="8449" max="8449" width="28.5703125" style="1489" bestFit="1" customWidth="1"/>
    <col min="8450" max="8704" width="9.140625" style="1489"/>
    <col min="8705" max="8705" width="28.5703125" style="1489" bestFit="1" customWidth="1"/>
    <col min="8706" max="8960" width="9.140625" style="1489"/>
    <col min="8961" max="8961" width="28.5703125" style="1489" bestFit="1" customWidth="1"/>
    <col min="8962" max="9216" width="9.140625" style="1489"/>
    <col min="9217" max="9217" width="28.5703125" style="1489" bestFit="1" customWidth="1"/>
    <col min="9218" max="9472" width="9.140625" style="1489"/>
    <col min="9473" max="9473" width="28.5703125" style="1489" bestFit="1" customWidth="1"/>
    <col min="9474" max="9728" width="9.140625" style="1489"/>
    <col min="9729" max="9729" width="28.5703125" style="1489" bestFit="1" customWidth="1"/>
    <col min="9730" max="9984" width="9.140625" style="1489"/>
    <col min="9985" max="9985" width="28.5703125" style="1489" bestFit="1" customWidth="1"/>
    <col min="9986" max="10240" width="9.140625" style="1489"/>
    <col min="10241" max="10241" width="28.5703125" style="1489" bestFit="1" customWidth="1"/>
    <col min="10242" max="10496" width="9.140625" style="1489"/>
    <col min="10497" max="10497" width="28.5703125" style="1489" bestFit="1" customWidth="1"/>
    <col min="10498" max="10752" width="9.140625" style="1489"/>
    <col min="10753" max="10753" width="28.5703125" style="1489" bestFit="1" customWidth="1"/>
    <col min="10754" max="11008" width="9.140625" style="1489"/>
    <col min="11009" max="11009" width="28.5703125" style="1489" bestFit="1" customWidth="1"/>
    <col min="11010" max="11264" width="9.140625" style="1489"/>
    <col min="11265" max="11265" width="28.5703125" style="1489" bestFit="1" customWidth="1"/>
    <col min="11266" max="11520" width="9.140625" style="1489"/>
    <col min="11521" max="11521" width="28.5703125" style="1489" bestFit="1" customWidth="1"/>
    <col min="11522" max="11776" width="9.140625" style="1489"/>
    <col min="11777" max="11777" width="28.5703125" style="1489" bestFit="1" customWidth="1"/>
    <col min="11778" max="12032" width="9.140625" style="1489"/>
    <col min="12033" max="12033" width="28.5703125" style="1489" bestFit="1" customWidth="1"/>
    <col min="12034" max="12288" width="9.140625" style="1489"/>
    <col min="12289" max="12289" width="28.5703125" style="1489" bestFit="1" customWidth="1"/>
    <col min="12290" max="12544" width="9.140625" style="1489"/>
    <col min="12545" max="12545" width="28.5703125" style="1489" bestFit="1" customWidth="1"/>
    <col min="12546" max="12800" width="9.140625" style="1489"/>
    <col min="12801" max="12801" width="28.5703125" style="1489" bestFit="1" customWidth="1"/>
    <col min="12802" max="13056" width="9.140625" style="1489"/>
    <col min="13057" max="13057" width="28.5703125" style="1489" bestFit="1" customWidth="1"/>
    <col min="13058" max="13312" width="9.140625" style="1489"/>
    <col min="13313" max="13313" width="28.5703125" style="1489" bestFit="1" customWidth="1"/>
    <col min="13314" max="13568" width="9.140625" style="1489"/>
    <col min="13569" max="13569" width="28.5703125" style="1489" bestFit="1" customWidth="1"/>
    <col min="13570" max="13824" width="9.140625" style="1489"/>
    <col min="13825" max="13825" width="28.5703125" style="1489" bestFit="1" customWidth="1"/>
    <col min="13826" max="14080" width="9.140625" style="1489"/>
    <col min="14081" max="14081" width="28.5703125" style="1489" bestFit="1" customWidth="1"/>
    <col min="14082" max="14336" width="9.140625" style="1489"/>
    <col min="14337" max="14337" width="28.5703125" style="1489" bestFit="1" customWidth="1"/>
    <col min="14338" max="14592" width="9.140625" style="1489"/>
    <col min="14593" max="14593" width="28.5703125" style="1489" bestFit="1" customWidth="1"/>
    <col min="14594" max="14848" width="9.140625" style="1489"/>
    <col min="14849" max="14849" width="28.5703125" style="1489" bestFit="1" customWidth="1"/>
    <col min="14850" max="15104" width="9.140625" style="1489"/>
    <col min="15105" max="15105" width="28.5703125" style="1489" bestFit="1" customWidth="1"/>
    <col min="15106" max="15360" width="9.140625" style="1489"/>
    <col min="15361" max="15361" width="28.5703125" style="1489" bestFit="1" customWidth="1"/>
    <col min="15362" max="15616" width="9.140625" style="1489"/>
    <col min="15617" max="15617" width="28.5703125" style="1489" bestFit="1" customWidth="1"/>
    <col min="15618" max="15872" width="9.140625" style="1489"/>
    <col min="15873" max="15873" width="28.5703125" style="1489" bestFit="1" customWidth="1"/>
    <col min="15874" max="16128" width="9.140625" style="1489"/>
    <col min="16129" max="16129" width="28.5703125" style="1489" bestFit="1" customWidth="1"/>
    <col min="16130" max="16384" width="9.140625" style="1489"/>
  </cols>
  <sheetData>
    <row r="1" spans="1:1">
      <c r="A1" s="1615" t="s">
        <v>948</v>
      </c>
    </row>
    <row r="2" spans="1:1">
      <c r="A2" s="1615" t="s">
        <v>953</v>
      </c>
    </row>
    <row r="3" spans="1:1">
      <c r="A3" s="1615" t="s">
        <v>954</v>
      </c>
    </row>
    <row r="4" spans="1:1">
      <c r="A4" s="1615" t="s">
        <v>955</v>
      </c>
    </row>
    <row r="5" spans="1:1">
      <c r="A5" s="1615" t="s">
        <v>956</v>
      </c>
    </row>
    <row r="6" spans="1:1">
      <c r="A6" s="1615" t="s">
        <v>949</v>
      </c>
    </row>
    <row r="7" spans="1:1">
      <c r="A7" s="1615" t="s">
        <v>957</v>
      </c>
    </row>
    <row r="8" spans="1:1">
      <c r="A8" s="1615" t="s">
        <v>958</v>
      </c>
    </row>
    <row r="9" spans="1:1">
      <c r="A9" s="1615" t="s">
        <v>959</v>
      </c>
    </row>
    <row r="10" spans="1:1">
      <c r="A10" s="1615" t="s">
        <v>950</v>
      </c>
    </row>
    <row r="11" spans="1:1">
      <c r="A11" s="1615" t="s">
        <v>960</v>
      </c>
    </row>
    <row r="12" spans="1:1">
      <c r="A12" s="1615" t="s">
        <v>951</v>
      </c>
    </row>
    <row r="13" spans="1:1">
      <c r="A13" s="1615" t="s">
        <v>952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62a1fff6-b942-48d1-ad23-67fb94fdbd0c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5/7/2015 8:10:49 PM</UPDATEDAT>
    <SOURCE_ISOUTOFDATE>False</SOURCE_ISOUTOFDATE>
    <SOURCE_WORKBOOKNAME>MCHP WIP.xls</SOURCE_WORKBOOKNAME>
    <SOURCE_WORKBOOKPATH>\\MSAD\ROOT\NA\NY\LIB\ER\SEMI CAP\Joe Files\Companies\MCHP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/MSResearch/Content/ExternalAssets/2015-05/Images/7NudJUavj06wt6U_-mF00Q--.png</TARGET_BINARYFULLNAME>
    <TARGET_STORYFULLNAME>/MSResearch/Content/ExternalAssets/2015-05/Sections/20150501_071932_MWA_Risk_Reward.xml</TARGET_STORYFULLNAME>
    <TARGET_UUID>860ba076-f058-11e4-aeba-9bba02fefb2a</TARGET_UUID>
    <HIDEGRIDLINES>False</HIDEGRIDLINES>
  </Link>
  <Link>
    <GUID>200bc1aa-f1b3-45e8-a058-13256569c4df</GUID>
    <SOURCE_ALTADDRESS>$C$9:$L$19</SOURCE_ALTADDRESS>
    <SOURCETYPE>Table</SOURCETYPE>
    <SOURCE_OBJECTNAME>Linking_Range_38</SOURCE_OBJECTNAME>
    <OBJECTTYPE>Native</OBJECTTYPE>
    <SOURCE_SHEETCODE>Sheet13</SOURCE_SHEETCODE>
    <SOURCE_SHEETNAME>Snapshot</SOURCE_SHEETNAME>
    <SOURCEAPPLICATION>EXCEL_SOURCE</SOURCEAPPLICATION>
    <UPDATEDAT>5/7/2015 8:23:23 PM</UPDATEDAT>
    <SOURCE_ISOUTOFDATE>False</SOURCE_ISOUTOFDATE>
    <SOURCE_WORKBOOKNAME>MCHP WIP.xls</SOURCE_WORKBOOKNAME>
    <SOURCE_WORKBOOKPATH>\\MSAD\ROOT\NA\NY\LIB\ER\SEMI CAP\Joe Files\Companies\MCHP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/MSResearch/Content/ExternalAssets/2015-05/Images/A3yxH5_ADEiOcZeVnwzNDA--.png</TARGET_BINARYFULLNAME>
    <TARGET_STORYFULLNAME>/MSResearch/Content/ExternalAssets/2015-05/Sections/20150507_082254_Linking_Range_38.xml</TARGET_STORYFULLNAME>
    <TARGET_UUID>5eb1cb76-f518-11e4-96ae-7c07ebc02301</TARGET_UUID>
    <LINKSTATUS>Unknown</LINKSTATUS>
  </Link>
  <Link>
    <GUID>28898e0c-11b0-4e52-b199-29cca3134f4d</GUID>
    <SOURCE_ALTADDRESS>$B$5:$L$35</SOURCE_ALTADDRESS>
    <SOURCETYPE>Table</SOURCETYPE>
    <SOURCE_OBJECTNAME>Linking_Range_42</SOURCE_OBJECTNAME>
    <OBJECTTYPE>Native</OBJECTTYPE>
    <SOURCE_SHEETCODE>Sheet15</SOURCE_SHEETCODE>
    <SOURCE_SHEETNAME>QoQ Comp</SOURCE_SHEETNAME>
    <SOURCEAPPLICATION>EXCEL_SOURCE</SOURCEAPPLICATION>
    <UPDATEDAT>5/7/2015 8:28:10 PM</UPDATEDAT>
    <SOURCE_ISOUTOFDATE>False</SOURCE_ISOUTOFDATE>
    <SOURCE_WORKBOOKNAME>MCHP WIP.xls</SOURCE_WORKBOOKNAME>
    <SOURCE_WORKBOOKPATH>\\MSAD\ROOT\NA\NY\LIB\ER\SEMI CAP\Joe Files\Companies\MCHP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/MSResearch/Content/ExternalAssets/2015-05/Images/P9Lyj2m7DEazY2_z2flEBQ--.png</TARGET_BINARYFULLNAME>
    <TARGET_STORYFULLNAME>/MSResearch/Content/ExternalAssets/2015-05/Sections/20150507_082806_Linking_Range_42.xml</TARGET_STORYFULLNAME>
    <TARGET_UUID>18770904-f519-11e4-96ae-7c07ebc02301</TARGET_UUID>
  </Link>
  <Link>
    <GUID>8653ec78-c0dd-472f-95f3-3358c3a6c7ac</GUID>
    <SOURCE_ALTADDRESS>$B$5:$CA$86</SOURCE_ALTADDRESS>
    <SOURCETYPE>Table</SOURCETYPE>
    <SOURCE_OBJECTNAME>Linking_Range_43</SOURCE_OBJECTNAME>
    <OBJECTTYPE>Native</OBJECTTYPE>
    <SOURCE_SHEETCODE>Sheet2</SOURCE_SHEETCODE>
    <SOURCE_SHEETNAME>IS</SOURCE_SHEETNAME>
    <SOURCEAPPLICATION>EXCEL_SOURCE</SOURCEAPPLICATION>
    <UPDATEDAT>5/7/2015 8:30:13 PM</UPDATEDAT>
    <SOURCE_ISOUTOFDATE>False</SOURCE_ISOUTOFDATE>
    <SOURCE_WORKBOOKNAME>MCHP WIP.xls</SOURCE_WORKBOOKNAME>
    <SOURCE_WORKBOOKPATH>\\MSAD\ROOT\NA\NY\LIB\ER\SEMI CAP\Joe Files\Companies\MCHP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/MSResearch/Content/ExternalAssets/2015-05/Images/Ucc_WilmPkSfVLwe90iGnw--.png</TARGET_BINARYFULLNAME>
    <TARGET_STORYFULLNAME>/MSResearch/Content/ExternalAssets/2015-05/Sections/20150507_083009_Linking_Range_43.xml</TARGET_STORYFULLNAME>
    <TARGET_UUID>623916c2-f519-11e4-96ae-7c07ebc02301</TARGET_UUID>
  </Link>
  <Link>
    <GUID>7534c5a5-defb-486e-9880-014504bd5b4b</GUID>
    <SOURCE_ALTADDRESS>$B$5:$BK$44</SOURCE_ALTADDRESS>
    <SOURCETYPE>Table</SOURCETYPE>
    <SOURCE_OBJECTNAME>Linking_Range_44</SOURCE_OBJECTNAME>
    <OBJECTTYPE>Native</OBJECTTYPE>
    <SOURCE_SHEETCODE>Sheet3</SOURCE_SHEETCODE>
    <SOURCE_SHEETNAME>BS</SOURCE_SHEETNAME>
    <SOURCEAPPLICATION>EXCEL_SOURCE</SOURCEAPPLICATION>
    <UPDATEDAT>5/7/2015 8:30:42 PM</UPDATEDAT>
    <SOURCE_ISOUTOFDATE>False</SOURCE_ISOUTOFDATE>
    <SOURCE_WORKBOOKNAME>MCHP WIP.xls</SOURCE_WORKBOOKNAME>
    <SOURCE_WORKBOOKPATH>\\MSAD\ROOT\NA\NY\LIB\ER\SEMI CAP\Joe Files\Companies\MCHP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/MSResearch/Content/ExternalAssets/2015-05/Images/5my4ajgC206VH9hEMLeXFg--.png</TARGET_BINARYFULLNAME>
    <TARGET_STORYFULLNAME>/MSResearch/Content/ExternalAssets/2015-05/Sections/20150507_083040_Linking_Range_44.xml</TARGET_STORYFULLNAME>
    <TARGET_UUID>743d9c1c-f519-11e4-96ae-7c07ebc02301</TARGET_UUID>
  </Link>
  <Link>
    <GUID>7525e78f-bbc7-41be-a96d-e2a952a2e345</GUID>
    <SOURCE_ALTADDRESS>$B$5:$CA$54</SOURCE_ALTADDRESS>
    <SOURCETYPE>Table</SOURCETYPE>
    <SOURCE_OBJECTNAME>Linking_Range_41</SOURCE_OBJECTNAME>
    <OBJECTTYPE>Native</OBJECTTYPE>
    <SOURCE_SHEETCODE>Sheet4</SOURCE_SHEETCODE>
    <SOURCE_SHEETNAME>CFS</SOURCE_SHEETNAME>
    <SOURCEAPPLICATION>EXCEL_SOURCE</SOURCEAPPLICATION>
    <UPDATEDAT>5/7/2015 8:31:18 PM</UPDATEDAT>
    <SOURCE_ISOUTOFDATE>False</SOURCE_ISOUTOFDATE>
    <SOURCE_WORKBOOKNAME>MCHP WIP.xls</SOURCE_WORKBOOKNAME>
    <SOURCE_WORKBOOKPATH>\\MSAD\ROOT\NA\NY\LIB\ER\SEMI CAP\Joe Files\Companies\MCHP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/MSResearch/Content/ExternalAssets/2015-05/Images/sLfdeC2y8EG3WMvkzqxK7A--.png</TARGET_BINARYFULLNAME>
    <TARGET_STORYFULLNAME>/MSResearch/Content/ExternalAssets/2015-05/Sections/20150507_083115_Linking_Range_41.xml</TARGET_STORYFULLNAME>
    <TARGET_UUID>89287778-f519-11e4-96ae-7c07ebc02301</TARGET_UUID>
  </Link>
  <Link>
    <GUID>a9c0d321-e51f-48af-ad72-8c5e6ff6e494</GUID>
    <SOURCE_ALTADDRESS>$B$3:$G$29</SOURCE_ALTADDRESS>
    <SOURCETYPE>Table</SOURCETYPE>
    <SOURCE_OBJECTNAME>Linking_Range_45</SOURCE_OBJECTNAME>
    <OBJECTTYPE>Native</OBJECTTYPE>
    <SOURCE_SHEETCODE>Sheet21</SOURCE_SHEETCODE>
    <SOURCE_SHEETNAME>MXL 2016 EPS accretion</SOURCE_SHEETNAME>
    <SOURCEAPPLICATION>EXCEL_SOURCE</SOURCEAPPLICATION>
    <UPDATEDAT>5/17/2015 4:35:21 PM</UPDATEDAT>
    <SOURCE_ISOUTOFDATE>False</SOURCE_ISOUTOFDATE>
    <SOURCE_WORKBOOKNAME>MCHP WIP.xls</SOURCE_WORKBOOKNAME>
    <SOURCE_WORKBOOKPATH>\\MSAD\ROOT\NA\NY\LIB\ER\SEMI CAP\Joe Files\Companies\MCHP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/MSResearch/Content/ExternalAssets/2015-05/Images/b08Ed6cxrkK-CCp06v8qcA--.png</TARGET_BINARYFULLNAME>
    <TARGET_STORYFULLNAME>/MSResearch/Content/ExternalAssets/2015-05/Sections/20150514_060017_Linking_Range_45.xml</TARGET_STORYFULLNAME>
    <TARGET_UUID>9b3b9f74-fa84-11e4-b06e-39cc228b6d15</TARGET_UUID>
    <TRANSPARENTBACKGROUND>False</TRANSPARENTBACKGROUND>
    <TRANSPARENTPLOTAREA>False</TRANSPARENTPLOTAREA>
    <LINKSTATUS>Unknown</LINKSTATUS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65276F9F-F4B6-41D1-B2AA-B1436893853B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2CC66434-B567-4E83-870A-1DCD14637D41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107</vt:i4>
      </vt:variant>
    </vt:vector>
  </HeadingPairs>
  <TitlesOfParts>
    <vt:vector size="115" baseType="lpstr">
      <vt:lpstr>ImportantDisclosures</vt:lpstr>
      <vt:lpstr>IS</vt:lpstr>
      <vt:lpstr>BS</vt:lpstr>
      <vt:lpstr>CFS</vt:lpstr>
      <vt:lpstr>BU Segment</vt:lpstr>
      <vt:lpstr>MCHP-MSCC Accretion Analysis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'BU Segment'!BS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Linking_11</vt:lpstr>
      <vt:lpstr>Linking_12</vt:lpstr>
      <vt:lpstr>Linking_13</vt:lpstr>
      <vt:lpstr>Linking_15</vt:lpstr>
      <vt:lpstr>Linking_16</vt:lpstr>
      <vt:lpstr>Linking_17</vt:lpstr>
      <vt:lpstr>Linking_19</vt:lpstr>
      <vt:lpstr>Linking_21</vt:lpstr>
      <vt:lpstr>Linking_22</vt:lpstr>
      <vt:lpstr>Linking_23</vt:lpstr>
      <vt:lpstr>Linking_24</vt:lpstr>
      <vt:lpstr>Linking_25</vt:lpstr>
      <vt:lpstr>Linking_26</vt:lpstr>
      <vt:lpstr>Linking_27</vt:lpstr>
      <vt:lpstr>Linking_28</vt:lpstr>
      <vt:lpstr>Linking_3</vt:lpstr>
      <vt:lpstr>Linking_4</vt:lpstr>
      <vt:lpstr>Linking_5</vt:lpstr>
      <vt:lpstr>Linking_6</vt:lpstr>
      <vt:lpstr>Linking_7</vt:lpstr>
      <vt:lpstr>Linking_Range_2</vt:lpstr>
      <vt:lpstr>Linking_Range_20</vt:lpstr>
      <vt:lpstr>Linking_Range_21</vt:lpstr>
      <vt:lpstr>Linking_Range_25</vt:lpstr>
      <vt:lpstr>Linking_Range_26</vt:lpstr>
      <vt:lpstr>Linking_Range_27</vt:lpstr>
      <vt:lpstr>Linking_Range_3</vt:lpstr>
      <vt:lpstr>Linking_Range_30</vt:lpstr>
      <vt:lpstr>Linking_Range_33</vt:lpstr>
      <vt:lpstr>Linking_Range_40</vt:lpstr>
      <vt:lpstr>Linking_Range_41</vt:lpstr>
      <vt:lpstr>Linking_Range_44</vt:lpstr>
      <vt:lpstr>Linking_Range_5</vt:lpstr>
      <vt:lpstr>Linking_Range_6</vt:lpstr>
      <vt:lpstr>Linking_Range_7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Rao, Vinayak (Research)</cp:lastModifiedBy>
  <cp:lastPrinted>2018-02-27T20:47:16Z</cp:lastPrinted>
  <dcterms:modified xsi:type="dcterms:W3CDTF">2018-03-05T22:56:07Z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45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754325</vt:lpwstr>
  </property>
  <property fmtid="{D5CDD505-2E9C-101B-9397-08002B2CF9AE}" name="ERModPubCompanyName" pid="7">
    <vt:lpwstr>Microchip Technology Inc.</vt:lpwstr>
  </property>
  <property fmtid="{D5CDD505-2E9C-101B-9397-08002B2CF9AE}" name="MSDH34TAG" pid="8">
    <vt:lpwstr>.TEZUF76X5TAHATHESADREYAK-00-INB160+*94600-06=67e00968/-20c8/-11e8/-9b95/-96f032c946f3,MD=20180305181304/-0500,ZZ=000Z-9563.</vt:lpwstr>
  </property>
</Properties>
</file>